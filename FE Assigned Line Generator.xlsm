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2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tables/table15.xml" ContentType="application/vnd.openxmlformats-officedocument.spreadsheetml.table+xml"/>
  <Override PartName="/xl/queryTables/queryTable2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tables/table16.xml" ContentType="application/vnd.openxmlformats-officedocument.spreadsheetml.table+xml"/>
  <Override PartName="/xl/queryTables/queryTable3.xml" ContentType="application/vnd.openxmlformats-officedocument.spreadsheetml.queryTable+xml"/>
  <Override PartName="/xl/tables/table17.xml" ContentType="application/vnd.openxmlformats-officedocument.spreadsheetml.table+xml"/>
  <Override PartName="/xl/queryTables/queryTable4.xml" ContentType="application/vnd.openxmlformats-officedocument.spreadsheetml.query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18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7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tables/table19.xml" ContentType="application/vnd.openxmlformats-officedocument.spreadsheetml.table+xml"/>
  <Override PartName="/xl/queryTables/queryTable6.xml" ContentType="application/vnd.openxmlformats-officedocument.spreadsheetml.queryTable+xml"/>
  <Override PartName="/xl/tables/table20.xml" ContentType="application/vnd.openxmlformats-officedocument.spreadsheetml.table+xml"/>
  <Override PartName="/xl/queryTables/queryTable7.xml" ContentType="application/vnd.openxmlformats-officedocument.spreadsheetml.queryTable+xml"/>
  <Override PartName="/xl/tables/table21.xml" ContentType="application/vnd.openxmlformats-officedocument.spreadsheetml.table+xml"/>
  <Override PartName="/xl/queryTables/queryTable8.xml" ContentType="application/vnd.openxmlformats-officedocument.spreadsheetml.queryTable+xml"/>
  <Override PartName="/xl/tables/table22.xml" ContentType="application/vnd.openxmlformats-officedocument.spreadsheetml.table+xml"/>
  <Override PartName="/xl/queryTables/queryTable9.xml" ContentType="application/vnd.openxmlformats-officedocument.spreadsheetml.query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queryTables/queryTable10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attapon.s\Onedrive - Pandora\E2E\Tool\Github\AAAFEAllocation\"/>
    </mc:Choice>
  </mc:AlternateContent>
  <xr:revisionPtr revIDLastSave="0" documentId="13_ncr:1_{7D857F1C-B34E-43EB-9891-651A5193FFFA}" xr6:coauthVersionLast="47" xr6:coauthVersionMax="47" xr10:uidLastSave="{00000000-0000-0000-0000-000000000000}"/>
  <bookViews>
    <workbookView xWindow="-28815" yWindow="-16545" windowWidth="29040" windowHeight="15840" activeTab="1" xr2:uid="{C86CAB54-2E5D-4EE1-A8F4-02389DDEE21F}"/>
  </bookViews>
  <sheets>
    <sheet name="Guide" sheetId="4" r:id="rId1"/>
    <sheet name="Configuration" sheetId="1" r:id="rId2"/>
    <sheet name="FixedLine&amp;Scatter" sheetId="20" r:id="rId3"/>
    <sheet name="ItemSP" sheetId="21" r:id="rId4"/>
    <sheet name="RMPerMachine" sheetId="19" r:id="rId5"/>
    <sheet name="Calendar" sheetId="17" r:id="rId6"/>
    <sheet name="WaxCellUtilization" sheetId="7" r:id="rId7"/>
    <sheet name="PreAllocation" sheetId="2" r:id="rId8"/>
    <sheet name="Sheet5" sheetId="12" state="hidden" r:id="rId9"/>
    <sheet name="PIVOT_AllocationMix" sheetId="8" r:id="rId10"/>
    <sheet name="ProductionOrders" sheetId="6" r:id="rId11"/>
    <sheet name="Preview Assigned Line" sheetId="14" r:id="rId12"/>
    <sheet name="Validation" sheetId="10" r:id="rId13"/>
    <sheet name="Plastic" sheetId="11" r:id="rId14"/>
    <sheet name="Background" sheetId="13" state="hidden" r:id="rId15"/>
    <sheet name="Calendar Details" sheetId="18" r:id="rId16"/>
    <sheet name="PriorWk" sheetId="15" r:id="rId17"/>
    <sheet name="PriorWk_Pre" sheetId="16" r:id="rId18"/>
  </sheets>
  <functionGroups builtInGroupCount="19"/>
  <definedNames>
    <definedName name="ExternalData_1" localSheetId="5" hidden="1">'Calendar'!$A$6:$B$7</definedName>
    <definedName name="ExternalData_1" localSheetId="15" hidden="1">'Calendar Details'!$A$1:$J$5</definedName>
    <definedName name="ExternalData_1" localSheetId="13" hidden="1">Plastic!$A$6:$R$42</definedName>
    <definedName name="ExternalData_1" localSheetId="7" hidden="1">PreAllocation!$A$20:$D$26</definedName>
    <definedName name="ExternalData_1" localSheetId="11" hidden="1">'Preview Assigned Line'!$A$6:$B$4997</definedName>
    <definedName name="ExternalData_1" localSheetId="17" hidden="1">PriorWk_Pre!$A$1:$D$461</definedName>
    <definedName name="ExternalData_1" localSheetId="10" hidden="1">ProductionOrders!$A$12:$K$4351</definedName>
    <definedName name="ExternalData_1" localSheetId="12" hidden="1">Validation!$A$1:$F$461</definedName>
    <definedName name="ExternalData_1" localSheetId="6" hidden="1">WaxCellUtilization!$Q$7:$T$26</definedName>
    <definedName name="ExternalData_2" localSheetId="7" hidden="1">PreAllocation!$A$39:$L$499</definedName>
    <definedName name="r_background_100UtilLine">Background!$B$4</definedName>
    <definedName name="r_Consumption">PreAllocation!$J$21</definedName>
    <definedName name="r_MaxUtilByItem">PreAllocation!$M$37</definedName>
    <definedName name="r_RemainingCapacity">PreAllocation!$J$22</definedName>
    <definedName name="r_TargetUtilization">PreAllocation!$J$24</definedName>
    <definedName name="r_TotalCapacity">PreAllocation!$J$20</definedName>
    <definedName name="r_TotalFEQuantity">PreAllocation!$J$30</definedName>
    <definedName name="r_TotalPlasticQuantity">PreAllocation!$J$29</definedName>
    <definedName name="r_TotalProductionHour">PreAllocation!$D$33</definedName>
    <definedName name="r_WaxCellSelection">ActiveWaxCells[Wax Cell]</definedName>
    <definedName name="rngDEVMode">Configuration!$C$7</definedName>
    <definedName name="rngVersion">Configuration!$C$6</definedName>
  </definedNames>
  <calcPr calcId="191029"/>
  <pivotCaches>
    <pivotCache cacheId="223" r:id="rId1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2" i="10" l="1"/>
  <c r="G3" i="10"/>
  <c r="G4" i="10"/>
  <c r="G5" i="10"/>
  <c r="G6" i="10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59" i="10"/>
  <c r="G60" i="10"/>
  <c r="G61" i="10"/>
  <c r="G62" i="10"/>
  <c r="G63" i="10"/>
  <c r="G64" i="10"/>
  <c r="G65" i="10"/>
  <c r="G66" i="10"/>
  <c r="G67" i="10"/>
  <c r="G68" i="10"/>
  <c r="G69" i="10"/>
  <c r="G70" i="10"/>
  <c r="G71" i="10"/>
  <c r="G72" i="10"/>
  <c r="G73" i="10"/>
  <c r="G74" i="10"/>
  <c r="G75" i="10"/>
  <c r="G76" i="10"/>
  <c r="G77" i="10"/>
  <c r="G78" i="10"/>
  <c r="G79" i="10"/>
  <c r="G80" i="10"/>
  <c r="G81" i="10"/>
  <c r="G82" i="10"/>
  <c r="G83" i="10"/>
  <c r="G84" i="10"/>
  <c r="G85" i="10"/>
  <c r="G86" i="10"/>
  <c r="G87" i="10"/>
  <c r="G88" i="10"/>
  <c r="G89" i="10"/>
  <c r="G90" i="10"/>
  <c r="G91" i="10"/>
  <c r="G92" i="10"/>
  <c r="G93" i="10"/>
  <c r="G94" i="10"/>
  <c r="G95" i="10"/>
  <c r="G96" i="10"/>
  <c r="G97" i="10"/>
  <c r="G98" i="10"/>
  <c r="G99" i="10"/>
  <c r="G100" i="10"/>
  <c r="G101" i="10"/>
  <c r="G102" i="10"/>
  <c r="G103" i="10"/>
  <c r="G104" i="10"/>
  <c r="G105" i="10"/>
  <c r="G106" i="10"/>
  <c r="G107" i="10"/>
  <c r="G108" i="10"/>
  <c r="G109" i="10"/>
  <c r="G110" i="10"/>
  <c r="G111" i="10"/>
  <c r="G112" i="10"/>
  <c r="G113" i="10"/>
  <c r="G114" i="10"/>
  <c r="G115" i="10"/>
  <c r="G116" i="10"/>
  <c r="G117" i="10"/>
  <c r="G118" i="10"/>
  <c r="G119" i="10"/>
  <c r="G120" i="10"/>
  <c r="G121" i="10"/>
  <c r="G122" i="10"/>
  <c r="G123" i="10"/>
  <c r="G124" i="10"/>
  <c r="G125" i="10"/>
  <c r="G126" i="10"/>
  <c r="G127" i="10"/>
  <c r="G128" i="10"/>
  <c r="G129" i="10"/>
  <c r="G130" i="10"/>
  <c r="G131" i="10"/>
  <c r="G132" i="10"/>
  <c r="G133" i="10"/>
  <c r="G134" i="10"/>
  <c r="G135" i="10"/>
  <c r="G136" i="10"/>
  <c r="G137" i="10"/>
  <c r="G138" i="10"/>
  <c r="G139" i="10"/>
  <c r="G140" i="10"/>
  <c r="G141" i="10"/>
  <c r="G142" i="10"/>
  <c r="G143" i="10"/>
  <c r="G144" i="10"/>
  <c r="G145" i="10"/>
  <c r="G146" i="10"/>
  <c r="G147" i="10"/>
  <c r="G148" i="10"/>
  <c r="G149" i="10"/>
  <c r="G150" i="10"/>
  <c r="G151" i="10"/>
  <c r="G152" i="10"/>
  <c r="G153" i="10"/>
  <c r="G154" i="10"/>
  <c r="G155" i="10"/>
  <c r="G156" i="10"/>
  <c r="G157" i="10"/>
  <c r="G158" i="10"/>
  <c r="G159" i="10"/>
  <c r="G160" i="10"/>
  <c r="G161" i="10"/>
  <c r="G162" i="10"/>
  <c r="G163" i="10"/>
  <c r="G164" i="10"/>
  <c r="G165" i="10"/>
  <c r="G166" i="10"/>
  <c r="G167" i="10"/>
  <c r="G168" i="10"/>
  <c r="G169" i="10"/>
  <c r="G170" i="10"/>
  <c r="G171" i="10"/>
  <c r="G172" i="10"/>
  <c r="G173" i="10"/>
  <c r="G174" i="10"/>
  <c r="G175" i="10"/>
  <c r="G176" i="10"/>
  <c r="G177" i="10"/>
  <c r="G178" i="10"/>
  <c r="G179" i="10"/>
  <c r="G180" i="10"/>
  <c r="G181" i="10"/>
  <c r="G182" i="10"/>
  <c r="G183" i="10"/>
  <c r="G184" i="10"/>
  <c r="G185" i="10"/>
  <c r="G186" i="10"/>
  <c r="G187" i="10"/>
  <c r="G188" i="10"/>
  <c r="G189" i="10"/>
  <c r="G190" i="10"/>
  <c r="G191" i="10"/>
  <c r="G192" i="10"/>
  <c r="G193" i="10"/>
  <c r="G194" i="10"/>
  <c r="G195" i="10"/>
  <c r="G196" i="10"/>
  <c r="G197" i="10"/>
  <c r="G198" i="10"/>
  <c r="G199" i="10"/>
  <c r="G200" i="10"/>
  <c r="G201" i="10"/>
  <c r="G202" i="10"/>
  <c r="G203" i="10"/>
  <c r="G204" i="10"/>
  <c r="G205" i="10"/>
  <c r="G206" i="10"/>
  <c r="G207" i="10"/>
  <c r="G208" i="10"/>
  <c r="G209" i="10"/>
  <c r="G210" i="10"/>
  <c r="G211" i="10"/>
  <c r="G212" i="10"/>
  <c r="G213" i="10"/>
  <c r="G214" i="10"/>
  <c r="G215" i="10"/>
  <c r="G216" i="10"/>
  <c r="G217" i="10"/>
  <c r="G218" i="10"/>
  <c r="G219" i="10"/>
  <c r="G220" i="10"/>
  <c r="G221" i="10"/>
  <c r="G222" i="10"/>
  <c r="G223" i="10"/>
  <c r="G224" i="10"/>
  <c r="G225" i="10"/>
  <c r="G226" i="10"/>
  <c r="G227" i="10"/>
  <c r="G228" i="10"/>
  <c r="G229" i="10"/>
  <c r="G230" i="10"/>
  <c r="G231" i="10"/>
  <c r="G232" i="10"/>
  <c r="G233" i="10"/>
  <c r="G234" i="10"/>
  <c r="G235" i="10"/>
  <c r="G236" i="10"/>
  <c r="G237" i="10"/>
  <c r="G238" i="10"/>
  <c r="G239" i="10"/>
  <c r="G240" i="10"/>
  <c r="G241" i="10"/>
  <c r="G242" i="10"/>
  <c r="G243" i="10"/>
  <c r="G244" i="10"/>
  <c r="G245" i="10"/>
  <c r="G246" i="10"/>
  <c r="G247" i="10"/>
  <c r="G248" i="10"/>
  <c r="G249" i="10"/>
  <c r="G250" i="10"/>
  <c r="G251" i="10"/>
  <c r="G252" i="10"/>
  <c r="G253" i="10"/>
  <c r="G254" i="10"/>
  <c r="G255" i="10"/>
  <c r="G256" i="10"/>
  <c r="G257" i="10"/>
  <c r="G258" i="10"/>
  <c r="G259" i="10"/>
  <c r="G260" i="10"/>
  <c r="G261" i="10"/>
  <c r="G262" i="10"/>
  <c r="G263" i="10"/>
  <c r="G264" i="10"/>
  <c r="G265" i="10"/>
  <c r="G266" i="10"/>
  <c r="G267" i="10"/>
  <c r="G268" i="10"/>
  <c r="G269" i="10"/>
  <c r="G270" i="10"/>
  <c r="G271" i="10"/>
  <c r="G272" i="10"/>
  <c r="G273" i="10"/>
  <c r="G274" i="10"/>
  <c r="G275" i="10"/>
  <c r="G276" i="10"/>
  <c r="G277" i="10"/>
  <c r="G278" i="10"/>
  <c r="G279" i="10"/>
  <c r="G280" i="10"/>
  <c r="G281" i="10"/>
  <c r="G282" i="10"/>
  <c r="G283" i="10"/>
  <c r="G284" i="10"/>
  <c r="G285" i="10"/>
  <c r="G286" i="10"/>
  <c r="G287" i="10"/>
  <c r="G288" i="10"/>
  <c r="G289" i="10"/>
  <c r="G290" i="10"/>
  <c r="G291" i="10"/>
  <c r="G292" i="10"/>
  <c r="G293" i="10"/>
  <c r="G294" i="10"/>
  <c r="G295" i="10"/>
  <c r="G296" i="10"/>
  <c r="G297" i="10"/>
  <c r="G298" i="10"/>
  <c r="G299" i="10"/>
  <c r="G300" i="10"/>
  <c r="G301" i="10"/>
  <c r="G302" i="10"/>
  <c r="G303" i="10"/>
  <c r="G304" i="10"/>
  <c r="G305" i="10"/>
  <c r="G306" i="10"/>
  <c r="G307" i="10"/>
  <c r="G308" i="10"/>
  <c r="G309" i="10"/>
  <c r="G310" i="10"/>
  <c r="G311" i="10"/>
  <c r="G312" i="10"/>
  <c r="G313" i="10"/>
  <c r="G314" i="10"/>
  <c r="G315" i="10"/>
  <c r="G316" i="10"/>
  <c r="G317" i="10"/>
  <c r="G318" i="10"/>
  <c r="G319" i="10"/>
  <c r="G320" i="10"/>
  <c r="G321" i="10"/>
  <c r="G322" i="10"/>
  <c r="G323" i="10"/>
  <c r="G324" i="10"/>
  <c r="G325" i="10"/>
  <c r="G326" i="10"/>
  <c r="G327" i="10"/>
  <c r="G328" i="10"/>
  <c r="G329" i="10"/>
  <c r="G330" i="10"/>
  <c r="G331" i="10"/>
  <c r="G332" i="10"/>
  <c r="G333" i="10"/>
  <c r="G334" i="10"/>
  <c r="G335" i="10"/>
  <c r="G336" i="10"/>
  <c r="G337" i="10"/>
  <c r="G338" i="10"/>
  <c r="G339" i="10"/>
  <c r="G340" i="10"/>
  <c r="G341" i="10"/>
  <c r="G342" i="10"/>
  <c r="G343" i="10"/>
  <c r="G344" i="10"/>
  <c r="G345" i="10"/>
  <c r="G346" i="10"/>
  <c r="G347" i="10"/>
  <c r="G348" i="10"/>
  <c r="G349" i="10"/>
  <c r="G350" i="10"/>
  <c r="G351" i="10"/>
  <c r="G352" i="10"/>
  <c r="G353" i="10"/>
  <c r="G354" i="10"/>
  <c r="G355" i="10"/>
  <c r="G356" i="10"/>
  <c r="G357" i="10"/>
  <c r="G358" i="10"/>
  <c r="G359" i="10"/>
  <c r="G360" i="10"/>
  <c r="G361" i="10"/>
  <c r="G362" i="10"/>
  <c r="G363" i="10"/>
  <c r="G364" i="10"/>
  <c r="G365" i="10"/>
  <c r="G366" i="10"/>
  <c r="G367" i="10"/>
  <c r="G368" i="10"/>
  <c r="G369" i="10"/>
  <c r="G370" i="10"/>
  <c r="G371" i="10"/>
  <c r="G372" i="10"/>
  <c r="G373" i="10"/>
  <c r="G374" i="10"/>
  <c r="G375" i="10"/>
  <c r="G376" i="10"/>
  <c r="G377" i="10"/>
  <c r="G378" i="10"/>
  <c r="G379" i="10"/>
  <c r="G380" i="10"/>
  <c r="G381" i="10"/>
  <c r="G382" i="10"/>
  <c r="G383" i="10"/>
  <c r="G384" i="10"/>
  <c r="G385" i="10"/>
  <c r="G386" i="10"/>
  <c r="G387" i="10"/>
  <c r="G388" i="10"/>
  <c r="G389" i="10"/>
  <c r="G390" i="10"/>
  <c r="G391" i="10"/>
  <c r="G392" i="10"/>
  <c r="G393" i="10"/>
  <c r="G394" i="10"/>
  <c r="G395" i="10"/>
  <c r="G396" i="10"/>
  <c r="G397" i="10"/>
  <c r="G398" i="10"/>
  <c r="G399" i="10"/>
  <c r="G400" i="10"/>
  <c r="G401" i="10"/>
  <c r="G402" i="10"/>
  <c r="G403" i="10"/>
  <c r="G404" i="10"/>
  <c r="G405" i="10"/>
  <c r="G406" i="10"/>
  <c r="G407" i="10"/>
  <c r="G408" i="10"/>
  <c r="G409" i="10"/>
  <c r="G410" i="10"/>
  <c r="G411" i="10"/>
  <c r="G412" i="10"/>
  <c r="G413" i="10"/>
  <c r="G414" i="10"/>
  <c r="G415" i="10"/>
  <c r="G416" i="10"/>
  <c r="G417" i="10"/>
  <c r="G418" i="10"/>
  <c r="G419" i="10"/>
  <c r="G420" i="10"/>
  <c r="G421" i="10"/>
  <c r="G422" i="10"/>
  <c r="G423" i="10"/>
  <c r="G424" i="10"/>
  <c r="G425" i="10"/>
  <c r="G426" i="10"/>
  <c r="G427" i="10"/>
  <c r="G428" i="10"/>
  <c r="G429" i="10"/>
  <c r="G430" i="10"/>
  <c r="G431" i="10"/>
  <c r="G432" i="10"/>
  <c r="G433" i="10"/>
  <c r="G434" i="10"/>
  <c r="G435" i="10"/>
  <c r="G436" i="10"/>
  <c r="G437" i="10"/>
  <c r="G438" i="10"/>
  <c r="G439" i="10"/>
  <c r="G440" i="10"/>
  <c r="G441" i="10"/>
  <c r="G442" i="10"/>
  <c r="G443" i="10"/>
  <c r="G444" i="10"/>
  <c r="G445" i="10"/>
  <c r="G446" i="10"/>
  <c r="G447" i="10"/>
  <c r="G448" i="10"/>
  <c r="G449" i="10"/>
  <c r="G450" i="10"/>
  <c r="G451" i="10"/>
  <c r="G452" i="10"/>
  <c r="G453" i="10"/>
  <c r="G454" i="10"/>
  <c r="G455" i="10"/>
  <c r="G456" i="10"/>
  <c r="G457" i="10"/>
  <c r="G458" i="10"/>
  <c r="G459" i="10"/>
  <c r="G460" i="10"/>
  <c r="G461" i="10"/>
  <c r="U8" i="7"/>
  <c r="U9" i="7"/>
  <c r="U10" i="7"/>
  <c r="U11" i="7"/>
  <c r="U12" i="7"/>
  <c r="U13" i="7"/>
  <c r="U14" i="7"/>
  <c r="U15" i="7"/>
  <c r="U16" i="7"/>
  <c r="U17" i="7"/>
  <c r="U18" i="7"/>
  <c r="U19" i="7"/>
  <c r="U20" i="7"/>
  <c r="U21" i="7"/>
  <c r="U22" i="7"/>
  <c r="U23" i="7"/>
  <c r="U24" i="7"/>
  <c r="U25" i="7"/>
  <c r="U26" i="7"/>
  <c r="V8" i="7"/>
  <c r="V9" i="7"/>
  <c r="V10" i="7"/>
  <c r="V11" i="7"/>
  <c r="V12" i="7"/>
  <c r="V13" i="7"/>
  <c r="V14" i="7"/>
  <c r="V15" i="7"/>
  <c r="V16" i="7"/>
  <c r="V17" i="7"/>
  <c r="V18" i="7"/>
  <c r="V19" i="7"/>
  <c r="V20" i="7"/>
  <c r="V21" i="7"/>
  <c r="V22" i="7"/>
  <c r="V23" i="7"/>
  <c r="V24" i="7"/>
  <c r="V25" i="7"/>
  <c r="V26" i="7"/>
  <c r="T7" i="11"/>
  <c r="T8" i="11"/>
  <c r="T9" i="11"/>
  <c r="T10" i="11"/>
  <c r="T11" i="11"/>
  <c r="T12" i="11"/>
  <c r="T13" i="11"/>
  <c r="T14" i="11"/>
  <c r="T15" i="11"/>
  <c r="T16" i="11"/>
  <c r="T17" i="11"/>
  <c r="T18" i="11"/>
  <c r="T19" i="11"/>
  <c r="T20" i="11"/>
  <c r="T21" i="11"/>
  <c r="T22" i="11"/>
  <c r="T23" i="11"/>
  <c r="T24" i="11"/>
  <c r="T25" i="11"/>
  <c r="T26" i="11"/>
  <c r="T27" i="11"/>
  <c r="T28" i="11"/>
  <c r="T29" i="11"/>
  <c r="T30" i="11"/>
  <c r="T31" i="11"/>
  <c r="T32" i="11"/>
  <c r="T33" i="11"/>
  <c r="T34" i="11"/>
  <c r="T35" i="11"/>
  <c r="T36" i="11"/>
  <c r="T37" i="11"/>
  <c r="T38" i="11"/>
  <c r="T39" i="11"/>
  <c r="T40" i="11"/>
  <c r="T41" i="11"/>
  <c r="T42" i="11"/>
  <c r="E22" i="2"/>
  <c r="E21" i="2"/>
  <c r="E23" i="2"/>
  <c r="E25" i="2"/>
  <c r="E26" i="2"/>
  <c r="E24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440" i="2"/>
  <c r="N441" i="2"/>
  <c r="N442" i="2"/>
  <c r="N443" i="2"/>
  <c r="N444" i="2"/>
  <c r="N445" i="2"/>
  <c r="N446" i="2"/>
  <c r="N447" i="2"/>
  <c r="N448" i="2"/>
  <c r="N449" i="2"/>
  <c r="N450" i="2"/>
  <c r="N451" i="2"/>
  <c r="N452" i="2"/>
  <c r="N453" i="2"/>
  <c r="N454" i="2"/>
  <c r="N455" i="2"/>
  <c r="N456" i="2"/>
  <c r="N457" i="2"/>
  <c r="N458" i="2"/>
  <c r="N459" i="2"/>
  <c r="N460" i="2"/>
  <c r="N461" i="2"/>
  <c r="N462" i="2"/>
  <c r="N463" i="2"/>
  <c r="N464" i="2"/>
  <c r="N465" i="2"/>
  <c r="N466" i="2"/>
  <c r="N467" i="2"/>
  <c r="N468" i="2"/>
  <c r="N469" i="2"/>
  <c r="N470" i="2"/>
  <c r="N471" i="2"/>
  <c r="N472" i="2"/>
  <c r="N473" i="2"/>
  <c r="N474" i="2"/>
  <c r="N475" i="2"/>
  <c r="N476" i="2"/>
  <c r="N477" i="2"/>
  <c r="N478" i="2"/>
  <c r="N479" i="2"/>
  <c r="N480" i="2"/>
  <c r="N481" i="2"/>
  <c r="N482" i="2"/>
  <c r="N483" i="2"/>
  <c r="N484" i="2"/>
  <c r="N485" i="2"/>
  <c r="N486" i="2"/>
  <c r="N487" i="2"/>
  <c r="N488" i="2"/>
  <c r="N489" i="2"/>
  <c r="N490" i="2"/>
  <c r="N491" i="2"/>
  <c r="N492" i="2"/>
  <c r="N493" i="2"/>
  <c r="N494" i="2"/>
  <c r="N495" i="2"/>
  <c r="N496" i="2"/>
  <c r="N497" i="2"/>
  <c r="N498" i="2"/>
  <c r="N499" i="2"/>
  <c r="J21" i="2"/>
  <c r="G8" i="6"/>
  <c r="J28" i="2" l="1"/>
  <c r="F13" i="17" l="1"/>
  <c r="X24" i="7" l="1"/>
  <c r="X26" i="7"/>
  <c r="X25" i="7"/>
  <c r="X21" i="7" l="1"/>
  <c r="X22" i="7"/>
  <c r="X23" i="7"/>
  <c r="D8" i="17"/>
  <c r="D7" i="17"/>
  <c r="D9" i="17"/>
  <c r="D10" i="17"/>
  <c r="D11" i="17"/>
  <c r="D12" i="17"/>
  <c r="B72" i="1" l="1"/>
  <c r="D72" i="1" s="1"/>
  <c r="X20" i="7" l="1"/>
  <c r="J29" i="2"/>
  <c r="X19" i="7" l="1"/>
  <c r="X8" i="7"/>
  <c r="O13" i="6"/>
  <c r="P13" i="6" l="1"/>
  <c r="X10" i="7" l="1"/>
  <c r="X11" i="7"/>
  <c r="X12" i="7"/>
  <c r="X15" i="7"/>
  <c r="X16" i="7"/>
  <c r="X18" i="7"/>
  <c r="Q13" i="6"/>
  <c r="X14" i="7"/>
  <c r="X17" i="7"/>
  <c r="X9" i="7"/>
  <c r="X13" i="7"/>
  <c r="B73" i="1" l="1"/>
  <c r="B74" i="1"/>
  <c r="B75" i="1"/>
  <c r="K37" i="2" l="1"/>
  <c r="D33" i="2" l="1"/>
  <c r="J30" i="2"/>
  <c r="M50" i="2" l="1"/>
  <c r="M66" i="2"/>
  <c r="M82" i="2"/>
  <c r="M98" i="2"/>
  <c r="M114" i="2"/>
  <c r="M130" i="2"/>
  <c r="M146" i="2"/>
  <c r="M162" i="2"/>
  <c r="M178" i="2"/>
  <c r="M194" i="2"/>
  <c r="M210" i="2"/>
  <c r="M226" i="2"/>
  <c r="M242" i="2"/>
  <c r="M258" i="2"/>
  <c r="M274" i="2"/>
  <c r="M290" i="2"/>
  <c r="M306" i="2"/>
  <c r="M322" i="2"/>
  <c r="M338" i="2"/>
  <c r="M354" i="2"/>
  <c r="M370" i="2"/>
  <c r="M386" i="2"/>
  <c r="M402" i="2"/>
  <c r="M418" i="2"/>
  <c r="M434" i="2"/>
  <c r="M450" i="2"/>
  <c r="M466" i="2"/>
  <c r="M482" i="2"/>
  <c r="M498" i="2"/>
  <c r="M209" i="2"/>
  <c r="M51" i="2"/>
  <c r="M67" i="2"/>
  <c r="M83" i="2"/>
  <c r="M99" i="2"/>
  <c r="M115" i="2"/>
  <c r="M131" i="2"/>
  <c r="M147" i="2"/>
  <c r="M163" i="2"/>
  <c r="M179" i="2"/>
  <c r="M195" i="2"/>
  <c r="M211" i="2"/>
  <c r="M227" i="2"/>
  <c r="M243" i="2"/>
  <c r="M259" i="2"/>
  <c r="M275" i="2"/>
  <c r="M291" i="2"/>
  <c r="M307" i="2"/>
  <c r="M323" i="2"/>
  <c r="M339" i="2"/>
  <c r="M355" i="2"/>
  <c r="M371" i="2"/>
  <c r="M387" i="2"/>
  <c r="M403" i="2"/>
  <c r="M419" i="2"/>
  <c r="M435" i="2"/>
  <c r="M451" i="2"/>
  <c r="M467" i="2"/>
  <c r="M483" i="2"/>
  <c r="M499" i="2"/>
  <c r="M193" i="2"/>
  <c r="M52" i="2"/>
  <c r="M68" i="2"/>
  <c r="M84" i="2"/>
  <c r="M100" i="2"/>
  <c r="M116" i="2"/>
  <c r="M132" i="2"/>
  <c r="M148" i="2"/>
  <c r="M164" i="2"/>
  <c r="M180" i="2"/>
  <c r="M196" i="2"/>
  <c r="M212" i="2"/>
  <c r="M228" i="2"/>
  <c r="M244" i="2"/>
  <c r="M260" i="2"/>
  <c r="M276" i="2"/>
  <c r="M292" i="2"/>
  <c r="M308" i="2"/>
  <c r="M324" i="2"/>
  <c r="M340" i="2"/>
  <c r="M356" i="2"/>
  <c r="M372" i="2"/>
  <c r="M388" i="2"/>
  <c r="M404" i="2"/>
  <c r="M420" i="2"/>
  <c r="M436" i="2"/>
  <c r="M452" i="2"/>
  <c r="M468" i="2"/>
  <c r="M484" i="2"/>
  <c r="M257" i="2"/>
  <c r="M401" i="2"/>
  <c r="M481" i="2"/>
  <c r="M53" i="2"/>
  <c r="M69" i="2"/>
  <c r="M85" i="2"/>
  <c r="M101" i="2"/>
  <c r="M117" i="2"/>
  <c r="M133" i="2"/>
  <c r="M149" i="2"/>
  <c r="M165" i="2"/>
  <c r="M181" i="2"/>
  <c r="M197" i="2"/>
  <c r="M213" i="2"/>
  <c r="M229" i="2"/>
  <c r="M245" i="2"/>
  <c r="M261" i="2"/>
  <c r="M277" i="2"/>
  <c r="M293" i="2"/>
  <c r="M309" i="2"/>
  <c r="M325" i="2"/>
  <c r="M341" i="2"/>
  <c r="M357" i="2"/>
  <c r="M373" i="2"/>
  <c r="M389" i="2"/>
  <c r="M405" i="2"/>
  <c r="M421" i="2"/>
  <c r="M437" i="2"/>
  <c r="M453" i="2"/>
  <c r="M469" i="2"/>
  <c r="M485" i="2"/>
  <c r="M241" i="2"/>
  <c r="M369" i="2"/>
  <c r="M449" i="2"/>
  <c r="M54" i="2"/>
  <c r="M70" i="2"/>
  <c r="M86" i="2"/>
  <c r="M102" i="2"/>
  <c r="M118" i="2"/>
  <c r="M134" i="2"/>
  <c r="M150" i="2"/>
  <c r="M166" i="2"/>
  <c r="M182" i="2"/>
  <c r="M198" i="2"/>
  <c r="M214" i="2"/>
  <c r="M230" i="2"/>
  <c r="M246" i="2"/>
  <c r="M262" i="2"/>
  <c r="M278" i="2"/>
  <c r="M294" i="2"/>
  <c r="M310" i="2"/>
  <c r="M326" i="2"/>
  <c r="M342" i="2"/>
  <c r="M358" i="2"/>
  <c r="M374" i="2"/>
  <c r="M390" i="2"/>
  <c r="M406" i="2"/>
  <c r="M422" i="2"/>
  <c r="M438" i="2"/>
  <c r="M454" i="2"/>
  <c r="M470" i="2"/>
  <c r="M486" i="2"/>
  <c r="M225" i="2"/>
  <c r="M55" i="2"/>
  <c r="M71" i="2"/>
  <c r="M87" i="2"/>
  <c r="M103" i="2"/>
  <c r="M119" i="2"/>
  <c r="M135" i="2"/>
  <c r="M151" i="2"/>
  <c r="M167" i="2"/>
  <c r="M183" i="2"/>
  <c r="M199" i="2"/>
  <c r="M215" i="2"/>
  <c r="M231" i="2"/>
  <c r="M247" i="2"/>
  <c r="M263" i="2"/>
  <c r="M279" i="2"/>
  <c r="M295" i="2"/>
  <c r="M311" i="2"/>
  <c r="M327" i="2"/>
  <c r="M343" i="2"/>
  <c r="M359" i="2"/>
  <c r="M375" i="2"/>
  <c r="M391" i="2"/>
  <c r="M407" i="2"/>
  <c r="M423" i="2"/>
  <c r="M439" i="2"/>
  <c r="M455" i="2"/>
  <c r="M471" i="2"/>
  <c r="M487" i="2"/>
  <c r="M273" i="2"/>
  <c r="M385" i="2"/>
  <c r="M40" i="2"/>
  <c r="M56" i="2"/>
  <c r="M72" i="2"/>
  <c r="M88" i="2"/>
  <c r="M104" i="2"/>
  <c r="M120" i="2"/>
  <c r="M136" i="2"/>
  <c r="M152" i="2"/>
  <c r="M168" i="2"/>
  <c r="M184" i="2"/>
  <c r="M200" i="2"/>
  <c r="M216" i="2"/>
  <c r="M232" i="2"/>
  <c r="M248" i="2"/>
  <c r="M264" i="2"/>
  <c r="M280" i="2"/>
  <c r="M296" i="2"/>
  <c r="M312" i="2"/>
  <c r="M328" i="2"/>
  <c r="M344" i="2"/>
  <c r="M360" i="2"/>
  <c r="M376" i="2"/>
  <c r="M392" i="2"/>
  <c r="M408" i="2"/>
  <c r="M424" i="2"/>
  <c r="M440" i="2"/>
  <c r="M456" i="2"/>
  <c r="M472" i="2"/>
  <c r="M488" i="2"/>
  <c r="M81" i="2"/>
  <c r="M41" i="2"/>
  <c r="M57" i="2"/>
  <c r="M73" i="2"/>
  <c r="M89" i="2"/>
  <c r="M105" i="2"/>
  <c r="M121" i="2"/>
  <c r="M137" i="2"/>
  <c r="M153" i="2"/>
  <c r="M169" i="2"/>
  <c r="M185" i="2"/>
  <c r="M201" i="2"/>
  <c r="M217" i="2"/>
  <c r="M233" i="2"/>
  <c r="M249" i="2"/>
  <c r="M265" i="2"/>
  <c r="M281" i="2"/>
  <c r="M297" i="2"/>
  <c r="M313" i="2"/>
  <c r="M329" i="2"/>
  <c r="M345" i="2"/>
  <c r="M361" i="2"/>
  <c r="M377" i="2"/>
  <c r="M393" i="2"/>
  <c r="M409" i="2"/>
  <c r="M425" i="2"/>
  <c r="M441" i="2"/>
  <c r="M457" i="2"/>
  <c r="M473" i="2"/>
  <c r="M489" i="2"/>
  <c r="M65" i="2"/>
  <c r="M289" i="2"/>
  <c r="M337" i="2"/>
  <c r="M433" i="2"/>
  <c r="M42" i="2"/>
  <c r="M58" i="2"/>
  <c r="M74" i="2"/>
  <c r="M90" i="2"/>
  <c r="M106" i="2"/>
  <c r="M122" i="2"/>
  <c r="M138" i="2"/>
  <c r="M154" i="2"/>
  <c r="M170" i="2"/>
  <c r="M186" i="2"/>
  <c r="M202" i="2"/>
  <c r="M218" i="2"/>
  <c r="M234" i="2"/>
  <c r="M250" i="2"/>
  <c r="M266" i="2"/>
  <c r="M282" i="2"/>
  <c r="M298" i="2"/>
  <c r="M314" i="2"/>
  <c r="M330" i="2"/>
  <c r="M346" i="2"/>
  <c r="M362" i="2"/>
  <c r="M378" i="2"/>
  <c r="M394" i="2"/>
  <c r="M410" i="2"/>
  <c r="M426" i="2"/>
  <c r="M442" i="2"/>
  <c r="M458" i="2"/>
  <c r="M474" i="2"/>
  <c r="M490" i="2"/>
  <c r="M113" i="2"/>
  <c r="M43" i="2"/>
  <c r="M59" i="2"/>
  <c r="M75" i="2"/>
  <c r="M91" i="2"/>
  <c r="M107" i="2"/>
  <c r="M123" i="2"/>
  <c r="M139" i="2"/>
  <c r="M155" i="2"/>
  <c r="M171" i="2"/>
  <c r="M187" i="2"/>
  <c r="M203" i="2"/>
  <c r="M219" i="2"/>
  <c r="M235" i="2"/>
  <c r="M251" i="2"/>
  <c r="M267" i="2"/>
  <c r="M283" i="2"/>
  <c r="M299" i="2"/>
  <c r="M315" i="2"/>
  <c r="M331" i="2"/>
  <c r="M347" i="2"/>
  <c r="M363" i="2"/>
  <c r="M379" i="2"/>
  <c r="M395" i="2"/>
  <c r="M411" i="2"/>
  <c r="M427" i="2"/>
  <c r="M443" i="2"/>
  <c r="M459" i="2"/>
  <c r="M475" i="2"/>
  <c r="M491" i="2"/>
  <c r="M97" i="2"/>
  <c r="M44" i="2"/>
  <c r="M60" i="2"/>
  <c r="M76" i="2"/>
  <c r="M92" i="2"/>
  <c r="M108" i="2"/>
  <c r="M124" i="2"/>
  <c r="M140" i="2"/>
  <c r="M156" i="2"/>
  <c r="M172" i="2"/>
  <c r="M188" i="2"/>
  <c r="M204" i="2"/>
  <c r="M220" i="2"/>
  <c r="M236" i="2"/>
  <c r="M252" i="2"/>
  <c r="M268" i="2"/>
  <c r="M284" i="2"/>
  <c r="M300" i="2"/>
  <c r="M316" i="2"/>
  <c r="M332" i="2"/>
  <c r="M348" i="2"/>
  <c r="M364" i="2"/>
  <c r="M380" i="2"/>
  <c r="M396" i="2"/>
  <c r="M412" i="2"/>
  <c r="M428" i="2"/>
  <c r="M444" i="2"/>
  <c r="M460" i="2"/>
  <c r="M476" i="2"/>
  <c r="M492" i="2"/>
  <c r="M161" i="2"/>
  <c r="M321" i="2"/>
  <c r="M465" i="2"/>
  <c r="M45" i="2"/>
  <c r="M61" i="2"/>
  <c r="M77" i="2"/>
  <c r="M93" i="2"/>
  <c r="M109" i="2"/>
  <c r="M125" i="2"/>
  <c r="M141" i="2"/>
  <c r="M157" i="2"/>
  <c r="M173" i="2"/>
  <c r="M189" i="2"/>
  <c r="M205" i="2"/>
  <c r="M221" i="2"/>
  <c r="M237" i="2"/>
  <c r="M253" i="2"/>
  <c r="M269" i="2"/>
  <c r="M285" i="2"/>
  <c r="M301" i="2"/>
  <c r="M317" i="2"/>
  <c r="M333" i="2"/>
  <c r="M349" i="2"/>
  <c r="M365" i="2"/>
  <c r="M381" i="2"/>
  <c r="M397" i="2"/>
  <c r="M413" i="2"/>
  <c r="M429" i="2"/>
  <c r="M445" i="2"/>
  <c r="M461" i="2"/>
  <c r="M477" i="2"/>
  <c r="M493" i="2"/>
  <c r="M145" i="2"/>
  <c r="M353" i="2"/>
  <c r="M497" i="2"/>
  <c r="M46" i="2"/>
  <c r="M62" i="2"/>
  <c r="M78" i="2"/>
  <c r="M94" i="2"/>
  <c r="M110" i="2"/>
  <c r="M126" i="2"/>
  <c r="M142" i="2"/>
  <c r="M158" i="2"/>
  <c r="M174" i="2"/>
  <c r="M190" i="2"/>
  <c r="M206" i="2"/>
  <c r="M222" i="2"/>
  <c r="M238" i="2"/>
  <c r="M254" i="2"/>
  <c r="M270" i="2"/>
  <c r="M286" i="2"/>
  <c r="M302" i="2"/>
  <c r="M318" i="2"/>
  <c r="M334" i="2"/>
  <c r="M350" i="2"/>
  <c r="M366" i="2"/>
  <c r="M382" i="2"/>
  <c r="M398" i="2"/>
  <c r="M414" i="2"/>
  <c r="M430" i="2"/>
  <c r="M446" i="2"/>
  <c r="M462" i="2"/>
  <c r="M478" i="2"/>
  <c r="M494" i="2"/>
  <c r="M177" i="2"/>
  <c r="M47" i="2"/>
  <c r="M63" i="2"/>
  <c r="M79" i="2"/>
  <c r="M95" i="2"/>
  <c r="M111" i="2"/>
  <c r="M127" i="2"/>
  <c r="M143" i="2"/>
  <c r="M159" i="2"/>
  <c r="M175" i="2"/>
  <c r="M191" i="2"/>
  <c r="M207" i="2"/>
  <c r="M223" i="2"/>
  <c r="M239" i="2"/>
  <c r="M255" i="2"/>
  <c r="M271" i="2"/>
  <c r="M287" i="2"/>
  <c r="M303" i="2"/>
  <c r="M319" i="2"/>
  <c r="M335" i="2"/>
  <c r="M351" i="2"/>
  <c r="M367" i="2"/>
  <c r="M383" i="2"/>
  <c r="M399" i="2"/>
  <c r="M415" i="2"/>
  <c r="M431" i="2"/>
  <c r="M447" i="2"/>
  <c r="M463" i="2"/>
  <c r="M479" i="2"/>
  <c r="M495" i="2"/>
  <c r="M129" i="2"/>
  <c r="M305" i="2"/>
  <c r="M417" i="2"/>
  <c r="M48" i="2"/>
  <c r="M64" i="2"/>
  <c r="M80" i="2"/>
  <c r="M96" i="2"/>
  <c r="M112" i="2"/>
  <c r="M128" i="2"/>
  <c r="M144" i="2"/>
  <c r="M160" i="2"/>
  <c r="M176" i="2"/>
  <c r="M192" i="2"/>
  <c r="M208" i="2"/>
  <c r="M224" i="2"/>
  <c r="M240" i="2"/>
  <c r="M256" i="2"/>
  <c r="M272" i="2"/>
  <c r="M288" i="2"/>
  <c r="M304" i="2"/>
  <c r="M320" i="2"/>
  <c r="M336" i="2"/>
  <c r="M352" i="2"/>
  <c r="M368" i="2"/>
  <c r="M384" i="2"/>
  <c r="M400" i="2"/>
  <c r="M416" i="2"/>
  <c r="M432" i="2"/>
  <c r="M448" i="2"/>
  <c r="M464" i="2"/>
  <c r="M480" i="2"/>
  <c r="M496" i="2"/>
  <c r="M49" i="2"/>
  <c r="D4" i="7"/>
  <c r="E4" i="7" s="1"/>
  <c r="M37" i="2" l="1"/>
  <c r="C5" i="6" a="1"/>
  <c r="C5" i="6" s="1"/>
  <c r="B2" i="12" l="1"/>
  <c r="B1" i="12"/>
  <c r="B3" i="12" l="1"/>
  <c r="C4" i="6" l="1"/>
  <c r="D4" i="6" s="1"/>
  <c r="D32" i="2"/>
  <c r="I75" i="1"/>
  <c r="H75" i="1"/>
  <c r="I74" i="1"/>
  <c r="H74" i="1"/>
  <c r="H73" i="1"/>
  <c r="I72" i="1"/>
  <c r="H72" i="1"/>
  <c r="D75" i="1"/>
  <c r="D74" i="1"/>
  <c r="D73" i="1"/>
  <c r="E81" i="1" s="1"/>
  <c r="G9" i="6" l="1"/>
  <c r="H9" i="6" s="1"/>
  <c r="E117" i="1"/>
  <c r="E84" i="1"/>
  <c r="E88" i="1"/>
  <c r="E92" i="1"/>
  <c r="E96" i="1"/>
  <c r="E100" i="1"/>
  <c r="E104" i="1"/>
  <c r="E108" i="1"/>
  <c r="E112" i="1"/>
  <c r="E116" i="1"/>
  <c r="E121" i="1"/>
  <c r="E125" i="1"/>
  <c r="E129" i="1"/>
  <c r="E124" i="1"/>
  <c r="E85" i="1"/>
  <c r="E89" i="1"/>
  <c r="E93" i="1"/>
  <c r="E97" i="1"/>
  <c r="E101" i="1"/>
  <c r="E105" i="1"/>
  <c r="E109" i="1"/>
  <c r="E113" i="1"/>
  <c r="E118" i="1"/>
  <c r="E122" i="1"/>
  <c r="E126" i="1"/>
  <c r="E130" i="1"/>
  <c r="E120" i="1"/>
  <c r="E128" i="1"/>
  <c r="E82" i="1"/>
  <c r="E86" i="1"/>
  <c r="E90" i="1"/>
  <c r="E94" i="1"/>
  <c r="E98" i="1"/>
  <c r="E102" i="1"/>
  <c r="E106" i="1"/>
  <c r="E110" i="1"/>
  <c r="E114" i="1"/>
  <c r="E119" i="1"/>
  <c r="E123" i="1"/>
  <c r="E127" i="1"/>
  <c r="E107" i="1"/>
  <c r="E111" i="1"/>
  <c r="E115" i="1"/>
  <c r="E83" i="1"/>
  <c r="E87" i="1"/>
  <c r="E91" i="1"/>
  <c r="E95" i="1"/>
  <c r="E99" i="1"/>
  <c r="E103" i="1"/>
  <c r="C6" i="6"/>
  <c r="D6" i="6" s="1"/>
  <c r="D5" i="6"/>
  <c r="G10" i="6" l="1"/>
  <c r="I73" i="1"/>
  <c r="J20" i="2"/>
  <c r="J24" i="2" s="1"/>
  <c r="J2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E8F4231-3B7C-4F47-9BEE-864516933825}" odcFile="C:\Users\Trinai.y\Documents\My Data Sources\bicube ProductionOrder_Insight Production Perspective.odc" keepAlive="1" name="bicube ProductionOrder_Insight Production Perspective" type="5" refreshedVersion="6" background="1">
    <dbPr connection="Provider=MSOLAP.8;Integrated Security=SSPI;Persist Security Info=True;Initial Catalog=ProductionOrder_Insight;Data Source=bicube;MDX Compatibility=1;Safety Options=2;MDX Missing Member Mode=Error;Update Isolation Level=2" command="Production Perspective" commandType="1"/>
    <olapPr sendLocale="1" rowDrillCount="1000"/>
  </connection>
  <connection id="2" xr16:uid="{05402F70-1368-44F4-89C0-24D2F8176BB3}" keepAlive="1" name="Query - ActiveBOM" description="Connection to the 'ActiveBOM' query in the workbook." type="5" refreshedVersion="0" background="1">
    <dbPr connection="Provider=Microsoft.Mashup.OleDb.1;Data Source=$Workbook$;Location=ActiveBOM;Extended Properties=&quot;&quot;" command="SELECT * FROM [ActiveBOM]"/>
  </connection>
  <connection id="3" xr16:uid="{2EB37011-69E4-49CD-8ABD-0CD534EFBDAE}" keepAlive="1" name="Query - ActiveRoute" description="Connection to the 'ActiveRoute' query in the workbook." type="5" refreshedVersion="0" background="1">
    <dbPr connection="Provider=Microsoft.Mashup.OleDb.1;Data Source=$Workbook$;Location=ActiveRoute;Extended Properties=&quot;&quot;" command="SELECT * FROM [ActiveRoute]"/>
  </connection>
  <connection id="4" xr16:uid="{2A2058E2-C30F-4687-B605-DACB61638DC9}" keepAlive="1" name="Query - ActiveRoute_test" description="Connection to the 'ActiveRoute_test' query in the workbook." type="5" refreshedVersion="0" background="1">
    <dbPr connection="Provider=Microsoft.Mashup.OleDb.1;Data Source=$Workbook$;Location=ActiveRoute_test;Extended Properties=&quot;&quot;" command="SELECT * FROM [ActiveRoute_test]"/>
  </connection>
  <connection id="5" xr16:uid="{DCE2CDCA-7FE8-47FC-A9A9-8090E7D57F39}" keepAlive="1" name="Query - ActiveWaxCells" description="Connection to the 'ActiveWaxCells' query in the workbook." type="5" refreshedVersion="8" background="1" saveData="1">
    <dbPr connection="Provider=Microsoft.Mashup.OleDb.1;Data Source=$Workbook$;Location=ActiveWaxCells;Extended Properties=&quot;&quot;" command="SELECT * FROM [ActiveWaxCells]"/>
  </connection>
  <connection id="6" xr16:uid="{4EE413DB-5F18-4C11-BC54-156F43AC9D44}" keepAlive="1" name="Query - Calendar(1)" description="Connection to the 'Calendar' query in the workbook." type="5" refreshedVersion="8" saveData="1">
    <dbPr connection="Provider=Microsoft.Mashup.OleDb.1;Data Source=$Workbook$;Location=Calendar;Extended Properties=&quot;&quot;" command="SELECT * FROM [Calendar]"/>
    <extLst>
      <ext xmlns:x15="http://schemas.microsoft.com/office/spreadsheetml/2010/11/main" uri="{DE250136-89BD-433C-8126-D09CA5730AF9}">
        <x15:connection id="" excludeFromRefreshAll="1"/>
      </ext>
    </extLst>
  </connection>
  <connection id="7" xr16:uid="{ED1E585D-7F22-47C6-A5F1-F8E1CBC43F17}" keepAlive="1" name="Query - Calendar_Detail" description="Connection to the 'Calendar_Detail' query in the workbook." type="5" refreshedVersion="8" saveData="1">
    <dbPr connection="Provider=Microsoft.Mashup.OleDb.1;Data Source=$Workbook$;Location=Calendar_Detail;Extended Properties=&quot;&quot;" command="SELECT * FROM [Calendar_Detail]"/>
    <extLst>
      <ext xmlns:x15="http://schemas.microsoft.com/office/spreadsheetml/2010/11/main" uri="{DE250136-89BD-433C-8126-D09CA5730AF9}">
        <x15:connection id="" excludeFromRefreshAll="1"/>
      </ext>
    </extLst>
  </connection>
  <connection id="8" xr16:uid="{5EF43720-A221-4C46-9A9B-0EC165BECFB3}" keepAlive="1" name="Query - csv_BOMMaster" description="Connection to the 'csv_BOMMaster' query in the workbook." type="5" refreshedVersion="0" background="1">
    <dbPr connection="Provider=Microsoft.Mashup.OleDb.1;Data Source=$Workbook$;Location=csv_BOMMaster;Extended Properties=&quot;&quot;" command="SELECT * FROM [csv_BOMMaster]"/>
  </connection>
  <connection id="9" xr16:uid="{036306B4-ADA1-43BF-955A-86FDB0C7615A}" keepAlive="1" name="Query - csv_BOMMaster (2)" description="Connection to the 'csv_BOMMaster (2)' query in the workbook." type="5" refreshedVersion="0" background="1">
    <dbPr connection="Provider=Microsoft.Mashup.OleDb.1;Data Source=$Workbook$;Location=&quot;csv_BOMMaster (2)&quot;;Extended Properties=&quot;&quot;" command="SELECT * FROM [csv_BOMMaster (2)]"/>
  </connection>
  <connection id="10" xr16:uid="{AEB941D0-17DF-46EF-8C6C-782CA364C462}" keepAlive="1" name="Query - csv_RouteMaster" description="Connection to the 'csv_RouteMaster' query in the workbook." type="5" refreshedVersion="0" background="1">
    <dbPr connection="Provider=Microsoft.Mashup.OleDb.1;Data Source=$Workbook$;Location=csv_RouteMaster;Extended Properties=&quot;&quot;" command="SELECT * FROM [csv_RouteMaster]"/>
  </connection>
  <connection id="11" xr16:uid="{BEACFAED-C73F-47D3-B631-4ABD16A31957}" keepAlive="1" name="Query - distinctOperation" description="Connection to the 'distinctOperation' query in the workbook." type="5" refreshedVersion="0" background="1">
    <dbPr connection="Provider=Microsoft.Mashup.OleDb.1;Data Source=$Workbook$;Location=distinctOperation;Extended Properties=&quot;&quot;" command="SELECT * FROM [distinctOperation]"/>
  </connection>
  <connection id="12" xr16:uid="{374FB4F1-B062-4984-97CF-D7BB36DDCED3}" keepAlive="1" name="Query - EndProductionDateTime" description="Connection to the 'EndProductionDateTime' query in the workbook." type="5" refreshedVersion="0" background="1">
    <dbPr connection="Provider=Microsoft.Mashup.OleDb.1;Data Source=$Workbook$;Location=EndProductionDateTime;Extended Properties=&quot;&quot;" command="SELECT * FROM [EndProductionDateTime]"/>
  </connection>
  <connection id="13" xr16:uid="{E36646D4-AF4D-48EA-B3D8-8AC831238F91}" keepAlive="1" name="Query - ItemAllocation" description="Connection to the 'ItemAllocation' query in the workbook." type="5" refreshedVersion="8" saveData="1">
    <dbPr connection="Provider=Microsoft.Mashup.OleDb.1;Data Source=$Workbook$;Location=ItemAllocation;Extended Properties=&quot;&quot;" command="SELECT * FROM [ItemAllocation]"/>
    <extLst>
      <ext xmlns:x15="http://schemas.microsoft.com/office/spreadsheetml/2010/11/main" uri="{DE250136-89BD-433C-8126-D09CA5730AF9}">
        <x15:connection id="" excludeFromRefreshAll="1"/>
      </ext>
    </extLst>
  </connection>
  <connection id="14" xr16:uid="{A935A121-3476-4FA2-8F47-687BF0B9C0C7}" keepAlive="1" name="Query - ItemCategory" description="Connection to the 'ItemCategory' query in the workbook." type="5" refreshedVersion="0" background="1">
    <dbPr connection="Provider=Microsoft.Mashup.OleDb.1;Data Source=$Workbook$;Location=ItemCategory;Extended Properties=&quot;&quot;" command="SELECT * FROM [ItemCategory]"/>
  </connection>
  <connection id="15" xr16:uid="{8B99626A-78E6-4F3A-9619-0B71838A39FE}" keepAlive="1" name="Query - ItemCategory_test" description="Connection to the 'ItemCategory_test' query in the workbook." type="5" refreshedVersion="0" background="1">
    <dbPr connection="Provider=Microsoft.Mashup.OleDb.1;Data Source=$Workbook$;Location=ItemCategory_test;Extended Properties=&quot;&quot;" command="SELECT * FROM [ItemCategory_test]"/>
  </connection>
  <connection id="16" xr16:uid="{98595DF5-B5BA-4F89-8493-67FB49AC6BC1}" keepAlive="1" name="Query - ItemGMUsed" description="Connection to the 'ItemGMUsed' query in the workbook." type="5" refreshedVersion="0" background="1">
    <dbPr connection="Provider=Microsoft.Mashup.OleDb.1;Data Source=$Workbook$;Location=ItemGMUsed;Extended Properties=&quot;&quot;" command="SELECT * FROM [ItemGMUsed]"/>
  </connection>
  <connection id="17" xr16:uid="{08202C59-345E-4EC9-9A79-90EADD483C8F}" keepAlive="1" name="Query - ItemParameters" description="Connection to the 'ItemParameters' query in the workbook." type="5" refreshedVersion="0" background="1">
    <dbPr connection="Provider=Microsoft.Mashup.OleDb.1;Data Source=$Workbook$;Location=ItemParameters;Extended Properties=&quot;&quot;" command="SELECT * FROM [ItemParameters]"/>
  </connection>
  <connection id="18" xr16:uid="{62519832-C6F0-4970-9B09-38C39ADD7D9E}" keepAlive="1" name="Query - ItemParameters (2)" description="Connection to the 'ItemParameters (2)' query in the workbook." type="5" refreshedVersion="0" background="1">
    <dbPr connection="Provider=Microsoft.Mashup.OleDb.1;Data Source=$Workbook$;Location=&quot;ItemParameters (2)&quot;;Extended Properties=&quot;&quot;" command="SELECT * FROM [ItemParameters (2)]"/>
  </connection>
  <connection id="19" xr16:uid="{C1BDA7DC-BBA9-4F5E-BD29-143A5A73415D}" keepAlive="1" name="Query - ItemType" description="Connection to the 'ItemType' query in the workbook." type="5" refreshedVersion="0" background="1">
    <dbPr connection="Provider=Microsoft.Mashup.OleDb.1;Data Source=$Workbook$;Location=ItemType;Extended Properties=&quot;&quot;" command="SELECT * FROM [ItemType]"/>
  </connection>
  <connection id="20" xr16:uid="{BDB25064-8CFB-4ABB-A232-D25059DAC289}" keepAlive="1" name="Query - Matrix_ProductionOrdersQty" description="Connection to the 'Matrix_ProductionOrdersQty' query in the workbook." type="5" refreshedVersion="6" background="1" saveData="1">
    <dbPr connection="Provider=Microsoft.Mashup.OleDb.1;Data Source=$Workbook$;Location=Matrix_ProductionOrdersQty;Extended Properties=&quot;&quot;" command="SELECT * FROM [Matrix_ProductionOrdersQty]"/>
  </connection>
  <connection id="21" xr16:uid="{6E5CFB4A-F885-4EEF-AC3D-D216549F64FE}" keepAlive="1" name="Query - NotPlasticItem" description="Connection to the 'NotPlasticItem' query in the workbook." type="5" refreshedVersion="0" background="1">
    <dbPr connection="Provider=Microsoft.Mashup.OleDb.1;Data Source=$Workbook$;Location=NotPlasticItem;Extended Properties=&quot;&quot;" command="SELECT * FROM [NotPlasticItem]"/>
  </connection>
  <connection id="22" xr16:uid="{06666870-18EE-4328-A812-7F68AF93B283}" keepAlive="1" name="Query - PM relations" description="Connection to the 'PM relations' query in the workbook." type="5" refreshedVersion="0" background="1">
    <dbPr connection="Provider=Microsoft.Mashup.OleDb.1;Data Source=$Workbook$;Location=&quot;PM relations&quot;;Extended Properties=&quot;&quot;" command="SELECT * FROM [PM relations]"/>
  </connection>
  <connection id="23" xr16:uid="{7FB5425B-3FCD-4F0C-B30D-7631A2BDFABD}" keepAlive="1" name="Query - PreAssignedLine_FINAL" description="Connection to the 'PreAssignedLine_FINAL' query in the workbook." type="5" refreshedVersion="8" saveData="1">
    <dbPr connection="Provider=Microsoft.Mashup.OleDb.1;Data Source=$Workbook$;Location=PreAssignedLine_FINAL;Extended Properties=&quot;&quot;" command="SELECT * FROM [PreAssignedLine_FINAL]"/>
    <extLst>
      <ext xmlns:x15="http://schemas.microsoft.com/office/spreadsheetml/2010/11/main" uri="{DE250136-89BD-433C-8126-D09CA5730AF9}">
        <x15:connection id="" excludeFromRefreshAll="1"/>
      </ext>
    </extLst>
  </connection>
  <connection id="24" xr16:uid="{487D85F2-45AD-4B25-AB2E-7DE11D105303}" keepAlive="1" name="Query - PreAssignedLine_notPlastic" description="Connection to the 'PreAssignedLine_notPlastic' query in the workbook." type="5" refreshedVersion="0" background="1">
    <dbPr connection="Provider=Microsoft.Mashup.OleDb.1;Data Source=$Workbook$;Location=PreAssignedLine_notPlastic;Extended Properties=&quot;&quot;" command="SELECT * FROM [PreAssignedLine_notPlastic]"/>
  </connection>
  <connection id="25" xr16:uid="{0408339B-6A8C-48FE-BAD8-4A37BF337BE3}" keepAlive="1" name="Query - PreAssignedLine_Plastic" description="Connection to the 'PreAssignedLine_Plastic' query in the workbook." type="5" refreshedVersion="0" background="1">
    <dbPr connection="Provider=Microsoft.Mashup.OleDb.1;Data Source=$Workbook$;Location=PreAssignedLine_Plastic;Extended Properties=&quot;&quot;" command="SELECT * FROM [PreAssignedLine_Plastic]"/>
  </connection>
  <connection id="26" xr16:uid="{D957B5A8-C945-4629-BE11-25E078634E8E}" keepAlive="1" name="Query - PriorWk_Pre" description="Connection to the 'PriorWk_Pre' query in the workbook." type="5" refreshedVersion="8" saveData="1">
    <dbPr connection="Provider=Microsoft.Mashup.OleDb.1;Data Source=$Workbook$;Location=PriorWk_Pre;Extended Properties=&quot;&quot;" command="SELECT * FROM [PriorWk_Pre]"/>
    <extLst>
      <ext xmlns:x15="http://schemas.microsoft.com/office/spreadsheetml/2010/11/main" uri="{DE250136-89BD-433C-8126-D09CA5730AF9}">
        <x15:connection id="" excludeFromRefreshAll="1"/>
      </ext>
    </extLst>
  </connection>
  <connection id="27" xr16:uid="{2DEB1433-EB50-4DDC-8C15-806779FF5667}" keepAlive="1" name="Query - ProductionOrders_Display" description="Connection to the 'ProductionOrders_Display' query in the workbook." type="5" refreshedVersion="8" saveData="1">
    <dbPr connection="Provider=Microsoft.Mashup.OleDb.1;Data Source=$Workbook$;Location=ProductionOrders_Display;Extended Properties=&quot;&quot;" command="SELECT * FROM [ProductionOrders_Display]"/>
  </connection>
  <connection id="28" xr16:uid="{4B80D946-A1CF-4C2F-8F99-A6A91CD005EB}" keepAlive="1" name="Query - ProductionOrdersByCategory" description="Connection to the 'ProductionOrdersByCategory' query in the workbook." type="5" refreshedVersion="8" saveData="1">
    <dbPr connection="Provider=Microsoft.Mashup.OleDb.1;Data Source=$Workbook$;Location=ProductionOrdersByCategory;Extended Properties=&quot;&quot;" command="SELECT * FROM [ProductionOrdersByCategory]"/>
  </connection>
  <connection id="29" xr16:uid="{2DB2CD74-3D6B-42AA-A852-45A383CFD0FE}" keepAlive="1" name="Query - ProductionOrdersByItem" description="Connection to the 'ProductionOrdersByItem' query in the workbook." type="5" refreshedVersion="0" background="1">
    <dbPr connection="Provider=Microsoft.Mashup.OleDb.1;Data Source=$Workbook$;Location=ProductionOrdersByItem;Extended Properties=&quot;&quot;" command="SELECT * FROM [ProductionOrdersByItem]"/>
  </connection>
  <connection id="30" xr16:uid="{4C019E8A-C787-4677-98FD-A7DCAD1B2664}" keepAlive="1" name="Query - ProductionOrdersByItem_Display" description="Connection to the 'ProductionOrdersByItem_Display' query in the workbook." type="5" refreshedVersion="8" saveData="1">
    <dbPr connection="Provider=Microsoft.Mashup.OleDb.1;Data Source=$Workbook$;Location=ProductionOrdersByItem_Display;Extended Properties=&quot;&quot;" command="SELECT * FROM [ProductionOrdersByItem_Display]"/>
  </connection>
  <connection id="31" xr16:uid="{5062AA8F-960F-4BA7-9EF3-5B30B9186219}" keepAlive="1" name="Query - ProductionOrdersByItem_Plastic" description="Connection to the 'ProductionOrdersByItem_Plastic' query in the workbook." type="5" refreshedVersion="8" saveData="1">
    <dbPr connection="Provider=Microsoft.Mashup.OleDb.1;Data Source=$Workbook$;Location=ProductionOrdersByItem_Plastic;Extended Properties=&quot;&quot;" command="SELECT * FROM [ProductionOrdersByItem_Plastic]"/>
  </connection>
  <connection id="32" xr16:uid="{5541AF3C-172C-48D1-A5A2-E699371480AD}" keepAlive="1" name="Query - SelectedOperation" description="Connection to the 'SelectedOperation' query in the workbook." type="5" refreshedVersion="0" background="1">
    <dbPr connection="Provider=Microsoft.Mashup.OleDb.1;Data Source=$Workbook$;Location=SelectedOperation;Extended Properties=&quot;&quot;" command="SELECT * FROM [SelectedOperation]"/>
  </connection>
  <connection id="33" xr16:uid="{1C8E743A-0BF6-4874-A69A-7BDB62187731}" keepAlive="1" name="Query - SelectedProductionOrders" description="Connection to the 'SelectedProductionOrders' query in the workbook." type="5" refreshedVersion="0" background="1">
    <dbPr connection="Provider=Microsoft.Mashup.OleDb.1;Data Source=$Workbook$;Location=SelectedProductionOrders;Extended Properties=&quot;&quot;" command="SELECT * FROM [SelectedProductionOrders]"/>
  </connection>
  <connection id="34" xr16:uid="{7F8538B6-FB9C-45C7-8757-E8C5A218A92A}" keepAlive="1" name="Query - SelectedSite" description="Connection to the 'SelectedSite' query in the workbook." type="5" refreshedVersion="0" background="1">
    <dbPr connection="Provider=Microsoft.Mashup.OleDb.1;Data Source=$Workbook$;Location=SelectedSite;Extended Properties=&quot;&quot;" command="SELECT * FROM [SelectedSite]"/>
  </connection>
  <connection id="35" xr16:uid="{9F5F39F9-66FF-4559-A563-912D11544BDC}" keepAlive="1" name="Query - StartProductionDateTime" description="Connection to the 'StartProductionDateTime' query in the workbook." type="5" refreshedVersion="0" background="1">
    <dbPr connection="Provider=Microsoft.Mashup.OleDb.1;Data Source=$Workbook$;Location=StartProductionDateTime;Extended Properties=&quot;&quot;" command="SELECT * FROM [StartProductionDateTime]"/>
  </connection>
  <connection id="36" xr16:uid="{74D6A1CC-6B3E-41C0-AE06-81F42446333A}" keepAlive="1" name="Query - t_config_filepath" description="Connection to the 't_config_filepath' query in the workbook." type="5" refreshedVersion="0" background="1">
    <dbPr connection="Provider=Microsoft.Mashup.OleDb.1;Data Source=$Workbook$;Location=t_config_filepath;Extended Properties=&quot;&quot;" command="SELECT * FROM [t_config_filepath]"/>
  </connection>
  <connection id="37" xr16:uid="{73234312-FEAF-40CE-AA07-E85797C2CBA3}" keepAlive="1" name="Query - t_config_GlobalParameters" description="Connection to the 't_config_GlobalParameters' query in the workbook." type="5" refreshedVersion="0" background="1">
    <dbPr connection="Provider=Microsoft.Mashup.OleDb.1;Data Source=$Workbook$;Location=t_config_GlobalParameters;Extended Properties=&quot;&quot;" command="SELECT * FROM [t_config_GlobalParameters]"/>
  </connection>
  <connection id="38" xr16:uid="{6FB2B86C-ABEF-4A22-998B-1A7DA9C3639E}" keepAlive="1" name="Query - t_config_operation" description="Connection to the 't_config_operation' query in the workbook." type="5" refreshedVersion="0" background="1">
    <dbPr connection="Provider=Microsoft.Mashup.OleDb.1;Data Source=$Workbook$;Location=t_config_operation;Extended Properties=&quot;&quot;" command="SELECT * FROM [t_config_operation]"/>
  </connection>
  <connection id="39" xr16:uid="{46A78230-CF04-41E0-8E2C-F63B2E812623}" keepAlive="1" name="Query - t_config_site" description="Connection to the 't_config_site' query in the workbook." type="5" refreshedVersion="0" background="1">
    <dbPr connection="Provider=Microsoft.Mashup.OleDb.1;Data Source=$Workbook$;Location=t_config_site;Extended Properties=&quot;&quot;" command="SELECT * FROM [t_config_site]"/>
  </connection>
  <connection id="40" xr16:uid="{27C578F4-D90F-499D-ABCA-FCB10F06B353}" keepAlive="1" name="Query - t_config_WaxCell" description="Connection to the 't_config_WaxCell' query in the workbook." type="5" refreshedVersion="0" background="1">
    <dbPr connection="Provider=Microsoft.Mashup.OleDb.1;Data Source=$Workbook$;Location=t_config_WaxCell;Extended Properties=&quot;&quot;" command="SELECT * FROM [t_config_WaxCell]"/>
  </connection>
  <connection id="41" xr16:uid="{2576B76E-9295-4A4B-AFC8-55493FAE6539}" keepAlive="1" name="Query - tblItemSP" description="Connection to the 'tblItemSP' query in the workbook." type="5" refreshedVersion="0" background="1">
    <dbPr connection="Provider=Microsoft.Mashup.OleDb.1;Data Source=$Workbook$;Location=tblItemSP;Extended Properties=&quot;&quot;" command="SELECT * FROM [tblItemSP]"/>
  </connection>
  <connection id="42" xr16:uid="{13EF72BC-7E54-4EDD-8D4C-675C74B4EDA1}" keepAlive="1" name="Query - tblRMMachine" description="Connection to the 'tblRMMachine' query in the workbook." type="5" refreshedVersion="0" background="1">
    <dbPr connection="Provider=Microsoft.Mashup.OleDb.1;Data Source=$Workbook$;Location=tblRMMachine;Extended Properties=&quot;&quot;" command="SELECT * FROM [tblRMMachine]"/>
  </connection>
  <connection id="43" xr16:uid="{B23DACDD-9614-47B5-A7D0-618DE464B1E3}" keepAlive="1" name="Query - temp_RouteSelection" description="Connection to the 'temp_RouteSelection' query in the workbook." type="5" refreshedVersion="0" background="1">
    <dbPr connection="Provider=Microsoft.Mashup.OleDb.1;Data Source=$Workbook$;Location=temp_RouteSelection;Extended Properties=&quot;&quot;" command="SELECT * FROM [temp_RouteSelection]"/>
  </connection>
  <connection id="44" xr16:uid="{19FB6982-E43C-448E-ACF4-57E3A07D6B7D}" keepAlive="1" name="Query - var_filepath_BOMMaster" description="Connection to the 'var_filepath_BOMMaster' query in the workbook." type="5" refreshedVersion="0" background="1">
    <dbPr connection="Provider=Microsoft.Mashup.OleDb.1;Data Source=$Workbook$;Location=var_filepath_BOMMaster;Extended Properties=&quot;&quot;" command="SELECT * FROM [var_filepath_BOMMaster]"/>
  </connection>
  <connection id="45" xr16:uid="{1348C0E1-D3A9-412D-ACB2-F57F8713FF34}" keepAlive="1" name="Query - var_filepath_Calendar" description="Connection to the 'var_filepath_Calendar' query in the workbook." type="5" refreshedVersion="0" background="1">
    <dbPr connection="Provider=Microsoft.Mashup.OleDb.1;Data Source=$Workbook$;Location=var_filepath_Calendar;Extended Properties=&quot;&quot;" command="SELECT * FROM [var_filepath_Calendar]"/>
  </connection>
  <connection id="46" xr16:uid="{167777D5-53F3-4F36-AC4D-4F5B0FEFCAA2}" keepAlive="1" name="Query - var_filepath_PMrelations" description="Connection to the 'var_filepath_PMrelations' query in the workbook." type="5" refreshedVersion="0" background="1">
    <dbPr connection="Provider=Microsoft.Mashup.OleDb.1;Data Source=$Workbook$;Location=var_filepath_PMrelations;Extended Properties=&quot;&quot;" command="SELECT * FROM [var_filepath_PMrelations]"/>
  </connection>
  <connection id="47" xr16:uid="{2E7DD1E2-ECD6-47F2-854E-2B69E4706659}" keepAlive="1" name="Query - var_filepath_ProductionOrder" description="Connection to the 'var_filepath_ProductionOrder' query in the workbook." type="5" refreshedVersion="0" background="1">
    <dbPr connection="Provider=Microsoft.Mashup.OleDb.1;Data Source=$Workbook$;Location=var_filepath_ProductionOrder;Extended Properties=&quot;&quot;" command="SELECT * FROM [var_filepath_ProductionOrder]"/>
  </connection>
  <connection id="48" xr16:uid="{E690B904-CE1E-4B1A-AA7B-1BDD0FBEEB80}" keepAlive="1" name="Query - var_filepath_RouteMaster" description="Connection to the 'var_filepath_RouteMaster' query in the workbook." type="5" refreshedVersion="0" background="1">
    <dbPr connection="Provider=Microsoft.Mashup.OleDb.1;Data Source=$Workbook$;Location=var_filepath_RouteMaster;Extended Properties=&quot;&quot;" command="SELECT * FROM [var_filepath_RouteMaster]"/>
  </connection>
  <connection id="49" xr16:uid="{C2B7C77B-BF77-4D64-9C6E-9202D70B5E9C}" keepAlive="1" name="Query - var_Global_PlanningPeriod" description="Connection to the 'var_Global_PlanningPeriod' query in the workbook." type="5" refreshedVersion="0" background="1">
    <dbPr connection="Provider=Microsoft.Mashup.OleDb.1;Data Source=$Workbook$;Location=var_Global_PlanningPeriod;Extended Properties=&quot;&quot;" command="SELECT * FROM [var_Global_PlanningPeriod]"/>
  </connection>
  <connection id="50" xr16:uid="{E38309F1-6A83-43D1-BDED-ADC8344270E7}" keepAlive="1" name="Query - var_Global_RMRemainingQtyFactor" description="Connection to the 'var_Global_RMRemainingQtyFactor' query in the workbook." type="5" refreshedVersion="0" background="1">
    <dbPr connection="Provider=Microsoft.Mashup.OleDb.1;Data Source=$Workbook$;Location=var_Global_RMRemainingQtyFactor;Extended Properties=&quot;&quot;" command="SELECT * FROM [var_Global_RMRemainingQtyFactor]"/>
  </connection>
  <connection id="51" xr16:uid="{1BE47E92-26CC-43EA-9BBF-1B7BD724E211}" keepAlive="1" name="Query - var_Global_RMRequiredPerMachine" description="Connection to the 'var_Global_RMRequiredPerMachine' query in the workbook." type="5" refreshedVersion="0" background="1">
    <dbPr connection="Provider=Microsoft.Mashup.OleDb.1;Data Source=$Workbook$;Location=var_Global_RMRequiredPerMachine;Extended Properties=&quot;&quot;" command="SELECT * FROM [var_Global_RMRequiredPerMachine]"/>
  </connection>
  <connection id="52" xr16:uid="{9AAEC355-D620-4355-ACC6-77C63DA62CFD}" keepAlive="1" name="Query - var_Global_SelectedCalendar" description="Connection to the 'var_Global_SelectedCalendar' query in the workbook." type="5" refreshedVersion="0" background="1">
    <dbPr connection="Provider=Microsoft.Mashup.OleDb.1;Data Source=$Workbook$;Location=var_Global_SelectedCalendar;Extended Properties=&quot;&quot;" command="SELECT * FROM [var_Global_SelectedCalendar]"/>
  </connection>
  <connection id="53" xr16:uid="{80724434-ED27-4214-8EF5-AC630CA3A5DF}" keepAlive="1" name="Query - var_Global_StartProductionDate" description="Connection to the 'var_Global_StartProductionDate' query in the workbook." type="5" refreshedVersion="0" background="1">
    <dbPr connection="Provider=Microsoft.Mashup.OleDb.1;Data Source=$Workbook$;Location=var_Global_StartProductionDate;Extended Properties=&quot;&quot;" command="SELECT * FROM [var_Global_StartProductionDate]"/>
  </connection>
  <connection id="54" xr16:uid="{66B257B6-9A4F-46F5-9308-943BEB376EC5}" keepAlive="1" name="Query - var_temp_BOMSelection" description="Connection to the 'var_temp_BOMSelection' query in the workbook." type="5" refreshedVersion="0" background="1">
    <dbPr connection="Provider=Microsoft.Mashup.OleDb.1;Data Source=$Workbook$;Location=var_temp_BOMSelection;Extended Properties=&quot;&quot;" command="SELECT * FROM [var_temp_BOMSelection]"/>
  </connection>
  <connection id="55" xr16:uid="{A1CF32BA-1129-422D-AA6D-C08EFC3CF631}" keepAlive="1" name="Query - xlsx_Calendar" description="Connection to the 'xlsx_Calendar' query in the workbook." type="5" refreshedVersion="0" background="1">
    <dbPr connection="Provider=Microsoft.Mashup.OleDb.1;Data Source=$Workbook$;Location=xlsx_Calendar;Extended Properties=&quot;&quot;" command="SELECT * FROM [xlsx_Calendar]"/>
  </connection>
  <connection id="56" xr16:uid="{E63A1F21-29FB-4C20-BFBE-7ABF46C344C0}" keepAlive="1" name="Query - xlsx_ProductionOrders" description="Connection to the 'xlsx_ProductionOrders' query in the workbook." type="5" refreshedVersion="0" background="1">
    <dbPr connection="Provider=Microsoft.Mashup.OleDb.1;Data Source=$Workbook$;Location=xlsx_ProductionOrders;Extended Properties=&quot;&quot;" command="SELECT * FROM [xlsx_ProductionOrder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<sst xmlns="http://schemas.openxmlformats.org/spreadsheetml/2006/main" count="48373" uniqueCount="11640">
  <si>
    <t>Configuration</t>
  </si>
  <si>
    <t>Description</t>
  </si>
  <si>
    <t>Directory</t>
  </si>
  <si>
    <t>Filename</t>
  </si>
  <si>
    <t>Filepath</t>
  </si>
  <si>
    <t>Production Order</t>
  </si>
  <si>
    <t>ProductionOrders 12-04-2019 031708-196.xlsx</t>
  </si>
  <si>
    <t>BOM Master</t>
  </si>
  <si>
    <t>Route Master</t>
  </si>
  <si>
    <t>Production Capacity</t>
  </si>
  <si>
    <t>Available Time per Week</t>
  </si>
  <si>
    <t>Site</t>
  </si>
  <si>
    <t>Available Hours/Week</t>
  </si>
  <si>
    <t>%Efficiency</t>
  </si>
  <si>
    <t>Total Hours/Week</t>
  </si>
  <si>
    <t>PPT1_BOI03</t>
  </si>
  <si>
    <t>PPT1_BOI04</t>
  </si>
  <si>
    <t>PPT2_BOI05</t>
  </si>
  <si>
    <t>PPT1_BOI06</t>
  </si>
  <si>
    <t>Wax Cell</t>
  </si>
  <si>
    <t>Active</t>
  </si>
  <si>
    <t>Resource Qty</t>
  </si>
  <si>
    <t>Total Hours/Week per cell</t>
  </si>
  <si>
    <t>Summary</t>
  </si>
  <si>
    <t>No. of Wax Cell</t>
  </si>
  <si>
    <t>Sum Hours/Week</t>
  </si>
  <si>
    <t>InventSiteId</t>
  </si>
  <si>
    <t>DetailedProcessFamily</t>
  </si>
  <si>
    <t>ItemId</t>
  </si>
  <si>
    <t>Production Order Selection</t>
  </si>
  <si>
    <t>Selected Site</t>
  </si>
  <si>
    <t>No</t>
  </si>
  <si>
    <t>Yes</t>
  </si>
  <si>
    <t>OperationId</t>
  </si>
  <si>
    <t>Operation</t>
  </si>
  <si>
    <t>Selected Opr</t>
  </si>
  <si>
    <t>FEWA</t>
  </si>
  <si>
    <t>FEWC</t>
  </si>
  <si>
    <t>FEWI</t>
  </si>
  <si>
    <t>FEWR</t>
  </si>
  <si>
    <t>FEWW</t>
  </si>
  <si>
    <t>FEWZ</t>
  </si>
  <si>
    <t>FEWG</t>
  </si>
  <si>
    <t>FEWS</t>
  </si>
  <si>
    <t>FEWSO</t>
  </si>
  <si>
    <t>TEMP BOM SELECTION</t>
  </si>
  <si>
    <t>SELECTION</t>
  </si>
  <si>
    <t>Category</t>
  </si>
  <si>
    <t>ProductionHour</t>
  </si>
  <si>
    <t>NW</t>
  </si>
  <si>
    <t>WS</t>
  </si>
  <si>
    <t>NWZ</t>
  </si>
  <si>
    <t>Contribution</t>
  </si>
  <si>
    <t>PM relation</t>
  </si>
  <si>
    <t>AX12</t>
  </si>
  <si>
    <t>PM relation.txt</t>
  </si>
  <si>
    <t>PM relations</t>
  </si>
  <si>
    <t>Global Parameters</t>
  </si>
  <si>
    <t>Parameter</t>
  </si>
  <si>
    <t>Value</t>
  </si>
  <si>
    <t>RM remaining qty factor</t>
  </si>
  <si>
    <t>RubberMouldId</t>
  </si>
  <si>
    <t>MetalCodeDescription</t>
  </si>
  <si>
    <t>QtySched</t>
  </si>
  <si>
    <t>Hour/pc</t>
  </si>
  <si>
    <t>RMQty</t>
  </si>
  <si>
    <t>RMRequired</t>
  </si>
  <si>
    <t>MaximumWaxCellAllocation</t>
  </si>
  <si>
    <t>Silver 925</t>
  </si>
  <si>
    <t>Overview</t>
  </si>
  <si>
    <t>By Item</t>
  </si>
  <si>
    <t>ProdId</t>
  </si>
  <si>
    <t>TargetWaxCell</t>
  </si>
  <si>
    <t>Consumed Hour</t>
  </si>
  <si>
    <t>Consumption</t>
  </si>
  <si>
    <t>Total Capacity</t>
  </si>
  <si>
    <t>Remaining Capacity</t>
  </si>
  <si>
    <t>Utilization</t>
  </si>
  <si>
    <t>Target Utilization</t>
  </si>
  <si>
    <t>max</t>
  </si>
  <si>
    <t>Row Labels</t>
  </si>
  <si>
    <t>Grand Total</t>
  </si>
  <si>
    <t>Sum of ProductionHour</t>
  </si>
  <si>
    <t>Column Labels</t>
  </si>
  <si>
    <t>3A_G-WI01</t>
  </si>
  <si>
    <t>3A_G-WI02</t>
  </si>
  <si>
    <t>3A_G-WI03</t>
  </si>
  <si>
    <t>3A_G-WI04</t>
  </si>
  <si>
    <t>3A_G-WI05</t>
  </si>
  <si>
    <t>3A_G-WI06</t>
  </si>
  <si>
    <t>3A_G-WI07</t>
  </si>
  <si>
    <t>3A_G-WI08</t>
  </si>
  <si>
    <t>3A_G-WI09</t>
  </si>
  <si>
    <t>3A_G-WI10</t>
  </si>
  <si>
    <t>3A_G-WI11</t>
  </si>
  <si>
    <t>3A_G-WI12</t>
  </si>
  <si>
    <t>3A_G-WI13</t>
  </si>
  <si>
    <t>3A_G-WI14</t>
  </si>
  <si>
    <t>3A_G-WI15</t>
  </si>
  <si>
    <t>3A_G-WI16</t>
  </si>
  <si>
    <t>3A_G-WI17</t>
  </si>
  <si>
    <t>3A_G-WI18</t>
  </si>
  <si>
    <t>3A_G-WI19</t>
  </si>
  <si>
    <t>3A_G-WI20</t>
  </si>
  <si>
    <t>3A_G-WI21</t>
  </si>
  <si>
    <t>3A_G-WI22</t>
  </si>
  <si>
    <t>3A_G-WI23</t>
  </si>
  <si>
    <t>3A_G-WI24</t>
  </si>
  <si>
    <t>3A_G-WI25</t>
  </si>
  <si>
    <t>3A_G-WI26</t>
  </si>
  <si>
    <t>3A_G-WI27</t>
  </si>
  <si>
    <t>3A_G-WI28</t>
  </si>
  <si>
    <t>3A_G-WI29</t>
  </si>
  <si>
    <t>3A_G-WI30</t>
  </si>
  <si>
    <t>3A_G-WI31</t>
  </si>
  <si>
    <t>3A_G-WI32</t>
  </si>
  <si>
    <t>3A_G-WI33</t>
  </si>
  <si>
    <t>3A_G-WI34</t>
  </si>
  <si>
    <t>3A_G-WI35</t>
  </si>
  <si>
    <t>3A_G-WI36</t>
  </si>
  <si>
    <t>3A_G-WI37</t>
  </si>
  <si>
    <t>NumberOfWaxCells</t>
  </si>
  <si>
    <t>WaxCells</t>
  </si>
  <si>
    <t>Production Orders</t>
  </si>
  <si>
    <t>Wax Cell Utilization</t>
  </si>
  <si>
    <t>RemainingUnassignedOrders</t>
  </si>
  <si>
    <t>Plastic</t>
  </si>
  <si>
    <t>CS</t>
  </si>
  <si>
    <t>Validate Allocation</t>
  </si>
  <si>
    <t>Remaining</t>
  </si>
  <si>
    <t>Allocated Production Hour</t>
  </si>
  <si>
    <t>Total Production Hour</t>
  </si>
  <si>
    <t>Unallocated Produciton Hour</t>
  </si>
  <si>
    <t>Allocation Mix</t>
  </si>
  <si>
    <t>Quantity</t>
  </si>
  <si>
    <t>100 percent Utilization line</t>
  </si>
  <si>
    <t xml:space="preserve"># of Overutilized Wax Cells </t>
  </si>
  <si>
    <t>Plastic Quantity</t>
  </si>
  <si>
    <t>Total FE Quantity</t>
  </si>
  <si>
    <t>Preview Assigned Line</t>
  </si>
  <si>
    <t>AssignedLineOCPMANU</t>
  </si>
  <si>
    <t>Qlikview</t>
  </si>
  <si>
    <t>BOM Master.csv</t>
  </si>
  <si>
    <t>BOMMaster.BOMLevel : &lt;&gt; 0
BOMMaster.BOMCurrentActive : Yes
BOMMaster.BOMTYPE_OCPMANU_TEXT : Default
BOMMaster.ItemMain : S?C*
BOMMaster.Site : PPT1_BOI04
BOMMaster.ItemBOMLineNumber : S0RM*</t>
  </si>
  <si>
    <t>Route Master.csv</t>
  </si>
  <si>
    <t>RouteMaster.Site : PPT1_BOI04
RouteMaster.Active_Text : Yes
RouteMaster.RouteCurDate : Yes
RouteMaster.RouteTypeOCPMANU_Text : Default
RouteMaster.ItemNumber : S?C*
RouteMaster.Priority : Primary</t>
  </si>
  <si>
    <t>Product Master &gt;&gt; BOM Master &gt;&gt; Export</t>
  </si>
  <si>
    <t>Product Master &gt;&gt; Route Master &gt;&gt; Export</t>
  </si>
  <si>
    <t>Guide</t>
  </si>
  <si>
    <t>1. Export inputs from AX12 and Qlikview</t>
  </si>
  <si>
    <t xml:space="preserve">Production site: *04
RM status: Availible
Weight validation status: Pass
Serial number: M*
</t>
  </si>
  <si>
    <t>Inventory management &gt;&gt; PM relation &gt;&gt; Set parameters &gt;&gt; Copy+Paste to text file</t>
  </si>
  <si>
    <t>2. Go to Configuration Sheet</t>
  </si>
  <si>
    <t>3. Check all required input fields filled with yellow</t>
  </si>
  <si>
    <t>Example</t>
  </si>
  <si>
    <t>4. Go to PreAllocation Sheet</t>
  </si>
  <si>
    <t>6. Check utilization. If the result is not satisfying, reconfigure at Configuration sheet</t>
  </si>
  <si>
    <t>7. Click "Execute"</t>
  </si>
  <si>
    <t>5. Click "Refresh All Data"</t>
  </si>
  <si>
    <t>8. If there is any unallocated production hour, Click "Force Unallocated Production Orders"</t>
  </si>
  <si>
    <t>9. Go to Preview Assigned Line</t>
  </si>
  <si>
    <t>10. Go to Preview Assigned Line</t>
  </si>
  <si>
    <t>11. Click Refresh Review</t>
  </si>
  <si>
    <t>12. Click Publish</t>
  </si>
  <si>
    <t>PI</t>
  </si>
  <si>
    <t>Average Output (Pcs/ProductionHour)</t>
  </si>
  <si>
    <t>NWF</t>
  </si>
  <si>
    <t>PF</t>
  </si>
  <si>
    <t>Selected Production Hour</t>
  </si>
  <si>
    <t>Selected Capacity</t>
  </si>
  <si>
    <t>Selected Utilization</t>
  </si>
  <si>
    <t>temp</t>
  </si>
  <si>
    <t>3A_G-TR</t>
  </si>
  <si>
    <t>3A_G-WI38</t>
  </si>
  <si>
    <t>3A_G-WI39</t>
  </si>
  <si>
    <t>3A_G-WI40</t>
  </si>
  <si>
    <t>3A_G-WI41</t>
  </si>
  <si>
    <t>3A_G-WI42</t>
  </si>
  <si>
    <t>3A_G-WI43</t>
  </si>
  <si>
    <t>3A_G-WI44</t>
  </si>
  <si>
    <t>3A_G-WI45</t>
  </si>
  <si>
    <t>3A_G-WI46</t>
  </si>
  <si>
    <t>3A_G-WI47</t>
  </si>
  <si>
    <t>3A_G-WI48</t>
  </si>
  <si>
    <t>3A_G-WI49</t>
  </si>
  <si>
    <t>3A_G-WI50</t>
  </si>
  <si>
    <t>RM shortage</t>
  </si>
  <si>
    <t>Lines</t>
  </si>
  <si>
    <t>PriorWkLine</t>
  </si>
  <si>
    <t>Calendar</t>
  </si>
  <si>
    <t>Start Production Date</t>
  </si>
  <si>
    <t>Planning Period(days)</t>
  </si>
  <si>
    <t>CalendarId</t>
  </si>
  <si>
    <t>TransDate</t>
  </si>
  <si>
    <t>Effectivity</t>
  </si>
  <si>
    <t>FromTime</t>
  </si>
  <si>
    <t>PropertyId</t>
  </si>
  <si>
    <t>ToTime</t>
  </si>
  <si>
    <t>StartShiftDateTime</t>
  </si>
  <si>
    <t>Duration</t>
  </si>
  <si>
    <t>Date</t>
  </si>
  <si>
    <t>Total Hours</t>
  </si>
  <si>
    <t>Selected Calendar</t>
  </si>
  <si>
    <t>WorkingTimesLine 4122018 032453 am-74.xlsx</t>
  </si>
  <si>
    <t>RM required per machine</t>
  </si>
  <si>
    <t>S1CS05565-WS</t>
  </si>
  <si>
    <t>Column1</t>
  </si>
  <si>
    <t>Column2</t>
  </si>
  <si>
    <t>Wax Quantity</t>
  </si>
  <si>
    <t>PO</t>
  </si>
  <si>
    <t>PreAllocation</t>
  </si>
  <si>
    <t>Diff</t>
  </si>
  <si>
    <t>S1CS05669-WS</t>
  </si>
  <si>
    <t>S0RM06655</t>
  </si>
  <si>
    <t>S1CS05670-WS</t>
  </si>
  <si>
    <t>S0RM06656</t>
  </si>
  <si>
    <t>S1CS05668-WS</t>
  </si>
  <si>
    <t>S0RM06654</t>
  </si>
  <si>
    <t>S1CS05229-56-WS</t>
  </si>
  <si>
    <t>S0RM06085-56</t>
  </si>
  <si>
    <t>S1CS04755-WS</t>
  </si>
  <si>
    <t>S1CS03322-WS</t>
  </si>
  <si>
    <t>S1CS03709-WS</t>
  </si>
  <si>
    <t>S1CS03710-WS</t>
  </si>
  <si>
    <t>S1CS04784-WS</t>
  </si>
  <si>
    <t>S1CS06295-WS</t>
  </si>
  <si>
    <t>S1CS06296-WS</t>
  </si>
  <si>
    <t>S0RM07495</t>
  </si>
  <si>
    <t>S1CS06088-WS</t>
  </si>
  <si>
    <t>S0RM07216</t>
  </si>
  <si>
    <t>S1CS05853-WS</t>
  </si>
  <si>
    <t>S1CS06414-WS</t>
  </si>
  <si>
    <t>S1CS06424-WS</t>
  </si>
  <si>
    <t>S1CS06430-WS</t>
  </si>
  <si>
    <t>S1CS06003-WS</t>
  </si>
  <si>
    <t>S1CS06412-WS</t>
  </si>
  <si>
    <t>S1CS06428-WS</t>
  </si>
  <si>
    <t>S1CS06400-WS</t>
  </si>
  <si>
    <t>S1CS04781-WS</t>
  </si>
  <si>
    <t>S0RM04633</t>
  </si>
  <si>
    <t>S1CS06427-WS</t>
  </si>
  <si>
    <t>S0RM07693</t>
  </si>
  <si>
    <t>14,15,18</t>
  </si>
  <si>
    <t>S1CS04785-WS</t>
  </si>
  <si>
    <t>S0RM04637</t>
  </si>
  <si>
    <t>S1CS06402-WS</t>
  </si>
  <si>
    <t>S1CS04787-WS</t>
  </si>
  <si>
    <t>S0RM04639</t>
  </si>
  <si>
    <t>CS-Part</t>
  </si>
  <si>
    <t>Cell WA</t>
  </si>
  <si>
    <t>S1CS06386-WS</t>
  </si>
  <si>
    <t>S1CS06394-WS</t>
  </si>
  <si>
    <t>S1CS06395-WS</t>
  </si>
  <si>
    <t>S1CS04786-WS</t>
  </si>
  <si>
    <t>S0RM04638</t>
  </si>
  <si>
    <t>S1CS04394-WS</t>
  </si>
  <si>
    <t>S1CS04395-WS</t>
  </si>
  <si>
    <t>S1CS06297-WS</t>
  </si>
  <si>
    <t>S0RM07496-AA</t>
  </si>
  <si>
    <t>S1CS06342-WS</t>
  </si>
  <si>
    <t>S1CS04754-WS</t>
  </si>
  <si>
    <t>S1CS00699-WS</t>
  </si>
  <si>
    <t>S1CS06086-WS</t>
  </si>
  <si>
    <t>S0RM07214</t>
  </si>
  <si>
    <t>S1CS04753-WS</t>
  </si>
  <si>
    <t>S1CS06087-WS</t>
  </si>
  <si>
    <t>S0RM07215</t>
  </si>
  <si>
    <t>S1CS03205-WS</t>
  </si>
  <si>
    <t>S1CS00475-WS</t>
  </si>
  <si>
    <t>S1CS04778-WS</t>
  </si>
  <si>
    <t>S1CS05709-WS</t>
  </si>
  <si>
    <t>S1CS03342-WS</t>
  </si>
  <si>
    <t>S0RM04636</t>
  </si>
  <si>
    <t>S1CS06094-WS</t>
  </si>
  <si>
    <t>S0RM07222</t>
  </si>
  <si>
    <t>S0RM04630</t>
  </si>
  <si>
    <t>S1CS05541-WS</t>
  </si>
  <si>
    <t>S0RM06501</t>
  </si>
  <si>
    <t>S1CS05085-54-WS</t>
  </si>
  <si>
    <t>S0RM05848-54</t>
  </si>
  <si>
    <t>S1CS06002-WS</t>
  </si>
  <si>
    <t>S1CS03062-WS</t>
  </si>
  <si>
    <t>S0RM03047</t>
  </si>
  <si>
    <t>S1CS03063-WS</t>
  </si>
  <si>
    <t>S0RM03048</t>
  </si>
  <si>
    <t>S1CS06289-WS</t>
  </si>
  <si>
    <t>S0RM07485</t>
  </si>
  <si>
    <t>S1CS05229-52-WS</t>
  </si>
  <si>
    <t>S0RM06085-52</t>
  </si>
  <si>
    <t>S1CS06111-WS</t>
  </si>
  <si>
    <t>S0RM07246</t>
  </si>
  <si>
    <t>S1CS06028-56-WS</t>
  </si>
  <si>
    <t>S1CS03049-WS</t>
  </si>
  <si>
    <t>S0RM03203</t>
  </si>
  <si>
    <t>S1CS03053-WS</t>
  </si>
  <si>
    <t>S0RM03038</t>
  </si>
  <si>
    <t>S1CS04780-WS</t>
  </si>
  <si>
    <t>S0RM04632</t>
  </si>
  <si>
    <t>S0RM07694</t>
  </si>
  <si>
    <t>S1CS06358-WS</t>
  </si>
  <si>
    <t>S1CS06288-WS</t>
  </si>
  <si>
    <t>S0RM07484</t>
  </si>
  <si>
    <t>S1CS06356-WS</t>
  </si>
  <si>
    <t>S1CS05229-58-WS</t>
  </si>
  <si>
    <t>S1CS06393-WS</t>
  </si>
  <si>
    <t>S0RM07632</t>
  </si>
  <si>
    <t>S1CS05492-WS</t>
  </si>
  <si>
    <t>S0RM06441</t>
  </si>
  <si>
    <t>S1CS00284-WS</t>
  </si>
  <si>
    <t>S1CS06112-WS</t>
  </si>
  <si>
    <t>S0RM07247</t>
  </si>
  <si>
    <t>S1CS04318-WS</t>
  </si>
  <si>
    <t>S0RM04139</t>
  </si>
  <si>
    <t>S1CS04587-WS</t>
  </si>
  <si>
    <t>S0RM04383</t>
  </si>
  <si>
    <t>S1CS04808-52-WS</t>
  </si>
  <si>
    <t>S1CS04779-WS</t>
  </si>
  <si>
    <t>S0RM07522</t>
  </si>
  <si>
    <t>S1CS04248-WS</t>
  </si>
  <si>
    <t>S1CS04247-WS</t>
  </si>
  <si>
    <t>S1CS04039-WS</t>
  </si>
  <si>
    <t>S0RM03917</t>
  </si>
  <si>
    <t>S1CS05892-WS</t>
  </si>
  <si>
    <t>S1CS04502-WS</t>
  </si>
  <si>
    <t>S0RM07494</t>
  </si>
  <si>
    <t>S1CS04503-WS</t>
  </si>
  <si>
    <t>S1CS06317-WS</t>
  </si>
  <si>
    <t>S0RM07521</t>
  </si>
  <si>
    <t>S1CS05893-WS</t>
  </si>
  <si>
    <t>S0RM07095</t>
  </si>
  <si>
    <t>S0RM07567</t>
  </si>
  <si>
    <t>S0RM07094</t>
  </si>
  <si>
    <t>S1CS04665-WS</t>
  </si>
  <si>
    <t>S1CS04664-WS</t>
  </si>
  <si>
    <t>S0RM07565</t>
  </si>
  <si>
    <t>S0RM07128-56</t>
  </si>
  <si>
    <t>S1CS06329-WS</t>
  </si>
  <si>
    <t>S1CS06332-WS</t>
  </si>
  <si>
    <t>S1CS06327-WS</t>
  </si>
  <si>
    <t>S1CS06006-WS</t>
  </si>
  <si>
    <t>S0RM07098</t>
  </si>
  <si>
    <t>S1CS05359-WS</t>
  </si>
  <si>
    <t>S1CS03174-WS</t>
  </si>
  <si>
    <t>S0RM03159</t>
  </si>
  <si>
    <t>S1CS00317-WS</t>
  </si>
  <si>
    <t>S1CS03176-WS</t>
  </si>
  <si>
    <t>S0RM03161</t>
  </si>
  <si>
    <t>S1CS03544-WS</t>
  </si>
  <si>
    <t>S0RM04439</t>
  </si>
  <si>
    <t>S1CS00316-WS</t>
  </si>
  <si>
    <t>S1CS04261-WS</t>
  </si>
  <si>
    <t>S1CS03175-WS</t>
  </si>
  <si>
    <t>S0RM03160</t>
  </si>
  <si>
    <t>S1CS06028-58-WS</t>
  </si>
  <si>
    <t>S0RM07128-58</t>
  </si>
  <si>
    <t>S1CS03856-WS</t>
  </si>
  <si>
    <t>S1CS06141-WS</t>
  </si>
  <si>
    <t>S1CS05584-WS</t>
  </si>
  <si>
    <t>S1CS05946-WS</t>
  </si>
  <si>
    <t>S0RM07032</t>
  </si>
  <si>
    <t>S1CS05788-WS</t>
  </si>
  <si>
    <t>S0RM06824</t>
  </si>
  <si>
    <t>S1CS05585-WS</t>
  </si>
  <si>
    <t>S0RM06910</t>
  </si>
  <si>
    <t>S1CS06444-WS</t>
  </si>
  <si>
    <t>S1CS06357-WS</t>
  </si>
  <si>
    <t>S0RM07566</t>
  </si>
  <si>
    <t>S1CS06143-WS</t>
  </si>
  <si>
    <t>S1CS00737-WS</t>
  </si>
  <si>
    <t>S1CS06492-WS</t>
  </si>
  <si>
    <t>S1CS06491-WS</t>
  </si>
  <si>
    <t>S1CS06601-WS</t>
  </si>
  <si>
    <t>S0RM07889-AA</t>
  </si>
  <si>
    <t>S1CS06462-WS</t>
  </si>
  <si>
    <t>S0RM07738</t>
  </si>
  <si>
    <t>S1CS05894-WS</t>
  </si>
  <si>
    <t>S1CS06508-WS</t>
  </si>
  <si>
    <t>S1CS06507-WS</t>
  </si>
  <si>
    <t>S1CS00556-WS</t>
  </si>
  <si>
    <t>S1CS04656-WS</t>
  </si>
  <si>
    <t>S0RM04473</t>
  </si>
  <si>
    <t>S1CS00315-WS</t>
  </si>
  <si>
    <t>S1CS06463-WS</t>
  </si>
  <si>
    <t>S0RM07739</t>
  </si>
  <si>
    <t>S1CS05978-WS</t>
  </si>
  <si>
    <t>S1CS06493-WS</t>
  </si>
  <si>
    <t>S1CS06511-WS</t>
  </si>
  <si>
    <t>S0RM07796</t>
  </si>
  <si>
    <t>S1CS06510-WS</t>
  </si>
  <si>
    <t>S0RM07795</t>
  </si>
  <si>
    <t>S1CS06464-WS</t>
  </si>
  <si>
    <t>S0RM07740</t>
  </si>
  <si>
    <t>S1CS03467-WS</t>
  </si>
  <si>
    <t>RMPerMachine</t>
  </si>
  <si>
    <t>S1CS06145-WS</t>
  </si>
  <si>
    <t>S1CS06442-WS</t>
  </si>
  <si>
    <t>S0RM07709</t>
  </si>
  <si>
    <t>S1CS05170-WS</t>
  </si>
  <si>
    <t>S0RM06003</t>
  </si>
  <si>
    <t>S1CS06621-WS</t>
  </si>
  <si>
    <t>S0RM07920-AA</t>
  </si>
  <si>
    <t>S1CS06620-WS</t>
  </si>
  <si>
    <t>S0RM07919-AA</t>
  </si>
  <si>
    <t>S1CS05919-WS</t>
  </si>
  <si>
    <t>S0RM06996</t>
  </si>
  <si>
    <t>S1CS00292-WS</t>
  </si>
  <si>
    <t>S1CS03504-WS</t>
  </si>
  <si>
    <t>S0RM03424</t>
  </si>
  <si>
    <t>S1CS03006-WS</t>
  </si>
  <si>
    <t>S0RM03198</t>
  </si>
  <si>
    <t>S1CS06209-WS</t>
  </si>
  <si>
    <t>S1CS06210-WS</t>
  </si>
  <si>
    <t>S1CS06385-WS</t>
  </si>
  <si>
    <t>S0RM07612</t>
  </si>
  <si>
    <t>S1CS05229-54-WS</t>
  </si>
  <si>
    <t>S0RM06085-54</t>
  </si>
  <si>
    <t>S1CS03061-WS</t>
  </si>
  <si>
    <t>S0RM03046</t>
  </si>
  <si>
    <t>S1CS05852-WS</t>
  </si>
  <si>
    <t>S0RM06909</t>
  </si>
  <si>
    <t>S1CS06382-WS</t>
  </si>
  <si>
    <t>S0RM07609</t>
  </si>
  <si>
    <t>%KeyJoin</t>
  </si>
  <si>
    <t>RMPerMachineCal</t>
  </si>
  <si>
    <t>S1CS03003-WS</t>
  </si>
  <si>
    <t>S1CS00197-WS</t>
  </si>
  <si>
    <t>S1CS00201-WS</t>
  </si>
  <si>
    <t>S1CS06144-WS</t>
  </si>
  <si>
    <t>S1CS05979-WS</t>
  </si>
  <si>
    <t>S1CS03002-WS</t>
  </si>
  <si>
    <t>S1CS00198-WS</t>
  </si>
  <si>
    <t>S1CS00202-WS</t>
  </si>
  <si>
    <t>S1CS05080-56-WS</t>
  </si>
  <si>
    <t>S0RM05843-56</t>
  </si>
  <si>
    <t>S0RM04631</t>
  </si>
  <si>
    <t>S0RM04087</t>
  </si>
  <si>
    <t>S0RM04088</t>
  </si>
  <si>
    <t>S1CS03714-WS</t>
  </si>
  <si>
    <t>S0RM06962</t>
  </si>
  <si>
    <t>S1CS03715-WS</t>
  </si>
  <si>
    <t>S0RM06718</t>
  </si>
  <si>
    <t>S0RM06085-58</t>
  </si>
  <si>
    <t>S1CS06307-WS</t>
  </si>
  <si>
    <t>S1CS04876-WS</t>
  </si>
  <si>
    <t>S0RM05597</t>
  </si>
  <si>
    <t>S1CS05168-WS</t>
  </si>
  <si>
    <t>S0RM06001</t>
  </si>
  <si>
    <t>S1CS06306-WS</t>
  </si>
  <si>
    <t>S1CS06021-56-WS</t>
  </si>
  <si>
    <t>S1CS04583-WS</t>
  </si>
  <si>
    <t>S0RM04379</t>
  </si>
  <si>
    <t>S1CS06021-52-WS</t>
  </si>
  <si>
    <t>S0RM07117-52</t>
  </si>
  <si>
    <t>S1CS04875-WS</t>
  </si>
  <si>
    <t>S0RM05596</t>
  </si>
  <si>
    <t>S0RM07640</t>
  </si>
  <si>
    <t>S1CS05865-WS</t>
  </si>
  <si>
    <t>S1CS00291-WS</t>
  </si>
  <si>
    <t>S1CS04509-WS</t>
  </si>
  <si>
    <t>S1CS06335-WS</t>
  </si>
  <si>
    <t>S1CS05695-WS</t>
  </si>
  <si>
    <t>S1CS06399-WS</t>
  </si>
  <si>
    <t>S0RM07639</t>
  </si>
  <si>
    <t>S1CS04559-WS</t>
  </si>
  <si>
    <t>S0RM04354</t>
  </si>
  <si>
    <t>S1CS05100-WS</t>
  </si>
  <si>
    <t>S1CS06416-WS</t>
  </si>
  <si>
    <t>S0RM07668</t>
  </si>
  <si>
    <t>S1CS06417-WS</t>
  </si>
  <si>
    <t>S0RM07669</t>
  </si>
  <si>
    <t>S1CS03344-WS</t>
  </si>
  <si>
    <t>S1CS03490-WS</t>
  </si>
  <si>
    <t>S1CS04310-WS</t>
  </si>
  <si>
    <t>S1CS05867-WS</t>
  </si>
  <si>
    <t>S1CS00560-WS</t>
  </si>
  <si>
    <t>S1CS03505-WS</t>
  </si>
  <si>
    <t>S0RM03425</t>
  </si>
  <si>
    <t>S1CS05226-WS</t>
  </si>
  <si>
    <t>S0RM06081</t>
  </si>
  <si>
    <t>S1CS06334-WS</t>
  </si>
  <si>
    <t>S1CS06133-WS</t>
  </si>
  <si>
    <t>S0RM07274</t>
  </si>
  <si>
    <t>S1CS05225-WS</t>
  </si>
  <si>
    <t>S0RM06080</t>
  </si>
  <si>
    <t>S1CS05080-52-WS</t>
  </si>
  <si>
    <t>S0RM05843-52</t>
  </si>
  <si>
    <t>S1CS03492-WS</t>
  </si>
  <si>
    <t>S0RM03412</t>
  </si>
  <si>
    <t>S1CS03491-WS</t>
  </si>
  <si>
    <t>S0RM03411</t>
  </si>
  <si>
    <t>S1CS03343-WS</t>
  </si>
  <si>
    <t>S1CS03506-WS</t>
  </si>
  <si>
    <t>S0RM03426</t>
  </si>
  <si>
    <t>S1CS06134-WS</t>
  </si>
  <si>
    <t>S0RM07275</t>
  </si>
  <si>
    <t>S1CS05953-WS</t>
  </si>
  <si>
    <t>S1CS06230-WS</t>
  </si>
  <si>
    <t>S0RM07412</t>
  </si>
  <si>
    <t>S1CS05072-WS</t>
  </si>
  <si>
    <t>S0RM05835</t>
  </si>
  <si>
    <t>S1CS05229-48-WS</t>
  </si>
  <si>
    <t>S0RM06085-48</t>
  </si>
  <si>
    <t>S1CS05229-60-WS</t>
  </si>
  <si>
    <t>S0RM06085-60</t>
  </si>
  <si>
    <t>S1CS06090-WS</t>
  </si>
  <si>
    <t>S0RM07218</t>
  </si>
  <si>
    <t>S1CS06647-WS</t>
  </si>
  <si>
    <t>S0RM07956-AA</t>
  </si>
  <si>
    <t>S1CS06614-WS</t>
  </si>
  <si>
    <t>S0RM07907-AA</t>
  </si>
  <si>
    <t>S1CS06672-WS</t>
  </si>
  <si>
    <t>S1CS06612-WS</t>
  </si>
  <si>
    <t>S0RM07905-AA</t>
  </si>
  <si>
    <t>S1CS06682-WS</t>
  </si>
  <si>
    <t>S1CS06663-WS</t>
  </si>
  <si>
    <t>S1CS06674-WS</t>
  </si>
  <si>
    <t>S1CS06611-WS</t>
  </si>
  <si>
    <t>S1CS06645-WS</t>
  </si>
  <si>
    <t>S1CS06679-WS</t>
  </si>
  <si>
    <t>S1CS06648-WS</t>
  </si>
  <si>
    <t>S1CS06634-WS</t>
  </si>
  <si>
    <t>S1CS06671-WS</t>
  </si>
  <si>
    <t>S1CS06633-WS</t>
  </si>
  <si>
    <t>S1CS06677-WS</t>
  </si>
  <si>
    <t>S1CS06635-WS</t>
  </si>
  <si>
    <t>S1CS06669-WS</t>
  </si>
  <si>
    <t>S1CS06678-WS</t>
  </si>
  <si>
    <t>S1CS06662-WS</t>
  </si>
  <si>
    <t>S1CS06608-WS</t>
  </si>
  <si>
    <t>S1CS06610-WS</t>
  </si>
  <si>
    <t>S1CS06667-WS</t>
  </si>
  <si>
    <t>S1CS06646-WS</t>
  </si>
  <si>
    <t>S1CS06609-WS</t>
  </si>
  <si>
    <t>S1CS06136-WS</t>
  </si>
  <si>
    <t>S0RM07277</t>
  </si>
  <si>
    <t>S1CS06138-WS</t>
  </si>
  <si>
    <t>S0RM07279</t>
  </si>
  <si>
    <t>S1CS06137-WS</t>
  </si>
  <si>
    <t>S0RM07278</t>
  </si>
  <si>
    <t>S0RM06963</t>
  </si>
  <si>
    <t>S1CS06497-WS</t>
  </si>
  <si>
    <t>S0RM07780</t>
  </si>
  <si>
    <t>S1CS06471-WS</t>
  </si>
  <si>
    <t>S0RM07746</t>
  </si>
  <si>
    <t>S1CS06472-WS</t>
  </si>
  <si>
    <t>S0RM07747</t>
  </si>
  <si>
    <t>S0RM07285</t>
  </si>
  <si>
    <t>S1CS06270-48-WS</t>
  </si>
  <si>
    <t>S0RM07465-48</t>
  </si>
  <si>
    <t>S0RM07507</t>
  </si>
  <si>
    <t>S1CS06135-WS</t>
  </si>
  <si>
    <t>S0RM07276</t>
  </si>
  <si>
    <t>S1CS04510-WS</t>
  </si>
  <si>
    <t>S0RM04267</t>
  </si>
  <si>
    <t>S1CS06473-WS</t>
  </si>
  <si>
    <t>S0RM07748</t>
  </si>
  <si>
    <t>S0RM07282</t>
  </si>
  <si>
    <t>S0RM07284</t>
  </si>
  <si>
    <t>S0RM07386</t>
  </si>
  <si>
    <t>S0RM07387</t>
  </si>
  <si>
    <t>S1CS05694-WS</t>
  </si>
  <si>
    <t>S1CS05696-WS</t>
  </si>
  <si>
    <t>S0RM06256-AA</t>
  </si>
  <si>
    <t>S0RM07506</t>
  </si>
  <si>
    <t>S0RM07117-56</t>
  </si>
  <si>
    <t>S1CS05080-48-WS</t>
  </si>
  <si>
    <t>S0RM05843-48</t>
  </si>
  <si>
    <t>S1CS05080-60-WS</t>
  </si>
  <si>
    <t>S0RM05843-60</t>
  </si>
  <si>
    <t>S0RM06964</t>
  </si>
  <si>
    <t>S0RM05941</t>
  </si>
  <si>
    <t>S0RM07792</t>
  </si>
  <si>
    <t>S0RM07793</t>
  </si>
  <si>
    <t>S1CS04511-WS</t>
  </si>
  <si>
    <t>S0RM04268</t>
  </si>
  <si>
    <t>S1CS06208-WS</t>
  </si>
  <si>
    <t>S1CS06687-WS</t>
  </si>
  <si>
    <t>S1CS05392-WS</t>
  </si>
  <si>
    <t>S0RM06299</t>
  </si>
  <si>
    <t>S1CS06523-WS</t>
  </si>
  <si>
    <t>S0RM07811-AA</t>
  </si>
  <si>
    <t>S1CS05101-WS</t>
  </si>
  <si>
    <t>S0RM05942</t>
  </si>
  <si>
    <t>S1CS05542-WS</t>
  </si>
  <si>
    <t>S0RM06502</t>
  </si>
  <si>
    <t>S1CS06537-WS</t>
  </si>
  <si>
    <t>S0RM07822-AA</t>
  </si>
  <si>
    <t>S1CS06517-WS</t>
  </si>
  <si>
    <t>S0RM07805</t>
  </si>
  <si>
    <t>S1CS06516-WS</t>
  </si>
  <si>
    <t>S0RM07804</t>
  </si>
  <si>
    <t>S1CS00257-WS</t>
  </si>
  <si>
    <t>S1CS05405-WS</t>
  </si>
  <si>
    <t>S0RM06314</t>
  </si>
  <si>
    <t>S1CS05406-WS</t>
  </si>
  <si>
    <t>S0RM06315</t>
  </si>
  <si>
    <t>S1CS00489-WS</t>
  </si>
  <si>
    <t>S1CS06538-WS</t>
  </si>
  <si>
    <t>S0RM07823-AA</t>
  </si>
  <si>
    <t>S1CS00207-WS</t>
  </si>
  <si>
    <t>S1CS06589-WS</t>
  </si>
  <si>
    <t>S0RM07877-AA</t>
  </si>
  <si>
    <t>S1CS00256-WS</t>
  </si>
  <si>
    <t>S1CS00208-WS</t>
  </si>
  <si>
    <t>S1CS06247-WS</t>
  </si>
  <si>
    <t>S0RM07440</t>
  </si>
  <si>
    <t>S1CS06547-WS</t>
  </si>
  <si>
    <t>S0RM07826-AA</t>
  </si>
  <si>
    <t>S1CS03411-WS</t>
  </si>
  <si>
    <t>S1CS06562-WS</t>
  </si>
  <si>
    <t>S0RM07846-AA</t>
  </si>
  <si>
    <t>S1CS06191-WS</t>
  </si>
  <si>
    <t>S0RM07359</t>
  </si>
  <si>
    <t>S1CS04442-WS</t>
  </si>
  <si>
    <t>S1CS05949-WS</t>
  </si>
  <si>
    <t>S1CS03623-WS</t>
  </si>
  <si>
    <t>S1CS03319-WS</t>
  </si>
  <si>
    <t>S1CS06270-52-WS</t>
  </si>
  <si>
    <t>S0RM07465-52</t>
  </si>
  <si>
    <t>S1CS03325-WS</t>
  </si>
  <si>
    <t>S1CS03329-WS</t>
  </si>
  <si>
    <t>S1CS06588-WS</t>
  </si>
  <si>
    <t>S0RM07876-AA</t>
  </si>
  <si>
    <t>S1CS03126-WS</t>
  </si>
  <si>
    <t>S1CS06539-WS</t>
  </si>
  <si>
    <t>S0RM07824-AA</t>
  </si>
  <si>
    <t>S1CS03312-WS</t>
  </si>
  <si>
    <t>S0RM03233</t>
  </si>
  <si>
    <t>S1CS06561-WS</t>
  </si>
  <si>
    <t>S0RM07845-AA</t>
  </si>
  <si>
    <t>S1CS03007-WS</t>
  </si>
  <si>
    <t>S0RM03003</t>
  </si>
  <si>
    <t>S1CS03327-WS</t>
  </si>
  <si>
    <t>S1CS05794-WS</t>
  </si>
  <si>
    <t>S0RM06830</t>
  </si>
  <si>
    <t>S1CS05540-WS</t>
  </si>
  <si>
    <t>S0RM06500</t>
  </si>
  <si>
    <t>S1CS06255-WS</t>
  </si>
  <si>
    <t>S0RM07448</t>
  </si>
  <si>
    <t>S1CS06524-WS</t>
  </si>
  <si>
    <t>S0RM07812-AA</t>
  </si>
  <si>
    <t>S1CS00491-WS</t>
  </si>
  <si>
    <t>S1CS04093-WS</t>
  </si>
  <si>
    <t>S0RM03971</t>
  </si>
  <si>
    <t>S1CS04090-WS</t>
  </si>
  <si>
    <t>S1CS06602-WS</t>
  </si>
  <si>
    <t>S0RM07890-AA</t>
  </si>
  <si>
    <t>S1CS05085-56-WS</t>
  </si>
  <si>
    <t>S0RM05848-56</t>
  </si>
  <si>
    <t>S1CS05085-52-WS</t>
  </si>
  <si>
    <t>S0RM05848-52</t>
  </si>
  <si>
    <t>S1CS05085-58-WS</t>
  </si>
  <si>
    <t>S0RM05848-58</t>
  </si>
  <si>
    <t>S1CS06030-WS</t>
  </si>
  <si>
    <t>S0RM07130</t>
  </si>
  <si>
    <t>S1CS06244-WS</t>
  </si>
  <si>
    <t>S0RM07437</t>
  </si>
  <si>
    <t>S1CS03313-WS</t>
  </si>
  <si>
    <t>S0RM03234</t>
  </si>
  <si>
    <t>S1CS03625-WS</t>
  </si>
  <si>
    <t>S1CS06246-WS</t>
  </si>
  <si>
    <t>S0RM07439</t>
  </si>
  <si>
    <t>S1CS03124-WS</t>
  </si>
  <si>
    <t>S1CS03182-WS</t>
  </si>
  <si>
    <t>S1CS03624-WS</t>
  </si>
  <si>
    <t>S1CS03412-WS</t>
  </si>
  <si>
    <t>S1CS04042-WS</t>
  </si>
  <si>
    <t>S0RM03920</t>
  </si>
  <si>
    <t>S1CS03626-WS</t>
  </si>
  <si>
    <t>S1CS03410-WS</t>
  </si>
  <si>
    <t>S1CS05611-WS</t>
  </si>
  <si>
    <t>S1CS03206-WS</t>
  </si>
  <si>
    <t>S1CS06585-WS</t>
  </si>
  <si>
    <t>S0RM07873-AA</t>
  </si>
  <si>
    <t>S1CS06584-WS</t>
  </si>
  <si>
    <t>S0RM07872-AA</t>
  </si>
  <si>
    <t>S1CS05038-WS</t>
  </si>
  <si>
    <t>S0RM05787</t>
  </si>
  <si>
    <t>S1CS05391-WS</t>
  </si>
  <si>
    <t>S1CS00107-WS</t>
  </si>
  <si>
    <t>S1CS05816-WS</t>
  </si>
  <si>
    <t>S0RM06863</t>
  </si>
  <si>
    <t>S1CS06330-WS</t>
  </si>
  <si>
    <t>S1CS06328-WS</t>
  </si>
  <si>
    <t>S1CS05684-WS</t>
  </si>
  <si>
    <t>S1CS06373-WS</t>
  </si>
  <si>
    <t>S1CS05073-WS</t>
  </si>
  <si>
    <t>S0RM05836</t>
  </si>
  <si>
    <t>S1CS05074-WS</t>
  </si>
  <si>
    <t>S0RM05837</t>
  </si>
  <si>
    <t>S1CS05685-WS</t>
  </si>
  <si>
    <t>S0RM06676</t>
  </si>
  <si>
    <t>S1CS04440-WS</t>
  </si>
  <si>
    <t>S1CS03297-WS</t>
  </si>
  <si>
    <t>S1CS03300-WS</t>
  </si>
  <si>
    <t>S1CS04848-WS</t>
  </si>
  <si>
    <t>S1CS03103-WS</t>
  </si>
  <si>
    <t>S1CS06362-WS</t>
  </si>
  <si>
    <t>S0RM07571</t>
  </si>
  <si>
    <t>S1CS05947-WS</t>
  </si>
  <si>
    <t>S1CS04654-WS</t>
  </si>
  <si>
    <t>S0RM04471</t>
  </si>
  <si>
    <t>S1CS05358-WS</t>
  </si>
  <si>
    <t>S1CS03125-WS</t>
  </si>
  <si>
    <t>S1CS00490-WS</t>
  </si>
  <si>
    <t>S1CS05493-WS</t>
  </si>
  <si>
    <t>S0RM06442</t>
  </si>
  <si>
    <t>S1CS03293-WS</t>
  </si>
  <si>
    <t>S1CS05619-WS</t>
  </si>
  <si>
    <t>S1CS00313-WS</t>
  </si>
  <si>
    <t>S1CS06496-WS</t>
  </si>
  <si>
    <t>S0RM07779</t>
  </si>
  <si>
    <t>S1CS05948-WS</t>
  </si>
  <si>
    <t>S1CS05499-WS</t>
  </si>
  <si>
    <t>S1CS03290-WS</t>
  </si>
  <si>
    <t>S1CS03102-WS</t>
  </si>
  <si>
    <t>S1CS06021-50-WS</t>
  </si>
  <si>
    <t>S0RM07117-50</t>
  </si>
  <si>
    <t>S1CS05215-WS</t>
  </si>
  <si>
    <t>S0RM06067</t>
  </si>
  <si>
    <t>S1CS06031-WS</t>
  </si>
  <si>
    <t>S0RM07131</t>
  </si>
  <si>
    <t>S1CS05620-WS</t>
  </si>
  <si>
    <t>S1CS05795-WS</t>
  </si>
  <si>
    <t>S0RM06831</t>
  </si>
  <si>
    <t>S1CS05713-WS</t>
  </si>
  <si>
    <t>S0RM06725</t>
  </si>
  <si>
    <t>S1CS03123-WS</t>
  </si>
  <si>
    <t>S1CS05501-60-WS</t>
  </si>
  <si>
    <t>S0RM06452-60</t>
  </si>
  <si>
    <t>S1CS05654-WS</t>
  </si>
  <si>
    <t>S1CS05653-WS</t>
  </si>
  <si>
    <t>S1CS00474-WS</t>
  </si>
  <si>
    <t>S1CS06305-WS</t>
  </si>
  <si>
    <t>S0RM07505</t>
  </si>
  <si>
    <t>S1CS01156-WS</t>
  </si>
  <si>
    <t>S1CS03148-WS</t>
  </si>
  <si>
    <t>S1CS05080-50-WS</t>
  </si>
  <si>
    <t>S0RM05843-50</t>
  </si>
  <si>
    <t>S1CS03180-WS</t>
  </si>
  <si>
    <t>S1CS03147-WS</t>
  </si>
  <si>
    <t>S1CS05080-54-WS</t>
  </si>
  <si>
    <t>S0RM05843-54</t>
  </si>
  <si>
    <t>S1CS04609-WS</t>
  </si>
  <si>
    <t>S1CS06304-56-WS</t>
  </si>
  <si>
    <t>S0RM07504-56</t>
  </si>
  <si>
    <t>S1CS05229-50-WS</t>
  </si>
  <si>
    <t>S0RM06085-50</t>
  </si>
  <si>
    <t>S1CS04441-WS</t>
  </si>
  <si>
    <t>S1CS03181-WS</t>
  </si>
  <si>
    <t>S1CS06028-48-WS</t>
  </si>
  <si>
    <t>S0RM07128-48</t>
  </si>
  <si>
    <t>S1CS06361-WS</t>
  </si>
  <si>
    <t>S0RM07570</t>
  </si>
  <si>
    <t>S1CS04260-WS</t>
  </si>
  <si>
    <t>S1CS03122-WS</t>
  </si>
  <si>
    <t>S1CS06190-WS</t>
  </si>
  <si>
    <t>S1CS06184-WS</t>
  </si>
  <si>
    <t>S1CS06287-50-WS</t>
  </si>
  <si>
    <t>S0RM07483-50</t>
  </si>
  <si>
    <t>S1CS06022-WS</t>
  </si>
  <si>
    <t>S0RM07118</t>
  </si>
  <si>
    <t>S1CS06374-WS</t>
  </si>
  <si>
    <t>S0RM07599</t>
  </si>
  <si>
    <t>S1CS06085-WS</t>
  </si>
  <si>
    <t>S0RM07213</t>
  </si>
  <si>
    <t>S1CS03149-WS</t>
  </si>
  <si>
    <t>S1CS05500-WS</t>
  </si>
  <si>
    <t>S1CS03349-WS</t>
  </si>
  <si>
    <t>S0RM03271</t>
  </si>
  <si>
    <t>S1CS05702-WS</t>
  </si>
  <si>
    <t>S1CS06403-WS</t>
  </si>
  <si>
    <t>S1CS04236-WS</t>
  </si>
  <si>
    <t>WSF</t>
  </si>
  <si>
    <t>S1CS03859-WS</t>
  </si>
  <si>
    <t>S1CS05037-WS</t>
  </si>
  <si>
    <t>S0RM05786</t>
  </si>
  <si>
    <t>S1CS06680-WS</t>
  </si>
  <si>
    <t>S0RM08006-AA</t>
  </si>
  <si>
    <t>S1CS04043-WS</t>
  </si>
  <si>
    <t>S1CS05396-WS</t>
  </si>
  <si>
    <t>S0RM06303</t>
  </si>
  <si>
    <t>S1CS05395-WS</t>
  </si>
  <si>
    <t>S0RM06302</t>
  </si>
  <si>
    <t>S1CS05297-WS</t>
  </si>
  <si>
    <t>S0RM06161</t>
  </si>
  <si>
    <t>S0RM07696</t>
  </si>
  <si>
    <t>S1CS06443-WS</t>
  </si>
  <si>
    <t>S0RM07957-AA</t>
  </si>
  <si>
    <t>S0RM07903-AA</t>
  </si>
  <si>
    <t>S1CS05232-WS</t>
  </si>
  <si>
    <t>S0RM06089</t>
  </si>
  <si>
    <t>S1CS00025-WS</t>
  </si>
  <si>
    <t>S1CS05826-WS</t>
  </si>
  <si>
    <t>S0RM06875</t>
  </si>
  <si>
    <t>S1CS05994-WS</t>
  </si>
  <si>
    <t>S1CS05995-WS</t>
  </si>
  <si>
    <t>S1CS04044-WS</t>
  </si>
  <si>
    <t>S0RM03922</t>
  </si>
  <si>
    <t>S1CS03375-WS</t>
  </si>
  <si>
    <t>S1CS04468-WS</t>
  </si>
  <si>
    <t>S1CS03009-WS</t>
  </si>
  <si>
    <t>S0RM03199</t>
  </si>
  <si>
    <t>S1CS05350-WS</t>
  </si>
  <si>
    <t>S0RM06244</t>
  </si>
  <si>
    <t>S1CS05825-WS</t>
  </si>
  <si>
    <t>S0RM06874</t>
  </si>
  <si>
    <t>S1CS03376-WS</t>
  </si>
  <si>
    <t>S1CS06564-WS</t>
  </si>
  <si>
    <t>S0RM07848-AA</t>
  </si>
  <si>
    <t>S1CS05993-WS</t>
  </si>
  <si>
    <t>S1CS04702-WS</t>
  </si>
  <si>
    <t>S1CS04467-WS</t>
  </si>
  <si>
    <t>S1CS03044-WS</t>
  </si>
  <si>
    <t>S1CS06563-WS</t>
  </si>
  <si>
    <t>S0RM07847-AA</t>
  </si>
  <si>
    <t>S1CS06599-WS</t>
  </si>
  <si>
    <t>S0RM07887-AA</t>
  </si>
  <si>
    <t>S1CS04089-WS</t>
  </si>
  <si>
    <t>S1CS06397-WS</t>
  </si>
  <si>
    <t>S1CS06398-WS</t>
  </si>
  <si>
    <t>S1CS03167-WS</t>
  </si>
  <si>
    <t>S0RM03152</t>
  </si>
  <si>
    <t>S0RM07904-AA</t>
  </si>
  <si>
    <t>S1CS03059-WS</t>
  </si>
  <si>
    <t>S0RM03044</t>
  </si>
  <si>
    <t>S1CS06681-WS</t>
  </si>
  <si>
    <t>S0RM08007-AA</t>
  </si>
  <si>
    <t>S1CS04094-WS</t>
  </si>
  <si>
    <t>S0RM03972</t>
  </si>
  <si>
    <t>S1CS04055-WS</t>
  </si>
  <si>
    <t>S0RM03933</t>
  </si>
  <si>
    <t>S1CS06560-WS</t>
  </si>
  <si>
    <t>S0RM07844-AA</t>
  </si>
  <si>
    <t>S1CS06233-WS</t>
  </si>
  <si>
    <t>S0RM07415</t>
  </si>
  <si>
    <t>S1CS03360-WS</t>
  </si>
  <si>
    <t>S1CS03361-WS</t>
  </si>
  <si>
    <t>S1CS00280-WS</t>
  </si>
  <si>
    <t>S1CS04154-WS</t>
  </si>
  <si>
    <t>S1CS03320-WS</t>
  </si>
  <si>
    <t>S1CS03309-WS</t>
  </si>
  <si>
    <t>S0RM03230</t>
  </si>
  <si>
    <t>S1CS03330-WS</t>
  </si>
  <si>
    <t>S1CS03048-WS</t>
  </si>
  <si>
    <t>S0RM03035</t>
  </si>
  <si>
    <t>S1CS05085-60-WS</t>
  </si>
  <si>
    <t>S0RM05848-60</t>
  </si>
  <si>
    <t>S0RM07988-AA</t>
  </si>
  <si>
    <t>S0RM07997-AA</t>
  </si>
  <si>
    <t>S1CS06613-WS</t>
  </si>
  <si>
    <t>S0RM07906-AA</t>
  </si>
  <si>
    <t>S0RM08008-AA</t>
  </si>
  <si>
    <t>S1CS04091-WS</t>
  </si>
  <si>
    <t>S1CS03045-WS</t>
  </si>
  <si>
    <t>S1CS06270-50-WS</t>
  </si>
  <si>
    <t>S0RM07465-50</t>
  </si>
  <si>
    <t>S1CS06044-WS</t>
  </si>
  <si>
    <t>S1CS04439-WS</t>
  </si>
  <si>
    <t>S1CS05140-WS</t>
  </si>
  <si>
    <t>S0RM05967</t>
  </si>
  <si>
    <t>S1CS03316-WS</t>
  </si>
  <si>
    <t>S1CS03308-WS</t>
  </si>
  <si>
    <t>S0RM03229</t>
  </si>
  <si>
    <t>S1CS06597-WS</t>
  </si>
  <si>
    <t>S0RM07885-AA</t>
  </si>
  <si>
    <t>S1CS04104-WS</t>
  </si>
  <si>
    <t>S1CS03324-WS</t>
  </si>
  <si>
    <t>S1CS04085-WS</t>
  </si>
  <si>
    <t>S1CS03437-WS</t>
  </si>
  <si>
    <t>S1CS03438-WS</t>
  </si>
  <si>
    <t>S1CS04776-WS</t>
  </si>
  <si>
    <t>S1CS05721-WS</t>
  </si>
  <si>
    <t>S0RM06742</t>
  </si>
  <si>
    <t>S1CS06509-WS</t>
  </si>
  <si>
    <t>S0RM07794</t>
  </si>
  <si>
    <t>S1CS05873-WS</t>
  </si>
  <si>
    <t>S1CS05205-WS</t>
  </si>
  <si>
    <t>S0RM06052</t>
  </si>
  <si>
    <t>S1CS06429-WS</t>
  </si>
  <si>
    <t>S0RM07695</t>
  </si>
  <si>
    <t>S0RM07987-AA</t>
  </si>
  <si>
    <t>S1CS04687-WS</t>
  </si>
  <si>
    <t>S1CS06649-WS</t>
  </si>
  <si>
    <t>S0RM07958-AA</t>
  </si>
  <si>
    <t>S0RM07999-AA</t>
  </si>
  <si>
    <t>S1CS06598-WS</t>
  </si>
  <si>
    <t>S0RM07886-AA</t>
  </si>
  <si>
    <t>S1CS04686-WS</t>
  </si>
  <si>
    <t>S1CS03991-WS</t>
  </si>
  <si>
    <t>S1CS03992-WS</t>
  </si>
  <si>
    <t>S0RM08015-AA</t>
  </si>
  <si>
    <t>S1CS05609-WS</t>
  </si>
  <si>
    <t>S1CS03305-WS</t>
  </si>
  <si>
    <t>S0RM07902-AA</t>
  </si>
  <si>
    <t>S0RM07996-AA</t>
  </si>
  <si>
    <t>S1CS06565-WS</t>
  </si>
  <si>
    <t>S0RM07849-AA</t>
  </si>
  <si>
    <t>S1CS06615-WS</t>
  </si>
  <si>
    <t>S0RM07908-AA</t>
  </si>
  <si>
    <t>S1CS03037-WS</t>
  </si>
  <si>
    <t>S0RM03029</t>
  </si>
  <si>
    <t>S1CS05349-WS</t>
  </si>
  <si>
    <t>S0RM06243</t>
  </si>
  <si>
    <t>S1CS03168-WS</t>
  </si>
  <si>
    <t>S0RM03153</t>
  </si>
  <si>
    <t>S1CS03169-WS</t>
  </si>
  <si>
    <t>S0RM03154</t>
  </si>
  <si>
    <t>S1CS03326-WS</t>
  </si>
  <si>
    <t>S1CS06110-WS</t>
  </si>
  <si>
    <t>S0RM07245</t>
  </si>
  <si>
    <t>S1CS06618-WS</t>
  </si>
  <si>
    <t>S0RM07911-AA</t>
  </si>
  <si>
    <t>S1CS05920-WS</t>
  </si>
  <si>
    <t>S0RM06997</t>
  </si>
  <si>
    <t>S1CS05085-50-WS</t>
  </si>
  <si>
    <t>S0RM05848-50</t>
  </si>
  <si>
    <t>S1CS00281-WS</t>
  </si>
  <si>
    <t>S0RM07939-AA</t>
  </si>
  <si>
    <t>S1CS03307-WS</t>
  </si>
  <si>
    <t>S0RM03228</t>
  </si>
  <si>
    <t>S1CS03311-WS</t>
  </si>
  <si>
    <t>S0RM03232</t>
  </si>
  <si>
    <t>S0RM07994-AA</t>
  </si>
  <si>
    <t>S0RM07992-AA</t>
  </si>
  <si>
    <t>S0RM08005-AA</t>
  </si>
  <si>
    <t>S0RM08004-AA</t>
  </si>
  <si>
    <t>S1CS05614-WS</t>
  </si>
  <si>
    <t>S1CS05613-WS</t>
  </si>
  <si>
    <t>S1CS05099-WS</t>
  </si>
  <si>
    <t>S0RM05934</t>
  </si>
  <si>
    <t>S1CS05164-WS</t>
  </si>
  <si>
    <t>S1CS05693-WS</t>
  </si>
  <si>
    <t>S1CS05296-WS</t>
  </si>
  <si>
    <t>S1CS06331-WS</t>
  </si>
  <si>
    <t>S1CS05623-WS</t>
  </si>
  <si>
    <t>S1CS00318-WS</t>
  </si>
  <si>
    <t>S1CS05705-WS</t>
  </si>
  <si>
    <t>S0RM06713</t>
  </si>
  <si>
    <t>S1CS05237-WS</t>
  </si>
  <si>
    <t>S0RM06095</t>
  </si>
  <si>
    <t>S1CS05622-WS</t>
  </si>
  <si>
    <t>S1CS06518-WS</t>
  </si>
  <si>
    <t>S1CS05491-WS</t>
  </si>
  <si>
    <t>S0RM06440</t>
  </si>
  <si>
    <t>S1CS04782-WS</t>
  </si>
  <si>
    <t>S0RM04634</t>
  </si>
  <si>
    <t>S1CS06021-54-WS</t>
  </si>
  <si>
    <t>S0RM07117-54</t>
  </si>
  <si>
    <t>S1CS06021-60-WS</t>
  </si>
  <si>
    <t>S0RM07117-60</t>
  </si>
  <si>
    <t>S1CS00565-WS</t>
  </si>
  <si>
    <t>S1CS06532-WS</t>
  </si>
  <si>
    <t>S1CS04775-WS</t>
  </si>
  <si>
    <t>S1CS06636-WS</t>
  </si>
  <si>
    <t>S0RM07940-AA</t>
  </si>
  <si>
    <t>S1CS04858-WS</t>
  </si>
  <si>
    <t>S1CS03200-WS</t>
  </si>
  <si>
    <t>S0RM03185</t>
  </si>
  <si>
    <t>S1CS06673-WS</t>
  </si>
  <si>
    <t>S0RM07998-AA</t>
  </si>
  <si>
    <t>S0RM07955-AA</t>
  </si>
  <si>
    <t>S0RM07901-AA</t>
  </si>
  <si>
    <t>S1CS04074-WS</t>
  </si>
  <si>
    <t>S0RM03952</t>
  </si>
  <si>
    <t>S1CS05238-WS</t>
  </si>
  <si>
    <t>S0RM06096</t>
  </si>
  <si>
    <t>S1CS06519-WS</t>
  </si>
  <si>
    <t>S0RM07807</t>
  </si>
  <si>
    <t>S1CS00035-WS</t>
  </si>
  <si>
    <t>S1CS03299-WS</t>
  </si>
  <si>
    <t>S0RM07937-AA</t>
  </si>
  <si>
    <t>S1CS06559-WS</t>
  </si>
  <si>
    <t>S0RM07843-AA</t>
  </si>
  <si>
    <t>S0RM08003-AA</t>
  </si>
  <si>
    <t>S1CS05559-WS</t>
  </si>
  <si>
    <t>S1CS00337-WS</t>
  </si>
  <si>
    <t>S1CS05951-WS</t>
  </si>
  <si>
    <t>S0RM07036</t>
  </si>
  <si>
    <t>S1CS04849-WS</t>
  </si>
  <si>
    <t>S1CS06570-WS</t>
  </si>
  <si>
    <t>S0RM07854-AA</t>
  </si>
  <si>
    <t>S1CS04774-WS</t>
  </si>
  <si>
    <t>S1CS05950-WS</t>
  </si>
  <si>
    <t>S0RM07035</t>
  </si>
  <si>
    <t>S1CS04789-WS</t>
  </si>
  <si>
    <t>S1CS06558-WS</t>
  </si>
  <si>
    <t>S0RM07842-AA</t>
  </si>
  <si>
    <t>S1CS04880-WS</t>
  </si>
  <si>
    <t>S0RM05603</t>
  </si>
  <si>
    <t>S0RM07938-AA</t>
  </si>
  <si>
    <t>S1CS04808-64-WS</t>
  </si>
  <si>
    <t>S1CS04808-44-WS</t>
  </si>
  <si>
    <t>S1CS04808-54-WS</t>
  </si>
  <si>
    <t>S1CS04808-46-WS</t>
  </si>
  <si>
    <t>S1CS04808-62-WS</t>
  </si>
  <si>
    <t>S1CS04788-WS</t>
  </si>
  <si>
    <t>S1CS06555-WS</t>
  </si>
  <si>
    <t>S0RM07839-AA</t>
  </si>
  <si>
    <t>S1CS06028-54-WS</t>
  </si>
  <si>
    <t>S0RM07128-54</t>
  </si>
  <si>
    <t>S1CS03166-WS</t>
  </si>
  <si>
    <t>S0RM03151</t>
  </si>
  <si>
    <t>S1CS05394-WS</t>
  </si>
  <si>
    <t>S0RM06301</t>
  </si>
  <si>
    <t>S1CS06028-60-WS</t>
  </si>
  <si>
    <t>S0RM07128-60</t>
  </si>
  <si>
    <t>S1CS06304-60-WS</t>
  </si>
  <si>
    <t>S0RM07504-60</t>
  </si>
  <si>
    <t>S1CS06287-60-WS</t>
  </si>
  <si>
    <t>S0RM07483-60</t>
  </si>
  <si>
    <t>S1CS03509-WS</t>
  </si>
  <si>
    <t>S1CS06298-WS</t>
  </si>
  <si>
    <t>S1CS03359-WS</t>
  </si>
  <si>
    <t>S1CS05992-WS</t>
  </si>
  <si>
    <t>S1CS04507-WS</t>
  </si>
  <si>
    <t>S0RM04264</t>
  </si>
  <si>
    <t>S1CS05501-50-WS</t>
  </si>
  <si>
    <t>S0RM06452-50</t>
  </si>
  <si>
    <t>S1CS06360-WS</t>
  </si>
  <si>
    <t>S0RM07569</t>
  </si>
  <si>
    <t>S1CS06396-WS</t>
  </si>
  <si>
    <t>S0RM07636</t>
  </si>
  <si>
    <t>S1CS03292-WS</t>
  </si>
  <si>
    <t>S1CS00306-WS</t>
  </si>
  <si>
    <t>S0RM07954-AA</t>
  </si>
  <si>
    <t>S1CS04508-WS</t>
  </si>
  <si>
    <t>S0RM04265</t>
  </si>
  <si>
    <t>S1CS05756-WS</t>
  </si>
  <si>
    <t>S0RM06781</t>
  </si>
  <si>
    <t>S1CS00533-WS</t>
  </si>
  <si>
    <t>S1CS00003-50-WS</t>
  </si>
  <si>
    <t>S1CS00003-52-WS</t>
  </si>
  <si>
    <t>S1CS00010-WS</t>
  </si>
  <si>
    <t>S0RM00015</t>
  </si>
  <si>
    <t>S1CS00011-WS</t>
  </si>
  <si>
    <t>S0RM00016</t>
  </si>
  <si>
    <t>S1CS00012-WS</t>
  </si>
  <si>
    <t>S0RM00017</t>
  </si>
  <si>
    <t>S1CS00013-WS</t>
  </si>
  <si>
    <t>S1CS00014-WS</t>
  </si>
  <si>
    <t>S0RM00019</t>
  </si>
  <si>
    <t>S1CS00015-WS</t>
  </si>
  <si>
    <t>S0RM00020</t>
  </si>
  <si>
    <t>S1CS00016-WS</t>
  </si>
  <si>
    <t>S0RM00021</t>
  </si>
  <si>
    <t>S1CS00017-WS</t>
  </si>
  <si>
    <t>S0RM00022</t>
  </si>
  <si>
    <t>S1CS00018-WS</t>
  </si>
  <si>
    <t>S0RM00023</t>
  </si>
  <si>
    <t>S1CS00020-WS</t>
  </si>
  <si>
    <t>S1CS00021-WS</t>
  </si>
  <si>
    <t>S1CS00022-WS</t>
  </si>
  <si>
    <t>S0RM00027</t>
  </si>
  <si>
    <t>S1CS00027-WS</t>
  </si>
  <si>
    <t>S0RM00032</t>
  </si>
  <si>
    <t>S1CS00029-WS</t>
  </si>
  <si>
    <t>S0RM00034</t>
  </si>
  <si>
    <t>S1CS00030-WS</t>
  </si>
  <si>
    <t>S0RM00035</t>
  </si>
  <si>
    <t>S1CS00031-WS</t>
  </si>
  <si>
    <t>S0RM00036</t>
  </si>
  <si>
    <t>S1CS00033-WS</t>
  </si>
  <si>
    <t>S1CS00036-WS</t>
  </si>
  <si>
    <t>S0RM00041</t>
  </si>
  <si>
    <t>S1CS00037-WS</t>
  </si>
  <si>
    <t>S0RM00042</t>
  </si>
  <si>
    <t>S1CS00040-WS</t>
  </si>
  <si>
    <t>S1CS00046-WS</t>
  </si>
  <si>
    <t>S1CS00048-WS</t>
  </si>
  <si>
    <t>S1CS00049-WS</t>
  </si>
  <si>
    <t>S0RM00054</t>
  </si>
  <si>
    <t>S1CS00050-56-WS</t>
  </si>
  <si>
    <t>S1CS00050-60-WS</t>
  </si>
  <si>
    <t>S1CS00053-WS</t>
  </si>
  <si>
    <t>S1CS00054-WS</t>
  </si>
  <si>
    <t>S1CS00058-WS</t>
  </si>
  <si>
    <t>S1CS00059-WS</t>
  </si>
  <si>
    <t>S1CS00060-WS</t>
  </si>
  <si>
    <t>S0RM00071</t>
  </si>
  <si>
    <t>S1CS00061-WS</t>
  </si>
  <si>
    <t>S0RM00072</t>
  </si>
  <si>
    <t>S1CS00062-WS</t>
  </si>
  <si>
    <t>S0RM00073</t>
  </si>
  <si>
    <t>S1CS00063-WS</t>
  </si>
  <si>
    <t>S1CS00064-WS</t>
  </si>
  <si>
    <t>S1CS00065-WS</t>
  </si>
  <si>
    <t>S1CS00066-WS</t>
  </si>
  <si>
    <t>S0RM00077</t>
  </si>
  <si>
    <t>S1CS00067-WS</t>
  </si>
  <si>
    <t>S0RM00078</t>
  </si>
  <si>
    <t>S1CS00068-WS</t>
  </si>
  <si>
    <t>S1CS00069-WS</t>
  </si>
  <si>
    <t>S1CS00070-WS</t>
  </si>
  <si>
    <t>S0RM00081</t>
  </si>
  <si>
    <t>S1CS00071-WS</t>
  </si>
  <si>
    <t>S0RM00082</t>
  </si>
  <si>
    <t>S1CS00072-WS</t>
  </si>
  <si>
    <t>S1CS00073-WS</t>
  </si>
  <si>
    <t>S0RM00084</t>
  </si>
  <si>
    <t>S1CS00074-WS</t>
  </si>
  <si>
    <t>S0RM00085</t>
  </si>
  <si>
    <t>S1CS00075-WS</t>
  </si>
  <si>
    <t>S1CS00076-WS</t>
  </si>
  <si>
    <t>S0RM00087</t>
  </si>
  <si>
    <t>S1CS00078-WS</t>
  </si>
  <si>
    <t>S0RM00089</t>
  </si>
  <si>
    <t>S1CS00079-WS</t>
  </si>
  <si>
    <t>S0RM00090</t>
  </si>
  <si>
    <t>S1CS00080-WS</t>
  </si>
  <si>
    <t>S0RM00091</t>
  </si>
  <si>
    <t>S1CS00081-WS</t>
  </si>
  <si>
    <t>S0RM00092</t>
  </si>
  <si>
    <t>S1CS00084-WS</t>
  </si>
  <si>
    <t>S1CS00085-WS</t>
  </si>
  <si>
    <t>S1CS00092-WS</t>
  </si>
  <si>
    <t>S0RM00103</t>
  </si>
  <si>
    <t>S1CS00093-WS</t>
  </si>
  <si>
    <t>S0RM00104</t>
  </si>
  <si>
    <t>S1CS00094-WS</t>
  </si>
  <si>
    <t>S1CS00096-WS</t>
  </si>
  <si>
    <t>S1CS00100-WS</t>
  </si>
  <si>
    <t>S1CS00101-WS</t>
  </si>
  <si>
    <t>S1CS00102-WS</t>
  </si>
  <si>
    <t>S0RM00113</t>
  </si>
  <si>
    <t>S1CS00103-WS</t>
  </si>
  <si>
    <t>S0RM00114</t>
  </si>
  <si>
    <t>S1CS00104-WS</t>
  </si>
  <si>
    <t>S0RM00115</t>
  </si>
  <si>
    <t>S1CS00105-WS</t>
  </si>
  <si>
    <t>S0RM00116</t>
  </si>
  <si>
    <t>S1CS00106-WS</t>
  </si>
  <si>
    <t>S0RM00117</t>
  </si>
  <si>
    <t>S1CS00121-WS</t>
  </si>
  <si>
    <t>S0RM00132</t>
  </si>
  <si>
    <t>S1CS00122-WS</t>
  </si>
  <si>
    <t>S1CS00123-WS</t>
  </si>
  <si>
    <t>S0RM00134</t>
  </si>
  <si>
    <t>S1CS00124-WS</t>
  </si>
  <si>
    <t>S0RM00135</t>
  </si>
  <si>
    <t>S1CS00127-WS</t>
  </si>
  <si>
    <t>S0RM00138</t>
  </si>
  <si>
    <t>S1CS00128-WS</t>
  </si>
  <si>
    <t>S1CS00129-WS</t>
  </si>
  <si>
    <t>S0RM00140</t>
  </si>
  <si>
    <t>S1CS00130-WS</t>
  </si>
  <si>
    <t>S1CS00131-WS</t>
  </si>
  <si>
    <t>S0RM00142</t>
  </si>
  <si>
    <t>S1CS00132-WS</t>
  </si>
  <si>
    <t>S0RM00143</t>
  </si>
  <si>
    <t>S1CS00133-WS</t>
  </si>
  <si>
    <t>S0RM00144</t>
  </si>
  <si>
    <t>S1CS00138-WS</t>
  </si>
  <si>
    <t>S0RM00149</t>
  </si>
  <si>
    <t>S1CS00139-WS</t>
  </si>
  <si>
    <t>S0RM00150</t>
  </si>
  <si>
    <t>S1CS00140-WS</t>
  </si>
  <si>
    <t>S0RM00151</t>
  </si>
  <si>
    <t>S1CS00141-WS</t>
  </si>
  <si>
    <t>S0RM00152</t>
  </si>
  <si>
    <t>S1CS00142-WS</t>
  </si>
  <si>
    <t>S0RM00153</t>
  </si>
  <si>
    <t>S1CS00156-WS</t>
  </si>
  <si>
    <t>S0RM00167</t>
  </si>
  <si>
    <t>S1CS00163-WS</t>
  </si>
  <si>
    <t>S0RM00174</t>
  </si>
  <si>
    <t>S1CS00164-WS</t>
  </si>
  <si>
    <t>S0RM00175</t>
  </si>
  <si>
    <t>S1CS00165-WS</t>
  </si>
  <si>
    <t>S0RM00176</t>
  </si>
  <si>
    <t>S1CS00166-WS</t>
  </si>
  <si>
    <t>S0RM00177</t>
  </si>
  <si>
    <t>S1CS00167-WS</t>
  </si>
  <si>
    <t>S1CS00168-WS</t>
  </si>
  <si>
    <t>S1CS00169-WS</t>
  </si>
  <si>
    <t>S1CS00170-WS</t>
  </si>
  <si>
    <t>S1CS00172-WS</t>
  </si>
  <si>
    <t>S0RM00183</t>
  </si>
  <si>
    <t>S1CS00173-WS</t>
  </si>
  <si>
    <t>S0RM00184</t>
  </si>
  <si>
    <t>S1CS00179-WS</t>
  </si>
  <si>
    <t>S0RM00190</t>
  </si>
  <si>
    <t>S1CS00180-WS</t>
  </si>
  <si>
    <t>S0RM00191</t>
  </si>
  <si>
    <t>S1CS00183-WS</t>
  </si>
  <si>
    <t>S0RM00194</t>
  </si>
  <si>
    <t>S1CS00184-WS</t>
  </si>
  <si>
    <t>S0RM00195</t>
  </si>
  <si>
    <t>S1CS00185-WS</t>
  </si>
  <si>
    <t>S0RM00196</t>
  </si>
  <si>
    <t>S1CS00189-WS</t>
  </si>
  <si>
    <t>S0RM00200</t>
  </si>
  <si>
    <t>S1CS00190-WS</t>
  </si>
  <si>
    <t>S0RM00201</t>
  </si>
  <si>
    <t>S1CS00191-WS</t>
  </si>
  <si>
    <t>S0RM00202</t>
  </si>
  <si>
    <t>S1CS00194-WS</t>
  </si>
  <si>
    <t>S0RM00205</t>
  </si>
  <si>
    <t>S1CS00195-WS</t>
  </si>
  <si>
    <t>S1CS00196-WS</t>
  </si>
  <si>
    <t>S1CS00199-WS</t>
  </si>
  <si>
    <t>S1CS00200-WS</t>
  </si>
  <si>
    <t>S1CS00203-WS</t>
  </si>
  <si>
    <t>S1CS00204-WS</t>
  </si>
  <si>
    <t>S1CS00206-WS</t>
  </si>
  <si>
    <t>S1CS00210-WS</t>
  </si>
  <si>
    <t>S0RM00221</t>
  </si>
  <si>
    <t>S1CS00211-WS</t>
  </si>
  <si>
    <t>S0RM00222</t>
  </si>
  <si>
    <t>S1CS00213-WS</t>
  </si>
  <si>
    <t>S0RM00224</t>
  </si>
  <si>
    <t>S1CS00214-WS</t>
  </si>
  <si>
    <t>S0RM00225</t>
  </si>
  <si>
    <t>S1CS00215-WS</t>
  </si>
  <si>
    <t>S0RM00226</t>
  </si>
  <si>
    <t>S1CS00216-WS</t>
  </si>
  <si>
    <t>S0RM00227</t>
  </si>
  <si>
    <t>S1CS00217-WS</t>
  </si>
  <si>
    <t>S0RM00228</t>
  </si>
  <si>
    <t>S1CS00218-WS</t>
  </si>
  <si>
    <t>S0RM00229</t>
  </si>
  <si>
    <t>S1CS00220-WS</t>
  </si>
  <si>
    <t>S0RM00231</t>
  </si>
  <si>
    <t>S1CS00223-WS</t>
  </si>
  <si>
    <t>S1CS00224-WS</t>
  </si>
  <si>
    <t>S0RM00235</t>
  </si>
  <si>
    <t>S1CS00225-WS</t>
  </si>
  <si>
    <t>S0RM00236</t>
  </si>
  <si>
    <t>S1CS00226-WS</t>
  </si>
  <si>
    <t>S1CS00227-WS</t>
  </si>
  <si>
    <t>S1CS00230-WS</t>
  </si>
  <si>
    <t>S0RM00241</t>
  </si>
  <si>
    <t>S1CS00235-WS</t>
  </si>
  <si>
    <t>S0RM00246</t>
  </si>
  <si>
    <t>S1CS00236-WS</t>
  </si>
  <si>
    <t>S0RM00247</t>
  </si>
  <si>
    <t>S1CS00238-WS</t>
  </si>
  <si>
    <t>S0RM00249</t>
  </si>
  <si>
    <t>S1CS00239-WS</t>
  </si>
  <si>
    <t>S0RM00250</t>
  </si>
  <si>
    <t>S1CS00240-WS</t>
  </si>
  <si>
    <t>S0RM00251</t>
  </si>
  <si>
    <t>S1CS00241-WS</t>
  </si>
  <si>
    <t>S0RM00252</t>
  </si>
  <si>
    <t>S1CS00243-WS</t>
  </si>
  <si>
    <t>S0RM00254</t>
  </si>
  <si>
    <t>S1CS00248-WS</t>
  </si>
  <si>
    <t>S0RM00259</t>
  </si>
  <si>
    <t>S1CS00259-WS</t>
  </si>
  <si>
    <t>S0RM00270</t>
  </si>
  <si>
    <t>S1CS00260-WS</t>
  </si>
  <si>
    <t>S0RM00271</t>
  </si>
  <si>
    <t>S1CS00265-WS</t>
  </si>
  <si>
    <t>S0RM00276</t>
  </si>
  <si>
    <t>S1CS00266-WS</t>
  </si>
  <si>
    <t>S0RM00277</t>
  </si>
  <si>
    <t>S1CS00267-WS</t>
  </si>
  <si>
    <t>S0RM00278</t>
  </si>
  <si>
    <t>S1CS00268-WS</t>
  </si>
  <si>
    <t>S0RM00279</t>
  </si>
  <si>
    <t>S1CS00269-WS</t>
  </si>
  <si>
    <t>S0RM00280</t>
  </si>
  <si>
    <t>S1CS00270-WS</t>
  </si>
  <si>
    <t>S0RM00281</t>
  </si>
  <si>
    <t>S1CS00271-WS</t>
  </si>
  <si>
    <t>S0RM00282</t>
  </si>
  <si>
    <t>S1CS00272-WS</t>
  </si>
  <si>
    <t>S0RM00283</t>
  </si>
  <si>
    <t>S1CS00273-WS</t>
  </si>
  <si>
    <t>S0RM00284</t>
  </si>
  <si>
    <t>S1CS00274-WS</t>
  </si>
  <si>
    <t>S0RM00285</t>
  </si>
  <si>
    <t>S1CS00279-WS</t>
  </si>
  <si>
    <t>S1CS00282-WS</t>
  </si>
  <si>
    <t>S0RM00355</t>
  </si>
  <si>
    <t>S1CS00283-WS</t>
  </si>
  <si>
    <t>S1CS00285-WS</t>
  </si>
  <si>
    <t>S1CS00288-WS</t>
  </si>
  <si>
    <t>S0RM00361</t>
  </si>
  <si>
    <t>S1CS00304-WS</t>
  </si>
  <si>
    <t>S0RM00377</t>
  </si>
  <si>
    <t>S1CS00305-WS</t>
  </si>
  <si>
    <t>S0RM00378</t>
  </si>
  <si>
    <t>S1CS00307-WS</t>
  </si>
  <si>
    <t>S1CS00310-WS</t>
  </si>
  <si>
    <t>S0RM00383</t>
  </si>
  <si>
    <t>S1CS00311-WS</t>
  </si>
  <si>
    <t>S0RM00384</t>
  </si>
  <si>
    <t>S1CS00312-WS</t>
  </si>
  <si>
    <t>S0RM00385</t>
  </si>
  <si>
    <t>S1CS00314-WS</t>
  </si>
  <si>
    <t>S1CS00319-WS</t>
  </si>
  <si>
    <t>S0RM00392</t>
  </si>
  <si>
    <t>S1CS00320-WS</t>
  </si>
  <si>
    <t>S0RM00393</t>
  </si>
  <si>
    <t>S1CS00321-WS</t>
  </si>
  <si>
    <t>S0RM00394</t>
  </si>
  <si>
    <t>S1CS00322-WS</t>
  </si>
  <si>
    <t>S0RM00395</t>
  </si>
  <si>
    <t>S1CS00323-WS</t>
  </si>
  <si>
    <t>S0RM00396</t>
  </si>
  <si>
    <t>S1CS00324-WS</t>
  </si>
  <si>
    <t>S0RM00397</t>
  </si>
  <si>
    <t>S1CS00325-WS</t>
  </si>
  <si>
    <t>S0RM00398</t>
  </si>
  <si>
    <t>S1CS00326-WS</t>
  </si>
  <si>
    <t>S0RM00399</t>
  </si>
  <si>
    <t>S1CS00327-WS</t>
  </si>
  <si>
    <t>S0RM00400</t>
  </si>
  <si>
    <t>S1CS00328-WS</t>
  </si>
  <si>
    <t>S0RM00401</t>
  </si>
  <si>
    <t>S1CS00329-WS</t>
  </si>
  <si>
    <t>S0RM00402</t>
  </si>
  <si>
    <t>S1CS00330-WS</t>
  </si>
  <si>
    <t>S0RM00403</t>
  </si>
  <si>
    <t>S1CS00331-WS</t>
  </si>
  <si>
    <t>S1CS00332-WS</t>
  </si>
  <si>
    <t>S0RM00405</t>
  </si>
  <si>
    <t>S1CS00333-WS</t>
  </si>
  <si>
    <t>S1CS00334-WS</t>
  </si>
  <si>
    <t>S1CS00338-WS</t>
  </si>
  <si>
    <t>S0RM00411</t>
  </si>
  <si>
    <t>S1CS00339-WS</t>
  </si>
  <si>
    <t>S1CS00348-48-WS</t>
  </si>
  <si>
    <t>S1CS00348-50-WS</t>
  </si>
  <si>
    <t>S1CS00348-52-WS</t>
  </si>
  <si>
    <t>S1CS00348-54-WS</t>
  </si>
  <si>
    <t>S1CS00348-56-WS</t>
  </si>
  <si>
    <t>S1CS00348-58-WS</t>
  </si>
  <si>
    <t>S1CS00348-60-WS</t>
  </si>
  <si>
    <t>S1CS00407-WS</t>
  </si>
  <si>
    <t>S0RM00478</t>
  </si>
  <si>
    <t>S1CS00409-WS</t>
  </si>
  <si>
    <t>S0RM00480</t>
  </si>
  <si>
    <t>S1CS00410-WS</t>
  </si>
  <si>
    <t>S0RM00481</t>
  </si>
  <si>
    <t>S1CS00411-WS</t>
  </si>
  <si>
    <t>S0RM00482</t>
  </si>
  <si>
    <t>S1CS00412-WS</t>
  </si>
  <si>
    <t>S0RM00483</t>
  </si>
  <si>
    <t>S1CS00413-WS</t>
  </si>
  <si>
    <t>S0RM00484</t>
  </si>
  <si>
    <t>S1CS00414-WS</t>
  </si>
  <si>
    <t>S0RM00485</t>
  </si>
  <si>
    <t>S1CS00415-WS</t>
  </si>
  <si>
    <t>S0RM00486</t>
  </si>
  <si>
    <t>S1CS00416-WS</t>
  </si>
  <si>
    <t>S0RM00487</t>
  </si>
  <si>
    <t>S1CS00417-WS</t>
  </si>
  <si>
    <t>S0RM00488</t>
  </si>
  <si>
    <t>S1CS00418-WS</t>
  </si>
  <si>
    <t>S0RM00489</t>
  </si>
  <si>
    <t>S1CS00419-WS</t>
  </si>
  <si>
    <t>S0RM00490</t>
  </si>
  <si>
    <t>S1CS00420-WS</t>
  </si>
  <si>
    <t>S0RM00491</t>
  </si>
  <si>
    <t>S1CS00421-WS</t>
  </si>
  <si>
    <t>S0RM00492</t>
  </si>
  <si>
    <t>S1CS00422-WS</t>
  </si>
  <si>
    <t>S0RM00493</t>
  </si>
  <si>
    <t>S1CS00423-WS</t>
  </si>
  <si>
    <t>S0RM00494</t>
  </si>
  <si>
    <t>S1CS00424-WS</t>
  </si>
  <si>
    <t>S0RM00495</t>
  </si>
  <si>
    <t>S1CS00425-WS</t>
  </si>
  <si>
    <t>S0RM00496</t>
  </si>
  <si>
    <t>S1CS00426-WS</t>
  </si>
  <si>
    <t>S0RM00497</t>
  </si>
  <si>
    <t>S1CS00427-WS</t>
  </si>
  <si>
    <t>S0RM00498</t>
  </si>
  <si>
    <t>S1CS00428-WS</t>
  </si>
  <si>
    <t>S0RM00499</t>
  </si>
  <si>
    <t>S1CS00429-WS</t>
  </si>
  <si>
    <t>S0RM00500</t>
  </si>
  <si>
    <t>S1CS00430-WS</t>
  </si>
  <si>
    <t>S0RM00501</t>
  </si>
  <si>
    <t>S1CS00451-54-WS</t>
  </si>
  <si>
    <t>S1CS00464-WS</t>
  </si>
  <si>
    <t>S0RM00538</t>
  </si>
  <si>
    <t>S1CS00465-WS</t>
  </si>
  <si>
    <t>S0RM00539</t>
  </si>
  <si>
    <t>S1CS00466-WS</t>
  </si>
  <si>
    <t>S0RM00540</t>
  </si>
  <si>
    <t>S1CS00467-WS</t>
  </si>
  <si>
    <t>S0RM00541</t>
  </si>
  <si>
    <t>S1CS00468-WS</t>
  </si>
  <si>
    <t>S0RM00542</t>
  </si>
  <si>
    <t>S1CS00469-WS</t>
  </si>
  <si>
    <t>S1CS00470-WS</t>
  </si>
  <si>
    <t>S1CS00473-WS</t>
  </si>
  <si>
    <t>S0RM00545</t>
  </si>
  <si>
    <t>S1CS00485-WS</t>
  </si>
  <si>
    <t>S1CS00487-WS</t>
  </si>
  <si>
    <t>S0RM00557</t>
  </si>
  <si>
    <t>S1CS00488-WS</t>
  </si>
  <si>
    <t>S0RM00558</t>
  </si>
  <si>
    <t>S1CS00492-WS</t>
  </si>
  <si>
    <t>S0RM00562</t>
  </si>
  <si>
    <t>S1CS00493-WS</t>
  </si>
  <si>
    <t>S0RM00563</t>
  </si>
  <si>
    <t>S1CS00494-WS</t>
  </si>
  <si>
    <t>S1CS00495-WS</t>
  </si>
  <si>
    <t>S1CS00496-WS</t>
  </si>
  <si>
    <t>S0RM00564</t>
  </si>
  <si>
    <t>S1CS00497-WS</t>
  </si>
  <si>
    <t>S1CS00499-WS</t>
  </si>
  <si>
    <t>S1CS00500-WS</t>
  </si>
  <si>
    <t>S1CS00502-WS</t>
  </si>
  <si>
    <t>S0RM00502</t>
  </si>
  <si>
    <t>S1CS00523-WS</t>
  </si>
  <si>
    <t>S0RM00587</t>
  </si>
  <si>
    <t>S1CS00524-WS</t>
  </si>
  <si>
    <t>S0RM00588</t>
  </si>
  <si>
    <t>S1CS00525-WS</t>
  </si>
  <si>
    <t>S0RM00589</t>
  </si>
  <si>
    <t>S1CS00526-WS</t>
  </si>
  <si>
    <t>S0RM00590</t>
  </si>
  <si>
    <t>S1CS00530-WS</t>
  </si>
  <si>
    <t>S1CS00535-WS</t>
  </si>
  <si>
    <t>S0RM00600</t>
  </si>
  <si>
    <t>S1CS00536-WS</t>
  </si>
  <si>
    <t>S0RM00601</t>
  </si>
  <si>
    <t>S1CS00537-WS</t>
  </si>
  <si>
    <t>S0RM00602</t>
  </si>
  <si>
    <t>S1CS00540-WS</t>
  </si>
  <si>
    <t>S0RM00605</t>
  </si>
  <si>
    <t>S1CS00542-WS</t>
  </si>
  <si>
    <t>S0RM00607</t>
  </si>
  <si>
    <t>S1CS00543-WS</t>
  </si>
  <si>
    <t>S0RM00608</t>
  </si>
  <si>
    <t>S1CS00544-WS</t>
  </si>
  <si>
    <t>S0RM00609</t>
  </si>
  <si>
    <t>S1CS00545-WS</t>
  </si>
  <si>
    <t>S0RM00610</t>
  </si>
  <si>
    <t>S1CS00546-WS</t>
  </si>
  <si>
    <t>S0RM00611</t>
  </si>
  <si>
    <t>S1CS00547-WS</t>
  </si>
  <si>
    <t>S0RM00612</t>
  </si>
  <si>
    <t>S1CS00548-WS</t>
  </si>
  <si>
    <t>S0RM00613</t>
  </si>
  <si>
    <t>S1CS00549-WS</t>
  </si>
  <si>
    <t>S0RM00614</t>
  </si>
  <si>
    <t>S1CS00550-WS</t>
  </si>
  <si>
    <t>S0RM00615</t>
  </si>
  <si>
    <t>S1CS00551-WS</t>
  </si>
  <si>
    <t>S0RM00616</t>
  </si>
  <si>
    <t>S1CS00552-WS</t>
  </si>
  <si>
    <t>S0RM00617</t>
  </si>
  <si>
    <t>S1CS00553-WS</t>
  </si>
  <si>
    <t>S0RM00618</t>
  </si>
  <si>
    <t>S1CS00557-WS</t>
  </si>
  <si>
    <t>S0RM00622</t>
  </si>
  <si>
    <t>S1CS00561-WS</t>
  </si>
  <si>
    <t>S1CS00562-WS</t>
  </si>
  <si>
    <t>S0RM00627</t>
  </si>
  <si>
    <t>S1CS00563-WS</t>
  </si>
  <si>
    <t>S0RM00628</t>
  </si>
  <si>
    <t>S1CS00564-WS</t>
  </si>
  <si>
    <t>S0RM00629</t>
  </si>
  <si>
    <t>S1CS00566-WS</t>
  </si>
  <si>
    <t>S0RM00631</t>
  </si>
  <si>
    <t>S1CS00567-WS</t>
  </si>
  <si>
    <t>S0RM00632</t>
  </si>
  <si>
    <t>S1CS00568-WS</t>
  </si>
  <si>
    <t>S0RM00633</t>
  </si>
  <si>
    <t>S1CS00569-WS</t>
  </si>
  <si>
    <t>S0RM00634</t>
  </si>
  <si>
    <t>S1CS00570-WS</t>
  </si>
  <si>
    <t>S0RM00635</t>
  </si>
  <si>
    <t>S1CS00671-WS</t>
  </si>
  <si>
    <t>S0RM00826</t>
  </si>
  <si>
    <t>S1CS00673-WS</t>
  </si>
  <si>
    <t>S0RM00829</t>
  </si>
  <si>
    <t>S1CS00696-WS</t>
  </si>
  <si>
    <t>S0RM00865</t>
  </si>
  <si>
    <t>S1CS00697-WS</t>
  </si>
  <si>
    <t>S0RM00866</t>
  </si>
  <si>
    <t>S1CS00698-WS</t>
  </si>
  <si>
    <t>S0RM00867</t>
  </si>
  <si>
    <t>S1CS00703-WS</t>
  </si>
  <si>
    <t>S1CS00704-WS</t>
  </si>
  <si>
    <t>S1CS00705-WS</t>
  </si>
  <si>
    <t>S0RM00874</t>
  </si>
  <si>
    <t>S1CS00706-WS</t>
  </si>
  <si>
    <t>S0RM00875</t>
  </si>
  <si>
    <t>S1CS00707-WS</t>
  </si>
  <si>
    <t>S0RM00876</t>
  </si>
  <si>
    <t>S1CS00723-WS</t>
  </si>
  <si>
    <t>S0RM00897</t>
  </si>
  <si>
    <t>S1CS00724-WS</t>
  </si>
  <si>
    <t>S0RM00898</t>
  </si>
  <si>
    <t>S1CS00725-WS</t>
  </si>
  <si>
    <t>S0RM00899</t>
  </si>
  <si>
    <t>S1CS00738-WS</t>
  </si>
  <si>
    <t>S1CS00739-WS</t>
  </si>
  <si>
    <t>S1CS00740-WS</t>
  </si>
  <si>
    <t>S1CS00743-54-WS</t>
  </si>
  <si>
    <t>S1CS00769-52-WS</t>
  </si>
  <si>
    <t>S1CS00771-56-WS</t>
  </si>
  <si>
    <t>S1CS00773-54-WS</t>
  </si>
  <si>
    <t>S1CS00775-54-WS</t>
  </si>
  <si>
    <t>S1CS00813-54-WS</t>
  </si>
  <si>
    <t>S1CS00892-WS</t>
  </si>
  <si>
    <t>S1CS00910-WS</t>
  </si>
  <si>
    <t>S0RM00910</t>
  </si>
  <si>
    <t>S1CS00912-WS</t>
  </si>
  <si>
    <t>S0RM00912</t>
  </si>
  <si>
    <t>S1CS00975-54-WS</t>
  </si>
  <si>
    <t>S1CS01001-48-WS</t>
  </si>
  <si>
    <t>S0RM01162-48</t>
  </si>
  <si>
    <t>S1CS01001-50-WS</t>
  </si>
  <si>
    <t>S0RM01162-50</t>
  </si>
  <si>
    <t>S1CS01001-52-WS</t>
  </si>
  <si>
    <t>S0RM01162-52</t>
  </si>
  <si>
    <t>S1CS01001-54-WS</t>
  </si>
  <si>
    <t>S0RM01162-54</t>
  </si>
  <si>
    <t>S1CS01001-56-WS</t>
  </si>
  <si>
    <t>S0RM01162-56</t>
  </si>
  <si>
    <t>S1CS01001-58-WS</t>
  </si>
  <si>
    <t>S0RM01162-58</t>
  </si>
  <si>
    <t>S1CS01001-60-WS</t>
  </si>
  <si>
    <t>S0RM01162-60</t>
  </si>
  <si>
    <t>S1CS01002-48-WS</t>
  </si>
  <si>
    <t>S0RM01163-48</t>
  </si>
  <si>
    <t>S1CS01002-50-WS</t>
  </si>
  <si>
    <t>S0RM01163-50</t>
  </si>
  <si>
    <t>S1CS01002-52-WS</t>
  </si>
  <si>
    <t>S0RM01163-52</t>
  </si>
  <si>
    <t>S1CS01002-54-WS</t>
  </si>
  <si>
    <t>S0RM01163-54</t>
  </si>
  <si>
    <t>S1CS01002-56-WS</t>
  </si>
  <si>
    <t>S0RM01163-56</t>
  </si>
  <si>
    <t>S1CS01002-58-WS</t>
  </si>
  <si>
    <t>S0RM01163-58</t>
  </si>
  <si>
    <t>S1CS01002-60-WS</t>
  </si>
  <si>
    <t>S0RM01163-60</t>
  </si>
  <si>
    <t>S1CS01002-62-WS</t>
  </si>
  <si>
    <t>S0RM01163-62</t>
  </si>
  <si>
    <t>S1CS01002-64-WS</t>
  </si>
  <si>
    <t>S0RM01163-64</t>
  </si>
  <si>
    <t>S1CS01003-44-WS</t>
  </si>
  <si>
    <t>S1CS01003-46-WS</t>
  </si>
  <si>
    <t>S1CS01003-48-WS</t>
  </si>
  <si>
    <t>S1CS01003-50-WS</t>
  </si>
  <si>
    <t>S1CS01003-52-WS</t>
  </si>
  <si>
    <t>S1CS01003-54-WS</t>
  </si>
  <si>
    <t>S1CS01003-56-WS</t>
  </si>
  <si>
    <t>S1CS01003-58-WS</t>
  </si>
  <si>
    <t>S1CS01003-60-WS</t>
  </si>
  <si>
    <t>S1CS01003-62-WS</t>
  </si>
  <si>
    <t>S1CS01003-64-WS</t>
  </si>
  <si>
    <t>S1CS01011-WS</t>
  </si>
  <si>
    <t>S0RM01171</t>
  </si>
  <si>
    <t>S1CS01122-WS</t>
  </si>
  <si>
    <t>S0RM01122</t>
  </si>
  <si>
    <t>S1CS01138-WS</t>
  </si>
  <si>
    <t>S0RM01301</t>
  </si>
  <si>
    <t>S1CS01139-WS</t>
  </si>
  <si>
    <t>S0RM01302</t>
  </si>
  <si>
    <t>S1CS01258-WS</t>
  </si>
  <si>
    <t>S0RM01258</t>
  </si>
  <si>
    <t>S1CS01259-WS</t>
  </si>
  <si>
    <t>S0RM01259</t>
  </si>
  <si>
    <t>S1CS01268-WS</t>
  </si>
  <si>
    <t>S0RM01268</t>
  </si>
  <si>
    <t>S1CS01269-WS</t>
  </si>
  <si>
    <t>S0RM01269</t>
  </si>
  <si>
    <t>S1CS01270-48-WS</t>
  </si>
  <si>
    <t>S0RM01432-48</t>
  </si>
  <si>
    <t>S1CS01270-50-WS</t>
  </si>
  <si>
    <t>S0RM01432-50</t>
  </si>
  <si>
    <t>S1CS01270-52-WS</t>
  </si>
  <si>
    <t>S0RM01432-52</t>
  </si>
  <si>
    <t>S1CS01270-54-WS</t>
  </si>
  <si>
    <t>S0RM01432-54</t>
  </si>
  <si>
    <t>S1CS01270-56-WS</t>
  </si>
  <si>
    <t>S0RM01432-56</t>
  </si>
  <si>
    <t>S1CS01270-58-WS</t>
  </si>
  <si>
    <t>S0RM01432-58</t>
  </si>
  <si>
    <t>S1CS01270-60-WS</t>
  </si>
  <si>
    <t>S0RM01432-60</t>
  </si>
  <si>
    <t>S1CS01270-WS</t>
  </si>
  <si>
    <t>S0RM01270</t>
  </si>
  <si>
    <t>S1CS01271-WS</t>
  </si>
  <si>
    <t>S0RM01271</t>
  </si>
  <si>
    <t>S1CS01272-48-WS</t>
  </si>
  <si>
    <t>S0RM01434-48</t>
  </si>
  <si>
    <t>S1CS01272-50-WS</t>
  </si>
  <si>
    <t>S0RM01434-50</t>
  </si>
  <si>
    <t>S1CS01272-52-WS</t>
  </si>
  <si>
    <t>S0RM01434-52</t>
  </si>
  <si>
    <t>S1CS01272-54-WS</t>
  </si>
  <si>
    <t>S0RM01434-54</t>
  </si>
  <si>
    <t>S1CS01272-56-WS</t>
  </si>
  <si>
    <t>S0RM01434-56</t>
  </si>
  <si>
    <t>S1CS01272-58-WS</t>
  </si>
  <si>
    <t>S0RM01434-58</t>
  </si>
  <si>
    <t>S1CS01272-60-WS</t>
  </si>
  <si>
    <t>S0RM01434-60</t>
  </si>
  <si>
    <t>S1CS01329-WS</t>
  </si>
  <si>
    <t>S1CS01332-WS</t>
  </si>
  <si>
    <t>S1CS01347-WS</t>
  </si>
  <si>
    <t>S1CS01348-WS</t>
  </si>
  <si>
    <t>S1CS01366-WS</t>
  </si>
  <si>
    <t>S1CS01367-WS</t>
  </si>
  <si>
    <t>S1CS01368-WS</t>
  </si>
  <si>
    <t>S1CS01369-48-WS</t>
  </si>
  <si>
    <t>S1CS01369-58-WS</t>
  </si>
  <si>
    <t>S1CS01370-54-WS</t>
  </si>
  <si>
    <t>S1CS01407-44-WS</t>
  </si>
  <si>
    <t>S0RM01407-44</t>
  </si>
  <si>
    <t>S1CS01407-46-WS</t>
  </si>
  <si>
    <t>S0RM01407-46</t>
  </si>
  <si>
    <t>S1CS01407-48-WS</t>
  </si>
  <si>
    <t>S0RM01407-48</t>
  </si>
  <si>
    <t>S1CS01407-50-WS</t>
  </si>
  <si>
    <t>S0RM01407-50</t>
  </si>
  <si>
    <t>S1CS01407-52-WS</t>
  </si>
  <si>
    <t>S0RM01407-52</t>
  </si>
  <si>
    <t>S1CS01407-54-WS</t>
  </si>
  <si>
    <t>S0RM01407-54</t>
  </si>
  <si>
    <t>S1CS01407-56-WS</t>
  </si>
  <si>
    <t>S0RM01407-56</t>
  </si>
  <si>
    <t>S1CS01407-58-WS</t>
  </si>
  <si>
    <t>S0RM01407-58</t>
  </si>
  <si>
    <t>S1CS01407-60-WS</t>
  </si>
  <si>
    <t>S0RM01407-60</t>
  </si>
  <si>
    <t>S1CS01407-62-WS</t>
  </si>
  <si>
    <t>S0RM01407-62</t>
  </si>
  <si>
    <t>S1CS01407-64-WS</t>
  </si>
  <si>
    <t>S0RM01407-64</t>
  </si>
  <si>
    <t>S1CS01433-WS</t>
  </si>
  <si>
    <t>S0RM01433</t>
  </si>
  <si>
    <t>S1CS01435-WS</t>
  </si>
  <si>
    <t>S0RM01435</t>
  </si>
  <si>
    <t>S1CS01623-WS</t>
  </si>
  <si>
    <t>S1CS01624-WS</t>
  </si>
  <si>
    <t>S1CS03000-WS</t>
  </si>
  <si>
    <t>S0RM03196</t>
  </si>
  <si>
    <t>S1CS03001-WS</t>
  </si>
  <si>
    <t>S0RM03197</t>
  </si>
  <si>
    <t>S1CS03004-WS</t>
  </si>
  <si>
    <t>S0RM03001</t>
  </si>
  <si>
    <t>S1CS03005-WS</t>
  </si>
  <si>
    <t>S0RM03002</t>
  </si>
  <si>
    <t>S1CS03010-WS</t>
  </si>
  <si>
    <t>S0RM03004</t>
  </si>
  <si>
    <t>S1CS03011-WS</t>
  </si>
  <si>
    <t>S0RM03005</t>
  </si>
  <si>
    <t>S1CS03012-WS</t>
  </si>
  <si>
    <t>S0RM03006</t>
  </si>
  <si>
    <t>S1CS03013-WS</t>
  </si>
  <si>
    <t>S0RM03007</t>
  </si>
  <si>
    <t>S1CS03014-WS</t>
  </si>
  <si>
    <t>S0RM03008</t>
  </si>
  <si>
    <t>S1CS03015-WS</t>
  </si>
  <si>
    <t>S0RM03009</t>
  </si>
  <si>
    <t>S1CS03016-WS</t>
  </si>
  <si>
    <t>S0RM03010</t>
  </si>
  <si>
    <t>S1CS03017-WS</t>
  </si>
  <si>
    <t>S0RM03011</t>
  </si>
  <si>
    <t>S1CS03018-WS</t>
  </si>
  <si>
    <t>S0RM03012</t>
  </si>
  <si>
    <t>S1CS03019-WS</t>
  </si>
  <si>
    <t>S0RM03013</t>
  </si>
  <si>
    <t>S1CS03020-WS</t>
  </si>
  <si>
    <t>S0RM03014</t>
  </si>
  <si>
    <t>S1CS03021-WS</t>
  </si>
  <si>
    <t>S0RM03015</t>
  </si>
  <si>
    <t>S1CS03022-WS</t>
  </si>
  <si>
    <t>S0RM03016</t>
  </si>
  <si>
    <t>S1CS03023-WS</t>
  </si>
  <si>
    <t>S0RM03017</t>
  </si>
  <si>
    <t>S1CS03024-WS</t>
  </si>
  <si>
    <t>S0RM03018</t>
  </si>
  <si>
    <t>S1CS03025-WS</t>
  </si>
  <si>
    <t>S0RM03019</t>
  </si>
  <si>
    <t>S1CS03028-WS</t>
  </si>
  <si>
    <t>S0RM03020</t>
  </si>
  <si>
    <t>S1CS03029-WS</t>
  </si>
  <si>
    <t>S0RM03021</t>
  </si>
  <si>
    <t>S1CS03030-WS</t>
  </si>
  <si>
    <t>S0RM03022</t>
  </si>
  <si>
    <t>S1CS03031-WS</t>
  </si>
  <si>
    <t>S0RM03023</t>
  </si>
  <si>
    <t>S1CS03032-WS</t>
  </si>
  <si>
    <t>S0RM03024</t>
  </si>
  <si>
    <t>S1CS03033-WS</t>
  </si>
  <si>
    <t>S0RM03025</t>
  </si>
  <si>
    <t>S1CS03034-WS</t>
  </si>
  <si>
    <t>S0RM03026</t>
  </si>
  <si>
    <t>S1CS03035-WS</t>
  </si>
  <si>
    <t>S0RM03027</t>
  </si>
  <si>
    <t>S1CS03036-WS</t>
  </si>
  <si>
    <t>S0RM03028</t>
  </si>
  <si>
    <t>S1CS03038-WS</t>
  </si>
  <si>
    <t>S0RM03200</t>
  </si>
  <si>
    <t>S1CS03039-WS</t>
  </si>
  <si>
    <t>S0RM03030</t>
  </si>
  <si>
    <t>S1CS03040-WS</t>
  </si>
  <si>
    <t>S0RM03031</t>
  </si>
  <si>
    <t>S1CS03041-WS</t>
  </si>
  <si>
    <t>S0RM03032</t>
  </si>
  <si>
    <t>S1CS03042-WS</t>
  </si>
  <si>
    <t>S0RM03033</t>
  </si>
  <si>
    <t>S1CS03043-WS</t>
  </si>
  <si>
    <t>S0RM03034</t>
  </si>
  <si>
    <t>S1CS03046-WS</t>
  </si>
  <si>
    <t>S1CS03047-WS</t>
  </si>
  <si>
    <t>S1CS03051-WS</t>
  </si>
  <si>
    <t>S0RM03036</t>
  </si>
  <si>
    <t>S1CS03052-WS</t>
  </si>
  <si>
    <t>S0RM03037</t>
  </si>
  <si>
    <t>S1CS03054-WS</t>
  </si>
  <si>
    <t>S0RM03039</t>
  </si>
  <si>
    <t>S1CS03055-WS</t>
  </si>
  <si>
    <t>S0RM03040</t>
  </si>
  <si>
    <t>S1CS03056-WS</t>
  </si>
  <si>
    <t>S0RM03041</t>
  </si>
  <si>
    <t>S1CS03057-WS</t>
  </si>
  <si>
    <t>S0RM03042</t>
  </si>
  <si>
    <t>S1CS03058-WS</t>
  </si>
  <si>
    <t>S0RM03043</t>
  </si>
  <si>
    <t>S1CS03060-WS</t>
  </si>
  <si>
    <t>S0RM03045</t>
  </si>
  <si>
    <t>S1CS03064-WS</t>
  </si>
  <si>
    <t>S0RM03049</t>
  </si>
  <si>
    <t>S1CS03065-WS</t>
  </si>
  <si>
    <t>S0RM03050</t>
  </si>
  <si>
    <t>S1CS03066-WS</t>
  </si>
  <si>
    <t>S1CS03067-WS</t>
  </si>
  <si>
    <t>S0RM03052</t>
  </si>
  <si>
    <t>S1CS03068-WS</t>
  </si>
  <si>
    <t>S0RM03053</t>
  </si>
  <si>
    <t>S1CS03069-WS</t>
  </si>
  <si>
    <t>S0RM03054</t>
  </si>
  <si>
    <t>S1CS03070-WS</t>
  </si>
  <si>
    <t>S0RM03055</t>
  </si>
  <si>
    <t>S1CS03071-WS</t>
  </si>
  <si>
    <t>S0RM03056</t>
  </si>
  <si>
    <t>S1CS03072-WS</t>
  </si>
  <si>
    <t>S0RM03057</t>
  </si>
  <si>
    <t>S1CS03073-WS</t>
  </si>
  <si>
    <t>S0RM03058</t>
  </si>
  <si>
    <t>S1CS03074-WS</t>
  </si>
  <si>
    <t>S0RM03059</t>
  </si>
  <si>
    <t>S1CS03075-WS</t>
  </si>
  <si>
    <t>S0RM03060</t>
  </si>
  <si>
    <t>S1CS03076-WS</t>
  </si>
  <si>
    <t>S0RM03061</t>
  </si>
  <si>
    <t>S1CS03077-WS</t>
  </si>
  <si>
    <t>S0RM03062</t>
  </si>
  <si>
    <t>S1CS03078-WS</t>
  </si>
  <si>
    <t>S0RM03063</t>
  </si>
  <si>
    <t>S1CS03079-WS</t>
  </si>
  <si>
    <t>S0RM03064</t>
  </si>
  <si>
    <t>S1CS03080-WS</t>
  </si>
  <si>
    <t>S0RM03065</t>
  </si>
  <si>
    <t>S1CS03081-WS</t>
  </si>
  <si>
    <t>S0RM03066</t>
  </si>
  <si>
    <t>S1CS03082-WS</t>
  </si>
  <si>
    <t>S0RM03067</t>
  </si>
  <si>
    <t>S1CS03083-WS</t>
  </si>
  <si>
    <t>S0RM03068</t>
  </si>
  <si>
    <t>S1CS03084-WS</t>
  </si>
  <si>
    <t>S0RM03069</t>
  </si>
  <si>
    <t>S1CS03085-WS</t>
  </si>
  <si>
    <t>S0RM03070</t>
  </si>
  <si>
    <t>S1CS03086-WS</t>
  </si>
  <si>
    <t>S0RM03071</t>
  </si>
  <si>
    <t>S1CS03087-WS</t>
  </si>
  <si>
    <t>S0RM03072</t>
  </si>
  <si>
    <t>S1CS03088-WS</t>
  </si>
  <si>
    <t>S0RM03073</t>
  </si>
  <si>
    <t>S1CS03089-WS</t>
  </si>
  <si>
    <t>S0RM03074</t>
  </si>
  <si>
    <t>S1CS03090-WS</t>
  </si>
  <si>
    <t>S0RM03075</t>
  </si>
  <si>
    <t>S1CS03091-WS</t>
  </si>
  <si>
    <t>S0RM03076</t>
  </si>
  <si>
    <t>S1CS03092-WS</t>
  </si>
  <si>
    <t>S0RM03077</t>
  </si>
  <si>
    <t>S1CS03093-WS</t>
  </si>
  <si>
    <t>S0RM03078</t>
  </si>
  <si>
    <t>S1CS03094-WS</t>
  </si>
  <si>
    <t>S0RM03079</t>
  </si>
  <si>
    <t>S1CS03095-WS</t>
  </si>
  <si>
    <t>S0RM03080</t>
  </si>
  <si>
    <t>S1CS03096-WS</t>
  </si>
  <si>
    <t>S0RM03081</t>
  </si>
  <si>
    <t>S1CS03097-WS</t>
  </si>
  <si>
    <t>S0RM03082</t>
  </si>
  <si>
    <t>S1CS03098-WS</t>
  </si>
  <si>
    <t>S0RM03083</t>
  </si>
  <si>
    <t>S1CS03099-WS</t>
  </si>
  <si>
    <t>S0RM03084</t>
  </si>
  <si>
    <t>S1CS03100-WS</t>
  </si>
  <si>
    <t>S0RM03085</t>
  </si>
  <si>
    <t>S1CS03101-WS</t>
  </si>
  <si>
    <t>S0RM03086</t>
  </si>
  <si>
    <t>S1CS03104-WS</t>
  </si>
  <si>
    <t>S0RM03089</t>
  </si>
  <si>
    <t>S1CS03105-WS</t>
  </si>
  <si>
    <t>S0RM03090</t>
  </si>
  <si>
    <t>S1CS03106-WS</t>
  </si>
  <si>
    <t>S0RM03091</t>
  </si>
  <si>
    <t>S1CS03107-WS</t>
  </si>
  <si>
    <t>S0RM03092</t>
  </si>
  <si>
    <t>S1CS03108-WS</t>
  </si>
  <si>
    <t>S0RM03093</t>
  </si>
  <si>
    <t>S1CS03109-WS</t>
  </si>
  <si>
    <t>S0RM03094</t>
  </si>
  <si>
    <t>S1CS03110-WS</t>
  </si>
  <si>
    <t>S0RM03095</t>
  </si>
  <si>
    <t>S1CS03111-WS</t>
  </si>
  <si>
    <t>S0RM03096</t>
  </si>
  <si>
    <t>S1CS03112-WS</t>
  </si>
  <si>
    <t>S0RM03097</t>
  </si>
  <si>
    <t>S1CS03113-WS</t>
  </si>
  <si>
    <t>S0RM03098</t>
  </si>
  <si>
    <t>S1CS03114-WS</t>
  </si>
  <si>
    <t>S0RM03099</t>
  </si>
  <si>
    <t>S1CS03115-WS</t>
  </si>
  <si>
    <t>S0RM03100</t>
  </si>
  <si>
    <t>S1CS03116-WS</t>
  </si>
  <si>
    <t>S0RM03101</t>
  </si>
  <si>
    <t>S1CS03117-WS</t>
  </si>
  <si>
    <t>S0RM03102</t>
  </si>
  <si>
    <t>S1CS03118-WS</t>
  </si>
  <si>
    <t>S0RM03103</t>
  </si>
  <si>
    <t>S1CS03119-WS</t>
  </si>
  <si>
    <t>S0RM03104</t>
  </si>
  <si>
    <t>S1CS03120-WS</t>
  </si>
  <si>
    <t>S0RM03105</t>
  </si>
  <si>
    <t>S1CS03121-WS</t>
  </si>
  <si>
    <t>S0RM03106</t>
  </si>
  <si>
    <t>S1CS03127-WS</t>
  </si>
  <si>
    <t>S0RM03112</t>
  </si>
  <si>
    <t>S1CS03128-WS</t>
  </si>
  <si>
    <t>S0RM03113</t>
  </si>
  <si>
    <t>S1CS03129-WS</t>
  </si>
  <si>
    <t>S0RM03114</t>
  </si>
  <si>
    <t>S1CS03130-WS</t>
  </si>
  <si>
    <t>S0RM03115</t>
  </si>
  <si>
    <t>S1CS03131-WS</t>
  </si>
  <si>
    <t>S0RM03116</t>
  </si>
  <si>
    <t>S1CS03132-WS</t>
  </si>
  <si>
    <t>S0RM03117</t>
  </si>
  <si>
    <t>S1CS03133-WS</t>
  </si>
  <si>
    <t>S0RM03118</t>
  </si>
  <si>
    <t>S1CS03134-WS</t>
  </si>
  <si>
    <t>S0RM03119</t>
  </si>
  <si>
    <t>S1CS03135-WS</t>
  </si>
  <si>
    <t>S0RM03120</t>
  </si>
  <si>
    <t>S1CS03136-WS</t>
  </si>
  <si>
    <t>S0RM03121</t>
  </si>
  <si>
    <t>S1CS03137-WS</t>
  </si>
  <si>
    <t>S0RM03122</t>
  </si>
  <si>
    <t>S1CS03138-WS</t>
  </si>
  <si>
    <t>S0RM03123</t>
  </si>
  <si>
    <t>S1CS03139-WS</t>
  </si>
  <si>
    <t>S0RM03124</t>
  </si>
  <si>
    <t>S1CS03140-WS</t>
  </si>
  <si>
    <t>S0RM03125</t>
  </si>
  <si>
    <t>S1CS03141-WS</t>
  </si>
  <si>
    <t>S0RM03126</t>
  </si>
  <si>
    <t>S1CS03142-WS</t>
  </si>
  <si>
    <t>S0RM03127</t>
  </si>
  <si>
    <t>S1CS03143-WS</t>
  </si>
  <si>
    <t>S0RM03128</t>
  </si>
  <si>
    <t>S1CS03144-WS</t>
  </si>
  <si>
    <t>S0RM03129</t>
  </si>
  <si>
    <t>S1CS03145-WS</t>
  </si>
  <si>
    <t>S0RM03130</t>
  </si>
  <si>
    <t>S1CS03146-WS</t>
  </si>
  <si>
    <t>S0RM03131</t>
  </si>
  <si>
    <t>S1CS03150-WS</t>
  </si>
  <si>
    <t>S0RM03135</t>
  </si>
  <si>
    <t>S1CS03151-WS</t>
  </si>
  <si>
    <t>S0RM03136</t>
  </si>
  <si>
    <t>S1CS03152-WS</t>
  </si>
  <si>
    <t>S0RM03137</t>
  </si>
  <si>
    <t>S1CS03153-WS</t>
  </si>
  <si>
    <t>S0RM03138</t>
  </si>
  <si>
    <t>S1CS03154-WS</t>
  </si>
  <si>
    <t>S0RM03139</t>
  </si>
  <si>
    <t>S1CS03155-WS</t>
  </si>
  <si>
    <t>S0RM03140</t>
  </si>
  <si>
    <t>S1CS03156-WS</t>
  </si>
  <si>
    <t>S0RM03141</t>
  </si>
  <si>
    <t>S1CS03157-WS</t>
  </si>
  <si>
    <t>S0RM03142</t>
  </si>
  <si>
    <t>S1CS03158-WS</t>
  </si>
  <si>
    <t>S1CS03159-WS</t>
  </si>
  <si>
    <t>S1CS03160-WS</t>
  </si>
  <si>
    <t>S1CS03161-WS</t>
  </si>
  <si>
    <t>S0RM03146</t>
  </si>
  <si>
    <t>S1CS03162-WS</t>
  </si>
  <si>
    <t>S0RM03147</t>
  </si>
  <si>
    <t>S1CS03163-WS</t>
  </si>
  <si>
    <t>S0RM03148</t>
  </si>
  <si>
    <t>S1CS03164-WS</t>
  </si>
  <si>
    <t>S0RM03149</t>
  </si>
  <si>
    <t>S1CS03165-WS</t>
  </si>
  <si>
    <t>S0RM03150</t>
  </si>
  <si>
    <t>S1CS03170-WS</t>
  </si>
  <si>
    <t>S0RM03155</t>
  </si>
  <si>
    <t>S1CS03171-WS</t>
  </si>
  <si>
    <t>S0RM03156</t>
  </si>
  <si>
    <t>S1CS03172-WS</t>
  </si>
  <si>
    <t>S0RM03157</t>
  </si>
  <si>
    <t>S1CS03173-WS</t>
  </si>
  <si>
    <t>S0RM03158</t>
  </si>
  <si>
    <t>S1CS03177-WS</t>
  </si>
  <si>
    <t>S0RM03162</t>
  </si>
  <si>
    <t>S1CS03178-WS</t>
  </si>
  <si>
    <t>S0RM03163</t>
  </si>
  <si>
    <t>S1CS03179-WS</t>
  </si>
  <si>
    <t>S0RM03164</t>
  </si>
  <si>
    <t>S1CS03183-WS</t>
  </si>
  <si>
    <t>S0RM03168</t>
  </si>
  <si>
    <t>S1CS03184-WS</t>
  </si>
  <si>
    <t>S0RM03169</t>
  </si>
  <si>
    <t>S1CS03186-WS</t>
  </si>
  <si>
    <t>S0RM03171</t>
  </si>
  <si>
    <t>S1CS03187-WS</t>
  </si>
  <si>
    <t>S0RM03172</t>
  </si>
  <si>
    <t>S1CS03188-WS</t>
  </si>
  <si>
    <t>S0RM03173</t>
  </si>
  <si>
    <t>S1CS03189-WS</t>
  </si>
  <si>
    <t>S0RM03174</t>
  </si>
  <si>
    <t>S1CS03190-WS</t>
  </si>
  <si>
    <t>S0RM03175</t>
  </si>
  <si>
    <t>S1CS03191-WS</t>
  </si>
  <si>
    <t>S0RM03176</t>
  </si>
  <si>
    <t>S1CS03192-WS</t>
  </si>
  <si>
    <t>S0RM03177</t>
  </si>
  <si>
    <t>S1CS03193-WS</t>
  </si>
  <si>
    <t>S0RM03178</t>
  </si>
  <si>
    <t>S1CS03194-WS</t>
  </si>
  <si>
    <t>S0RM03179</t>
  </si>
  <si>
    <t>S1CS03195-WS</t>
  </si>
  <si>
    <t>S0RM03180</t>
  </si>
  <si>
    <t>S1CS03196-WS</t>
  </si>
  <si>
    <t>S0RM03181</t>
  </si>
  <si>
    <t>S1CS03197-WS</t>
  </si>
  <si>
    <t>S0RM03182</t>
  </si>
  <si>
    <t>S1CS03198-WS</t>
  </si>
  <si>
    <t>S0RM03183</t>
  </si>
  <si>
    <t>S1CS03199-WS</t>
  </si>
  <si>
    <t>S0RM03184</t>
  </si>
  <si>
    <t>S1CS03201-WS</t>
  </si>
  <si>
    <t>S0RM03186</t>
  </si>
  <si>
    <t>S1CS03202-WS</t>
  </si>
  <si>
    <t>S0RM03187</t>
  </si>
  <si>
    <t>S1CS03203-WS</t>
  </si>
  <si>
    <t>S0RM03188</t>
  </si>
  <si>
    <t>S1CS03204-WS</t>
  </si>
  <si>
    <t>S0RM03189</t>
  </si>
  <si>
    <t>S1CS03210-WS</t>
  </si>
  <si>
    <t>S0RM03205</t>
  </si>
  <si>
    <t>S1CS03211-WS</t>
  </si>
  <si>
    <t>S0RM03206</t>
  </si>
  <si>
    <t>S1CS03212-WS</t>
  </si>
  <si>
    <t>S0RM03207</t>
  </si>
  <si>
    <t>S1CS03213-WS</t>
  </si>
  <si>
    <t>S0RM03208</t>
  </si>
  <si>
    <t>S1CS03214-WS</t>
  </si>
  <si>
    <t>S0RM03209</t>
  </si>
  <si>
    <t>S1CS03215-WS</t>
  </si>
  <si>
    <t>S0RM03210</t>
  </si>
  <si>
    <t>S1CS03216-WS</t>
  </si>
  <si>
    <t>S0RM03211</t>
  </si>
  <si>
    <t>S1CS03217-WS</t>
  </si>
  <si>
    <t>S0RM03212</t>
  </si>
  <si>
    <t>S1CS03218-WS</t>
  </si>
  <si>
    <t>S0RM03204</t>
  </si>
  <si>
    <t>S1CS03219-WS</t>
  </si>
  <si>
    <t>S0RM03214</t>
  </si>
  <si>
    <t>S1CS03220-WS</t>
  </si>
  <si>
    <t>S0RM03215</t>
  </si>
  <si>
    <t>S1CS03221-WS</t>
  </si>
  <si>
    <t>S0RM03216</t>
  </si>
  <si>
    <t>S1CS03222-WS</t>
  </si>
  <si>
    <t>S0RM03217</t>
  </si>
  <si>
    <t>S1CS03223-WS</t>
  </si>
  <si>
    <t>S0RM03218</t>
  </si>
  <si>
    <t>S1CS03224-WS</t>
  </si>
  <si>
    <t>S0RM03219</t>
  </si>
  <si>
    <t>S1CS03225-WS</t>
  </si>
  <si>
    <t>S0RM03220</t>
  </si>
  <si>
    <t>S1CS03226-WS</t>
  </si>
  <si>
    <t>S0RM03221</t>
  </si>
  <si>
    <t>S1CS03231-WS</t>
  </si>
  <si>
    <t>S1CS03232-WS</t>
  </si>
  <si>
    <t>S1CS03233-WS</t>
  </si>
  <si>
    <t>S1CS03234-WS</t>
  </si>
  <si>
    <t>S1CS03236-WS</t>
  </si>
  <si>
    <t>S1CS03237-WS</t>
  </si>
  <si>
    <t>S1CS03238-WS</t>
  </si>
  <si>
    <t>S1CS03247-WS</t>
  </si>
  <si>
    <t>S1CS03248-WS</t>
  </si>
  <si>
    <t>S1CS03249-WS</t>
  </si>
  <si>
    <t>S1CS03250-WS</t>
  </si>
  <si>
    <t>S1CS03252-WS</t>
  </si>
  <si>
    <t>S1CS03253-WS</t>
  </si>
  <si>
    <t>S1CS03254-WS</t>
  </si>
  <si>
    <t>S1CS03255-WS</t>
  </si>
  <si>
    <t>S0RM03255</t>
  </si>
  <si>
    <t>S1CS03256-WS</t>
  </si>
  <si>
    <t>S1CS03262-WS</t>
  </si>
  <si>
    <t>S1CS03263-WS</t>
  </si>
  <si>
    <t>S1CS03264-WS</t>
  </si>
  <si>
    <t>S1CS03265-WS</t>
  </si>
  <si>
    <t>S1CS03273-WS</t>
  </si>
  <si>
    <t>S1CS03285-WS</t>
  </si>
  <si>
    <t>S1CS03286-WS</t>
  </si>
  <si>
    <t>S1CS03287-WS</t>
  </si>
  <si>
    <t>S1CS03291-WS</t>
  </si>
  <si>
    <t>S1CS03295-WS</t>
  </si>
  <si>
    <t>S1CS03296-WS</t>
  </si>
  <si>
    <t>S1CS03298-WS</t>
  </si>
  <si>
    <t>S1CS03302-WS</t>
  </si>
  <si>
    <t>S1CS03303-WS</t>
  </si>
  <si>
    <t>S1CS03304-WS</t>
  </si>
  <si>
    <t>S0RM03170</t>
  </si>
  <si>
    <t>S1CS03306-WS</t>
  </si>
  <si>
    <t>S0RM03227</t>
  </si>
  <si>
    <t>S1CS03310-WS</t>
  </si>
  <si>
    <t>S0RM03231</t>
  </si>
  <si>
    <t>S1CS03314-WS</t>
  </si>
  <si>
    <t>S0RM03235</t>
  </si>
  <si>
    <t>S1CS03315-WS</t>
  </si>
  <si>
    <t>S0RM03236</t>
  </si>
  <si>
    <t>S0RM03238</t>
  </si>
  <si>
    <t>S1CS03317-WS</t>
  </si>
  <si>
    <t>S1CS03318-WS</t>
  </si>
  <si>
    <t>S1CS03321-WS</t>
  </si>
  <si>
    <t>S1CS03323-WS</t>
  </si>
  <si>
    <t>S1CS03328-WS</t>
  </si>
  <si>
    <t>S1CS03336-WS</t>
  </si>
  <si>
    <t>S0RM03258</t>
  </si>
  <si>
    <t>S1CS03337-WS</t>
  </si>
  <si>
    <t>S0RM03259</t>
  </si>
  <si>
    <t>S1CS03338-WS</t>
  </si>
  <si>
    <t>S0RM03260</t>
  </si>
  <si>
    <t>S1CS03340-WS</t>
  </si>
  <si>
    <t>S0RM03262</t>
  </si>
  <si>
    <t>S1CS03341-WS</t>
  </si>
  <si>
    <t>S0RM03263</t>
  </si>
  <si>
    <t>S1CS03345-WS</t>
  </si>
  <si>
    <t>S0RM03267</t>
  </si>
  <si>
    <t>S1CS03346-WS</t>
  </si>
  <si>
    <t>S0RM03268</t>
  </si>
  <si>
    <t>S1CS03347-WS</t>
  </si>
  <si>
    <t>S0RM03269</t>
  </si>
  <si>
    <t>S1CS03348-WS</t>
  </si>
  <si>
    <t>S0RM03270</t>
  </si>
  <si>
    <t>S1CS03350-WS</t>
  </si>
  <si>
    <t>S0RM03272</t>
  </si>
  <si>
    <t>S1CS03351-WS</t>
  </si>
  <si>
    <t>S0RM03273</t>
  </si>
  <si>
    <t>S1CS03352-WS</t>
  </si>
  <si>
    <t>S0RM03274</t>
  </si>
  <si>
    <t>S1CS03353-WS</t>
  </si>
  <si>
    <t>S0RM03275</t>
  </si>
  <si>
    <t>S1CS03354-WS</t>
  </si>
  <si>
    <t>S1CS03355-WS</t>
  </si>
  <si>
    <t>S0RM03277</t>
  </si>
  <si>
    <t>S1CS03356-WS</t>
  </si>
  <si>
    <t>S0RM03278</t>
  </si>
  <si>
    <t>S1CS03357-WS</t>
  </si>
  <si>
    <t>S0RM03279</t>
  </si>
  <si>
    <t>S1CS03358-WS</t>
  </si>
  <si>
    <t>S0RM03280</t>
  </si>
  <si>
    <t>S1CS03362-WS</t>
  </si>
  <si>
    <t>S0RM03284</t>
  </si>
  <si>
    <t>S1CS03363-WS</t>
  </si>
  <si>
    <t>S0RM03285</t>
  </si>
  <si>
    <t>S1CS03364-WS</t>
  </si>
  <si>
    <t>S0RM03286</t>
  </si>
  <si>
    <t>S1CS03365-WS</t>
  </si>
  <si>
    <t>S0RM03287</t>
  </si>
  <si>
    <t>S1CS03366-WS</t>
  </si>
  <si>
    <t>S0RM03288</t>
  </si>
  <si>
    <t>S1CS03367-WS</t>
  </si>
  <si>
    <t>S0RM03289</t>
  </si>
  <si>
    <t>S1CS03368-WS</t>
  </si>
  <si>
    <t>S0RM03290</t>
  </si>
  <si>
    <t>S1CS03369-WS</t>
  </si>
  <si>
    <t>S0RM03291</t>
  </si>
  <si>
    <t>S1CS03370-WS</t>
  </si>
  <si>
    <t>S0RM03292</t>
  </si>
  <si>
    <t>S1CS03371-WS</t>
  </si>
  <si>
    <t>S0RM03293</t>
  </si>
  <si>
    <t>S1CS03372-WS</t>
  </si>
  <si>
    <t>S0RM03294</t>
  </si>
  <si>
    <t>S1CS03373-WS</t>
  </si>
  <si>
    <t>S0RM03295</t>
  </si>
  <si>
    <t>S1CS03374-WS</t>
  </si>
  <si>
    <t>S0RM03296</t>
  </si>
  <si>
    <t>S1CS03377-WS</t>
  </si>
  <si>
    <t>S0RM03299</t>
  </si>
  <si>
    <t>S1CS03378-WS</t>
  </si>
  <si>
    <t>S0RM03300</t>
  </si>
  <si>
    <t>S1CS03379-WS</t>
  </si>
  <si>
    <t>S0RM03301</t>
  </si>
  <si>
    <t>S1CS03380-WS</t>
  </si>
  <si>
    <t>S0RM03302</t>
  </si>
  <si>
    <t>S1CS03381-WS</t>
  </si>
  <si>
    <t>S0RM03303</t>
  </si>
  <si>
    <t>S1CS03382-WS</t>
  </si>
  <si>
    <t>S0RM03304</t>
  </si>
  <si>
    <t>S1CS03383-WS</t>
  </si>
  <si>
    <t>S0RM03305</t>
  </si>
  <si>
    <t>S1CS03384-WS</t>
  </si>
  <si>
    <t>S0RM03306</t>
  </si>
  <si>
    <t>S1CS03385-WS</t>
  </si>
  <si>
    <t>S0RM03307</t>
  </si>
  <si>
    <t>S1CS03386-WS</t>
  </si>
  <si>
    <t>S0RM03308</t>
  </si>
  <si>
    <t>S1CS03387-WS</t>
  </si>
  <si>
    <t>S0RM03309</t>
  </si>
  <si>
    <t>S1CS03388-WS</t>
  </si>
  <si>
    <t>S0RM03310</t>
  </si>
  <si>
    <t>S1CS03389-WS</t>
  </si>
  <si>
    <t>S0RM03311</t>
  </si>
  <si>
    <t>S1CS03390-WS</t>
  </si>
  <si>
    <t>S0RM03312</t>
  </si>
  <si>
    <t>S1CS03391-WS</t>
  </si>
  <si>
    <t>S1CS03392-WS</t>
  </si>
  <si>
    <t>S0RM03314</t>
  </si>
  <si>
    <t>S1CS03393-WS</t>
  </si>
  <si>
    <t>S0RM03315</t>
  </si>
  <si>
    <t>S1CS03394-WS</t>
  </si>
  <si>
    <t>S0RM03316</t>
  </si>
  <si>
    <t>S1CS03395-WS</t>
  </si>
  <si>
    <t>S0RM03317</t>
  </si>
  <si>
    <t>S1CS03396-WS</t>
  </si>
  <si>
    <t>S0RM03318</t>
  </si>
  <si>
    <t>S1CS03397-WS</t>
  </si>
  <si>
    <t>S0RM03319</t>
  </si>
  <si>
    <t>S1CS03398-WS</t>
  </si>
  <si>
    <t>S0RM03320</t>
  </si>
  <si>
    <t>S1CS03399-WS</t>
  </si>
  <si>
    <t>S0RM03321</t>
  </si>
  <si>
    <t>S1CS03400-WS</t>
  </si>
  <si>
    <t>S0RM03322</t>
  </si>
  <si>
    <t>S1CS03401-WS</t>
  </si>
  <si>
    <t>S0RM03323</t>
  </si>
  <si>
    <t>S1CS03402-WS</t>
  </si>
  <si>
    <t>S0RM03324</t>
  </si>
  <si>
    <t>S1CS03403-WS</t>
  </si>
  <si>
    <t>S0RM03325</t>
  </si>
  <si>
    <t>S1CS03404-WS</t>
  </si>
  <si>
    <t>S0RM03326</t>
  </si>
  <si>
    <t>S1CS03405-WS</t>
  </si>
  <si>
    <t>S0RM03327</t>
  </si>
  <si>
    <t>S1CS03406-WS</t>
  </si>
  <si>
    <t>S0RM03328</t>
  </si>
  <si>
    <t>S1CS03407-WS</t>
  </si>
  <si>
    <t>S0RM03329</t>
  </si>
  <si>
    <t>S1CS03408-WS</t>
  </si>
  <si>
    <t>S0RM03330</t>
  </si>
  <si>
    <t>S1CS03409-WS</t>
  </si>
  <si>
    <t>S0RM03331</t>
  </si>
  <si>
    <t>S1CS03413-WS</t>
  </si>
  <si>
    <t>S0RM03335</t>
  </si>
  <si>
    <t>S1CS03414-WS</t>
  </si>
  <si>
    <t>S0RM03336</t>
  </si>
  <si>
    <t>S1CS03415-WS</t>
  </si>
  <si>
    <t>S0RM03337</t>
  </si>
  <si>
    <t>S1CS03416-WS</t>
  </si>
  <si>
    <t>S0RM03338</t>
  </si>
  <si>
    <t>S1CS03417-WS</t>
  </si>
  <si>
    <t>S0RM03339</t>
  </si>
  <si>
    <t>S1CS03418-WS</t>
  </si>
  <si>
    <t>S0RM03340</t>
  </si>
  <si>
    <t>S1CS03419-WS</t>
  </si>
  <si>
    <t>S0RM03341</t>
  </si>
  <si>
    <t>S1CS03420-WS</t>
  </si>
  <si>
    <t>S0RM03342</t>
  </si>
  <si>
    <t>S1CS03421-WS</t>
  </si>
  <si>
    <t>S0RM03343</t>
  </si>
  <si>
    <t>S1CS03422-WS</t>
  </si>
  <si>
    <t>S0RM03344</t>
  </si>
  <si>
    <t>S1CS03423-WS</t>
  </si>
  <si>
    <t>S0RM03345</t>
  </si>
  <si>
    <t>S1CS03424-WS</t>
  </si>
  <si>
    <t>S0RM03346</t>
  </si>
  <si>
    <t>S1CS03425-WS</t>
  </si>
  <si>
    <t>S0RM03347</t>
  </si>
  <si>
    <t>S1CS03426-WS</t>
  </si>
  <si>
    <t>S0RM03348</t>
  </si>
  <si>
    <t>S1CS03427-WS</t>
  </si>
  <si>
    <t>S0RM03349</t>
  </si>
  <si>
    <t>S1CS03428-WS</t>
  </si>
  <si>
    <t>S0RM03350</t>
  </si>
  <si>
    <t>S1CS03429-WS</t>
  </si>
  <si>
    <t>S0RM03351</t>
  </si>
  <si>
    <t>S1CS03430-WS</t>
  </si>
  <si>
    <t>S0RM03352</t>
  </si>
  <si>
    <t>S1CS03431-WS</t>
  </si>
  <si>
    <t>S1CS03432-WS</t>
  </si>
  <si>
    <t>S1CS03433-WS</t>
  </si>
  <si>
    <t>S0RM03355</t>
  </si>
  <si>
    <t>S1CS03434-WS</t>
  </si>
  <si>
    <t>S0RM03356</t>
  </si>
  <si>
    <t>S1CS03435-WS</t>
  </si>
  <si>
    <t>S0RM03357</t>
  </si>
  <si>
    <t>S1CS03436-WS</t>
  </si>
  <si>
    <t>S0RM03358</t>
  </si>
  <si>
    <t>S1CS03439-WS</t>
  </si>
  <si>
    <t>S0RM03361</t>
  </si>
  <si>
    <t>S1CS03440-WS</t>
  </si>
  <si>
    <t>S0RM03362</t>
  </si>
  <si>
    <t>S1CS03441-WS</t>
  </si>
  <si>
    <t>S0RM03363</t>
  </si>
  <si>
    <t>S1CS03442-WS</t>
  </si>
  <si>
    <t>S0RM03364</t>
  </si>
  <si>
    <t>S1CS03443-WS</t>
  </si>
  <si>
    <t>S0RM03365</t>
  </si>
  <si>
    <t>S1CS03444-WS</t>
  </si>
  <si>
    <t>S0RM03366</t>
  </si>
  <si>
    <t>S1CS03445-WS</t>
  </si>
  <si>
    <t>S0RM03367</t>
  </si>
  <si>
    <t>S1CS03446-WS</t>
  </si>
  <si>
    <t>S0RM03368</t>
  </si>
  <si>
    <t>S1CS03447-WS</t>
  </si>
  <si>
    <t>S0RM03369</t>
  </si>
  <si>
    <t>S1CS03448-WS</t>
  </si>
  <si>
    <t>S0RM03370</t>
  </si>
  <si>
    <t>S1CS03449-WS</t>
  </si>
  <si>
    <t>S0RM03371</t>
  </si>
  <si>
    <t>S1CS03450-WS</t>
  </si>
  <si>
    <t>S0RM03372</t>
  </si>
  <si>
    <t>S1CS03451-WS</t>
  </si>
  <si>
    <t>S0RM03373</t>
  </si>
  <si>
    <t>S1CS03452-WS</t>
  </si>
  <si>
    <t>S0RM03374</t>
  </si>
  <si>
    <t>S1CS03453-WS</t>
  </si>
  <si>
    <t>S0RM03375</t>
  </si>
  <si>
    <t>S1CS03457-WS</t>
  </si>
  <si>
    <t>S0RM03379</t>
  </si>
  <si>
    <t>S1CS03459-WS</t>
  </si>
  <si>
    <t>S0RM03381</t>
  </si>
  <si>
    <t>S1CS03460-WS</t>
  </si>
  <si>
    <t>S1CS03461-WS</t>
  </si>
  <si>
    <t>S0RM03383</t>
  </si>
  <si>
    <t>S1CS03462-WS</t>
  </si>
  <si>
    <t>S0RM03384</t>
  </si>
  <si>
    <t>S1CS03463-WS</t>
  </si>
  <si>
    <t>S0RM03385</t>
  </si>
  <si>
    <t>S1CS03464-WS</t>
  </si>
  <si>
    <t>S0RM03386</t>
  </si>
  <si>
    <t>S1CS03465-WS</t>
  </si>
  <si>
    <t>S0RM03256</t>
  </si>
  <si>
    <t>S1CS03466-WS</t>
  </si>
  <si>
    <t>S0RM03257</t>
  </si>
  <si>
    <t>S1CS03469-WS</t>
  </si>
  <si>
    <t>S0RM03389</t>
  </si>
  <si>
    <t>S1CS03470-WS</t>
  </si>
  <si>
    <t>S1CS03471-WS</t>
  </si>
  <si>
    <t>S1CS03474-WS</t>
  </si>
  <si>
    <t>S0RM03394</t>
  </si>
  <si>
    <t>S1CS03475-WS</t>
  </si>
  <si>
    <t>S0RM03395</t>
  </si>
  <si>
    <t>S1CS03476-WS</t>
  </si>
  <si>
    <t>S1CS03477-WS</t>
  </si>
  <si>
    <t>S1CS03478-WS</t>
  </si>
  <si>
    <t>S0RM03398</t>
  </si>
  <si>
    <t>S1CS03479-WS</t>
  </si>
  <si>
    <t>S0RM03399</t>
  </si>
  <si>
    <t>S1CS03480-WS</t>
  </si>
  <si>
    <t>S0RM03400</t>
  </si>
  <si>
    <t>S1CS03483-WS</t>
  </si>
  <si>
    <t>S0RM03403</t>
  </si>
  <si>
    <t>S1CS03484-WS</t>
  </si>
  <si>
    <t>S0RM03404</t>
  </si>
  <si>
    <t>S1CS03485-WS</t>
  </si>
  <si>
    <t>S0RM03405</t>
  </si>
  <si>
    <t>S1CS03486-WS</t>
  </si>
  <si>
    <t>S0RM03406</t>
  </si>
  <si>
    <t>S1CS03487-WS</t>
  </si>
  <si>
    <t>S1CS03488-WS</t>
  </si>
  <si>
    <t>S0RM03408</t>
  </si>
  <si>
    <t>S1CS03489-WS</t>
  </si>
  <si>
    <t>S1CS03493-WS</t>
  </si>
  <si>
    <t>S0RM03413</t>
  </si>
  <si>
    <t>S1CS03494-WS</t>
  </si>
  <si>
    <t>S0RM03414</t>
  </si>
  <si>
    <t>S1CS03495-WS</t>
  </si>
  <si>
    <t>S0RM03415</t>
  </si>
  <si>
    <t>S1CS03496-WS</t>
  </si>
  <si>
    <t>S0RM03416</t>
  </si>
  <si>
    <t>S1CS03497-WS</t>
  </si>
  <si>
    <t>S0RM03417</t>
  </si>
  <si>
    <t>S1CS03498-WS</t>
  </si>
  <si>
    <t>S0RM03418</t>
  </si>
  <si>
    <t>S1CS03499-WS</t>
  </si>
  <si>
    <t>S0RM03419</t>
  </si>
  <si>
    <t>S1CS03500-WS</t>
  </si>
  <si>
    <t>S0RM03420</t>
  </si>
  <si>
    <t>S1CS03501-WS</t>
  </si>
  <si>
    <t>S0RM03421</t>
  </si>
  <si>
    <t>S1CS03502-WS</t>
  </si>
  <si>
    <t>S0RM03422</t>
  </si>
  <si>
    <t>S1CS03503-WS</t>
  </si>
  <si>
    <t>S0RM03423</t>
  </si>
  <si>
    <t>S1CS03507-WS</t>
  </si>
  <si>
    <t>S0RM03427</t>
  </si>
  <si>
    <t>S1CS03511-WS</t>
  </si>
  <si>
    <t>S0RM03431</t>
  </si>
  <si>
    <t>S1CS03512-WS</t>
  </si>
  <si>
    <t>S0RM03432</t>
  </si>
  <si>
    <t>S1CS03513-WS</t>
  </si>
  <si>
    <t>S1CS03514-WS</t>
  </si>
  <si>
    <t>S0RM03434</t>
  </si>
  <si>
    <t>S1CS03517-WS</t>
  </si>
  <si>
    <t>S0RM03437</t>
  </si>
  <si>
    <t>S1CS03518-WS</t>
  </si>
  <si>
    <t>S0RM03438</t>
  </si>
  <si>
    <t>S1CS03519-WS</t>
  </si>
  <si>
    <t>S0RM03439</t>
  </si>
  <si>
    <t>S1CS03520-WS</t>
  </si>
  <si>
    <t>S0RM03440</t>
  </si>
  <si>
    <t>S1CS03521-WS</t>
  </si>
  <si>
    <t>S0RM03441</t>
  </si>
  <si>
    <t>S1CS03522-WS</t>
  </si>
  <si>
    <t>S0RM03442</t>
  </si>
  <si>
    <t>S1CS03523-WS</t>
  </si>
  <si>
    <t>S0RM03443</t>
  </si>
  <si>
    <t>S1CS03524-WS</t>
  </si>
  <si>
    <t>S0RM03444</t>
  </si>
  <si>
    <t>S1CS03525-WS</t>
  </si>
  <si>
    <t>S0RM03445</t>
  </si>
  <si>
    <t>S1CS03526-WS</t>
  </si>
  <si>
    <t>S0RM00119</t>
  </si>
  <si>
    <t>S1CS03527-WS</t>
  </si>
  <si>
    <t>S0RM00120</t>
  </si>
  <si>
    <t>S1CS03528-WS</t>
  </si>
  <si>
    <t>S1CS03530-WS</t>
  </si>
  <si>
    <t>S1CS03531-WS</t>
  </si>
  <si>
    <t>S1CS03534-WS</t>
  </si>
  <si>
    <t>S1CS03535-WS</t>
  </si>
  <si>
    <t>S1CS03536-WS</t>
  </si>
  <si>
    <t>S0RM03456</t>
  </si>
  <si>
    <t>S1CS03537-WS</t>
  </si>
  <si>
    <t>S0RM03457</t>
  </si>
  <si>
    <t>S1CS03538-WS</t>
  </si>
  <si>
    <t>S1CS03539-WS</t>
  </si>
  <si>
    <t>S1CS03540-WS</t>
  </si>
  <si>
    <t>S1CS03541-WS</t>
  </si>
  <si>
    <t>S1CS03542-WS</t>
  </si>
  <si>
    <t>S0RM03462</t>
  </si>
  <si>
    <t>S1CS03543-WS</t>
  </si>
  <si>
    <t>S0RM03463</t>
  </si>
  <si>
    <t>S1CS03548-WS</t>
  </si>
  <si>
    <t>S1CS03549-WS</t>
  </si>
  <si>
    <t>S1CS03554-WS</t>
  </si>
  <si>
    <t>S0RM03474</t>
  </si>
  <si>
    <t>S1CS03555-WS</t>
  </si>
  <si>
    <t>S0RM03475</t>
  </si>
  <si>
    <t>S1CS03558-WS</t>
  </si>
  <si>
    <t>S0RM03478</t>
  </si>
  <si>
    <t>S1CS03559-WS</t>
  </si>
  <si>
    <t>S0RM03479</t>
  </si>
  <si>
    <t>S1CS03564-WS</t>
  </si>
  <si>
    <t>S0RM03484</t>
  </si>
  <si>
    <t>S1CS03565-WS</t>
  </si>
  <si>
    <t>S0RM03485</t>
  </si>
  <si>
    <t>S1CS03566-WS</t>
  </si>
  <si>
    <t>S0RM03486</t>
  </si>
  <si>
    <t>S1CS03567-WS</t>
  </si>
  <si>
    <t>S0RM03487</t>
  </si>
  <si>
    <t>S1CS03568-WS</t>
  </si>
  <si>
    <t>S1CS03569-WS</t>
  </si>
  <si>
    <t>S1CS03570-WS</t>
  </si>
  <si>
    <t>S1CS03571-WS</t>
  </si>
  <si>
    <t>S0RM03491</t>
  </si>
  <si>
    <t>S1CS03572-WS</t>
  </si>
  <si>
    <t>S0RM03492</t>
  </si>
  <si>
    <t>S1CS03573-WS</t>
  </si>
  <si>
    <t>S0RM03493</t>
  </si>
  <si>
    <t>S1CS03574-WS</t>
  </si>
  <si>
    <t>S0RM03494</t>
  </si>
  <si>
    <t>S1CS03575-WS</t>
  </si>
  <si>
    <t>S0RM03495</t>
  </si>
  <si>
    <t>S1CS03576-WS</t>
  </si>
  <si>
    <t>S0RM03496</t>
  </si>
  <si>
    <t>S1CS03577-WS</t>
  </si>
  <si>
    <t>S0RM03497</t>
  </si>
  <si>
    <t>S1CS03578-WS</t>
  </si>
  <si>
    <t>S0RM03498</t>
  </si>
  <si>
    <t>S1CS03582-WS</t>
  </si>
  <si>
    <t>S0RM03502</t>
  </si>
  <si>
    <t>S1CS03583-WS</t>
  </si>
  <si>
    <t>S0RM03503</t>
  </si>
  <si>
    <t>S1CS03584-WS</t>
  </si>
  <si>
    <t>S0RM03504</t>
  </si>
  <si>
    <t>S1CS03585-WS</t>
  </si>
  <si>
    <t>S0RM03505</t>
  </si>
  <si>
    <t>S1CS03586-WS</t>
  </si>
  <si>
    <t>S0RM03506</t>
  </si>
  <si>
    <t>S1CS03587-WS</t>
  </si>
  <si>
    <t>S0RM03507</t>
  </si>
  <si>
    <t>S1CS03588-WS</t>
  </si>
  <si>
    <t>S0RM03508</t>
  </si>
  <si>
    <t>S1CS03589-WS</t>
  </si>
  <si>
    <t>S0RM03509</t>
  </si>
  <si>
    <t>S1CS03590-WS</t>
  </si>
  <si>
    <t>S0RM03510</t>
  </si>
  <si>
    <t>S1CS03591-WS</t>
  </si>
  <si>
    <t>S0RM03511</t>
  </si>
  <si>
    <t>S1CS03592-WS</t>
  </si>
  <si>
    <t>S0RM03512</t>
  </si>
  <si>
    <t>S1CS03597-WS</t>
  </si>
  <si>
    <t>S0RM03517</t>
  </si>
  <si>
    <t>S1CS03598-WS</t>
  </si>
  <si>
    <t>S0RM03518</t>
  </si>
  <si>
    <t>S1CS03599-WS</t>
  </si>
  <si>
    <t>S0RM03519</t>
  </si>
  <si>
    <t>S1CS03600-WS</t>
  </si>
  <si>
    <t>S0RM03520</t>
  </si>
  <si>
    <t>S1CS03601-WS</t>
  </si>
  <si>
    <t>S0RM03521</t>
  </si>
  <si>
    <t>S1CS03602-WS</t>
  </si>
  <si>
    <t>S0RM03522</t>
  </si>
  <si>
    <t>S1CS03611-WS</t>
  </si>
  <si>
    <t>S0RM03531</t>
  </si>
  <si>
    <t>S1CS03612-WS</t>
  </si>
  <si>
    <t>S0RM03532</t>
  </si>
  <si>
    <t>S1CS03615-WS</t>
  </si>
  <si>
    <t>S0RM03535</t>
  </si>
  <si>
    <t>S1CS03616-WS</t>
  </si>
  <si>
    <t>S0RM03536</t>
  </si>
  <si>
    <t>S1CS03617-WS</t>
  </si>
  <si>
    <t>S0RM03537</t>
  </si>
  <si>
    <t>S1CS03618-WS</t>
  </si>
  <si>
    <t>S0RM03538</t>
  </si>
  <si>
    <t>S1CS03619-WS</t>
  </si>
  <si>
    <t>S0RM03539</t>
  </si>
  <si>
    <t>S1CS03620-WS</t>
  </si>
  <si>
    <t>S0RM03540</t>
  </si>
  <si>
    <t>S1CS03621-WS</t>
  </si>
  <si>
    <t>S0RM03541</t>
  </si>
  <si>
    <t>S1CS03622-WS</t>
  </si>
  <si>
    <t>S0RM03542</t>
  </si>
  <si>
    <t>S1CS03627-WS</t>
  </si>
  <si>
    <t>S0RM03547</t>
  </si>
  <si>
    <t>S1CS03628-WS</t>
  </si>
  <si>
    <t>S0RM03548</t>
  </si>
  <si>
    <t>S1CS03629-WS</t>
  </si>
  <si>
    <t>S1CS03630-WS</t>
  </si>
  <si>
    <t>S1CS03631-WS</t>
  </si>
  <si>
    <t>S1CS03640-WS</t>
  </si>
  <si>
    <t>S0RM03560</t>
  </si>
  <si>
    <t>S1CS03641-WS</t>
  </si>
  <si>
    <t>S0RM03561</t>
  </si>
  <si>
    <t>S1CS03659-WS</t>
  </si>
  <si>
    <t>S0RM03579</t>
  </si>
  <si>
    <t>S1CS03660-WS</t>
  </si>
  <si>
    <t>S0RM03580</t>
  </si>
  <si>
    <t>S1CS03661-WS</t>
  </si>
  <si>
    <t>S0RM03581</t>
  </si>
  <si>
    <t>S1CS03662-WS</t>
  </si>
  <si>
    <t>S0RM03582</t>
  </si>
  <si>
    <t>S1CS03680-WS</t>
  </si>
  <si>
    <t>S0RM03600</t>
  </si>
  <si>
    <t>S1CS03681-WS</t>
  </si>
  <si>
    <t>S0RM03601</t>
  </si>
  <si>
    <t>S1CS03682-WS</t>
  </si>
  <si>
    <t>S0RM03602</t>
  </si>
  <si>
    <t>S1CS03683-WS</t>
  </si>
  <si>
    <t>S1CS03685-WS</t>
  </si>
  <si>
    <t>S0RM03605</t>
  </si>
  <si>
    <t>S1CS03686-WS</t>
  </si>
  <si>
    <t>S0RM03606</t>
  </si>
  <si>
    <t>S1CS03687-WS</t>
  </si>
  <si>
    <t>S0RM03607</t>
  </si>
  <si>
    <t>S1CS03688-WS</t>
  </si>
  <si>
    <t>S0RM03608</t>
  </si>
  <si>
    <t>S1CS03689-WS</t>
  </si>
  <si>
    <t>S0RM03609</t>
  </si>
  <si>
    <t>S1CS03690-WS</t>
  </si>
  <si>
    <t>S0RM03610</t>
  </si>
  <si>
    <t>S1CS03691-WS</t>
  </si>
  <si>
    <t>S0RM03611</t>
  </si>
  <si>
    <t>S1CS03699-WS</t>
  </si>
  <si>
    <t>S0RM03619</t>
  </si>
  <si>
    <t>S1CS03700-WS</t>
  </si>
  <si>
    <t>S0RM03620</t>
  </si>
  <si>
    <t>S1CS03703-WS</t>
  </si>
  <si>
    <t>S0RM03623</t>
  </si>
  <si>
    <t>S1CS03704-WS</t>
  </si>
  <si>
    <t>S0RM03624</t>
  </si>
  <si>
    <t>S1CS03707-WS</t>
  </si>
  <si>
    <t>S0RM03627</t>
  </si>
  <si>
    <t>S1CS03708-WS</t>
  </si>
  <si>
    <t>S0RM03628</t>
  </si>
  <si>
    <t>S1CS03711-WS</t>
  </si>
  <si>
    <t>S1CS03712-WS</t>
  </si>
  <si>
    <t>S1CS03713-WS</t>
  </si>
  <si>
    <t>S1CS03716-WS</t>
  </si>
  <si>
    <t>S0RM03636</t>
  </si>
  <si>
    <t>S1CS03717-WS</t>
  </si>
  <si>
    <t>S0RM03637</t>
  </si>
  <si>
    <t>S1CS03718-WS</t>
  </si>
  <si>
    <t>S0RM03638</t>
  </si>
  <si>
    <t>S1CS03754-48-WS</t>
  </si>
  <si>
    <t>S1CS03754-50-WS</t>
  </si>
  <si>
    <t>S1CS03754-52-WS</t>
  </si>
  <si>
    <t>S1CS03754-54-WS</t>
  </si>
  <si>
    <t>S1CS03754-56-WS</t>
  </si>
  <si>
    <t>S1CS03754-58-WS</t>
  </si>
  <si>
    <t>S1CS03754-60-WS</t>
  </si>
  <si>
    <t>S1CS03755-48-WS</t>
  </si>
  <si>
    <t>S0RM03755-48</t>
  </si>
  <si>
    <t>S1CS03755-50-WS</t>
  </si>
  <si>
    <t>S0RM03755-50</t>
  </si>
  <si>
    <t>S1CS03755-52-WS</t>
  </si>
  <si>
    <t>S0RM03755-52</t>
  </si>
  <si>
    <t>S1CS03755-54-WS</t>
  </si>
  <si>
    <t>S0RM03755-54</t>
  </si>
  <si>
    <t>S1CS03755-56-WS</t>
  </si>
  <si>
    <t>S0RM03755-56</t>
  </si>
  <si>
    <t>S1CS03755-58-WS</t>
  </si>
  <si>
    <t>S0RM03755-58</t>
  </si>
  <si>
    <t>S1CS03755-60-WS</t>
  </si>
  <si>
    <t>S0RM03755-60</t>
  </si>
  <si>
    <t>S1CS03783-WS</t>
  </si>
  <si>
    <t>S0RM03776</t>
  </si>
  <si>
    <t>S1CS03795-WS</t>
  </si>
  <si>
    <t>S0RM00223</t>
  </si>
  <si>
    <t>S1CS03796-WS</t>
  </si>
  <si>
    <t>S1CS03797-WS</t>
  </si>
  <si>
    <t>S1CS03798-WS</t>
  </si>
  <si>
    <t>S1CS03799-WS</t>
  </si>
  <si>
    <t>S1CS03800-WS</t>
  </si>
  <si>
    <t>S1CS03801-WS</t>
  </si>
  <si>
    <t>S1CS03802-WS</t>
  </si>
  <si>
    <t>S1CS03803-WS</t>
  </si>
  <si>
    <t>S0RM01014</t>
  </si>
  <si>
    <t>S1CS03804-WS</t>
  </si>
  <si>
    <t>S0RM01015</t>
  </si>
  <si>
    <t>S1CS03805-WS</t>
  </si>
  <si>
    <t>S0RM03803</t>
  </si>
  <si>
    <t>S1CS03807-WS</t>
  </si>
  <si>
    <t>S1CS03808-WS</t>
  </si>
  <si>
    <t>S0RM01310</t>
  </si>
  <si>
    <t>S1CS03809-WS</t>
  </si>
  <si>
    <t>S0RM01311</t>
  </si>
  <si>
    <t>S1CS03810-WS</t>
  </si>
  <si>
    <t>S1CS03813-WS</t>
  </si>
  <si>
    <t>S1CS03814-WS</t>
  </si>
  <si>
    <t>S1CS03828-WS</t>
  </si>
  <si>
    <t>S0RM01313</t>
  </si>
  <si>
    <t>S1CS03829-WS</t>
  </si>
  <si>
    <t>S0RM01314</t>
  </si>
  <si>
    <t>S1CS03845-WS</t>
  </si>
  <si>
    <t>S1CS03846-WS</t>
  </si>
  <si>
    <t>S1CS03857-WS</t>
  </si>
  <si>
    <t>S0RM03715</t>
  </si>
  <si>
    <t>S1CS03860-WS</t>
  </si>
  <si>
    <t>S0RM03718</t>
  </si>
  <si>
    <t>S1CS03869-WS</t>
  </si>
  <si>
    <t>S1CS03870-WS</t>
  </si>
  <si>
    <t>S1CS03873-WS</t>
  </si>
  <si>
    <t>S0RM03731</t>
  </si>
  <si>
    <t>S1CS03874-WS</t>
  </si>
  <si>
    <t>S0RM03732</t>
  </si>
  <si>
    <t>S1CS03876-WS</t>
  </si>
  <si>
    <t>S1CS03884-WS</t>
  </si>
  <si>
    <t>S0RM03742</t>
  </si>
  <si>
    <t>S1CS03885-WS</t>
  </si>
  <si>
    <t>S0RM03743</t>
  </si>
  <si>
    <t>S1CS03886-WS</t>
  </si>
  <si>
    <t>S0RM03744</t>
  </si>
  <si>
    <t>S1CS03890-WS</t>
  </si>
  <si>
    <t>S1CS03896-WS</t>
  </si>
  <si>
    <t>S1CS03897-WS</t>
  </si>
  <si>
    <t>S1CS03898-WS</t>
  </si>
  <si>
    <t>S1CS03899-WS</t>
  </si>
  <si>
    <t>S0RM01187</t>
  </si>
  <si>
    <t>S1CS03900-WS</t>
  </si>
  <si>
    <t>S0RM01188</t>
  </si>
  <si>
    <t>S1CS03901-WS</t>
  </si>
  <si>
    <t>S0RM01189</t>
  </si>
  <si>
    <t>S1CS03902-WS</t>
  </si>
  <si>
    <t>S0RM01175</t>
  </si>
  <si>
    <t>S1CS03903-WS</t>
  </si>
  <si>
    <t>S0RM01176</t>
  </si>
  <si>
    <t>S1CS03904-WS</t>
  </si>
  <si>
    <t>S0RM01190</t>
  </si>
  <si>
    <t>S1CS03905-WS</t>
  </si>
  <si>
    <t>S0RM01191</t>
  </si>
  <si>
    <t>S1CS03906-WS</t>
  </si>
  <si>
    <t>S0RM01183</t>
  </si>
  <si>
    <t>S1CS03907-WS</t>
  </si>
  <si>
    <t>S0RM01184</t>
  </si>
  <si>
    <t>S1CS03908-WS</t>
  </si>
  <si>
    <t>S0RM01185</t>
  </si>
  <si>
    <t>S1CS03909-WS</t>
  </si>
  <si>
    <t>S0RM01186</t>
  </si>
  <si>
    <t>S1CS03910-WS</t>
  </si>
  <si>
    <t>S0RM01166</t>
  </si>
  <si>
    <t>S1CS03911-WS</t>
  </si>
  <si>
    <t>S0RM01167</t>
  </si>
  <si>
    <t>S1CS03912-WS</t>
  </si>
  <si>
    <t>S0RM01168</t>
  </si>
  <si>
    <t>S1CS03913-WS</t>
  </si>
  <si>
    <t>S0RM01169</t>
  </si>
  <si>
    <t>S1CS03914-WS</t>
  </si>
  <si>
    <t>S0RM01170</t>
  </si>
  <si>
    <t>S1CS03915-WS</t>
  </si>
  <si>
    <t>S1CS03916-WS</t>
  </si>
  <si>
    <t>S1CS03917-WS</t>
  </si>
  <si>
    <t>S1CS03918-WS</t>
  </si>
  <si>
    <t>S1CS03919-WS</t>
  </si>
  <si>
    <t>S0RM01312</t>
  </si>
  <si>
    <t>S1CS03920-WS</t>
  </si>
  <si>
    <t>S0RM00262</t>
  </si>
  <si>
    <t>S1CS03921-WS</t>
  </si>
  <si>
    <t>S1CS03922-WS</t>
  </si>
  <si>
    <t>S1CS03923-WS</t>
  </si>
  <si>
    <t>S0RM01120</t>
  </si>
  <si>
    <t>S1CS03924-WS</t>
  </si>
  <si>
    <t>S0RM01121</t>
  </si>
  <si>
    <t>S1CS03925-WS</t>
  </si>
  <si>
    <t>S1CS03926-WS</t>
  </si>
  <si>
    <t>S1CS03927-WS</t>
  </si>
  <si>
    <t>S1CS03928-WS</t>
  </si>
  <si>
    <t>S0RM01235</t>
  </si>
  <si>
    <t>S1CS03929-WS</t>
  </si>
  <si>
    <t>S0RM01202</t>
  </si>
  <si>
    <t>S1CS03930-WS</t>
  </si>
  <si>
    <t>S1CS03931-WS</t>
  </si>
  <si>
    <t>S0RM01246</t>
  </si>
  <si>
    <t>S1CS03932-WS</t>
  </si>
  <si>
    <t>S0RM01198</t>
  </si>
  <si>
    <t>S1CS03933-WS</t>
  </si>
  <si>
    <t>S0RM01199</t>
  </si>
  <si>
    <t>S1CS03934-WS</t>
  </si>
  <si>
    <t>S0RM01204</t>
  </si>
  <si>
    <t>S1CS03935-WS</t>
  </si>
  <si>
    <t>S0RM01205</t>
  </si>
  <si>
    <t>S1CS03936-WS</t>
  </si>
  <si>
    <t>S0RM01206</t>
  </si>
  <si>
    <t>S1CS03937-WS</t>
  </si>
  <si>
    <t>S0RM01210</t>
  </si>
  <si>
    <t>S1CS03938-WS</t>
  </si>
  <si>
    <t>S0RM01211</t>
  </si>
  <si>
    <t>S1CS03939-WS</t>
  </si>
  <si>
    <t>S0RM01212</t>
  </si>
  <si>
    <t>S1CS03940-WS</t>
  </si>
  <si>
    <t>S0RM01207</t>
  </si>
  <si>
    <t>S1CS03941-WS</t>
  </si>
  <si>
    <t>S0RM01208</t>
  </si>
  <si>
    <t>S1CS03942-WS</t>
  </si>
  <si>
    <t>S0RM01209</t>
  </si>
  <si>
    <t>S1CS03943-WS</t>
  </si>
  <si>
    <t>S0RM01247</t>
  </si>
  <si>
    <t>S1CS03944-WS</t>
  </si>
  <si>
    <t>S0RM01248</t>
  </si>
  <si>
    <t>S1CS03945-WS</t>
  </si>
  <si>
    <t>S1CS03946-WS</t>
  </si>
  <si>
    <t>S1CS03947-WS</t>
  </si>
  <si>
    <t>S1CS03948-WS</t>
  </si>
  <si>
    <t>S1CS03949-WS</t>
  </si>
  <si>
    <t>S1CS03950-WS</t>
  </si>
  <si>
    <t>S1CS03951-WS</t>
  </si>
  <si>
    <t>S1CS03952-WS</t>
  </si>
  <si>
    <t>S0RM01250</t>
  </si>
  <si>
    <t>S1CS03953-WS</t>
  </si>
  <si>
    <t>S0RM01251</t>
  </si>
  <si>
    <t>S1CS03954-WS</t>
  </si>
  <si>
    <t>S0RM01252</t>
  </si>
  <si>
    <t>S1CS03955-WS</t>
  </si>
  <si>
    <t>S0RM01253</t>
  </si>
  <si>
    <t>S1CS03956-WS</t>
  </si>
  <si>
    <t>S0RM01236</t>
  </si>
  <si>
    <t>S1CS03957-WS</t>
  </si>
  <si>
    <t>S0RM01237</t>
  </si>
  <si>
    <t>S1CS03958-WS</t>
  </si>
  <si>
    <t>S0RM01238</t>
  </si>
  <si>
    <t>S1CS03959-WS</t>
  </si>
  <si>
    <t>S0RM01195</t>
  </si>
  <si>
    <t>S1CS03960-WS</t>
  </si>
  <si>
    <t>S0RM01196</t>
  </si>
  <si>
    <t>S1CS03961-WS</t>
  </si>
  <si>
    <t>S0RM01192</t>
  </si>
  <si>
    <t>S1CS03962-WS</t>
  </si>
  <si>
    <t>S0RM01193</t>
  </si>
  <si>
    <t>S1CS03963-WS</t>
  </si>
  <si>
    <t>S0RM01232</t>
  </si>
  <si>
    <t>S1CS03964-WS</t>
  </si>
  <si>
    <t>S0RM01233</t>
  </si>
  <si>
    <t>S1CS03965-WS</t>
  </si>
  <si>
    <t>S0RM01219</t>
  </si>
  <si>
    <t>S1CS03966-WS</t>
  </si>
  <si>
    <t>S1CS03967-WS</t>
  </si>
  <si>
    <t>S1CS03968-WS</t>
  </si>
  <si>
    <t>S1CS03969-WS</t>
  </si>
  <si>
    <t>S0RM01224</t>
  </si>
  <si>
    <t>S1CS03970-WS</t>
  </si>
  <si>
    <t>S0RM01225</t>
  </si>
  <si>
    <t>S1CS03971-WS</t>
  </si>
  <si>
    <t>S1CS03972-WS</t>
  </si>
  <si>
    <t>S1CS03973-WS</t>
  </si>
  <si>
    <t>S1CS03974-WS</t>
  </si>
  <si>
    <t>S1CS03975-WS</t>
  </si>
  <si>
    <t>S0RM01226</t>
  </si>
  <si>
    <t>S1CS03976-WS</t>
  </si>
  <si>
    <t>S0RM01254</t>
  </si>
  <si>
    <t>S1CS03977-WS</t>
  </si>
  <si>
    <t>S0RM01255</t>
  </si>
  <si>
    <t>S1CS03978-WS</t>
  </si>
  <si>
    <t>S0RM01217</t>
  </si>
  <si>
    <t>S1CS03979-WS</t>
  </si>
  <si>
    <t>S0RM01218</t>
  </si>
  <si>
    <t>S1CS03980-WS</t>
  </si>
  <si>
    <t>S0RM01214</t>
  </si>
  <si>
    <t>S1CS03981-WS</t>
  </si>
  <si>
    <t>S0RM01215</t>
  </si>
  <si>
    <t>S1CS03982-WS</t>
  </si>
  <si>
    <t>S0RM01216</t>
  </si>
  <si>
    <t>S1CS03987-WS</t>
  </si>
  <si>
    <t>S1CS03988-WS</t>
  </si>
  <si>
    <t>S1CS03990-WS</t>
  </si>
  <si>
    <t>S0RM01234</t>
  </si>
  <si>
    <t>S1CS03993-WS</t>
  </si>
  <si>
    <t>S1CS03995-WS</t>
  </si>
  <si>
    <t>S0RM01227</t>
  </si>
  <si>
    <t>S1CS03996-WS</t>
  </si>
  <si>
    <t>S0RM01228</t>
  </si>
  <si>
    <t>S1CS03997-WS</t>
  </si>
  <si>
    <t>S1CS03998-WS</t>
  </si>
  <si>
    <t>S1CS04000-WS</t>
  </si>
  <si>
    <t>S0RM03881</t>
  </si>
  <si>
    <t>S1CS04001-WS</t>
  </si>
  <si>
    <t>S0RM03882</t>
  </si>
  <si>
    <t>S1CS04003-WS</t>
  </si>
  <si>
    <t>S0RM03884</t>
  </si>
  <si>
    <t>S1CS04004-WS</t>
  </si>
  <si>
    <t>S0RM03885</t>
  </si>
  <si>
    <t>S1CS04005-WS</t>
  </si>
  <si>
    <t>S0RM03886</t>
  </si>
  <si>
    <t>S1CS04006-WS</t>
  </si>
  <si>
    <t>S0RM03887</t>
  </si>
  <si>
    <t>S1CS04007-WS</t>
  </si>
  <si>
    <t>S0RM03888</t>
  </si>
  <si>
    <t>S1CS04008-WS</t>
  </si>
  <si>
    <t>S1CS04009-WS</t>
  </si>
  <si>
    <t>S0RM03890</t>
  </si>
  <si>
    <t>S1CS04010-WS</t>
  </si>
  <si>
    <t>S0RM03891</t>
  </si>
  <si>
    <t>S1CS04011-WS</t>
  </si>
  <si>
    <t>S0RM03892</t>
  </si>
  <si>
    <t>S1CS04012-WS</t>
  </si>
  <si>
    <t>S0RM03893</t>
  </si>
  <si>
    <t>S1CS04013-WS</t>
  </si>
  <si>
    <t>S0RM03894</t>
  </si>
  <si>
    <t>S1CS04014-WS</t>
  </si>
  <si>
    <t>S0RM03895</t>
  </si>
  <si>
    <t>S1CS04015-WS</t>
  </si>
  <si>
    <t>S0RM03896</t>
  </si>
  <si>
    <t>S1CS04016-WS</t>
  </si>
  <si>
    <t>S0RM03897</t>
  </si>
  <si>
    <t>S1CS04017-WS</t>
  </si>
  <si>
    <t>S0RM03898</t>
  </si>
  <si>
    <t>S1CS04018-WS</t>
  </si>
  <si>
    <t>S0RM03899</t>
  </si>
  <si>
    <t>S1CS04019-WS</t>
  </si>
  <si>
    <t>S0RM03900</t>
  </si>
  <si>
    <t>S1CS04020-WS</t>
  </si>
  <si>
    <t>S0RM03901</t>
  </si>
  <si>
    <t>S1CS04021-WS</t>
  </si>
  <si>
    <t>S0RM03902</t>
  </si>
  <si>
    <t>S1CS04022-WS</t>
  </si>
  <si>
    <t>S0RM03903</t>
  </si>
  <si>
    <t>S1CS04023-WS</t>
  </si>
  <si>
    <t>S0RM03904</t>
  </si>
  <si>
    <t>S1CS04024-WS</t>
  </si>
  <si>
    <t>S0RM03905</t>
  </si>
  <si>
    <t>S1CS04025-WS</t>
  </si>
  <si>
    <t>S0RM03906</t>
  </si>
  <si>
    <t>S1CS04026-WS</t>
  </si>
  <si>
    <t>S0RM03907</t>
  </si>
  <si>
    <t>S1CS04027-WS</t>
  </si>
  <si>
    <t>S0RM03908</t>
  </si>
  <si>
    <t>S1CS04028-WS</t>
  </si>
  <si>
    <t>S0RM03909</t>
  </si>
  <si>
    <t>S1CS04029-WS</t>
  </si>
  <si>
    <t>S0RM03910</t>
  </si>
  <si>
    <t>S1CS04030-WS</t>
  </si>
  <si>
    <t>S0RM03911</t>
  </si>
  <si>
    <t>S1CS04031-WS</t>
  </si>
  <si>
    <t>S0RM03912</t>
  </si>
  <si>
    <t>S1CS04032-WS</t>
  </si>
  <si>
    <t>S0RM00869</t>
  </si>
  <si>
    <t>S1CS04033-WS</t>
  </si>
  <si>
    <t>S0RM00870</t>
  </si>
  <si>
    <t>S1CS04034-WS</t>
  </si>
  <si>
    <t>S0RM00871</t>
  </si>
  <si>
    <t>S1CS04035-WS</t>
  </si>
  <si>
    <t>S0RM03913</t>
  </si>
  <si>
    <t>S1CS04036-WS</t>
  </si>
  <si>
    <t>S0RM03914</t>
  </si>
  <si>
    <t>S1CS04037-WS</t>
  </si>
  <si>
    <t>S0RM03915</t>
  </si>
  <si>
    <t>S1CS04038-WS</t>
  </si>
  <si>
    <t>S0RM03916</t>
  </si>
  <si>
    <t>S1CS04040-WS</t>
  </si>
  <si>
    <t>S0RM03918</t>
  </si>
  <si>
    <t>S1CS04041-WS</t>
  </si>
  <si>
    <t>S0RM03919</t>
  </si>
  <si>
    <t>S1CS04045-WS</t>
  </si>
  <si>
    <t>S0RM03923</t>
  </si>
  <si>
    <t>S1CS04046-WS</t>
  </si>
  <si>
    <t>S0RM03924</t>
  </si>
  <si>
    <t>S1CS04047-WS</t>
  </si>
  <si>
    <t>S0RM03925</t>
  </si>
  <si>
    <t>S1CS04048-WS</t>
  </si>
  <si>
    <t>S0RM03926</t>
  </si>
  <si>
    <t>S1CS04049-WS</t>
  </si>
  <si>
    <t>S0RM03927</t>
  </si>
  <si>
    <t>S1CS04050-WS</t>
  </si>
  <si>
    <t>S0RM03928</t>
  </si>
  <si>
    <t>S1CS04051-WS</t>
  </si>
  <si>
    <t>S0RM03929</t>
  </si>
  <si>
    <t>S1CS04052-WS</t>
  </si>
  <si>
    <t>S0RM03930</t>
  </si>
  <si>
    <t>S1CS04053-WS</t>
  </si>
  <si>
    <t>S0RM03931</t>
  </si>
  <si>
    <t>S1CS04054-WS</t>
  </si>
  <si>
    <t>S0RM03932</t>
  </si>
  <si>
    <t>S1CS04056-WS</t>
  </si>
  <si>
    <t>S0RM03934</t>
  </si>
  <si>
    <t>S1CS04057-WS</t>
  </si>
  <si>
    <t>S0RM03935</t>
  </si>
  <si>
    <t>S1CS04058-WS</t>
  </si>
  <si>
    <t>S0RM03936</t>
  </si>
  <si>
    <t>S1CS04059-WS</t>
  </si>
  <si>
    <t>S0RM03937</t>
  </si>
  <si>
    <t>S1CS04060-WS</t>
  </si>
  <si>
    <t>S0RM03938</t>
  </si>
  <si>
    <t>S1CS04061-WS</t>
  </si>
  <si>
    <t>S0RM03939</t>
  </si>
  <si>
    <t>S1CS04062-WS</t>
  </si>
  <si>
    <t>S0RM03940</t>
  </si>
  <si>
    <t>S1CS04063-WS</t>
  </si>
  <si>
    <t>S0RM03941</t>
  </si>
  <si>
    <t>S1CS04064-WS</t>
  </si>
  <si>
    <t>S0RM03942</t>
  </si>
  <si>
    <t>S1CS04065-WS</t>
  </si>
  <si>
    <t>S0RM03943</t>
  </si>
  <si>
    <t>S1CS04066-WS</t>
  </si>
  <si>
    <t>S0RM03944</t>
  </si>
  <si>
    <t>S1CS04067-WS</t>
  </si>
  <si>
    <t>S0RM03945</t>
  </si>
  <si>
    <t>S1CS04068-WS</t>
  </si>
  <si>
    <t>S0RM03946</t>
  </si>
  <si>
    <t>S1CS04069-WS</t>
  </si>
  <si>
    <t>S0RM03947</t>
  </si>
  <si>
    <t>S1CS04070-WS</t>
  </si>
  <si>
    <t>S0RM03948</t>
  </si>
  <si>
    <t>S1CS04071-WS</t>
  </si>
  <si>
    <t>S0RM03949</t>
  </si>
  <si>
    <t>S1CS04072-WS</t>
  </si>
  <si>
    <t>S0RM03950</t>
  </si>
  <si>
    <t>S1CS04073-WS</t>
  </si>
  <si>
    <t>S0RM03951</t>
  </si>
  <si>
    <t>S1CS04075-WS</t>
  </si>
  <si>
    <t>S0RM03953</t>
  </si>
  <si>
    <t>S1CS04076-WS</t>
  </si>
  <si>
    <t>S0RM03954</t>
  </si>
  <si>
    <t>S1CS04077-WS</t>
  </si>
  <si>
    <t>S0RM03955</t>
  </si>
  <si>
    <t>S1CS04078-WS</t>
  </si>
  <si>
    <t>S0RM03956</t>
  </si>
  <si>
    <t>S1CS04079-WS</t>
  </si>
  <si>
    <t>S0RM03957</t>
  </si>
  <si>
    <t>S1CS04080-WS</t>
  </si>
  <si>
    <t>S0RM03958</t>
  </si>
  <si>
    <t>S1CS04081-WS</t>
  </si>
  <si>
    <t>S0RM03959</t>
  </si>
  <si>
    <t>S1CS04082-WS</t>
  </si>
  <si>
    <t>S0RM03960</t>
  </si>
  <si>
    <t>S1CS04083-WS</t>
  </si>
  <si>
    <t>S0RM03961</t>
  </si>
  <si>
    <t>S1CS04084-WS</t>
  </si>
  <si>
    <t>S0RM03962</t>
  </si>
  <si>
    <t>S1CS04086-WS</t>
  </si>
  <si>
    <t>S0RM03964</t>
  </si>
  <si>
    <t>S1CS04087-WS</t>
  </si>
  <si>
    <t>S0RM03965</t>
  </si>
  <si>
    <t>S1CS04088-WS</t>
  </si>
  <si>
    <t>S1CS04092-WS</t>
  </si>
  <si>
    <t>S0RM03970</t>
  </si>
  <si>
    <t>S1CS04095-WS</t>
  </si>
  <si>
    <t>S0RM03973</t>
  </si>
  <si>
    <t>S1CS04096-WS</t>
  </si>
  <si>
    <t>S0RM03974</t>
  </si>
  <si>
    <t>S1CS04097-WS</t>
  </si>
  <si>
    <t>S0RM03975</t>
  </si>
  <si>
    <t>S1CS04098-WS</t>
  </si>
  <si>
    <t>S0RM03976</t>
  </si>
  <si>
    <t>S1CS04099-WS</t>
  </si>
  <si>
    <t>S0RM03977</t>
  </si>
  <si>
    <t>S1CS04100-WS</t>
  </si>
  <si>
    <t>S0RM03978</t>
  </si>
  <si>
    <t>S1CS04101-WS</t>
  </si>
  <si>
    <t>S0RM03979</t>
  </si>
  <si>
    <t>S1CS04102-WS</t>
  </si>
  <si>
    <t>S0RM03980</t>
  </si>
  <si>
    <t>S1CS04106-WS</t>
  </si>
  <si>
    <t>S0RM03983</t>
  </si>
  <si>
    <t>S1CS04107-WS</t>
  </si>
  <si>
    <t>S0RM03984</t>
  </si>
  <si>
    <t>S1CS04108-WS</t>
  </si>
  <si>
    <t>S0RM03985</t>
  </si>
  <si>
    <t>S1CS04109-WS</t>
  </si>
  <si>
    <t>S0RM03986</t>
  </si>
  <si>
    <t>S1CS04110-WS</t>
  </si>
  <si>
    <t>S0RM03987</t>
  </si>
  <si>
    <t>S1CS04111-WS</t>
  </si>
  <si>
    <t>S0RM03988</t>
  </si>
  <si>
    <t>S1CS04112-WS</t>
  </si>
  <si>
    <t>S0RM01300</t>
  </si>
  <si>
    <t>S1CS04113-WS</t>
  </si>
  <si>
    <t>S0RM03252</t>
  </si>
  <si>
    <t>S1CS04114-WS</t>
  </si>
  <si>
    <t>S0RM03253</t>
  </si>
  <si>
    <t>S1CS04115-WS</t>
  </si>
  <si>
    <t>S0RM00239</t>
  </si>
  <si>
    <t>S1CS04116-WS</t>
  </si>
  <si>
    <t>S0RM03989</t>
  </si>
  <si>
    <t>S1CS04117-WS</t>
  </si>
  <si>
    <t>S1CS04118-WS</t>
  </si>
  <si>
    <t>S1CS04119-WS</t>
  </si>
  <si>
    <t>S1CS04120-WS</t>
  </si>
  <si>
    <t>S1CS04121-WS</t>
  </si>
  <si>
    <t>S0RM03990</t>
  </si>
  <si>
    <t>S1CS04122-WS</t>
  </si>
  <si>
    <t>S0RM03991</t>
  </si>
  <si>
    <t>S1CS04123-WS</t>
  </si>
  <si>
    <t>S0RM03992</t>
  </si>
  <si>
    <t>S1CS04124-WS</t>
  </si>
  <si>
    <t>S0RM03993</t>
  </si>
  <si>
    <t>S1CS04125-WS</t>
  </si>
  <si>
    <t>S0RM03994</t>
  </si>
  <si>
    <t>S1CS04126-WS</t>
  </si>
  <si>
    <t>S1CS04127-WS</t>
  </si>
  <si>
    <t>S1CS04128-WS</t>
  </si>
  <si>
    <t>S0RM03995</t>
  </si>
  <si>
    <t>S1CS04129-WS</t>
  </si>
  <si>
    <t>S0RM03996</t>
  </si>
  <si>
    <t>S1CS04130-WS</t>
  </si>
  <si>
    <t>S0RM03997</t>
  </si>
  <si>
    <t>S1CS04131-WS</t>
  </si>
  <si>
    <t>S0RM03998</t>
  </si>
  <si>
    <t>S1CS04132-WS</t>
  </si>
  <si>
    <t>S0RM01282</t>
  </si>
  <si>
    <t>S1CS04133-WS</t>
  </si>
  <si>
    <t>S0RM01283</t>
  </si>
  <si>
    <t>S1CS04134-WS</t>
  </si>
  <si>
    <t>S0RM03999</t>
  </si>
  <si>
    <t>S1CS04136-WS</t>
  </si>
  <si>
    <t>S0RM04001</t>
  </si>
  <si>
    <t>S1CS04137-WS</t>
  </si>
  <si>
    <t>S0RM04002</t>
  </si>
  <si>
    <t>S1CS04138-WS</t>
  </si>
  <si>
    <t>S0RM04003</t>
  </si>
  <si>
    <t>S1CS04139-WS</t>
  </si>
  <si>
    <t>S0RM04004</t>
  </si>
  <si>
    <t>S1CS04140-WS</t>
  </si>
  <si>
    <t>S0RM04005</t>
  </si>
  <si>
    <t>S1CS04141-WS</t>
  </si>
  <si>
    <t>S0RM04006</t>
  </si>
  <si>
    <t>S1CS04142-WS</t>
  </si>
  <si>
    <t>S0RM04007</t>
  </si>
  <si>
    <t>S1CS04143-WS</t>
  </si>
  <si>
    <t>S0RM04008</t>
  </si>
  <si>
    <t>S1CS04144-WS</t>
  </si>
  <si>
    <t>S0RM04009</t>
  </si>
  <si>
    <t>S1CS04145-WS</t>
  </si>
  <si>
    <t>S0RM04010</t>
  </si>
  <si>
    <t>S1CS04146-WS</t>
  </si>
  <si>
    <t>S0RM04011</t>
  </si>
  <si>
    <t>S1CS04147-WS</t>
  </si>
  <si>
    <t>S0RM04012</t>
  </si>
  <si>
    <t>S1CS04148-WS</t>
  </si>
  <si>
    <t>S0RM04013</t>
  </si>
  <si>
    <t>S1CS04149-WS</t>
  </si>
  <si>
    <t>S0RM04014</t>
  </si>
  <si>
    <t>S1CS04150-WS</t>
  </si>
  <si>
    <t>S0RM04015</t>
  </si>
  <si>
    <t>S1CS04151-WS</t>
  </si>
  <si>
    <t>S0RM04016</t>
  </si>
  <si>
    <t>S1CS04152-WS</t>
  </si>
  <si>
    <t>S0RM04017</t>
  </si>
  <si>
    <t>S1CS04153-WS</t>
  </si>
  <si>
    <t>S0RM04018</t>
  </si>
  <si>
    <t>S1CS04155-WS</t>
  </si>
  <si>
    <t>S0RM04019</t>
  </si>
  <si>
    <t>S1CS04156-WS</t>
  </si>
  <si>
    <t>S0RM04020</t>
  </si>
  <si>
    <t>S1CS04157-WS</t>
  </si>
  <si>
    <t>S0RM04021</t>
  </si>
  <si>
    <t>S1CS04158-WS</t>
  </si>
  <si>
    <t>S0RM04022</t>
  </si>
  <si>
    <t>S1CS04159-WS</t>
  </si>
  <si>
    <t>S0RM04023</t>
  </si>
  <si>
    <t>S1CS04160-WS</t>
  </si>
  <si>
    <t>S0RM04024</t>
  </si>
  <si>
    <t>S1CS04161-WS</t>
  </si>
  <si>
    <t>S0RM04025</t>
  </si>
  <si>
    <t>S1CS04162-WS</t>
  </si>
  <si>
    <t>S0RM04026</t>
  </si>
  <si>
    <t>S1CS04163-WS</t>
  </si>
  <si>
    <t>S0RM04027</t>
  </si>
  <si>
    <t>S1CS04164-WS</t>
  </si>
  <si>
    <t>S0RM04028</t>
  </si>
  <si>
    <t>S1CS04165-WS</t>
  </si>
  <si>
    <t>S0RM04029</t>
  </si>
  <si>
    <t>S1CS04166-WS</t>
  </si>
  <si>
    <t>S0RM04030</t>
  </si>
  <si>
    <t>S1CS04167-WS</t>
  </si>
  <si>
    <t>S0RM04031</t>
  </si>
  <si>
    <t>S1CS04168-WS</t>
  </si>
  <si>
    <t>S0RM04032</t>
  </si>
  <si>
    <t>S1CS04169-WS</t>
  </si>
  <si>
    <t>S0RM04033</t>
  </si>
  <si>
    <t>S1CS04170-WS</t>
  </si>
  <si>
    <t>S0RM04034</t>
  </si>
  <si>
    <t>S1CS04171-WS</t>
  </si>
  <si>
    <t>S0RM04035</t>
  </si>
  <si>
    <t>S1CS04172-WS</t>
  </si>
  <si>
    <t>S0RM04036</t>
  </si>
  <si>
    <t>S1CS04173-WS</t>
  </si>
  <si>
    <t>S0RM01000</t>
  </si>
  <si>
    <t>S1CS04174-WS</t>
  </si>
  <si>
    <t>S0RM00998</t>
  </si>
  <si>
    <t>S1CS04175-WS</t>
  </si>
  <si>
    <t>S0RM01001</t>
  </si>
  <si>
    <t>S1CS04176-WS</t>
  </si>
  <si>
    <t>S0RM00989</t>
  </si>
  <si>
    <t>S1CS04177-WS</t>
  </si>
  <si>
    <t>S0RM00990</t>
  </si>
  <si>
    <t>S1CS04178-WS</t>
  </si>
  <si>
    <t>S1CS04179-WS</t>
  </si>
  <si>
    <t>S0RM00999</t>
  </si>
  <si>
    <t>S1CS04180-WS</t>
  </si>
  <si>
    <t>S0RM00995</t>
  </si>
  <si>
    <t>S1CS04181-WS</t>
  </si>
  <si>
    <t>S0RM00996</t>
  </si>
  <si>
    <t>S1CS04182-WS</t>
  </si>
  <si>
    <t>S0RM00997</t>
  </si>
  <si>
    <t>S1CS04183-WS</t>
  </si>
  <si>
    <t>S0RM00992</t>
  </si>
  <si>
    <t>S1CS04184-WS</t>
  </si>
  <si>
    <t>S0RM00991</t>
  </si>
  <si>
    <t>S1CS04185-WS</t>
  </si>
  <si>
    <t>S0RM04037</t>
  </si>
  <si>
    <t>S1CS04186-WS</t>
  </si>
  <si>
    <t>S0RM04038</t>
  </si>
  <si>
    <t>S1CS04187-WS</t>
  </si>
  <si>
    <t>S0RM04039</t>
  </si>
  <si>
    <t>S1CS04188-WS</t>
  </si>
  <si>
    <t>S0RM04040</t>
  </si>
  <si>
    <t>S1CS04189-WS</t>
  </si>
  <si>
    <t>S0RM04041</t>
  </si>
  <si>
    <t>S1CS04190-WS</t>
  </si>
  <si>
    <t>S0RM04042</t>
  </si>
  <si>
    <t>S1CS04191-WS</t>
  </si>
  <si>
    <t>S0RM04043</t>
  </si>
  <si>
    <t>S1CS04192-WS</t>
  </si>
  <si>
    <t>S0RM04044</t>
  </si>
  <si>
    <t>S1CS04193-WS</t>
  </si>
  <si>
    <t>S0RM04045</t>
  </si>
  <si>
    <t>S1CS04194-WS</t>
  </si>
  <si>
    <t>S0RM04046</t>
  </si>
  <si>
    <t>S1CS04195-WS</t>
  </si>
  <si>
    <t>S0RM04047</t>
  </si>
  <si>
    <t>S1CS04198-WS</t>
  </si>
  <si>
    <t>S0RM04050</t>
  </si>
  <si>
    <t>S1CS04201-WS</t>
  </si>
  <si>
    <t>S0RM04053</t>
  </si>
  <si>
    <t>S1CS04202-WS</t>
  </si>
  <si>
    <t>S0RM04054</t>
  </si>
  <si>
    <t>S1CS04203-WS</t>
  </si>
  <si>
    <t>S0RM04055</t>
  </si>
  <si>
    <t>S1CS04204-WS</t>
  </si>
  <si>
    <t>S0RM00187</t>
  </si>
  <si>
    <t>S1CS04205-WS</t>
  </si>
  <si>
    <t>S0RM04056</t>
  </si>
  <si>
    <t>S1CS04206-WS</t>
  </si>
  <si>
    <t>S0RM04057</t>
  </si>
  <si>
    <t>S1CS04207-WS</t>
  </si>
  <si>
    <t>S0RM04058</t>
  </si>
  <si>
    <t>S1CS04208-WS</t>
  </si>
  <si>
    <t>S0RM04059</t>
  </si>
  <si>
    <t>S1CS04209-WS</t>
  </si>
  <si>
    <t>S0RM04060</t>
  </si>
  <si>
    <t>S1CS04210-WS</t>
  </si>
  <si>
    <t>S0RM04061</t>
  </si>
  <si>
    <t>S1CS04211-WS</t>
  </si>
  <si>
    <t>S0RM04062</t>
  </si>
  <si>
    <t>S1CS04212-WS</t>
  </si>
  <si>
    <t>S0RM04063</t>
  </si>
  <si>
    <t>S1CS04213-WS</t>
  </si>
  <si>
    <t>S0RM04064</t>
  </si>
  <si>
    <t>S1CS04214-WS</t>
  </si>
  <si>
    <t>S0RM04065</t>
  </si>
  <si>
    <t>S1CS04215-WS</t>
  </si>
  <si>
    <t>S0RM04066</t>
  </si>
  <si>
    <t>S1CS04216-WS</t>
  </si>
  <si>
    <t>S0RM04067</t>
  </si>
  <si>
    <t>S1CS04217-WS</t>
  </si>
  <si>
    <t>S0RM04068</t>
  </si>
  <si>
    <t>S1CS04218-WS</t>
  </si>
  <si>
    <t>S0RM01354</t>
  </si>
  <si>
    <t>S1CS04219-WS</t>
  </si>
  <si>
    <t>S0RM04069</t>
  </si>
  <si>
    <t>S1CS04220-WS</t>
  </si>
  <si>
    <t>S0RM04070</t>
  </si>
  <si>
    <t>S1CS04221-WS</t>
  </si>
  <si>
    <t>S0RM04071</t>
  </si>
  <si>
    <t>S1CS04222-WS</t>
  </si>
  <si>
    <t>S0RM01355</t>
  </si>
  <si>
    <t>S1CS04223-WS</t>
  </si>
  <si>
    <t>S0RM01356</t>
  </si>
  <si>
    <t>S1CS04224-WS</t>
  </si>
  <si>
    <t>S0RM01357</t>
  </si>
  <si>
    <t>S1CS04225-WS</t>
  </si>
  <si>
    <t>S0RM01358</t>
  </si>
  <si>
    <t>S1CS04226-WS</t>
  </si>
  <si>
    <t>S0RM01359</t>
  </si>
  <si>
    <t>S1CS04227-WS</t>
  </si>
  <si>
    <t>S0RM01360</t>
  </si>
  <si>
    <t>S1CS04228-WS</t>
  </si>
  <si>
    <t>S0RM01361</t>
  </si>
  <si>
    <t>S1CS04229-WS</t>
  </si>
  <si>
    <t>S0RM04072</t>
  </si>
  <si>
    <t>S1CS04230-WS</t>
  </si>
  <si>
    <t>S0RM04073</t>
  </si>
  <si>
    <t>S1CS04231-WS</t>
  </si>
  <si>
    <t>S0RM00189</t>
  </si>
  <si>
    <t>S1CS04232-WS</t>
  </si>
  <si>
    <t>S0RM00188</t>
  </si>
  <si>
    <t>S1CS04235-WS</t>
  </si>
  <si>
    <t>S0RM04076</t>
  </si>
  <si>
    <t>S1CS04237-WS</t>
  </si>
  <si>
    <t>S0RM04077</t>
  </si>
  <si>
    <t>S1CS04238-WS</t>
  </si>
  <si>
    <t>S0RM04098</t>
  </si>
  <si>
    <t>S1CS04239-WS</t>
  </si>
  <si>
    <t>S0RM04079</t>
  </si>
  <si>
    <t>S1CS04240-WS</t>
  </si>
  <si>
    <t>S0RM04080</t>
  </si>
  <si>
    <t>S1CS04241-WS</t>
  </si>
  <si>
    <t>S0RM04081</t>
  </si>
  <si>
    <t>S1CS04242-WS</t>
  </si>
  <si>
    <t>S0RM04082</t>
  </si>
  <si>
    <t>S1CS04243-WS</t>
  </si>
  <si>
    <t>S0RM04083</t>
  </si>
  <si>
    <t>S1CS04244-WS</t>
  </si>
  <si>
    <t>S0RM04084</t>
  </si>
  <si>
    <t>S1CS04245-WS</t>
  </si>
  <si>
    <t>S0RM04085</t>
  </si>
  <si>
    <t>S1CS04246-WS</t>
  </si>
  <si>
    <t>S0RM04086</t>
  </si>
  <si>
    <t>S1CS04249-WS</t>
  </si>
  <si>
    <t>S0RM04089</t>
  </si>
  <si>
    <t>S1CS04250-WS</t>
  </si>
  <si>
    <t>S0RM04090</t>
  </si>
  <si>
    <t>S1CS04251-WS</t>
  </si>
  <si>
    <t>S0RM04091</t>
  </si>
  <si>
    <t>S1CS04252-WS</t>
  </si>
  <si>
    <t>S0RM04092</t>
  </si>
  <si>
    <t>S1CS04253-WS</t>
  </si>
  <si>
    <t>S0RM04093</t>
  </si>
  <si>
    <t>S1CS04254-WS</t>
  </si>
  <si>
    <t>S0RM04094</t>
  </si>
  <si>
    <t>S1CS04255-WS</t>
  </si>
  <si>
    <t>S0RM04095</t>
  </si>
  <si>
    <t>S1CS04256-WS</t>
  </si>
  <si>
    <t>S0RM04096</t>
  </si>
  <si>
    <t>S1CS04257-WS</t>
  </si>
  <si>
    <t>S0RM04097</t>
  </si>
  <si>
    <t>S1CS04258-WS</t>
  </si>
  <si>
    <t>S1CS04259-WS</t>
  </si>
  <si>
    <t>S0RM04078</t>
  </si>
  <si>
    <t>S1CS04262-WS</t>
  </si>
  <si>
    <t>S0RM04101</t>
  </si>
  <si>
    <t>S1CS04263-WS</t>
  </si>
  <si>
    <t>S0RM04102</t>
  </si>
  <si>
    <t>S1CS04264-WS</t>
  </si>
  <si>
    <t>S0RM04103</t>
  </si>
  <si>
    <t>S1CS04265-WS</t>
  </si>
  <si>
    <t>S0RM04104</t>
  </si>
  <si>
    <t>S1CS04266-WS</t>
  </si>
  <si>
    <t>S0RM01420</t>
  </si>
  <si>
    <t>S1CS04267-WS</t>
  </si>
  <si>
    <t>S1CS04268-WS</t>
  </si>
  <si>
    <t>S0RM04105</t>
  </si>
  <si>
    <t>S1CS04269-WS</t>
  </si>
  <si>
    <t>S0RM04106</t>
  </si>
  <si>
    <t>S1CS04270-WS</t>
  </si>
  <si>
    <t>S0RM04107</t>
  </si>
  <si>
    <t>S1CS04271-WS</t>
  </si>
  <si>
    <t>S0RM04108</t>
  </si>
  <si>
    <t>S1CS04272-WS</t>
  </si>
  <si>
    <t>S0RM04109</t>
  </si>
  <si>
    <t>S1CS04273-WS</t>
  </si>
  <si>
    <t>S1CS04274-WS</t>
  </si>
  <si>
    <t>S1CS04275-WS</t>
  </si>
  <si>
    <t>S0RM01284</t>
  </si>
  <si>
    <t>S1CS04276-WS</t>
  </si>
  <si>
    <t>S1CS04277-WS</t>
  </si>
  <si>
    <t>S0RM04110</t>
  </si>
  <si>
    <t>S1CS04278-WS</t>
  </si>
  <si>
    <t>S0RM04111</t>
  </si>
  <si>
    <t>S1CS04279-WS</t>
  </si>
  <si>
    <t>S0RM04112</t>
  </si>
  <si>
    <t>S1CS04280-WS</t>
  </si>
  <si>
    <t>S0RM04113</t>
  </si>
  <si>
    <t>S1CS04281-WS</t>
  </si>
  <si>
    <t>S0RM04114</t>
  </si>
  <si>
    <t>S1CS04282-WS</t>
  </si>
  <si>
    <t>S0RM04115</t>
  </si>
  <si>
    <t>S1CS04283-WS</t>
  </si>
  <si>
    <t>S0RM04116</t>
  </si>
  <si>
    <t>S1CS04284-WS</t>
  </si>
  <si>
    <t>S0RM01288</t>
  </si>
  <si>
    <t>S1CS04285-WS</t>
  </si>
  <si>
    <t>S0RM01289</t>
  </si>
  <si>
    <t>S1CS04286-WS</t>
  </si>
  <si>
    <t>S0RM04117</t>
  </si>
  <si>
    <t>S1CS04287-WS</t>
  </si>
  <si>
    <t>S0RM04118</t>
  </si>
  <si>
    <t>S1CS04288-WS</t>
  </si>
  <si>
    <t>S0RM01292</t>
  </si>
  <si>
    <t>S1CS04289-WS</t>
  </si>
  <si>
    <t>S0RM01293</t>
  </si>
  <si>
    <t>S1CS04290-WS</t>
  </si>
  <si>
    <t>S0RM04119</t>
  </si>
  <si>
    <t>S1CS04291-WS</t>
  </si>
  <si>
    <t>S0RM04120</t>
  </si>
  <si>
    <t>S1CS04292-WS</t>
  </si>
  <si>
    <t>S0RM04121</t>
  </si>
  <si>
    <t>S1CS04293-WS</t>
  </si>
  <si>
    <t>S0RM04122</t>
  </si>
  <si>
    <t>S1CS04294-WS</t>
  </si>
  <si>
    <t>S0RM00727</t>
  </si>
  <si>
    <t>S1CS04295-WS</t>
  </si>
  <si>
    <t>S0RM00728</t>
  </si>
  <si>
    <t>S1CS04296-WS</t>
  </si>
  <si>
    <t>S0RM01277</t>
  </si>
  <si>
    <t>S1CS04297-WS</t>
  </si>
  <si>
    <t>S0RM01278</t>
  </si>
  <si>
    <t>S1CS04298-WS</t>
  </si>
  <si>
    <t>S0RM04123</t>
  </si>
  <si>
    <t>S1CS04299-WS</t>
  </si>
  <si>
    <t>S0RM04124</t>
  </si>
  <si>
    <t>S1CS04300-WS</t>
  </si>
  <si>
    <t>S0RM04125</t>
  </si>
  <si>
    <t>S1CS04301-WS</t>
  </si>
  <si>
    <t>S0RM04126</t>
  </si>
  <si>
    <t>S1CS04302-WS</t>
  </si>
  <si>
    <t>S0RM04127</t>
  </si>
  <si>
    <t>S1CS04303-WS</t>
  </si>
  <si>
    <t>S0RM03981</t>
  </si>
  <si>
    <t>S1CS04304-WS</t>
  </si>
  <si>
    <t>S0RM04129</t>
  </si>
  <si>
    <t>S1CS04305-WS</t>
  </si>
  <si>
    <t>S0RM04130</t>
  </si>
  <si>
    <t>S1CS04306-WS</t>
  </si>
  <si>
    <t>S0RM04131</t>
  </si>
  <si>
    <t>S1CS04307-WS</t>
  </si>
  <si>
    <t>S0RM04132</t>
  </si>
  <si>
    <t>S1CS04308-WS</t>
  </si>
  <si>
    <t>S0RM04133</t>
  </si>
  <si>
    <t>S1CS04309-WS</t>
  </si>
  <si>
    <t>S0RM04134</t>
  </si>
  <si>
    <t>S1CS04311-WS</t>
  </si>
  <si>
    <t>S1CS04312-WS</t>
  </si>
  <si>
    <t>S0RM04135</t>
  </si>
  <si>
    <t>S1CS04313-WS</t>
  </si>
  <si>
    <t>S0RM04136</t>
  </si>
  <si>
    <t>S1CS04314-WS</t>
  </si>
  <si>
    <t>S0RM04137</t>
  </si>
  <si>
    <t>S1CS04315-WS</t>
  </si>
  <si>
    <t>S1CS04316-WS</t>
  </si>
  <si>
    <t>S0RM04138</t>
  </si>
  <si>
    <t>S1CS04317-WS</t>
  </si>
  <si>
    <t>S0RM01384</t>
  </si>
  <si>
    <t>S1CS04321-WS</t>
  </si>
  <si>
    <t>S0RM04142</t>
  </si>
  <si>
    <t>S1CS04322-WS</t>
  </si>
  <si>
    <t>S0RM04143</t>
  </si>
  <si>
    <t>S1CS04323-WS</t>
  </si>
  <si>
    <t>S0RM04144</t>
  </si>
  <si>
    <t>S1CS04324-WS</t>
  </si>
  <si>
    <t>S0RM04145</t>
  </si>
  <si>
    <t>S1CS04325-WS</t>
  </si>
  <si>
    <t>S1CS04326-WS</t>
  </si>
  <si>
    <t>S1CS04329-WS</t>
  </si>
  <si>
    <t>S0RM04148</t>
  </si>
  <si>
    <t>S1CS04330-WS</t>
  </si>
  <si>
    <t>S0RM04149</t>
  </si>
  <si>
    <t>S1CS04331-WS</t>
  </si>
  <si>
    <t>S0RM04150</t>
  </si>
  <si>
    <t>S1CS04332-WS</t>
  </si>
  <si>
    <t>S0RM04151</t>
  </si>
  <si>
    <t>S1CS04333-WS</t>
  </si>
  <si>
    <t>S0RM04152</t>
  </si>
  <si>
    <t>S1CS04334-WS</t>
  </si>
  <si>
    <t>S0RM04153</t>
  </si>
  <si>
    <t>S1CS04335-WS</t>
  </si>
  <si>
    <t>S0RM04154</t>
  </si>
  <si>
    <t>S1CS04336-WS</t>
  </si>
  <si>
    <t>S0RM04155</t>
  </si>
  <si>
    <t>S1CS04337-WS</t>
  </si>
  <si>
    <t>S0RM04156</t>
  </si>
  <si>
    <t>S1CS04338-WS</t>
  </si>
  <si>
    <t>S0RM04157</t>
  </si>
  <si>
    <t>S1CS04339-WS</t>
  </si>
  <si>
    <t>S0RM04158</t>
  </si>
  <si>
    <t>S1CS04340-WS</t>
  </si>
  <si>
    <t>S0RM04159</t>
  </si>
  <si>
    <t>S1CS04345-WS</t>
  </si>
  <si>
    <t>S1CS04346-WS</t>
  </si>
  <si>
    <t>S1CS04347-WS</t>
  </si>
  <si>
    <t>S0RM01402</t>
  </si>
  <si>
    <t>S1CS04348-WS</t>
  </si>
  <si>
    <t>S0RM01403</t>
  </si>
  <si>
    <t>S1CS04349-WS</t>
  </si>
  <si>
    <t>S0RM01404</t>
  </si>
  <si>
    <t>S1CS04350-WS</t>
  </si>
  <si>
    <t>S1CS04351-WS</t>
  </si>
  <si>
    <t>S1CS04352-WS</t>
  </si>
  <si>
    <t>S0RM04164</t>
  </si>
  <si>
    <t>S1CS04353-WS</t>
  </si>
  <si>
    <t>S0RM04165</t>
  </si>
  <si>
    <t>S1CS04354-WS</t>
  </si>
  <si>
    <t>S0RM04166</t>
  </si>
  <si>
    <t>S1CS04355-WS</t>
  </si>
  <si>
    <t>S0RM04167</t>
  </si>
  <si>
    <t>S1CS04356-WS</t>
  </si>
  <si>
    <t>S0RM04168</t>
  </si>
  <si>
    <t>S1CS04386-WS</t>
  </si>
  <si>
    <t>S0RM01385</t>
  </si>
  <si>
    <t>S1CS04387-WS</t>
  </si>
  <si>
    <t>S0RM04172</t>
  </si>
  <si>
    <t>S1CS04388-WS</t>
  </si>
  <si>
    <t>S1CS04389-WS</t>
  </si>
  <si>
    <t>S1CS04390-WS</t>
  </si>
  <si>
    <t>S1CS04391-WS</t>
  </si>
  <si>
    <t>S1CS04392-WS</t>
  </si>
  <si>
    <t>S0RM04173</t>
  </si>
  <si>
    <t>S1CS04393-WS</t>
  </si>
  <si>
    <t>S1CS04404-WS</t>
  </si>
  <si>
    <t>S1CS04405-WS</t>
  </si>
  <si>
    <t>S0RM04176</t>
  </si>
  <si>
    <t>S1CS04406-WS</t>
  </si>
  <si>
    <t>S0RM04177</t>
  </si>
  <si>
    <t>S1CS04407-WS</t>
  </si>
  <si>
    <t>S0RM04178</t>
  </si>
  <si>
    <t>S1CS04408-WS</t>
  </si>
  <si>
    <t>S0RM04179</t>
  </si>
  <si>
    <t>S1CS04409-WS</t>
  </si>
  <si>
    <t>S0RM04180</t>
  </si>
  <si>
    <t>S1CS04410-WS</t>
  </si>
  <si>
    <t>S0RM04181</t>
  </si>
  <si>
    <t>S1CS04411-WS</t>
  </si>
  <si>
    <t>S0RM04182</t>
  </si>
  <si>
    <t>S1CS04412-WS</t>
  </si>
  <si>
    <t>S0RM04183</t>
  </si>
  <si>
    <t>S1CS04414-WS</t>
  </si>
  <si>
    <t>S0RM00465</t>
  </si>
  <si>
    <t>S1CS04420-WS</t>
  </si>
  <si>
    <t>S0RM01147</t>
  </si>
  <si>
    <t>S1CS04421-WS</t>
  </si>
  <si>
    <t>S0RM04184</t>
  </si>
  <si>
    <t>S1CS04422-WS</t>
  </si>
  <si>
    <t>S0RM04185</t>
  </si>
  <si>
    <t>S1CS04423-WS</t>
  </si>
  <si>
    <t>S0RM04186</t>
  </si>
  <si>
    <t>S1CS04424-WS</t>
  </si>
  <si>
    <t>S0RM04187</t>
  </si>
  <si>
    <t>S1CS04425-WS</t>
  </si>
  <si>
    <t>S0RM04188</t>
  </si>
  <si>
    <t>S1CS04426-WS</t>
  </si>
  <si>
    <t>S0RM04189</t>
  </si>
  <si>
    <t>S1CS04427-WS</t>
  </si>
  <si>
    <t>S0RM04190</t>
  </si>
  <si>
    <t>S1CS04428-WS</t>
  </si>
  <si>
    <t>S0RM04191</t>
  </si>
  <si>
    <t>S1CS04429-48-WS</t>
  </si>
  <si>
    <t>S0RM01431-48</t>
  </si>
  <si>
    <t>S1CS04429-50-WS</t>
  </si>
  <si>
    <t>S0RM01431-50</t>
  </si>
  <si>
    <t>S1CS04429-52-WS</t>
  </si>
  <si>
    <t>S0RM01431-52</t>
  </si>
  <si>
    <t>S1CS04429-54-WS</t>
  </si>
  <si>
    <t>S0RM01431-54</t>
  </si>
  <si>
    <t>S1CS04429-56-WS</t>
  </si>
  <si>
    <t>S0RM01431-56</t>
  </si>
  <si>
    <t>S1CS04429-58-WS</t>
  </si>
  <si>
    <t>S0RM01431-58</t>
  </si>
  <si>
    <t>S1CS04429-60-WS</t>
  </si>
  <si>
    <t>S0RM01431-60</t>
  </si>
  <si>
    <t>S1CS04430-WS</t>
  </si>
  <si>
    <t>S0RM01272</t>
  </si>
  <si>
    <t>S1CS04431-WS</t>
  </si>
  <si>
    <t>S0RM04192</t>
  </si>
  <si>
    <t>S1CS04432-WS</t>
  </si>
  <si>
    <t>S0RM04193</t>
  </si>
  <si>
    <t>S1CS04433-WS</t>
  </si>
  <si>
    <t>S0RM04194</t>
  </si>
  <si>
    <t>S1CS04434-WS</t>
  </si>
  <si>
    <t>S0RM04195</t>
  </si>
  <si>
    <t>S1CS04435-WS</t>
  </si>
  <si>
    <t>S1CS04436-WS</t>
  </si>
  <si>
    <t>S1CS04437-WS</t>
  </si>
  <si>
    <t>S0RM04196</t>
  </si>
  <si>
    <t>S1CS04438-WS</t>
  </si>
  <si>
    <t>S0RM04205</t>
  </si>
  <si>
    <t>S1CS04443-WS</t>
  </si>
  <si>
    <t>S0RM04204</t>
  </si>
  <si>
    <t>S1CS04444-WS</t>
  </si>
  <si>
    <t>S0RM04202</t>
  </si>
  <si>
    <t>S1CS04445-WS</t>
  </si>
  <si>
    <t>S0RM04203</t>
  </si>
  <si>
    <t>S1CS04446-WS</t>
  </si>
  <si>
    <t>S1CS04447-WS</t>
  </si>
  <si>
    <t>S1CS04448-WS</t>
  </si>
  <si>
    <t>S0RM04206</t>
  </si>
  <si>
    <t>S1CS04449-WS</t>
  </si>
  <si>
    <t>S0RM04207</t>
  </si>
  <si>
    <t>S1CS04450-WS</t>
  </si>
  <si>
    <t>S0RM04208</t>
  </si>
  <si>
    <t>S1CS04451-WS</t>
  </si>
  <si>
    <t>S1CS04452-WS</t>
  </si>
  <si>
    <t>S0RM04210</t>
  </si>
  <si>
    <t>S1CS04453-WS</t>
  </si>
  <si>
    <t>S0RM04211</t>
  </si>
  <si>
    <t>S1CS04454-WS</t>
  </si>
  <si>
    <t>S0RM04212</t>
  </si>
  <si>
    <t>S1CS04455-WS</t>
  </si>
  <si>
    <t>S0RM04213</t>
  </si>
  <si>
    <t>S1CS04456-WS</t>
  </si>
  <si>
    <t>S0RM04214</t>
  </si>
  <si>
    <t>S1CS04457-WS</t>
  </si>
  <si>
    <t>S0RM04215</t>
  </si>
  <si>
    <t>S1CS04458-WS</t>
  </si>
  <si>
    <t>S0RM04216</t>
  </si>
  <si>
    <t>S1CS04459-WS</t>
  </si>
  <si>
    <t>S0RM01446</t>
  </si>
  <si>
    <t>S1CS04460-WS</t>
  </si>
  <si>
    <t>S0RM01447</t>
  </si>
  <si>
    <t>S1CS04461-WS</t>
  </si>
  <si>
    <t>S0RM04217</t>
  </si>
  <si>
    <t>S1CS04462-WS</t>
  </si>
  <si>
    <t>S0RM04218</t>
  </si>
  <si>
    <t>S1CS04463-WS</t>
  </si>
  <si>
    <t>S0RM04219</t>
  </si>
  <si>
    <t>S1CS04464-WS</t>
  </si>
  <si>
    <t>S0RM04220</t>
  </si>
  <si>
    <t>S1CS04466-WS</t>
  </si>
  <si>
    <t>S0RM04222</t>
  </si>
  <si>
    <t>S1CS04469-WS</t>
  </si>
  <si>
    <t>S0RM04223</t>
  </si>
  <si>
    <t>S1CS04470-WS</t>
  </si>
  <si>
    <t>S0RM04224</t>
  </si>
  <si>
    <t>S1CS04471-WS</t>
  </si>
  <si>
    <t>S0RM01537</t>
  </si>
  <si>
    <t>S1CS04472-WS</t>
  </si>
  <si>
    <t>S0RM01538</t>
  </si>
  <si>
    <t>S1CS04473-WS</t>
  </si>
  <si>
    <t>S0RM04227</t>
  </si>
  <si>
    <t>S1CS04474-WS</t>
  </si>
  <si>
    <t>S0RM04228</t>
  </si>
  <si>
    <t>S1CS04475-WS</t>
  </si>
  <si>
    <t>S0RM04229</t>
  </si>
  <si>
    <t>S1CS04476-WS</t>
  </si>
  <si>
    <t>S0RM04230</t>
  </si>
  <si>
    <t>S1CS04477-WS</t>
  </si>
  <si>
    <t>S0RM04231</t>
  </si>
  <si>
    <t>S1CS04478-WS</t>
  </si>
  <si>
    <t>S0RM04232</t>
  </si>
  <si>
    <t>S1CS04479-WS</t>
  </si>
  <si>
    <t>S0RM04233</t>
  </si>
  <si>
    <t>S1CS04480-WS</t>
  </si>
  <si>
    <t>S0RM01492</t>
  </si>
  <si>
    <t>S1CS04481-WS</t>
  </si>
  <si>
    <t>S0RM01493</t>
  </si>
  <si>
    <t>S1CS04482-WS</t>
  </si>
  <si>
    <t>S0RM04234</t>
  </si>
  <si>
    <t>S1CS04483-WS</t>
  </si>
  <si>
    <t>S0RM04236</t>
  </si>
  <si>
    <t>S1CS04484-WS</t>
  </si>
  <si>
    <t>S0RM04237</t>
  </si>
  <si>
    <t>S1CS04485-WS</t>
  </si>
  <si>
    <t>S0RM04238</t>
  </si>
  <si>
    <t>S1CS04486-WS</t>
  </si>
  <si>
    <t>S0RM04239</t>
  </si>
  <si>
    <t>S1CS04487-WS</t>
  </si>
  <si>
    <t>S0RM04240</t>
  </si>
  <si>
    <t>S1CS04488-WS</t>
  </si>
  <si>
    <t>S0RM01516</t>
  </si>
  <si>
    <t>S1CS04489-WS</t>
  </si>
  <si>
    <t>S0RM04241</t>
  </si>
  <si>
    <t>S1CS04490-WS</t>
  </si>
  <si>
    <t>S0RM04242</t>
  </si>
  <si>
    <t>S1CS04491-WS</t>
  </si>
  <si>
    <t>S1CS04492-WS</t>
  </si>
  <si>
    <t>S0RM01519</t>
  </si>
  <si>
    <t>S1CS04493-WS</t>
  </si>
  <si>
    <t>S0RM01520</t>
  </si>
  <si>
    <t>S1CS04494-WS</t>
  </si>
  <si>
    <t>S0RM01521</t>
  </si>
  <si>
    <t>S1CS04495-WS</t>
  </si>
  <si>
    <t>S0RM04243</t>
  </si>
  <si>
    <t>S1CS04496-WS</t>
  </si>
  <si>
    <t>S0RM04244</t>
  </si>
  <si>
    <t>S1CS04497-WS</t>
  </si>
  <si>
    <t>S0RM04245</t>
  </si>
  <si>
    <t>S1CS04498-WS</t>
  </si>
  <si>
    <t>S0RM04246</t>
  </si>
  <si>
    <t>S1CS04499-WS</t>
  </si>
  <si>
    <t>S0RM04247</t>
  </si>
  <si>
    <t>S1CS04500-48-WS</t>
  </si>
  <si>
    <t>S0RM04248-48</t>
  </si>
  <si>
    <t>S1CS04500-50-WS</t>
  </si>
  <si>
    <t>S0RM04248-50</t>
  </si>
  <si>
    <t>S1CS04500-52-WS</t>
  </si>
  <si>
    <t>S0RM04248-52</t>
  </si>
  <si>
    <t>S1CS04500-54-WS</t>
  </si>
  <si>
    <t>S0RM04248-54</t>
  </si>
  <si>
    <t>S1CS04500-56-WS</t>
  </si>
  <si>
    <t>S0RM04248-56</t>
  </si>
  <si>
    <t>S1CS04500-58-WS</t>
  </si>
  <si>
    <t>S0RM04248-58</t>
  </si>
  <si>
    <t>S1CS04500-60-WS</t>
  </si>
  <si>
    <t>S0RM04248-60</t>
  </si>
  <si>
    <t>S1CS04501-WS</t>
  </si>
  <si>
    <t>S0RM04249</t>
  </si>
  <si>
    <t>S1CS04505-WS</t>
  </si>
  <si>
    <t>S0RM04262</t>
  </si>
  <si>
    <t>S1CS04506-WS</t>
  </si>
  <si>
    <t>S0RM04263</t>
  </si>
  <si>
    <t>S1CS04514-WS</t>
  </si>
  <si>
    <t>S1CS04515-WS</t>
  </si>
  <si>
    <t>S0RM04272</t>
  </si>
  <si>
    <t>S1CS04527-48-WS</t>
  </si>
  <si>
    <t>S0RM04293-48</t>
  </si>
  <si>
    <t>S1CS04527-50-WS</t>
  </si>
  <si>
    <t>S0RM04293-50</t>
  </si>
  <si>
    <t>S1CS04527-52-WS</t>
  </si>
  <si>
    <t>S0RM04293-52</t>
  </si>
  <si>
    <t>S1CS04527-54-WS</t>
  </si>
  <si>
    <t>S0RM04293-54</t>
  </si>
  <si>
    <t>S1CS04527-56-WS</t>
  </si>
  <si>
    <t>S0RM04293-56</t>
  </si>
  <si>
    <t>S1CS04527-58-WS</t>
  </si>
  <si>
    <t>S0RM04293-58</t>
  </si>
  <si>
    <t>S1CS04527-60-WS</t>
  </si>
  <si>
    <t>S0RM04293-60</t>
  </si>
  <si>
    <t>S1CS04528-WS</t>
  </si>
  <si>
    <t>S0RM04319</t>
  </si>
  <si>
    <t>S1CS04529-WS</t>
  </si>
  <si>
    <t>S0RM04320</t>
  </si>
  <si>
    <t>S1CS04530-WS</t>
  </si>
  <si>
    <t>S0RM04321</t>
  </si>
  <si>
    <t>S1CS04531-WS</t>
  </si>
  <si>
    <t>S0RM04322</t>
  </si>
  <si>
    <t>S1CS04532-WS</t>
  </si>
  <si>
    <t>S0RM04323</t>
  </si>
  <si>
    <t>S1CS04533-WS</t>
  </si>
  <si>
    <t>S1CS04534-WS</t>
  </si>
  <si>
    <t>S1CS04535-WS</t>
  </si>
  <si>
    <t>S1CS04536-WS</t>
  </si>
  <si>
    <t>S0RM04327</t>
  </si>
  <si>
    <t>S1CS04537-WS</t>
  </si>
  <si>
    <t>S0RM04328</t>
  </si>
  <si>
    <t>S1CS04538-WS</t>
  </si>
  <si>
    <t>S0RM04329</t>
  </si>
  <si>
    <t>S1CS04550-WS</t>
  </si>
  <si>
    <t>S0RM04345</t>
  </si>
  <si>
    <t>S1CS04552-WS</t>
  </si>
  <si>
    <t>S0RM04347</t>
  </si>
  <si>
    <t>S1CS04553-WS</t>
  </si>
  <si>
    <t>S0RM04348</t>
  </si>
  <si>
    <t>S1CS04554-WS</t>
  </si>
  <si>
    <t>S0RM04349</t>
  </si>
  <si>
    <t>S1CS04555-WS</t>
  </si>
  <si>
    <t>S0RM04350</t>
  </si>
  <si>
    <t>S1CS04560-WS</t>
  </si>
  <si>
    <t>S0RM04355</t>
  </si>
  <si>
    <t>S1CS04561-WS</t>
  </si>
  <si>
    <t>S0RM04356</t>
  </si>
  <si>
    <t>S1CS04585-WS</t>
  </si>
  <si>
    <t>S0RM04381</t>
  </si>
  <si>
    <t>S1CS04589-WS</t>
  </si>
  <si>
    <t>S0RM04385</t>
  </si>
  <si>
    <t>S1CS04591-WS</t>
  </si>
  <si>
    <t>S0RM04387</t>
  </si>
  <si>
    <t>S1CS04600-WS</t>
  </si>
  <si>
    <t>S0RM04415</t>
  </si>
  <si>
    <t>S1CS04601-WS</t>
  </si>
  <si>
    <t>S0RM04416</t>
  </si>
  <si>
    <t>S1CS04602-WS</t>
  </si>
  <si>
    <t>S0RM04417</t>
  </si>
  <si>
    <t>S1CS04603-WS</t>
  </si>
  <si>
    <t>S0RM04418</t>
  </si>
  <si>
    <t>S1CS04604-WS</t>
  </si>
  <si>
    <t>S0RM04419</t>
  </si>
  <si>
    <t>S1CS04605-WS</t>
  </si>
  <si>
    <t>S0RM04420</t>
  </si>
  <si>
    <t>S1CS04610-WS</t>
  </si>
  <si>
    <t>S0RM04425</t>
  </si>
  <si>
    <t>S1CS04611-WS</t>
  </si>
  <si>
    <t>S0RM04426</t>
  </si>
  <si>
    <t>S1CS04612-WS</t>
  </si>
  <si>
    <t>S0RM04427</t>
  </si>
  <si>
    <t>S1CS04613-WS</t>
  </si>
  <si>
    <t>S1CS04614-WS</t>
  </si>
  <si>
    <t>S0RM04429</t>
  </si>
  <si>
    <t>S1CS04615-WS</t>
  </si>
  <si>
    <t>S0RM04430</t>
  </si>
  <si>
    <t>S1CS04619-WS</t>
  </si>
  <si>
    <t>S1CS04620-WS</t>
  </si>
  <si>
    <t>S1CS04626-WS</t>
  </si>
  <si>
    <t>S1CS04638-WS</t>
  </si>
  <si>
    <t>S0RM04455</t>
  </si>
  <si>
    <t>S1CS04640-WS</t>
  </si>
  <si>
    <t>S0RM04457</t>
  </si>
  <si>
    <t>S1CS04642-WS</t>
  </si>
  <si>
    <t>S0RM04459</t>
  </si>
  <si>
    <t>S1CS04644-WS</t>
  </si>
  <si>
    <t>S0RM04461</t>
  </si>
  <si>
    <t>S1CS04646-WS</t>
  </si>
  <si>
    <t>S0RM04463</t>
  </si>
  <si>
    <t>S1CS04648-WS</t>
  </si>
  <si>
    <t>S0RM04465</t>
  </si>
  <si>
    <t>S1CS04650-WS</t>
  </si>
  <si>
    <t>S0RM04467</t>
  </si>
  <si>
    <t>S1CS04652-WS</t>
  </si>
  <si>
    <t>S0RM04469</t>
  </si>
  <si>
    <t>S1CS04658-WS</t>
  </si>
  <si>
    <t>S0RM04475</t>
  </si>
  <si>
    <t>S1CS04663-WS</t>
  </si>
  <si>
    <t>S0RM04480</t>
  </si>
  <si>
    <t>S1CS04682-WS</t>
  </si>
  <si>
    <t>S0RM04521</t>
  </si>
  <si>
    <t>S1CS04683-WS</t>
  </si>
  <si>
    <t>S0RM04522</t>
  </si>
  <si>
    <t>S1CS04688-WS</t>
  </si>
  <si>
    <t>S0RM04527</t>
  </si>
  <si>
    <t>S1CS04689-WS</t>
  </si>
  <si>
    <t>S0RM04528</t>
  </si>
  <si>
    <t>S1CS04690-WS</t>
  </si>
  <si>
    <t>S0RM04529</t>
  </si>
  <si>
    <t>S1CS04700-WS</t>
  </si>
  <si>
    <t>S1CS04701-WS</t>
  </si>
  <si>
    <t>S1CS04703-WS</t>
  </si>
  <si>
    <t>S1CS04704-WS</t>
  </si>
  <si>
    <t>S0RM04533</t>
  </si>
  <si>
    <t>S1CS04705-WS</t>
  </si>
  <si>
    <t>S0RM04534</t>
  </si>
  <si>
    <t>S1CS04706-WS</t>
  </si>
  <si>
    <t>S0RM04535</t>
  </si>
  <si>
    <t>S1CS04707-WS</t>
  </si>
  <si>
    <t>S0RM04536</t>
  </si>
  <si>
    <t>S1CS04708-WS</t>
  </si>
  <si>
    <t>S0RM04537</t>
  </si>
  <si>
    <t>S1CS04709-WS</t>
  </si>
  <si>
    <t>S0RM04538</t>
  </si>
  <si>
    <t>S1CS04710-WS</t>
  </si>
  <si>
    <t>S0RM04539</t>
  </si>
  <si>
    <t>S1CS04711-WS</t>
  </si>
  <si>
    <t>S0RM04540</t>
  </si>
  <si>
    <t>S1CS04712-WS</t>
  </si>
  <si>
    <t>S0RM04541</t>
  </si>
  <si>
    <t>S1CS04713-WS</t>
  </si>
  <si>
    <t>S0RM04542</t>
  </si>
  <si>
    <t>S1CS04714-WS</t>
  </si>
  <si>
    <t>S0RM04543</t>
  </si>
  <si>
    <t>S1CS04715-WS</t>
  </si>
  <si>
    <t>S0RM04544</t>
  </si>
  <si>
    <t>S1CS04716-WS</t>
  </si>
  <si>
    <t>S0RM04545</t>
  </si>
  <si>
    <t>S1CS04717-WS</t>
  </si>
  <si>
    <t>S0RM04546</t>
  </si>
  <si>
    <t>S1CS04718-WS</t>
  </si>
  <si>
    <t>S0RM04547</t>
  </si>
  <si>
    <t>S1CS04719-WS</t>
  </si>
  <si>
    <t>S0RM04548</t>
  </si>
  <si>
    <t>S1CS04720-WS</t>
  </si>
  <si>
    <t>S0RM04549</t>
  </si>
  <si>
    <t>S1CS04721-WS</t>
  </si>
  <si>
    <t>S0RM04550</t>
  </si>
  <si>
    <t>S1CS04722-WS</t>
  </si>
  <si>
    <t>S0RM04551</t>
  </si>
  <si>
    <t>S1CS04723-WS</t>
  </si>
  <si>
    <t>S0RM04552</t>
  </si>
  <si>
    <t>S1CS04724-WS</t>
  </si>
  <si>
    <t>S0RM04553</t>
  </si>
  <si>
    <t>S1CS04725-WS</t>
  </si>
  <si>
    <t>S0RM04554</t>
  </si>
  <si>
    <t>S1CS04726-WS</t>
  </si>
  <si>
    <t>S0RM04555</t>
  </si>
  <si>
    <t>S1CS04727-WS</t>
  </si>
  <si>
    <t>S0RM04556</t>
  </si>
  <si>
    <t>S1CS04728-WS</t>
  </si>
  <si>
    <t>S0RM04557</t>
  </si>
  <si>
    <t>S1CS04729-WS</t>
  </si>
  <si>
    <t>S0RM04558</t>
  </si>
  <si>
    <t>S1CS04730-WS</t>
  </si>
  <si>
    <t>S0RM04559</t>
  </si>
  <si>
    <t>S1CS04731-WS</t>
  </si>
  <si>
    <t>S0RM04560</t>
  </si>
  <si>
    <t>S1CS04732-WS</t>
  </si>
  <si>
    <t>S0RM04561</t>
  </si>
  <si>
    <t>S1CS04733-WS</t>
  </si>
  <si>
    <t>S0RM04562</t>
  </si>
  <si>
    <t>S1CS04734-WS</t>
  </si>
  <si>
    <t>S0RM04563</t>
  </si>
  <si>
    <t>S1CS04735-WS</t>
  </si>
  <si>
    <t>S0RM04564</t>
  </si>
  <si>
    <t>S1CS04736-WS</t>
  </si>
  <si>
    <t>S0RM04565</t>
  </si>
  <si>
    <t>S1CS04737-WS</t>
  </si>
  <si>
    <t>S0RM04566</t>
  </si>
  <si>
    <t>S1CS04738-WS</t>
  </si>
  <si>
    <t>S0RM04567</t>
  </si>
  <si>
    <t>S1CS04739-WS</t>
  </si>
  <si>
    <t>S0RM04568</t>
  </si>
  <si>
    <t>S1CS04740-WS</t>
  </si>
  <si>
    <t>S0RM04569</t>
  </si>
  <si>
    <t>S1CS04741-WS</t>
  </si>
  <si>
    <t>S0RM04570</t>
  </si>
  <si>
    <t>S1CS04742-WS</t>
  </si>
  <si>
    <t>S0RM04571</t>
  </si>
  <si>
    <t>S1CS04743-WS</t>
  </si>
  <si>
    <t>S0RM04572</t>
  </si>
  <si>
    <t>S1CS04744-WS</t>
  </si>
  <si>
    <t>S0RM04585</t>
  </si>
  <si>
    <t>S1CS04745-WS</t>
  </si>
  <si>
    <t>S0RM04586</t>
  </si>
  <si>
    <t>S1CS04747-WS</t>
  </si>
  <si>
    <t>S0RM04588</t>
  </si>
  <si>
    <t>S1CS04748-WS</t>
  </si>
  <si>
    <t>S0RM04589</t>
  </si>
  <si>
    <t>S1CS04749-WS</t>
  </si>
  <si>
    <t>S0RM04590</t>
  </si>
  <si>
    <t>S1CS04750-WS</t>
  </si>
  <si>
    <t>S0RM04591</t>
  </si>
  <si>
    <t>S1CS04751-WS</t>
  </si>
  <si>
    <t>S0RM04592</t>
  </si>
  <si>
    <t>S1CS04752-WS</t>
  </si>
  <si>
    <t>S0RM04593</t>
  </si>
  <si>
    <t>S1CS04758-WS</t>
  </si>
  <si>
    <t>S0RM04609</t>
  </si>
  <si>
    <t>S1CS04759-WS</t>
  </si>
  <si>
    <t>S0RM04610</t>
  </si>
  <si>
    <t>S1CS04760-WS</t>
  </si>
  <si>
    <t>S0RM04611</t>
  </si>
  <si>
    <t>S1CS04761-WS</t>
  </si>
  <si>
    <t>S0RM04612</t>
  </si>
  <si>
    <t>S1CS04762-WS</t>
  </si>
  <si>
    <t>S0RM04613</t>
  </si>
  <si>
    <t>S1CS04763-WS</t>
  </si>
  <si>
    <t>S0RM04614</t>
  </si>
  <si>
    <t>S1CS04764-WS</t>
  </si>
  <si>
    <t>S0RM04615</t>
  </si>
  <si>
    <t>S1CS04769-WS</t>
  </si>
  <si>
    <t>S0RM04620</t>
  </si>
  <si>
    <t>S1CS04772-WS</t>
  </si>
  <si>
    <t>S0RM04621</t>
  </si>
  <si>
    <t>S1CS04773-WS</t>
  </si>
  <si>
    <t>S0RM04623</t>
  </si>
  <si>
    <t>S1CS04777-WS</t>
  </si>
  <si>
    <t>S0RM04629</t>
  </si>
  <si>
    <t>S1CS04783-48-WS</t>
  </si>
  <si>
    <t>S0RM04635-48</t>
  </si>
  <si>
    <t>S1CS04783-50-WS</t>
  </si>
  <si>
    <t>S0RM04635-50</t>
  </si>
  <si>
    <t>S1CS04783-52-WS</t>
  </si>
  <si>
    <t>S0RM04635-52</t>
  </si>
  <si>
    <t>S1CS04783-54-WS</t>
  </si>
  <si>
    <t>S0RM04635-54</t>
  </si>
  <si>
    <t>S1CS04783-56-WS</t>
  </si>
  <si>
    <t>S0RM04635-56</t>
  </si>
  <si>
    <t>S1CS04783-58-WS</t>
  </si>
  <si>
    <t>S0RM04635-58</t>
  </si>
  <si>
    <t>S1CS04783-60-WS</t>
  </si>
  <si>
    <t>S0RM04635-60</t>
  </si>
  <si>
    <t>S1CS04800-WS</t>
  </si>
  <si>
    <t>S0RM04654</t>
  </si>
  <si>
    <t>S1CS04808-48-WS</t>
  </si>
  <si>
    <t>S1CS04808-50-WS</t>
  </si>
  <si>
    <t>S1CS04808-56-WS</t>
  </si>
  <si>
    <t>S1CS04808-58-WS</t>
  </si>
  <si>
    <t>S1CS04808-60-WS</t>
  </si>
  <si>
    <t>S1CS04832-WS</t>
  </si>
  <si>
    <t>S0RM04686</t>
  </si>
  <si>
    <t>S1CS04833-WS</t>
  </si>
  <si>
    <t>S0RM04687</t>
  </si>
  <si>
    <t>S1CS04834-WS</t>
  </si>
  <si>
    <t>S0RM04690</t>
  </si>
  <si>
    <t>S1CS04836-WS</t>
  </si>
  <si>
    <t>S1CS04837-WS</t>
  </si>
  <si>
    <t>S1CS04838-WS</t>
  </si>
  <si>
    <t>S1CS04839-WS</t>
  </si>
  <si>
    <t>S0RM04697</t>
  </si>
  <si>
    <t>S1CS04840-WS</t>
  </si>
  <si>
    <t>S0RM04698</t>
  </si>
  <si>
    <t>S1CS04843-WS</t>
  </si>
  <si>
    <t>S0RM05375</t>
  </si>
  <si>
    <t>S1CS04844-WS</t>
  </si>
  <si>
    <t>S0RM05376</t>
  </si>
  <si>
    <t>S1CS04845-WS</t>
  </si>
  <si>
    <t>S0RM05377</t>
  </si>
  <si>
    <t>S1CS04846-WS</t>
  </si>
  <si>
    <t>S0RM05378</t>
  </si>
  <si>
    <t>S1CS04847-WS</t>
  </si>
  <si>
    <t>S0RM05379</t>
  </si>
  <si>
    <t>S1CS04850-WS</t>
  </si>
  <si>
    <t>S0RM05383</t>
  </si>
  <si>
    <t>S1CS04851-WS</t>
  </si>
  <si>
    <t>S0RM05384</t>
  </si>
  <si>
    <t>S1CS04852-56-WS</t>
  </si>
  <si>
    <t>S1CS04853-WS</t>
  </si>
  <si>
    <t>S1CS04862-WS</t>
  </si>
  <si>
    <t>S0RM05580</t>
  </si>
  <si>
    <t>S1CS04863-WS</t>
  </si>
  <si>
    <t>S0RM05581</t>
  </si>
  <si>
    <t>S1CS04864-WS</t>
  </si>
  <si>
    <t>S0RM05582</t>
  </si>
  <si>
    <t>S1CS04871-52-WS</t>
  </si>
  <si>
    <t>S1CS04874-WS</t>
  </si>
  <si>
    <t>S0RM05595</t>
  </si>
  <si>
    <t>S1CS04877-WS</t>
  </si>
  <si>
    <t>S0RM05600</t>
  </si>
  <si>
    <t>S1CS04878-WS</t>
  </si>
  <si>
    <t>S0RM05601</t>
  </si>
  <si>
    <t>S1CS04879-WS</t>
  </si>
  <si>
    <t>S0RM05602</t>
  </si>
  <si>
    <t>S1CS04881-WS</t>
  </si>
  <si>
    <t>S0RM05604</t>
  </si>
  <si>
    <t>S1CS04882-WS</t>
  </si>
  <si>
    <t>S0RM05605</t>
  </si>
  <si>
    <t>S1CS04883-WS</t>
  </si>
  <si>
    <t>S0RM05607</t>
  </si>
  <si>
    <t>S1CS04884-WS</t>
  </si>
  <si>
    <t>S0RM05608</t>
  </si>
  <si>
    <t>S1CS04885-WS</t>
  </si>
  <si>
    <t>S0RM05609</t>
  </si>
  <si>
    <t>S1CS04886-WS</t>
  </si>
  <si>
    <t>S0RM05610</t>
  </si>
  <si>
    <t>S1CS04887-WS</t>
  </si>
  <si>
    <t>S0RM05611</t>
  </si>
  <si>
    <t>S1CS04942-WS</t>
  </si>
  <si>
    <t>S0RM05706</t>
  </si>
  <si>
    <t>S1CS04943-WS</t>
  </si>
  <si>
    <t>S0RM05707</t>
  </si>
  <si>
    <t>S1CS04967-WS</t>
  </si>
  <si>
    <t>S0RM05709</t>
  </si>
  <si>
    <t>S1CS04978-WS</t>
  </si>
  <si>
    <t>S0RM04488</t>
  </si>
  <si>
    <t>S1CS04990-WS</t>
  </si>
  <si>
    <t>S0RM05720</t>
  </si>
  <si>
    <t>S1CS04991-WS</t>
  </si>
  <si>
    <t>S0RM05721</t>
  </si>
  <si>
    <t>S1CS04992-WS</t>
  </si>
  <si>
    <t>S0RM05722</t>
  </si>
  <si>
    <t>S1CS04993-WS</t>
  </si>
  <si>
    <t>S0RM05723</t>
  </si>
  <si>
    <t>S1CS04994-WS</t>
  </si>
  <si>
    <t>S0RM05724</t>
  </si>
  <si>
    <t>S1CS04995-WS</t>
  </si>
  <si>
    <t>S0RM05725</t>
  </si>
  <si>
    <t>S1CS04996-WS</t>
  </si>
  <si>
    <t>S0RM05726</t>
  </si>
  <si>
    <t>S1CS04997-WS</t>
  </si>
  <si>
    <t>S0RM05730</t>
  </si>
  <si>
    <t>S1CS05001-WS</t>
  </si>
  <si>
    <t>S0RM05734</t>
  </si>
  <si>
    <t>S1CS05002-WS</t>
  </si>
  <si>
    <t>S0RM05735</t>
  </si>
  <si>
    <t>S1CS05003-WS</t>
  </si>
  <si>
    <t>S0RM05736</t>
  </si>
  <si>
    <t>S1CS05004-WS</t>
  </si>
  <si>
    <t>S0RM05737</t>
  </si>
  <si>
    <t>S1CS05005-WS</t>
  </si>
  <si>
    <t>S0RM05738</t>
  </si>
  <si>
    <t>S1CS05006-WS</t>
  </si>
  <si>
    <t>S0RM05739</t>
  </si>
  <si>
    <t>S1CS05016-WS</t>
  </si>
  <si>
    <t>S0RM05764</t>
  </si>
  <si>
    <t>S1CS05023-WS</t>
  </si>
  <si>
    <t>S0RM05771</t>
  </si>
  <si>
    <t>S1CS05024-WS</t>
  </si>
  <si>
    <t>S0RM05772</t>
  </si>
  <si>
    <t>S1CS05025-WS</t>
  </si>
  <si>
    <t>S0RM05773</t>
  </si>
  <si>
    <t>S1CS05026-WS</t>
  </si>
  <si>
    <t>S1CS05027-WS</t>
  </si>
  <si>
    <t>S1CS05033-WS</t>
  </si>
  <si>
    <t>S0RM05781</t>
  </si>
  <si>
    <t>S1CS05034-WS</t>
  </si>
  <si>
    <t>S0RM05782</t>
  </si>
  <si>
    <t>S1CS05036-WS</t>
  </si>
  <si>
    <t>S0RM05785</t>
  </si>
  <si>
    <t>S1CS05051-WS</t>
  </si>
  <si>
    <t>S1CS05052-WS</t>
  </si>
  <si>
    <t>S1CS05053-WS</t>
  </si>
  <si>
    <t>S0RM05807</t>
  </si>
  <si>
    <t>S1CS05054-WS</t>
  </si>
  <si>
    <t>S0RM05808</t>
  </si>
  <si>
    <t>S1CS05059-WS</t>
  </si>
  <si>
    <t>S0RM05818</t>
  </si>
  <si>
    <t>S1CS05060-WS</t>
  </si>
  <si>
    <t>S0RM05819</t>
  </si>
  <si>
    <t>S1CS05061-WS</t>
  </si>
  <si>
    <t>S1CS05062-WS</t>
  </si>
  <si>
    <t>S0RM05824</t>
  </si>
  <si>
    <t>S1CS05063-WS</t>
  </si>
  <si>
    <t>S0RM05825</t>
  </si>
  <si>
    <t>S1CS05069-WS</t>
  </si>
  <si>
    <t>S0RM05832</t>
  </si>
  <si>
    <t>S1CS05070-WS</t>
  </si>
  <si>
    <t>S0RM05833</t>
  </si>
  <si>
    <t>S1CS05071-WS</t>
  </si>
  <si>
    <t>S0RM05834</t>
  </si>
  <si>
    <t>S1CS05076-WS</t>
  </si>
  <si>
    <t>S0RM05839</t>
  </si>
  <si>
    <t>S1CS05077-WS</t>
  </si>
  <si>
    <t>S0RM05840</t>
  </si>
  <si>
    <t>S1CS05078-WS</t>
  </si>
  <si>
    <t>S0RM05841</t>
  </si>
  <si>
    <t>S1CS05079-WS</t>
  </si>
  <si>
    <t>S0RM05842</t>
  </si>
  <si>
    <t>S1CS05080-58-WS</t>
  </si>
  <si>
    <t>S0RM05843-58</t>
  </si>
  <si>
    <t>S1CS05081-WS</t>
  </si>
  <si>
    <t>S1CS05082-WS</t>
  </si>
  <si>
    <t>S1CS05083-WS</t>
  </si>
  <si>
    <t>S0RM05846</t>
  </si>
  <si>
    <t>S1CS05084-WS</t>
  </si>
  <si>
    <t>S0RM05847</t>
  </si>
  <si>
    <t>S1CS05085-48-WS</t>
  </si>
  <si>
    <t>S0RM05848-48</t>
  </si>
  <si>
    <t>S1CS05086-WS</t>
  </si>
  <si>
    <t>S0RM05849</t>
  </si>
  <si>
    <t>S1CS05087-WS</t>
  </si>
  <si>
    <t>S0RM05850</t>
  </si>
  <si>
    <t>S1CS05088-WS</t>
  </si>
  <si>
    <t>S0RM05851</t>
  </si>
  <si>
    <t>S1CS05089-WS</t>
  </si>
  <si>
    <t>S0RM05852</t>
  </si>
  <si>
    <t>S1CS05090-WS</t>
  </si>
  <si>
    <t>S0RM05853</t>
  </si>
  <si>
    <t>S1CS05098-WS</t>
  </si>
  <si>
    <t>S0RM05933</t>
  </si>
  <si>
    <t>S1CS05120-WS</t>
  </si>
  <si>
    <t>S0RM05943</t>
  </si>
  <si>
    <t>S1CS05121-WS</t>
  </si>
  <si>
    <t>S0RM05944</t>
  </si>
  <si>
    <t>S1CS05122-WS</t>
  </si>
  <si>
    <t>S0RM05945</t>
  </si>
  <si>
    <t>S1CS05123-WS</t>
  </si>
  <si>
    <t>S0RM05946</t>
  </si>
  <si>
    <t>S1CS05124-WS</t>
  </si>
  <si>
    <t>S0RM05947</t>
  </si>
  <si>
    <t>S1CS05125-WS</t>
  </si>
  <si>
    <t>S0RM05948</t>
  </si>
  <si>
    <t>S1CS05126-WS</t>
  </si>
  <si>
    <t>S0RM05949</t>
  </si>
  <si>
    <t>S1CS05132-WS</t>
  </si>
  <si>
    <t>S1CS05133-WS</t>
  </si>
  <si>
    <t>S1CS05134-WS</t>
  </si>
  <si>
    <t>S1CS05135-WS</t>
  </si>
  <si>
    <t>S1CS05137-WS</t>
  </si>
  <si>
    <t>S1CS05138-WS</t>
  </si>
  <si>
    <t>S1CS05139-WS</t>
  </si>
  <si>
    <t>S0RM05962</t>
  </si>
  <si>
    <t>S1CS05148-WS</t>
  </si>
  <si>
    <t>S1CS05153-WS</t>
  </si>
  <si>
    <t>S0RM05984</t>
  </si>
  <si>
    <t>S1CS05154-WS</t>
  </si>
  <si>
    <t>S0RM05985</t>
  </si>
  <si>
    <t>S1CS05155-WS</t>
  </si>
  <si>
    <t>S0RM05986</t>
  </si>
  <si>
    <t>S1CS05156-WS</t>
  </si>
  <si>
    <t>S1CS05157-WS</t>
  </si>
  <si>
    <t>S0RM05989</t>
  </si>
  <si>
    <t>S1CS05158-WS</t>
  </si>
  <si>
    <t>S0RM05990</t>
  </si>
  <si>
    <t>S1CS05159-WS</t>
  </si>
  <si>
    <t>S0RM05991</t>
  </si>
  <si>
    <t>S1CS05160-WS</t>
  </si>
  <si>
    <t>S0RM05992</t>
  </si>
  <si>
    <t>S1CS05161-WS</t>
  </si>
  <si>
    <t>S0RM05993</t>
  </si>
  <si>
    <t>S1CS05162-WS</t>
  </si>
  <si>
    <t>S0RM05994</t>
  </si>
  <si>
    <t>S1CS05163-WS</t>
  </si>
  <si>
    <t>S1CS05165-WS</t>
  </si>
  <si>
    <t>S0RM05997</t>
  </si>
  <si>
    <t>S1CS05166-WS</t>
  </si>
  <si>
    <t>S0RM05998</t>
  </si>
  <si>
    <t>S1CS05167-WS</t>
  </si>
  <si>
    <t>S0RM06000</t>
  </si>
  <si>
    <t>S1CS05169-WS</t>
  </si>
  <si>
    <t>S0RM06002</t>
  </si>
  <si>
    <t>S1CS05182-WS</t>
  </si>
  <si>
    <t>S0RM06021</t>
  </si>
  <si>
    <t>S1CS05183-WS</t>
  </si>
  <si>
    <t>S0RM06022</t>
  </si>
  <si>
    <t>S1CS05184-WS</t>
  </si>
  <si>
    <t>S1CS05185-WS</t>
  </si>
  <si>
    <t>S0RM06024</t>
  </si>
  <si>
    <t>S1CS05202-WS</t>
  </si>
  <si>
    <t>S0RM06047</t>
  </si>
  <si>
    <t>S1CS05203-WS</t>
  </si>
  <si>
    <t>S0RM06048</t>
  </si>
  <si>
    <t>S1CS05204-WS</t>
  </si>
  <si>
    <t>S0RM06049</t>
  </si>
  <si>
    <t>S1CS05207-WS</t>
  </si>
  <si>
    <t>S0RM06054</t>
  </si>
  <si>
    <t>S1CS05208-WS</t>
  </si>
  <si>
    <t>S0RM06055</t>
  </si>
  <si>
    <t>S1CS05209-WS</t>
  </si>
  <si>
    <t>S0RM06056</t>
  </si>
  <si>
    <t>S1CS05210-WS</t>
  </si>
  <si>
    <t>S0RM06061</t>
  </si>
  <si>
    <t>S1CS05211-WS</t>
  </si>
  <si>
    <t>S0RM06062</t>
  </si>
  <si>
    <t>S1CS05212-WS</t>
  </si>
  <si>
    <t>S0RM06063</t>
  </si>
  <si>
    <t>S1CS05213-WS</t>
  </si>
  <si>
    <t>S0RM06064</t>
  </si>
  <si>
    <t>S1CS05214-WS</t>
  </si>
  <si>
    <t>S0RM06065</t>
  </si>
  <si>
    <t>S1CS05216-WS</t>
  </si>
  <si>
    <t>S0RM06068</t>
  </si>
  <si>
    <t>S1CS05219-WS</t>
  </si>
  <si>
    <t>S0RM06072</t>
  </si>
  <si>
    <t>S1CS05220-WS</t>
  </si>
  <si>
    <t>S0RM06073</t>
  </si>
  <si>
    <t>S1CS05231-WS</t>
  </si>
  <si>
    <t>S0RM06088</t>
  </si>
  <si>
    <t>S1CS05233-WS</t>
  </si>
  <si>
    <t>S0RM06090</t>
  </si>
  <si>
    <t>S1CS05242-WS</t>
  </si>
  <si>
    <t>S1CS05243-WS</t>
  </si>
  <si>
    <t>S1CS05244-WS</t>
  </si>
  <si>
    <t>S1CS05245-WS</t>
  </si>
  <si>
    <t>S1CS05246-WS</t>
  </si>
  <si>
    <t>S1CS05247-WS</t>
  </si>
  <si>
    <t>S1CS05253-WS</t>
  </si>
  <si>
    <t>S0RM06117</t>
  </si>
  <si>
    <t>S1CS05254-WS</t>
  </si>
  <si>
    <t>S0RM06118</t>
  </si>
  <si>
    <t>S1CS05255-WS</t>
  </si>
  <si>
    <t>S0RM06119</t>
  </si>
  <si>
    <t>S1CS05272-WS</t>
  </si>
  <si>
    <t>S0RM06136</t>
  </si>
  <si>
    <t>S1CS05273-WS</t>
  </si>
  <si>
    <t>S0RM06137</t>
  </si>
  <si>
    <t>S1CS05274-WS</t>
  </si>
  <si>
    <t>S0RM06138</t>
  </si>
  <si>
    <t>S1CS05277-54-WS</t>
  </si>
  <si>
    <t>S1CS05278-52-WS</t>
  </si>
  <si>
    <t>S1CS05293-WS</t>
  </si>
  <si>
    <t>S0RM06157</t>
  </si>
  <si>
    <t>S1CS05294-WS</t>
  </si>
  <si>
    <t>S0RM06158</t>
  </si>
  <si>
    <t>S1CS05295-WS</t>
  </si>
  <si>
    <t>S0RM06159</t>
  </si>
  <si>
    <t>S1CS05298-WS</t>
  </si>
  <si>
    <t>S0RM06162</t>
  </si>
  <si>
    <t>S1CS05299-WS</t>
  </si>
  <si>
    <t>S0RM06163</t>
  </si>
  <si>
    <t>S1CS05300-WS</t>
  </si>
  <si>
    <t>S0RM06164</t>
  </si>
  <si>
    <t>S1CS05304-WS</t>
  </si>
  <si>
    <t>S0RM06168</t>
  </si>
  <si>
    <t>S1CS05305-WS</t>
  </si>
  <si>
    <t>S0RM06169</t>
  </si>
  <si>
    <t>S1CS05313-WS</t>
  </si>
  <si>
    <t>S0RM06176</t>
  </si>
  <si>
    <t>S1CS05314-WS</t>
  </si>
  <si>
    <t>S0RM06177</t>
  </si>
  <si>
    <t>S1CS05315-WS</t>
  </si>
  <si>
    <t>S0RM06178</t>
  </si>
  <si>
    <t>S1CS05316-WS</t>
  </si>
  <si>
    <t>S0RM06179</t>
  </si>
  <si>
    <t>S1CS05317-WS</t>
  </si>
  <si>
    <t>S0RM06180</t>
  </si>
  <si>
    <t>S1CS05318-WS</t>
  </si>
  <si>
    <t>S0RM06181</t>
  </si>
  <si>
    <t>S1CS05319-WS</t>
  </si>
  <si>
    <t>S0RM06182</t>
  </si>
  <si>
    <t>S1CS05320-52-WS</t>
  </si>
  <si>
    <t>S1CS05322-WS</t>
  </si>
  <si>
    <t>S0RM06191</t>
  </si>
  <si>
    <t>S1CS05323-WS</t>
  </si>
  <si>
    <t>S0RM06192</t>
  </si>
  <si>
    <t>S1CS05324-WS</t>
  </si>
  <si>
    <t>S0RM06195</t>
  </si>
  <si>
    <t>S1CS05329-WS</t>
  </si>
  <si>
    <t>S1CS05330-WS</t>
  </si>
  <si>
    <t>S1CS05331-WS</t>
  </si>
  <si>
    <t>S1CS05332-WS</t>
  </si>
  <si>
    <t>S0RM06225</t>
  </si>
  <si>
    <t>S1CS05333-WS</t>
  </si>
  <si>
    <t>S0RM06226</t>
  </si>
  <si>
    <t>S1CS05334-WS</t>
  </si>
  <si>
    <t>S0RM06227</t>
  </si>
  <si>
    <t>S1CS05343-WS</t>
  </si>
  <si>
    <t>S1CS05346-WS</t>
  </si>
  <si>
    <t>S0RM06240</t>
  </si>
  <si>
    <t>S1CS05347-WS</t>
  </si>
  <si>
    <t>S0RM06241</t>
  </si>
  <si>
    <t>S1CS05348-WS</t>
  </si>
  <si>
    <t>S0RM06242</t>
  </si>
  <si>
    <t>S1CS05353-WS</t>
  </si>
  <si>
    <t>S1CS05355-WS</t>
  </si>
  <si>
    <t>S0RM06253</t>
  </si>
  <si>
    <t>S1CS05379-WS</t>
  </si>
  <si>
    <t>S0RM06280</t>
  </si>
  <si>
    <t>S1CS05380-WS</t>
  </si>
  <si>
    <t>S0RM06281</t>
  </si>
  <si>
    <t>S1CS05381-WS</t>
  </si>
  <si>
    <t>S0RM06282</t>
  </si>
  <si>
    <t>S1CS05393-WS</t>
  </si>
  <si>
    <t>S1CS05419-WS</t>
  </si>
  <si>
    <t>S0RM06334</t>
  </si>
  <si>
    <t>S1CS05420-WS</t>
  </si>
  <si>
    <t>S0RM06335</t>
  </si>
  <si>
    <t>S1CS05428-WS</t>
  </si>
  <si>
    <t>S0RM06344</t>
  </si>
  <si>
    <t>S1CS05429-WS</t>
  </si>
  <si>
    <t>S0RM06345</t>
  </si>
  <si>
    <t>S1CS05430-WS</t>
  </si>
  <si>
    <t>S0RM06346</t>
  </si>
  <si>
    <t>S1CS05436-WS</t>
  </si>
  <si>
    <t>S0RM06355</t>
  </si>
  <si>
    <t>S1CS05437-WS</t>
  </si>
  <si>
    <t>S0RM06356</t>
  </si>
  <si>
    <t>S1CS05450-WS</t>
  </si>
  <si>
    <t>S1CS05451-WS</t>
  </si>
  <si>
    <t>S0RM06373</t>
  </si>
  <si>
    <t>S1CS05452-WS</t>
  </si>
  <si>
    <t>S0RM06374</t>
  </si>
  <si>
    <t>S1CS05454-WS</t>
  </si>
  <si>
    <t>S0RM06376</t>
  </si>
  <si>
    <t>S1CS05455-WS</t>
  </si>
  <si>
    <t>S0RM06377</t>
  </si>
  <si>
    <t>S1CS05459-WS</t>
  </si>
  <si>
    <t>S0RM06382</t>
  </si>
  <si>
    <t>S1CS05460-WS</t>
  </si>
  <si>
    <t>S0RM06383</t>
  </si>
  <si>
    <t>S1CS05461-WS</t>
  </si>
  <si>
    <t>S0RM06386</t>
  </si>
  <si>
    <t>S1CS05462-WS</t>
  </si>
  <si>
    <t>S0RM06387</t>
  </si>
  <si>
    <t>S1CS05466-WS</t>
  </si>
  <si>
    <t>S0RM06391</t>
  </si>
  <si>
    <t>S1CS05467-WS</t>
  </si>
  <si>
    <t>S1CS05471-WS</t>
  </si>
  <si>
    <t>S1CS05472-WS</t>
  </si>
  <si>
    <t>S1CS05473-WS</t>
  </si>
  <si>
    <t>S1CS05474-WS</t>
  </si>
  <si>
    <t>S1CS05476-WS</t>
  </si>
  <si>
    <t>S0RM06420</t>
  </si>
  <si>
    <t>S1CS05477-WS</t>
  </si>
  <si>
    <t>S0RM06421</t>
  </si>
  <si>
    <t>S1CS05479-WS</t>
  </si>
  <si>
    <t>S0RM06423</t>
  </si>
  <si>
    <t>S1CS05480-WS</t>
  </si>
  <si>
    <t>S0RM06424</t>
  </si>
  <si>
    <t>S1CS05481-WS</t>
  </si>
  <si>
    <t>S0RM06425</t>
  </si>
  <si>
    <t>S1CS05482-WS</t>
  </si>
  <si>
    <t>S0RM06426</t>
  </si>
  <si>
    <t>S1CS05485-WS</t>
  </si>
  <si>
    <t>S0RM06431</t>
  </si>
  <si>
    <t>S1CS05486-WS</t>
  </si>
  <si>
    <t>S0RM06432</t>
  </si>
  <si>
    <t>S1CS05494-WS</t>
  </si>
  <si>
    <t>S0RM06443</t>
  </si>
  <si>
    <t>S1CS05495-WS</t>
  </si>
  <si>
    <t>S0RM06444</t>
  </si>
  <si>
    <t>S1CS05496-WS</t>
  </si>
  <si>
    <t>S0RM06445</t>
  </si>
  <si>
    <t>S1CS05501-48-WS</t>
  </si>
  <si>
    <t>S0RM06452-48</t>
  </si>
  <si>
    <t>S1CS05501-52-WS</t>
  </si>
  <si>
    <t>S0RM06452-52</t>
  </si>
  <si>
    <t>S1CS05501-54-WS</t>
  </si>
  <si>
    <t>S0RM06452-54</t>
  </si>
  <si>
    <t>S1CS05501-56-WS</t>
  </si>
  <si>
    <t>S0RM06452-56</t>
  </si>
  <si>
    <t>S1CS05501-58-WS</t>
  </si>
  <si>
    <t>S0RM06452-58</t>
  </si>
  <si>
    <t>S1CS05503-WS</t>
  </si>
  <si>
    <t>S0RM06455</t>
  </si>
  <si>
    <t>S1CS05504-WS</t>
  </si>
  <si>
    <t>S0RM06456</t>
  </si>
  <si>
    <t>S1CS05505-WS</t>
  </si>
  <si>
    <t>S0RM06457</t>
  </si>
  <si>
    <t>S1CS05522-WS</t>
  </si>
  <si>
    <t>S0RM06475</t>
  </si>
  <si>
    <t>S1CS05523-WS</t>
  </si>
  <si>
    <t>S0RM06476</t>
  </si>
  <si>
    <t>S1CS05524-WS</t>
  </si>
  <si>
    <t>S0RM06477</t>
  </si>
  <si>
    <t>S1CS05528-WS</t>
  </si>
  <si>
    <t>S0RM06483</t>
  </si>
  <si>
    <t>S1CS05534-WS</t>
  </si>
  <si>
    <t>S1CS05536-WS</t>
  </si>
  <si>
    <t>S0RM06494</t>
  </si>
  <si>
    <t>S1CS05537-WS</t>
  </si>
  <si>
    <t>S0RM06496</t>
  </si>
  <si>
    <t>S1CS05538-WS</t>
  </si>
  <si>
    <t>S0RM06497</t>
  </si>
  <si>
    <t>S1CS05539-WS</t>
  </si>
  <si>
    <t>S0RM06498</t>
  </si>
  <si>
    <t>S1CS05546-WS</t>
  </si>
  <si>
    <t>S0RM06508</t>
  </si>
  <si>
    <t>S1CS05547-WS</t>
  </si>
  <si>
    <t>S0RM06509</t>
  </si>
  <si>
    <t>S1CS05551-WS</t>
  </si>
  <si>
    <t>S0RM06518</t>
  </si>
  <si>
    <t>S1CS05552-WS</t>
  </si>
  <si>
    <t>S0RM06519</t>
  </si>
  <si>
    <t>S1CS05553-WS</t>
  </si>
  <si>
    <t>S0RM06520</t>
  </si>
  <si>
    <t>S1CS05555-WS</t>
  </si>
  <si>
    <t>S0RM06522</t>
  </si>
  <si>
    <t>S1CS05556-WS</t>
  </si>
  <si>
    <t>S0RM06523</t>
  </si>
  <si>
    <t>S1CS05557-WS</t>
  </si>
  <si>
    <t>S1CS05558-WS</t>
  </si>
  <si>
    <t>S1CS05564-WS</t>
  </si>
  <si>
    <t>S0RM06534</t>
  </si>
  <si>
    <t>S0RM06535</t>
  </si>
  <si>
    <t>S1CS05566-WS</t>
  </si>
  <si>
    <t>S0RM06536</t>
  </si>
  <si>
    <t>S1CS05577-WS</t>
  </si>
  <si>
    <t>S0RM06547</t>
  </si>
  <si>
    <t>S1CS05578-WS</t>
  </si>
  <si>
    <t>S0RM06548</t>
  </si>
  <si>
    <t>S1CS05582-WS</t>
  </si>
  <si>
    <t>S1CS05583-WS</t>
  </si>
  <si>
    <t>S0RM06553</t>
  </si>
  <si>
    <t>S1CS05586-WS</t>
  </si>
  <si>
    <t>S1CS05598-WS</t>
  </si>
  <si>
    <t>S0RM06568</t>
  </si>
  <si>
    <t>S1CS05599-WS</t>
  </si>
  <si>
    <t>S0RM06569</t>
  </si>
  <si>
    <t>S1CS05600-WS</t>
  </si>
  <si>
    <t>S0RM06570</t>
  </si>
  <si>
    <t>S1CS05608-WS</t>
  </si>
  <si>
    <t>S0RM06582</t>
  </si>
  <si>
    <t>S1CS05610-WS</t>
  </si>
  <si>
    <t>S1CS05612-WS</t>
  </si>
  <si>
    <t>S1CS05615-WS</t>
  </si>
  <si>
    <t>S0RM06589</t>
  </si>
  <si>
    <t>S1CS05616-WS</t>
  </si>
  <si>
    <t>S0RM06590</t>
  </si>
  <si>
    <t>S1CS05617-WS</t>
  </si>
  <si>
    <t>S1CS05618-WS</t>
  </si>
  <si>
    <t>S1CS05634-WS</t>
  </si>
  <si>
    <t>S1CS05648-WS</t>
  </si>
  <si>
    <t>S0RM06629</t>
  </si>
  <si>
    <t>S1CS05649-WS</t>
  </si>
  <si>
    <t>S0RM06630</t>
  </si>
  <si>
    <t>S1CS05650-WS</t>
  </si>
  <si>
    <t>S0RM06631</t>
  </si>
  <si>
    <t>S0RM06632</t>
  </si>
  <si>
    <t>S1CS05656-WS</t>
  </si>
  <si>
    <t>S1CS05657-WS</t>
  </si>
  <si>
    <t>S1CS05658-WS</t>
  </si>
  <si>
    <t>S1CS05663-WS</t>
  </si>
  <si>
    <t>S1CS05664-WS</t>
  </si>
  <si>
    <t>S1CS05665-WS</t>
  </si>
  <si>
    <t>S1CS05666-WS</t>
  </si>
  <si>
    <t>S1CS05667-WS</t>
  </si>
  <si>
    <t>S0RM06652</t>
  </si>
  <si>
    <t>S1CS05673-WS</t>
  </si>
  <si>
    <t>S0RM06662</t>
  </si>
  <si>
    <t>S1CS05690-WS</t>
  </si>
  <si>
    <t>S0RM06684</t>
  </si>
  <si>
    <t>S1CS05691-WS</t>
  </si>
  <si>
    <t>S0RM06691</t>
  </si>
  <si>
    <t>S1CS05697-WS</t>
  </si>
  <si>
    <t>S1CS05698-WS</t>
  </si>
  <si>
    <t>S1CS05699-WS</t>
  </si>
  <si>
    <t>S1CS05700-WS</t>
  </si>
  <si>
    <t>S0RM06701</t>
  </si>
  <si>
    <t>S1CS05701-WS</t>
  </si>
  <si>
    <t>S0RM06702</t>
  </si>
  <si>
    <t>S1CS05703-WS</t>
  </si>
  <si>
    <t>S1CS05704-WS</t>
  </si>
  <si>
    <t>S0RM06705</t>
  </si>
  <si>
    <t>S1CS05706-WS</t>
  </si>
  <si>
    <t>S0RM06714</t>
  </si>
  <si>
    <t>S1CS05707-WS</t>
  </si>
  <si>
    <t>S0RM06716</t>
  </si>
  <si>
    <t>S1CS05708-WS</t>
  </si>
  <si>
    <t>S0RM06717</t>
  </si>
  <si>
    <t>S1CS05714-WS</t>
  </si>
  <si>
    <t>S1CS05715-WS</t>
  </si>
  <si>
    <t>S1CS05724-WS</t>
  </si>
  <si>
    <t>S1CS05726-WS</t>
  </si>
  <si>
    <t>S0RM06748</t>
  </si>
  <si>
    <t>S1CS05727-WS</t>
  </si>
  <si>
    <t>S0RM06749</t>
  </si>
  <si>
    <t>S1CS05754-WS</t>
  </si>
  <si>
    <t>S0RM06779</t>
  </si>
  <si>
    <t>S1CS05755-WS</t>
  </si>
  <si>
    <t>S0RM06780</t>
  </si>
  <si>
    <t>S1CS05757-WS</t>
  </si>
  <si>
    <t>S1CS05758-WS</t>
  </si>
  <si>
    <t>S1CS05759-WS</t>
  </si>
  <si>
    <t>S1CS05768-WS</t>
  </si>
  <si>
    <t>S1CS05778-WS</t>
  </si>
  <si>
    <t>S1CS05779-WS</t>
  </si>
  <si>
    <t>S1CS05780-WS</t>
  </si>
  <si>
    <t>S0RM06814-AA</t>
  </si>
  <si>
    <t>S1CS05781-WS</t>
  </si>
  <si>
    <t>S0RM06815</t>
  </si>
  <si>
    <t>S1CS05786-WS</t>
  </si>
  <si>
    <t>S0RM06821</t>
  </si>
  <si>
    <t>S1CS05787-WS</t>
  </si>
  <si>
    <t>S0RM06822</t>
  </si>
  <si>
    <t>S1CS05789-WS</t>
  </si>
  <si>
    <t>S1CS05790-WS</t>
  </si>
  <si>
    <t>S1CS05791-WS</t>
  </si>
  <si>
    <t>S1CS05792-WS</t>
  </si>
  <si>
    <t>S1CS05793-WS</t>
  </si>
  <si>
    <t>S0RM06829</t>
  </si>
  <si>
    <t>S1CS05798-WS</t>
  </si>
  <si>
    <t>S1CS05800-WS</t>
  </si>
  <si>
    <t>S1CS05801-WS</t>
  </si>
  <si>
    <t>S1CS05802-WS</t>
  </si>
  <si>
    <t>S1CS05820-WS</t>
  </si>
  <si>
    <t>S0RM06869</t>
  </si>
  <si>
    <t>S1CS05821-WS</t>
  </si>
  <si>
    <t>S0RM06870</t>
  </si>
  <si>
    <t>S1CS05822-WS</t>
  </si>
  <si>
    <t>S0RM06871</t>
  </si>
  <si>
    <t>S1CS05823-WS</t>
  </si>
  <si>
    <t>S0RM06872</t>
  </si>
  <si>
    <t>S1CS05828-WS</t>
  </si>
  <si>
    <t>S0RM06877</t>
  </si>
  <si>
    <t>S1CS05829-WS</t>
  </si>
  <si>
    <t>S0RM06878</t>
  </si>
  <si>
    <t>S1CS05830-WS</t>
  </si>
  <si>
    <t>S1CS05833-WS</t>
  </si>
  <si>
    <t>S1CS05835-WS</t>
  </si>
  <si>
    <t>S0RM06884</t>
  </si>
  <si>
    <t>S1CS05836-WS</t>
  </si>
  <si>
    <t>S0RM06885</t>
  </si>
  <si>
    <t>S1CS05847-WS</t>
  </si>
  <si>
    <t>S1CS05850-WS</t>
  </si>
  <si>
    <t>S0RM06907</t>
  </si>
  <si>
    <t>S1CS05851-WS</t>
  </si>
  <si>
    <t>S0RM06908</t>
  </si>
  <si>
    <t>S1CS05854-WS</t>
  </si>
  <si>
    <t>S1CS05866-WS</t>
  </si>
  <si>
    <t>S0RM06924</t>
  </si>
  <si>
    <t>S1CS05869-WS</t>
  </si>
  <si>
    <t>S0RM06927</t>
  </si>
  <si>
    <t>S1CS05870-WS</t>
  </si>
  <si>
    <t>S0RM06928</t>
  </si>
  <si>
    <t>S1CS05871-WS</t>
  </si>
  <si>
    <t>S0RM06929</t>
  </si>
  <si>
    <t>S1CS05872-WS</t>
  </si>
  <si>
    <t>S0RM06930</t>
  </si>
  <si>
    <t>S1CS05880-WS</t>
  </si>
  <si>
    <t>S0RM06941</t>
  </si>
  <si>
    <t>S1CS05881-WS</t>
  </si>
  <si>
    <t>S0RM06942</t>
  </si>
  <si>
    <t>S1CS05884-WS</t>
  </si>
  <si>
    <t>S1CS05885-WS</t>
  </si>
  <si>
    <t>S1CS05889-WS</t>
  </si>
  <si>
    <t>S1CS05890-WS</t>
  </si>
  <si>
    <t>S1CS05897-WS</t>
  </si>
  <si>
    <t>S0RM06968</t>
  </si>
  <si>
    <t>S1CS05898-WS</t>
  </si>
  <si>
    <t>S0RM06969</t>
  </si>
  <si>
    <t>S1CS05899-WS</t>
  </si>
  <si>
    <t>S0RM06970</t>
  </si>
  <si>
    <t>S1CS05903-WS</t>
  </si>
  <si>
    <t>S1CS05904-WS</t>
  </si>
  <si>
    <t>S1CS05905-WS</t>
  </si>
  <si>
    <t>S1CS05906-WS</t>
  </si>
  <si>
    <t>S1CS05910-WS</t>
  </si>
  <si>
    <t>S1CS05911-WS</t>
  </si>
  <si>
    <t>S1CS05912-WS</t>
  </si>
  <si>
    <t>S1CS05913-WS</t>
  </si>
  <si>
    <t>S1CS05915-WS</t>
  </si>
  <si>
    <t>S0RM06992</t>
  </si>
  <si>
    <t>S1CS05916-WS</t>
  </si>
  <si>
    <t>S0RM06993</t>
  </si>
  <si>
    <t>S1CS05918-WS</t>
  </si>
  <si>
    <t>S0RM06995</t>
  </si>
  <si>
    <t>S1CS05921-WS</t>
  </si>
  <si>
    <t>S0RM06998</t>
  </si>
  <si>
    <t>S1CS05932-WS</t>
  </si>
  <si>
    <t>S1CS05933-WS</t>
  </si>
  <si>
    <t>S1CS05936-WS</t>
  </si>
  <si>
    <t>S0RM07017</t>
  </si>
  <si>
    <t>S1CS05940-WS</t>
  </si>
  <si>
    <t>S0RM07022</t>
  </si>
  <si>
    <t>S1CS05941-WS</t>
  </si>
  <si>
    <t>S0RM07023</t>
  </si>
  <si>
    <t>S1CS05942-WS</t>
  </si>
  <si>
    <t>S0RM07024</t>
  </si>
  <si>
    <t>S1CS05943-WS</t>
  </si>
  <si>
    <t>S0RM07025</t>
  </si>
  <si>
    <t>S1CS05957-WS</t>
  </si>
  <si>
    <t>S1CS05958-WS</t>
  </si>
  <si>
    <t>S1CS05990-WS</t>
  </si>
  <si>
    <t>S0RM07076</t>
  </si>
  <si>
    <t>S1CS05991-WS</t>
  </si>
  <si>
    <t>S0RM07077</t>
  </si>
  <si>
    <t>S1CS05996-WS</t>
  </si>
  <si>
    <t>S1CS05997-WS</t>
  </si>
  <si>
    <t>S1CS06004-WS</t>
  </si>
  <si>
    <t>S0RM07096</t>
  </si>
  <si>
    <t>S1CS06005-WS</t>
  </si>
  <si>
    <t>S0RM07097</t>
  </si>
  <si>
    <t>S1CS06021-48-WS</t>
  </si>
  <si>
    <t>S0RM07117-48</t>
  </si>
  <si>
    <t>S1CS06021-58-WS</t>
  </si>
  <si>
    <t>S0RM07117-58</t>
  </si>
  <si>
    <t>S1CS06028-50-WS</t>
  </si>
  <si>
    <t>S0RM07128-50</t>
  </si>
  <si>
    <t>S1CS06028-52-WS</t>
  </si>
  <si>
    <t>S0RM07128-52</t>
  </si>
  <si>
    <t>S1CS06038-WS</t>
  </si>
  <si>
    <t>S0RM07154</t>
  </si>
  <si>
    <t>S1CS06039-WS</t>
  </si>
  <si>
    <t>S0RM07155</t>
  </si>
  <si>
    <t>S1CS06042-WS</t>
  </si>
  <si>
    <t>S0RM07158</t>
  </si>
  <si>
    <t>S1CS06043-WS</t>
  </si>
  <si>
    <t>S0RM07159</t>
  </si>
  <si>
    <t>S1CS06045-WS</t>
  </si>
  <si>
    <t>S0RM07161</t>
  </si>
  <si>
    <t>S1CS06046-WS</t>
  </si>
  <si>
    <t>S0RM07162</t>
  </si>
  <si>
    <t>S1CS06047-WS</t>
  </si>
  <si>
    <t>S0RM07163</t>
  </si>
  <si>
    <t>S1CS06055-WS</t>
  </si>
  <si>
    <t>S0RM07173</t>
  </si>
  <si>
    <t>S1CS06083-WS</t>
  </si>
  <si>
    <t>S0RM07211</t>
  </si>
  <si>
    <t>S1CS06084-WS</t>
  </si>
  <si>
    <t>S0RM07212</t>
  </si>
  <si>
    <t>S1CS06089-WS</t>
  </si>
  <si>
    <t>S0RM07217</t>
  </si>
  <si>
    <t>S1CS06091-WS</t>
  </si>
  <si>
    <t>S0RM07219</t>
  </si>
  <si>
    <t>S1CS06092-WS</t>
  </si>
  <si>
    <t>S0RM07220</t>
  </si>
  <si>
    <t>S1CS06093-WS</t>
  </si>
  <si>
    <t>S0RM07221</t>
  </si>
  <si>
    <t>S1CS06107-WS</t>
  </si>
  <si>
    <t>S0RM07236</t>
  </si>
  <si>
    <t>S1CS06113-WS</t>
  </si>
  <si>
    <t>S0RM07248</t>
  </si>
  <si>
    <t>S1CS06127-WS</t>
  </si>
  <si>
    <t>S0RM07268</t>
  </si>
  <si>
    <t>S1CS06128-WS</t>
  </si>
  <si>
    <t>S0RM07269</t>
  </si>
  <si>
    <t>S1CS06129-WS</t>
  </si>
  <si>
    <t>S1CS06130-WS</t>
  </si>
  <si>
    <t>S1CS06140-WS</t>
  </si>
  <si>
    <t>S0RM07281</t>
  </si>
  <si>
    <t>S1CS06142-WS</t>
  </si>
  <si>
    <t>S0RM07283</t>
  </si>
  <si>
    <t>S1CS06146-WS</t>
  </si>
  <si>
    <t>S1CS06147-WS</t>
  </si>
  <si>
    <t>S1CS06148-WS</t>
  </si>
  <si>
    <t>S0RM07289</t>
  </si>
  <si>
    <t>S1CS06149-WS</t>
  </si>
  <si>
    <t>S0RM07290</t>
  </si>
  <si>
    <t>S1CS06152-WS</t>
  </si>
  <si>
    <t>S0RM07293</t>
  </si>
  <si>
    <t>S1CS06153-WS</t>
  </si>
  <si>
    <t>S0RM07294</t>
  </si>
  <si>
    <t>S1CS06154-WS</t>
  </si>
  <si>
    <t>S0RM07295</t>
  </si>
  <si>
    <t>S1CS06155-WS</t>
  </si>
  <si>
    <t>S0RM07296</t>
  </si>
  <si>
    <t>S1CS06164-WS</t>
  </si>
  <si>
    <t>S0RM07320</t>
  </si>
  <si>
    <t>S1CS06165-WS</t>
  </si>
  <si>
    <t>S0RM07321</t>
  </si>
  <si>
    <t>S1CS06169-WS</t>
  </si>
  <si>
    <t>S0RM07325</t>
  </si>
  <si>
    <t>S1CS06170-WS</t>
  </si>
  <si>
    <t>S0RM07326</t>
  </si>
  <si>
    <t>S1CS06171-WS</t>
  </si>
  <si>
    <t>S0RM07327</t>
  </si>
  <si>
    <t>S1CS06172-WS</t>
  </si>
  <si>
    <t>S0RM07328</t>
  </si>
  <si>
    <t>S1CS06173-WS</t>
  </si>
  <si>
    <t>S0RM07329</t>
  </si>
  <si>
    <t>S1CS06176-WS</t>
  </si>
  <si>
    <t>S0RM07332</t>
  </si>
  <si>
    <t>S1CS06177-WS</t>
  </si>
  <si>
    <t>S0RM07333</t>
  </si>
  <si>
    <t>S1CS06183-WS</t>
  </si>
  <si>
    <t>S1CS06185-WS</t>
  </si>
  <si>
    <t>S1CS06186-WS</t>
  </si>
  <si>
    <t>S0RM07354</t>
  </si>
  <si>
    <t>S1CS06187-WS</t>
  </si>
  <si>
    <t>S0RM07355</t>
  </si>
  <si>
    <t>S1CS06188-WS</t>
  </si>
  <si>
    <t>S0RM07356</t>
  </si>
  <si>
    <t>S1CS06189-WS</t>
  </si>
  <si>
    <t>S0RM07358</t>
  </si>
  <si>
    <t>S1CS06192-WS</t>
  </si>
  <si>
    <t>S0RM07362</t>
  </si>
  <si>
    <t>S1CS06203-WS</t>
  </si>
  <si>
    <t>S0RM07376</t>
  </si>
  <si>
    <t>S1CS06204-WS</t>
  </si>
  <si>
    <t>S0RM07377</t>
  </si>
  <si>
    <t>S1CS06214-WS</t>
  </si>
  <si>
    <t>S0RM07394</t>
  </si>
  <si>
    <t>S1CS06215-WS</t>
  </si>
  <si>
    <t>S0RM07395</t>
  </si>
  <si>
    <t>S1CS06216-WS</t>
  </si>
  <si>
    <t>S0RM07396</t>
  </si>
  <si>
    <t>S1CS06217-WS</t>
  </si>
  <si>
    <t>S0RM07397</t>
  </si>
  <si>
    <t>S1CS06218-WS</t>
  </si>
  <si>
    <t>S0RM07398</t>
  </si>
  <si>
    <t>S1CS06219-WS</t>
  </si>
  <si>
    <t>S0RM07399</t>
  </si>
  <si>
    <t>S1CS06231-WS</t>
  </si>
  <si>
    <t>S0RM07413</t>
  </si>
  <si>
    <t>S1CS06232-WS</t>
  </si>
  <si>
    <t>S0RM07414</t>
  </si>
  <si>
    <t>S1CS06234-WS</t>
  </si>
  <si>
    <t>S0RM07416</t>
  </si>
  <si>
    <t>S1CS06241-WS</t>
  </si>
  <si>
    <t>S0RM07429</t>
  </si>
  <si>
    <t>S1CS06242-WS</t>
  </si>
  <si>
    <t>S0RM07430</t>
  </si>
  <si>
    <t>S1CS06243-WS</t>
  </si>
  <si>
    <t>S0RM07431</t>
  </si>
  <si>
    <t>S1CS06245-WS</t>
  </si>
  <si>
    <t>S0RM07438</t>
  </si>
  <si>
    <t>S1CS06248-WS</t>
  </si>
  <si>
    <t>S0RM07441</t>
  </si>
  <si>
    <t>S1CS06254-WS</t>
  </si>
  <si>
    <t>S0RM07447</t>
  </si>
  <si>
    <t>S1CS06261-WS</t>
  </si>
  <si>
    <t>S0RM07456</t>
  </si>
  <si>
    <t>S1CS06262-WS</t>
  </si>
  <si>
    <t>S0RM07457</t>
  </si>
  <si>
    <t>S1CS06263-WS</t>
  </si>
  <si>
    <t>S0RM07458</t>
  </si>
  <si>
    <t>S1CS06264-WS</t>
  </si>
  <si>
    <t>S0RM07459</t>
  </si>
  <si>
    <t>S1CS06267-WS</t>
  </si>
  <si>
    <t>S0RM07462</t>
  </si>
  <si>
    <t>S1CS06268-WS</t>
  </si>
  <si>
    <t>S0RM07463</t>
  </si>
  <si>
    <t>S1CS06269-WS</t>
  </si>
  <si>
    <t>S0RM07464</t>
  </si>
  <si>
    <t>S1CS06270-54-WS</t>
  </si>
  <si>
    <t>S0RM07465-54</t>
  </si>
  <si>
    <t>S1CS06270-56-WS</t>
  </si>
  <si>
    <t>S0RM07465-56</t>
  </si>
  <si>
    <t>S1CS06270-58-WS</t>
  </si>
  <si>
    <t>S0RM07465-58</t>
  </si>
  <si>
    <t>S1CS06270-60-WS</t>
  </si>
  <si>
    <t>S0RM07465-60</t>
  </si>
  <si>
    <t>S1CS06278-WS</t>
  </si>
  <si>
    <t>S1CS06279-WS</t>
  </si>
  <si>
    <t>S1CS06287-48-WS</t>
  </si>
  <si>
    <t>S0RM07483-48</t>
  </si>
  <si>
    <t>S1CS06287-52-WS</t>
  </si>
  <si>
    <t>S0RM07483-52</t>
  </si>
  <si>
    <t>S1CS06287-54-WS</t>
  </si>
  <si>
    <t>S0RM07483-54</t>
  </si>
  <si>
    <t>S1CS06287-56-WS</t>
  </si>
  <si>
    <t>S0RM07483-56</t>
  </si>
  <si>
    <t>S1CS06287-58-WS</t>
  </si>
  <si>
    <t>S0RM07483-58</t>
  </si>
  <si>
    <t>S1CS06294-WS</t>
  </si>
  <si>
    <t>S0RM07493</t>
  </si>
  <si>
    <t>S1CS06299-WS</t>
  </si>
  <si>
    <t>S0RM07498</t>
  </si>
  <si>
    <t>S1CS06300-WS</t>
  </si>
  <si>
    <t>S0RM07499</t>
  </si>
  <si>
    <t>S1CS06302-WS</t>
  </si>
  <si>
    <t>S0RM07502</t>
  </si>
  <si>
    <t>S1CS06303-WS</t>
  </si>
  <si>
    <t>S0RM07503</t>
  </si>
  <si>
    <t>S1CS06304-48-WS</t>
  </si>
  <si>
    <t>S0RM07504-48</t>
  </si>
  <si>
    <t>S1CS06304-50-WS</t>
  </si>
  <si>
    <t>S0RM07504-50</t>
  </si>
  <si>
    <t>S1CS06304-52-WS</t>
  </si>
  <si>
    <t>S0RM07504-52</t>
  </si>
  <si>
    <t>S1CS06304-54-WS</t>
  </si>
  <si>
    <t>S0RM07504-54</t>
  </si>
  <si>
    <t>S1CS06304-58-WS</t>
  </si>
  <si>
    <t>S0RM07504-58</t>
  </si>
  <si>
    <t>S1CS06308-WS</t>
  </si>
  <si>
    <t>S1CS06309-WS</t>
  </si>
  <si>
    <t>S1CS06315-WS</t>
  </si>
  <si>
    <t>S0RM07519</t>
  </si>
  <si>
    <t>S1CS06316-WS</t>
  </si>
  <si>
    <t>S0RM07520</t>
  </si>
  <si>
    <t>S1CS06319-WS</t>
  </si>
  <si>
    <t>S1CS06365-WS</t>
  </si>
  <si>
    <t>S0RM07580</t>
  </si>
  <si>
    <t>S1CS06366-WS</t>
  </si>
  <si>
    <t>S0RM07581</t>
  </si>
  <si>
    <t>S1CS06367-WS</t>
  </si>
  <si>
    <t>S0RM07582</t>
  </si>
  <si>
    <t>S1CS06368-WS</t>
  </si>
  <si>
    <t>S0RM07583</t>
  </si>
  <si>
    <t>S1CS06369-WS</t>
  </si>
  <si>
    <t>S0RM07584</t>
  </si>
  <si>
    <t>S1CS06378-WS</t>
  </si>
  <si>
    <t>S0RM07605</t>
  </si>
  <si>
    <t>S1CS06379-WS</t>
  </si>
  <si>
    <t>S0RM07606</t>
  </si>
  <si>
    <t>S1CS06383-WS</t>
  </si>
  <si>
    <t>S0RM07610</t>
  </si>
  <si>
    <t>S1CS06384-WS</t>
  </si>
  <si>
    <t>S0RM07611</t>
  </si>
  <si>
    <t>S0RM07613</t>
  </si>
  <si>
    <t>S0RM07633</t>
  </si>
  <si>
    <t>S0RM07634</t>
  </si>
  <si>
    <t>S0RM07666</t>
  </si>
  <si>
    <t>S1CS06413-WS</t>
  </si>
  <si>
    <t>S0RM07665</t>
  </si>
  <si>
    <t>S1CS06432-WS</t>
  </si>
  <si>
    <t>S1CS06433-WS</t>
  </si>
  <si>
    <t>S1CS06499-WS</t>
  </si>
  <si>
    <t>S0RM07782</t>
  </si>
  <si>
    <t>S1CS06479-WS</t>
  </si>
  <si>
    <t>S1CS06502-WS</t>
  </si>
  <si>
    <t>S0RM07785</t>
  </si>
  <si>
    <t>S1CS06477-WS</t>
  </si>
  <si>
    <t>S0RM07752</t>
  </si>
  <si>
    <t>S1CS06474-WS</t>
  </si>
  <si>
    <t>S0RM07749</t>
  </si>
  <si>
    <t>S1CS06475-WS</t>
  </si>
  <si>
    <t>S0RM07750</t>
  </si>
  <si>
    <t>S1CS06490-WS</t>
  </si>
  <si>
    <t>S0RM07769</t>
  </si>
  <si>
    <t>S1CS06476-WS</t>
  </si>
  <si>
    <t>S0RM07751</t>
  </si>
  <si>
    <t>S1CS06488-WS</t>
  </si>
  <si>
    <t>S1CS06489-WS</t>
  </si>
  <si>
    <t>S1CS06470-WS</t>
  </si>
  <si>
    <t>S1CS06469-WS</t>
  </si>
  <si>
    <t>S1CS06478-WS</t>
  </si>
  <si>
    <t>S1CS06480-WS</t>
  </si>
  <si>
    <t>S1CS06481-WS</t>
  </si>
  <si>
    <t>S1CS06495-WS</t>
  </si>
  <si>
    <t>S0RM07778</t>
  </si>
  <si>
    <t>S1CS06504-WS</t>
  </si>
  <si>
    <t>S0RM07788</t>
  </si>
  <si>
    <t>S1CS06498-WS</t>
  </si>
  <si>
    <t>S0RM07781</t>
  </si>
  <si>
    <t>S1CS06435-WS</t>
  </si>
  <si>
    <t>S1CS06571-WS</t>
  </si>
  <si>
    <t>S0RM07855-AA</t>
  </si>
  <si>
    <t>S1CS06594-WS</t>
  </si>
  <si>
    <t>S0RM07882-AA</t>
  </si>
  <si>
    <t>S1CS06595-WS</t>
  </si>
  <si>
    <t>S0RM07883-AA</t>
  </si>
  <si>
    <t>S1CS06596-WS</t>
  </si>
  <si>
    <t>S0RM07884-AA</t>
  </si>
  <si>
    <t>S1CS06605-WS</t>
  </si>
  <si>
    <t>S0RM07897-AA</t>
  </si>
  <si>
    <t>S1CS06651-WS</t>
  </si>
  <si>
    <t>S0RM07960-AA</t>
  </si>
  <si>
    <t>S1CS06650-WS</t>
  </si>
  <si>
    <t>S0RM07959-AA</t>
  </si>
  <si>
    <t>S1CS06591-WS</t>
  </si>
  <si>
    <t>S0RM07879-AA</t>
  </si>
  <si>
    <t>S1CS06664-WS</t>
  </si>
  <si>
    <t>S0RM07989-AA</t>
  </si>
  <si>
    <t>S1CS06590-WS</t>
  </si>
  <si>
    <t>S0RM07878-AA</t>
  </si>
  <si>
    <t>S1CS06592-WS</t>
  </si>
  <si>
    <t>S0RM07880-AA</t>
  </si>
  <si>
    <t>S1CS06661-WS</t>
  </si>
  <si>
    <t>S0RM07986-AA</t>
  </si>
  <si>
    <t>S1CS06603-WS</t>
  </si>
  <si>
    <t>S0RM07895-AA</t>
  </si>
  <si>
    <t>S1CS06320-WS</t>
  </si>
  <si>
    <t>S1CS06691-WS</t>
  </si>
  <si>
    <t>S0RM08024-AA</t>
  </si>
  <si>
    <t>S1CS06692-WS</t>
  </si>
  <si>
    <t>S0RM08025-AA</t>
  </si>
  <si>
    <t>S1CS06642-WS</t>
  </si>
  <si>
    <t>S0RM07951-AA</t>
  </si>
  <si>
    <t>S1CS06643-WS</t>
  </si>
  <si>
    <t>S0RM07952-AA</t>
  </si>
  <si>
    <t>S1CS06675-WS</t>
  </si>
  <si>
    <t>S0RM08000-AA</t>
  </si>
  <si>
    <t>S1CS06676-WS</t>
  </si>
  <si>
    <t>S0RM08001-AA</t>
  </si>
  <si>
    <t>S1CS06724-WS</t>
  </si>
  <si>
    <t>S0RM08065-AA</t>
  </si>
  <si>
    <t>S1CS06725-WS</t>
  </si>
  <si>
    <t>S0RM08066-AA</t>
  </si>
  <si>
    <t>S1CS06726-WS</t>
  </si>
  <si>
    <t>S1CS06727-WS</t>
  </si>
  <si>
    <t>S0RM08067-AA</t>
  </si>
  <si>
    <t>S0RM08070-AA</t>
  </si>
  <si>
    <t>S0RM08071-AA</t>
  </si>
  <si>
    <t>S1CS06730-WS</t>
  </si>
  <si>
    <t>S0RM08072-AA</t>
  </si>
  <si>
    <t>S1CS06731-WS</t>
  </si>
  <si>
    <t>S0RM08073-AA</t>
  </si>
  <si>
    <t>S1CS06748-WS</t>
  </si>
  <si>
    <t>S1CS06749-WS</t>
  </si>
  <si>
    <t>S1CS06756-WS</t>
  </si>
  <si>
    <t>S0RM08085-AA</t>
  </si>
  <si>
    <t>S1CS06757-WS</t>
  </si>
  <si>
    <t>S0RM08086-AA</t>
  </si>
  <si>
    <t>S1CS06758-WS</t>
  </si>
  <si>
    <t>S0RM08087-AA</t>
  </si>
  <si>
    <t>1M-1I-1R-7C</t>
  </si>
  <si>
    <t>2M-1I-3R-5C</t>
  </si>
  <si>
    <t>2M-1I-1R-7C</t>
  </si>
  <si>
    <t>2M-1I-2R-6C</t>
  </si>
  <si>
    <t>S0RM03921-AA</t>
  </si>
  <si>
    <t>1M-1I-3R-5C</t>
  </si>
  <si>
    <t>2M-1I-5R-3C</t>
  </si>
  <si>
    <t>2M-1I-4R-4C</t>
  </si>
  <si>
    <t>1M-1I-2R-6C</t>
  </si>
  <si>
    <t>3M-2I-1R-6C</t>
  </si>
  <si>
    <t>3M-2I-2R-5C</t>
  </si>
  <si>
    <t>S0RM06923-AA</t>
  </si>
  <si>
    <t>S0RM03266-AA</t>
  </si>
  <si>
    <t>121</t>
  </si>
  <si>
    <t>149</t>
  </si>
  <si>
    <t>S0RM03241</t>
  </si>
  <si>
    <t>118</t>
  </si>
  <si>
    <t>S0RM03251</t>
  </si>
  <si>
    <t>125</t>
  </si>
  <si>
    <t>3M-2I-3R-4C</t>
  </si>
  <si>
    <t>S0RM00390-AA</t>
  </si>
  <si>
    <t>147</t>
  </si>
  <si>
    <t>124</t>
  </si>
  <si>
    <t>S0RM01485-AA</t>
  </si>
  <si>
    <t>170</t>
  </si>
  <si>
    <t>1M-1I-5R-3C</t>
  </si>
  <si>
    <t>1M-1I-4R-4C</t>
  </si>
  <si>
    <t>S0RM04175-AA</t>
  </si>
  <si>
    <t>S0RM04174-AA</t>
  </si>
  <si>
    <t>S0RM07540-AA</t>
  </si>
  <si>
    <t>1M-1I-3R-6C</t>
  </si>
  <si>
    <t>2M-1I-4R-5C</t>
  </si>
  <si>
    <t>1M-1I-2R-7C</t>
  </si>
  <si>
    <t>2M-1I-3R-6C</t>
  </si>
  <si>
    <t>2M-1I-2R-7C</t>
  </si>
  <si>
    <t>1M-1I-1R-8C</t>
  </si>
  <si>
    <t>3M-2I-5R-3C</t>
  </si>
  <si>
    <t>1M-1I-4R-5C</t>
  </si>
  <si>
    <t>2M-1I-1R-8C</t>
  </si>
  <si>
    <t>S0RM00406-AA</t>
  </si>
  <si>
    <t>S0RM00407-AA</t>
  </si>
  <si>
    <t>S0RM03087-AA</t>
  </si>
  <si>
    <t>137</t>
  </si>
  <si>
    <t>S0RM03088-AA</t>
  </si>
  <si>
    <t>3M-2I-2R-6C</t>
  </si>
  <si>
    <t>S0RM07771-AA</t>
  </si>
  <si>
    <t>S0RM00388-AA</t>
  </si>
  <si>
    <t>2M-1I-6R-3C</t>
  </si>
  <si>
    <t>S0RM03634-AA</t>
  </si>
  <si>
    <t>S0RM07078-AA</t>
  </si>
  <si>
    <t>S0RM03635-AA</t>
  </si>
  <si>
    <t>1M-1I-5R-4C</t>
  </si>
  <si>
    <t>S0RM00868-AA</t>
  </si>
  <si>
    <t>S0RM03717-AA</t>
  </si>
  <si>
    <t>S0RM07344-AA</t>
  </si>
  <si>
    <t>S0RM07770-AA</t>
  </si>
  <si>
    <t>S0RM03264-AA</t>
  </si>
  <si>
    <t>130</t>
  </si>
  <si>
    <t>S1CS06706-WS</t>
  </si>
  <si>
    <t>S1CS06707-WS</t>
  </si>
  <si>
    <t>99</t>
  </si>
  <si>
    <t>S0RM06236-AA</t>
  </si>
  <si>
    <t>222</t>
  </si>
  <si>
    <t>S1CS05969-WS</t>
  </si>
  <si>
    <t>S0RM03633-AA</t>
  </si>
  <si>
    <t>S0RM00357-AA</t>
  </si>
  <si>
    <t>128</t>
  </si>
  <si>
    <t>S0RM03631-AA</t>
  </si>
  <si>
    <t>S0RM03632-AA</t>
  </si>
  <si>
    <t>S0RM06023-AA</t>
  </si>
  <si>
    <t>119</t>
  </si>
  <si>
    <t>S0RM07806</t>
  </si>
  <si>
    <t>S0RM07497</t>
  </si>
  <si>
    <t>S0RM08043-AA</t>
  </si>
  <si>
    <t>S0RM07055-AA</t>
  </si>
  <si>
    <t>S0RM08042-AA</t>
  </si>
  <si>
    <t>S0RM07638-AA</t>
  </si>
  <si>
    <t>S0RM03359-AA</t>
  </si>
  <si>
    <t>S1CS06811-WS</t>
  </si>
  <si>
    <t>S0RM08164-AA</t>
  </si>
  <si>
    <t>S0RM07160-AA</t>
  </si>
  <si>
    <t>S1CS06838-WS</t>
  </si>
  <si>
    <t>S0RM08200-AA</t>
  </si>
  <si>
    <t>S0RM07038-AA</t>
  </si>
  <si>
    <t>S0RM07710-AA</t>
  </si>
  <si>
    <t>S0RM06555-AA</t>
  </si>
  <si>
    <t>S0RM03192-AA</t>
  </si>
  <si>
    <t>S0RM06675-AA</t>
  </si>
  <si>
    <t>S0RM06412-AA</t>
  </si>
  <si>
    <t>S0RM06411-AA</t>
  </si>
  <si>
    <t>S0RM07772-AA</t>
  </si>
  <si>
    <t>S0RM00872-AA</t>
  </si>
  <si>
    <t>S0RM04100-AA</t>
  </si>
  <si>
    <t>S0RM06554-AA</t>
  </si>
  <si>
    <t>S0RM03245</t>
  </si>
  <si>
    <t>S0RM03243</t>
  </si>
  <si>
    <t>S0RM03250</t>
  </si>
  <si>
    <t>S1CS05271-WS</t>
  </si>
  <si>
    <t>S0RM06135-AA</t>
  </si>
  <si>
    <t>S0RM03360-AA</t>
  </si>
  <si>
    <t>S0RM03247</t>
  </si>
  <si>
    <t>S0RM03714-AA</t>
  </si>
  <si>
    <t>S0RM00389-AA</t>
  </si>
  <si>
    <t>S0RM04662-54-AA</t>
  </si>
  <si>
    <t>S0RM00079-AA</t>
  </si>
  <si>
    <t>S0RM00080-AA</t>
  </si>
  <si>
    <t>194</t>
  </si>
  <si>
    <t>S0RM07271-AA</t>
  </si>
  <si>
    <t>S0RM07270-AA</t>
  </si>
  <si>
    <t>S0RM06587-AA</t>
  </si>
  <si>
    <t>S0RM06585-AA</t>
  </si>
  <si>
    <t>S0RM03629-AA</t>
  </si>
  <si>
    <t>S1CS06705-WS</t>
  </si>
  <si>
    <t>S0RM08041-AA</t>
  </si>
  <si>
    <t>S0RM03630-AA</t>
  </si>
  <si>
    <t>S0RM04628-AA</t>
  </si>
  <si>
    <t>S0RM03297-AA</t>
  </si>
  <si>
    <t>S0RM03223-AA</t>
  </si>
  <si>
    <t>S0RM03298-AA</t>
  </si>
  <si>
    <t>S0RM00353-AA</t>
  </si>
  <si>
    <t>S0RM03222-AA</t>
  </si>
  <si>
    <t>S0RM00354-AA</t>
  </si>
  <si>
    <t>S0RM03490-AA</t>
  </si>
  <si>
    <t>S0RM03488-AA</t>
  </si>
  <si>
    <t>S0RM03489-AA</t>
  </si>
  <si>
    <t>S0RM03461-AA</t>
  </si>
  <si>
    <t>S0RM05382-AA</t>
  </si>
  <si>
    <t>S0RM04627-AA</t>
  </si>
  <si>
    <t>S0RM00873-AA</t>
  </si>
  <si>
    <t>S0RM00546-AA</t>
  </si>
  <si>
    <t>S0RM00621-AA</t>
  </si>
  <si>
    <t>S0RM04662-52-AA</t>
  </si>
  <si>
    <t>S1CS06720-56-WS</t>
  </si>
  <si>
    <t>S0RM08056-56-AA</t>
  </si>
  <si>
    <t>S0RM04626-AA</t>
  </si>
  <si>
    <t>S0RM03429-AA</t>
  </si>
  <si>
    <t>S0RM06552-AA</t>
  </si>
  <si>
    <t>S0RM01281-AA</t>
  </si>
  <si>
    <t>S0RM01276-AA</t>
  </si>
  <si>
    <t>S0RM03282-AA</t>
  </si>
  <si>
    <t>S0RM03283-AA</t>
  </si>
  <si>
    <t>S0RM03963-AA</t>
  </si>
  <si>
    <t>S0RM06695-AA</t>
  </si>
  <si>
    <t>S0RM06697-AA</t>
  </si>
  <si>
    <t>S0RM06696-AA</t>
  </si>
  <si>
    <t>S0RM00391-AA</t>
  </si>
  <si>
    <t>S0RM03145-AA</t>
  </si>
  <si>
    <t>S0RM04662-56-AA</t>
  </si>
  <si>
    <t>S0RM07655-AA</t>
  </si>
  <si>
    <t>S0RM01280-AA</t>
  </si>
  <si>
    <t>S0RM04662-50-AA</t>
  </si>
  <si>
    <t>S0RM00913-AA</t>
  </si>
  <si>
    <t>S0RM03144-AA</t>
  </si>
  <si>
    <t>S0RM04481-AA</t>
  </si>
  <si>
    <t>S0RM04482-AA</t>
  </si>
  <si>
    <t>S0RM01275-AA</t>
  </si>
  <si>
    <t>1M-1I-8R-1C</t>
  </si>
  <si>
    <t>S0RM06556-AA</t>
  </si>
  <si>
    <t>S0RM03281-AA</t>
  </si>
  <si>
    <t>S0RM00410-AA</t>
  </si>
  <si>
    <t>S0RM03878-AA</t>
  </si>
  <si>
    <t>S0RM03879-AA</t>
  </si>
  <si>
    <t>S0RM04259-AA</t>
  </si>
  <si>
    <t>S0RM04260-AA</t>
  </si>
  <si>
    <t>S0RM00219-AA</t>
  </si>
  <si>
    <t>1M-1I-0R-9C</t>
  </si>
  <si>
    <t>S0RM00548-AA</t>
  </si>
  <si>
    <t>S0RM03248</t>
  </si>
  <si>
    <t>S0RM00218-AA</t>
  </si>
  <si>
    <t>177</t>
  </si>
  <si>
    <t>S0RM00547-AA</t>
  </si>
  <si>
    <t>S0RM03459-AA</t>
  </si>
  <si>
    <t>S0RM03460-AA</t>
  </si>
  <si>
    <t>S1CS06808-WS</t>
  </si>
  <si>
    <t>S1CS06810-WS</t>
  </si>
  <si>
    <t>S0RM08163-AA</t>
  </si>
  <si>
    <t>S1CS06809-WS</t>
  </si>
  <si>
    <t>S0RM08162-AA</t>
  </si>
  <si>
    <t>S1CS06788-WS</t>
  </si>
  <si>
    <t>S0RM08136-AA</t>
  </si>
  <si>
    <t>S0RM04662-48-AA</t>
  </si>
  <si>
    <t>S0RM01318-AA</t>
  </si>
  <si>
    <t>S1CS06818-56-WS</t>
  </si>
  <si>
    <t>S0RM08171-56-AA</t>
  </si>
  <si>
    <t>S1CS06787-WS</t>
  </si>
  <si>
    <t>S0RM08135-AA</t>
  </si>
  <si>
    <t>S1CS06827-54-WS</t>
  </si>
  <si>
    <t>S0RM08188-54-AA</t>
  </si>
  <si>
    <t>S0RM01319-AA</t>
  </si>
  <si>
    <t>S0RM03458-AA</t>
  </si>
  <si>
    <t>S1CS06834-WS</t>
  </si>
  <si>
    <t>S0RM08196-AA</t>
  </si>
  <si>
    <t>S0RM01487-AA</t>
  </si>
  <si>
    <t>S0RM01107-AA</t>
  </si>
  <si>
    <t>S0RM07286-AA</t>
  </si>
  <si>
    <t>S0RM01486-AA</t>
  </si>
  <si>
    <t>S0RM00559-AA</t>
  </si>
  <si>
    <t>S0RM00561-AA</t>
  </si>
  <si>
    <t>S0RM01380-AA</t>
  </si>
  <si>
    <t>S0RM04201</t>
  </si>
  <si>
    <t>S1CS06698-WS</t>
  </si>
  <si>
    <t>S0RM08034-AA</t>
  </si>
  <si>
    <t>S1CS05972-WS</t>
  </si>
  <si>
    <t>S0RM07058-AA</t>
  </si>
  <si>
    <t>S0RM06925-AA</t>
  </si>
  <si>
    <t>S1CS06557-WS</t>
  </si>
  <si>
    <t>S0RM07841-AA</t>
  </si>
  <si>
    <t>1M-1I-9R-0C</t>
  </si>
  <si>
    <t>S0RM03239</t>
  </si>
  <si>
    <t>S0RM03237</t>
  </si>
  <si>
    <t>S0RM07711-AA</t>
  </si>
  <si>
    <t>S1CS06697-WS</t>
  </si>
  <si>
    <t>S0RM08033-AA</t>
  </si>
  <si>
    <t>S0RM03240</t>
  </si>
  <si>
    <t>S0RM03543-AA</t>
  </si>
  <si>
    <t>S0RM00625-AA</t>
  </si>
  <si>
    <t>S0RM01483-AA</t>
  </si>
  <si>
    <t>S0RM01484-AA</t>
  </si>
  <si>
    <t>S0RM06813-AA</t>
  </si>
  <si>
    <t>S1CS06768-WS</t>
  </si>
  <si>
    <t>S0RM08104-AA</t>
  </si>
  <si>
    <t>S1CS06833-WS</t>
  </si>
  <si>
    <t>S0RM08195-AA</t>
  </si>
  <si>
    <t>S0RM06160-AA</t>
  </si>
  <si>
    <t>S0RM00560-AA</t>
  </si>
  <si>
    <t>S0RM06828-AA</t>
  </si>
  <si>
    <t>S0RM00040-AA</t>
  </si>
  <si>
    <t>S0RM06526-AA</t>
  </si>
  <si>
    <t>S0RM04099-AA</t>
  </si>
  <si>
    <t>S0RM04662-46-AA</t>
  </si>
  <si>
    <t>S0RM04662-64-AA</t>
  </si>
  <si>
    <t>S0RM04662-58-AA</t>
  </si>
  <si>
    <t>S0RM04428-AA</t>
  </si>
  <si>
    <t>S1CS06720-58-WS</t>
  </si>
  <si>
    <t>S0RM08056-58-AA</t>
  </si>
  <si>
    <t>S0RM01491-AA</t>
  </si>
  <si>
    <t>S0RM07637-AA</t>
  </si>
  <si>
    <t>S0RM01391-AA</t>
  </si>
  <si>
    <t>S0RM01392-AA</t>
  </si>
  <si>
    <t>S0RM03410-AA</t>
  </si>
  <si>
    <t>S0RM03246</t>
  </si>
  <si>
    <t>S0RM03111-AA</t>
  </si>
  <si>
    <t>S0RM03242</t>
  </si>
  <si>
    <t>S1CS06769-WS</t>
  </si>
  <si>
    <t>S0RM08105-AA</t>
  </si>
  <si>
    <t>S0RM03110-AA</t>
  </si>
  <si>
    <t>S1CS06743-WS</t>
  </si>
  <si>
    <t>S1CS06840-WS</t>
  </si>
  <si>
    <t>S0RM08202-AA</t>
  </si>
  <si>
    <t>S0RM04662-62-AA</t>
  </si>
  <si>
    <t>S0RM04662-44-AA</t>
  </si>
  <si>
    <t>S1CS06762-WS</t>
  </si>
  <si>
    <t>S0RM08098-AA</t>
  </si>
  <si>
    <t>S1CS06760-WS</t>
  </si>
  <si>
    <t>S0RM08094-AA</t>
  </si>
  <si>
    <t>S0RM03409-AA</t>
  </si>
  <si>
    <t>S1CS06301-WS</t>
  </si>
  <si>
    <t>S1CS06761-WS</t>
  </si>
  <si>
    <t>S0RM08097-AA</t>
  </si>
  <si>
    <t>S1CS06781-WS</t>
  </si>
  <si>
    <t>S0RM08129-AA</t>
  </si>
  <si>
    <t>S1CS06782-WS</t>
  </si>
  <si>
    <t>S0RM08130-AA</t>
  </si>
  <si>
    <t>S1CS06783-WS</t>
  </si>
  <si>
    <t>S0RM08131-AA</t>
  </si>
  <si>
    <t>S1CS06784-48-WS</t>
  </si>
  <si>
    <t>S0RM08132-48-AA</t>
  </si>
  <si>
    <t>S1CS06784-50-WS</t>
  </si>
  <si>
    <t>S0RM08132-50-AA</t>
  </si>
  <si>
    <t>S1CS06784-52-WS</t>
  </si>
  <si>
    <t>S0RM08132-52-AA</t>
  </si>
  <si>
    <t>S1CS06784-54-WS</t>
  </si>
  <si>
    <t>S0RM08132-54-AA</t>
  </si>
  <si>
    <t>S1CS06784-56-WS</t>
  </si>
  <si>
    <t>S0RM08132-56-AA</t>
  </si>
  <si>
    <t>S1CS06784-58-WS</t>
  </si>
  <si>
    <t>S0RM08132-58-AA</t>
  </si>
  <si>
    <t>S1CS06784-60-WS</t>
  </si>
  <si>
    <t>S0RM08132-60-AA</t>
  </si>
  <si>
    <t>S1CS06785-WS</t>
  </si>
  <si>
    <t>S0RM08133-AA</t>
  </si>
  <si>
    <t>S1CS06786-WS</t>
  </si>
  <si>
    <t>S0RM08134-AA</t>
  </si>
  <si>
    <t>S1CS06789-WS</t>
  </si>
  <si>
    <t>S0RM08137-AA</t>
  </si>
  <si>
    <t>S1CS06790-WS</t>
  </si>
  <si>
    <t>S0RM08138-AA</t>
  </si>
  <si>
    <t>S1CS06791-WS</t>
  </si>
  <si>
    <t>S0RM08139-AA</t>
  </si>
  <si>
    <t>S1CS06792-WS</t>
  </si>
  <si>
    <t>S0RM08140-AA</t>
  </si>
  <si>
    <t>S1CS06793-WS</t>
  </si>
  <si>
    <t>S0RM08141-AA</t>
  </si>
  <si>
    <t>S1CS06794-WS</t>
  </si>
  <si>
    <t>S0RM08142-AA</t>
  </si>
  <si>
    <t>S1CS06805-WS</t>
  </si>
  <si>
    <t>S0RM08159-AA</t>
  </si>
  <si>
    <t>S1CS06806-WS</t>
  </si>
  <si>
    <t>S0RM08160-AA</t>
  </si>
  <si>
    <t>S1CS06807-48-WS</t>
  </si>
  <si>
    <t>S0RM08161-48-AA</t>
  </si>
  <si>
    <t>S1CS06807-50-WS</t>
  </si>
  <si>
    <t>S0RM08161-50-AA</t>
  </si>
  <si>
    <t>S1CS06807-52-WS</t>
  </si>
  <si>
    <t>S0RM08161-52-AA</t>
  </si>
  <si>
    <t>S1CS06807-54-WS</t>
  </si>
  <si>
    <t>S0RM08161-54-AA</t>
  </si>
  <si>
    <t>S1CS06807-56-WS</t>
  </si>
  <si>
    <t>S0RM08161-56-AA</t>
  </si>
  <si>
    <t>S1CS06807-58-WS</t>
  </si>
  <si>
    <t>S0RM08161-58-AA</t>
  </si>
  <si>
    <t>S1CS06807-60-WS</t>
  </si>
  <si>
    <t>S0RM08161-60-AA</t>
  </si>
  <si>
    <t>S1CS06812-WS</t>
  </si>
  <si>
    <t>S0RM08165-AA</t>
  </si>
  <si>
    <t>S1CS06813-WS</t>
  </si>
  <si>
    <t>S0RM08166-AA</t>
  </si>
  <si>
    <t>S1CS06814-WS</t>
  </si>
  <si>
    <t>S0RM08167-AA</t>
  </si>
  <si>
    <t>S1CS06815-WS</t>
  </si>
  <si>
    <t>S0RM08168-AA</t>
  </si>
  <si>
    <t>S1CS06818-48-WS</t>
  </si>
  <si>
    <t>S0RM08171-48-AA</t>
  </si>
  <si>
    <t>S1CS06818-50-WS</t>
  </si>
  <si>
    <t>S0RM08171-50-AA</t>
  </si>
  <si>
    <t>S1CS06818-52-WS</t>
  </si>
  <si>
    <t>S0RM08171-52-AA</t>
  </si>
  <si>
    <t>S1CS06818-54-WS</t>
  </si>
  <si>
    <t>S0RM08171-54-AA</t>
  </si>
  <si>
    <t>S1CS06818-58-WS</t>
  </si>
  <si>
    <t>S0RM08171-58-AA</t>
  </si>
  <si>
    <t>S1CS06818-60-WS</t>
  </si>
  <si>
    <t>S0RM08171-60-AA</t>
  </si>
  <si>
    <t>S1CS06819-WS</t>
  </si>
  <si>
    <t>S0RM08172-AA</t>
  </si>
  <si>
    <t>S1CS06827-48-WS</t>
  </si>
  <si>
    <t>S0RM08188-48-AA</t>
  </si>
  <si>
    <t>S1CS06827-50-WS</t>
  </si>
  <si>
    <t>S0RM08188-50-AA</t>
  </si>
  <si>
    <t>S1CS06827-52-WS</t>
  </si>
  <si>
    <t>S0RM08188-52-AA</t>
  </si>
  <si>
    <t>S1CS06827-56-WS</t>
  </si>
  <si>
    <t>S0RM08188-56-AA</t>
  </si>
  <si>
    <t>S1CS06827-58-WS</t>
  </si>
  <si>
    <t>S0RM08188-58-AA</t>
  </si>
  <si>
    <t>S1CS06827-60-WS</t>
  </si>
  <si>
    <t>S0RM08188-60-AA</t>
  </si>
  <si>
    <t>S1CS06828-WS</t>
  </si>
  <si>
    <t>S0RM08189-AA</t>
  </si>
  <si>
    <t>S1CS06829-WS</t>
  </si>
  <si>
    <t>S0RM08190-AA</t>
  </si>
  <si>
    <t>S1CS06830-WS</t>
  </si>
  <si>
    <t>S0RM08191-AA</t>
  </si>
  <si>
    <t>S1CS06839-WS</t>
  </si>
  <si>
    <t>S0RM08201-AA</t>
  </si>
  <si>
    <t>S1CS06841-WS</t>
  </si>
  <si>
    <t>S0RM08203-AA</t>
  </si>
  <si>
    <t>S1CS06842-WS</t>
  </si>
  <si>
    <t>S0RM08204-AA</t>
  </si>
  <si>
    <t>S1CS06844-WS</t>
  </si>
  <si>
    <t>S0RM08209-AA</t>
  </si>
  <si>
    <t>S1CS06845-WS</t>
  </si>
  <si>
    <t>S1CS06851-WS</t>
  </si>
  <si>
    <t>S0RM08212-AA</t>
  </si>
  <si>
    <t>S1CS06857-WS</t>
  </si>
  <si>
    <t>S0RM08220-AA</t>
  </si>
  <si>
    <t>S1CS06858-WS</t>
  </si>
  <si>
    <t>S0RM08221-AA</t>
  </si>
  <si>
    <t>S1CS06859-WS</t>
  </si>
  <si>
    <t>S0RM08222-AA</t>
  </si>
  <si>
    <t>S1CS06868-WS</t>
  </si>
  <si>
    <t>S0RM08246-AA</t>
  </si>
  <si>
    <t>S1CS06875-WS</t>
  </si>
  <si>
    <t>S0RM08273-AA</t>
  </si>
  <si>
    <t>S1CS06876-WS</t>
  </si>
  <si>
    <t>S0RM08274-AA</t>
  </si>
  <si>
    <t>S1CS06877-WS</t>
  </si>
  <si>
    <t>S0RM08276-AA</t>
  </si>
  <si>
    <t>S1CS06880-WS</t>
  </si>
  <si>
    <t>S0RM08289-AA</t>
  </si>
  <si>
    <t>S1CS06881-WS</t>
  </si>
  <si>
    <t>S0RM08290-AA</t>
  </si>
  <si>
    <t>S1CS06882-WS</t>
  </si>
  <si>
    <t>S0RM08291-AA</t>
  </si>
  <si>
    <t>S1CS06883-WS</t>
  </si>
  <si>
    <t>S0RM08292-AA</t>
  </si>
  <si>
    <t>S1CS06888-WS</t>
  </si>
  <si>
    <t>S0RM08297-AA</t>
  </si>
  <si>
    <t>S1CS06889-WS</t>
  </si>
  <si>
    <t>S1CS06890-WS</t>
  </si>
  <si>
    <t>S0RM08298-AA</t>
  </si>
  <si>
    <t>S1CS06892-WS</t>
  </si>
  <si>
    <t>S0RM08300-AA</t>
  </si>
  <si>
    <t>S1CS06893-WS</t>
  </si>
  <si>
    <t>S0RM08301-AA</t>
  </si>
  <si>
    <t>S1CS06894-WS</t>
  </si>
  <si>
    <t>S0RM08302-AA</t>
  </si>
  <si>
    <t>S1CS06895-WS</t>
  </si>
  <si>
    <t>S0RM08303-AA</t>
  </si>
  <si>
    <t>S1CS06896-WS</t>
  </si>
  <si>
    <t>S0RM08304-AA</t>
  </si>
  <si>
    <t>S1CS06898-WS</t>
  </si>
  <si>
    <t>S0RM08306-AA</t>
  </si>
  <si>
    <t>S1CS06899-WS</t>
  </si>
  <si>
    <t>S0RM08307-AA</t>
  </si>
  <si>
    <t>S1CS06900-WS</t>
  </si>
  <si>
    <t>S0RM08308-AA</t>
  </si>
  <si>
    <t>S1CS06901-WS</t>
  </si>
  <si>
    <t>S0RM08309-AA</t>
  </si>
  <si>
    <t>S1CS06902-WS</t>
  </si>
  <si>
    <t>S0RM08310-AA</t>
  </si>
  <si>
    <t>S1CS06903-WS</t>
  </si>
  <si>
    <t>S0RM08311-AA</t>
  </si>
  <si>
    <t>S1CS06904-WS</t>
  </si>
  <si>
    <t>S0RM08312-AA</t>
  </si>
  <si>
    <t>S1CS06912-WS</t>
  </si>
  <si>
    <t>S0RM08325-AA</t>
  </si>
  <si>
    <t>S1CS06913-48-WS</t>
  </si>
  <si>
    <t>S0RM08326-48-AA</t>
  </si>
  <si>
    <t>S1CS06913-50-WS</t>
  </si>
  <si>
    <t>S0RM08326-50-AA</t>
  </si>
  <si>
    <t>S1CS06913-52-WS</t>
  </si>
  <si>
    <t>S0RM08326-52-AA</t>
  </si>
  <si>
    <t>S1CS06913-54-WS</t>
  </si>
  <si>
    <t>S0RM08326-54-AA</t>
  </si>
  <si>
    <t>S1CS06913-56-WS</t>
  </si>
  <si>
    <t>S0RM08326-56-AA</t>
  </si>
  <si>
    <t>S1CS06913-58-WS</t>
  </si>
  <si>
    <t>S0RM08326-58-AA</t>
  </si>
  <si>
    <t>S1CS06913-60-WS</t>
  </si>
  <si>
    <t>S0RM08326-60-AA</t>
  </si>
  <si>
    <t>S1CS06914-WS</t>
  </si>
  <si>
    <t>S0RM08327-AA</t>
  </si>
  <si>
    <t>S1CS06915-WS</t>
  </si>
  <si>
    <t>S0RM08328-AA</t>
  </si>
  <si>
    <t>S1CS06916-WS</t>
  </si>
  <si>
    <t>S1CS06926-WS</t>
  </si>
  <si>
    <t>S0RM08348-AA</t>
  </si>
  <si>
    <t>S1CS06927-WS</t>
  </si>
  <si>
    <t>S0RM08349-AA</t>
  </si>
  <si>
    <t>S1CS06928-WS</t>
  </si>
  <si>
    <t>S0RM08350-AA</t>
  </si>
  <si>
    <t>S1CS06932-48-WS</t>
  </si>
  <si>
    <t>S0RM08355-48-AA</t>
  </si>
  <si>
    <t>S1CS06932-50-WS</t>
  </si>
  <si>
    <t>S0RM08355-50-AA</t>
  </si>
  <si>
    <t>S1CS06932-52-WS</t>
  </si>
  <si>
    <t>S0RM08355-52-AA</t>
  </si>
  <si>
    <t>S1CS06932-54-WS</t>
  </si>
  <si>
    <t>S0RM08355-54-AA</t>
  </si>
  <si>
    <t>S1CS06932-56-WS</t>
  </si>
  <si>
    <t>S0RM08355-56-AA</t>
  </si>
  <si>
    <t>S1CS06932-58-WS</t>
  </si>
  <si>
    <t>S0RM08355-58-AA</t>
  </si>
  <si>
    <t>S1CS06932-60-WS</t>
  </si>
  <si>
    <t>S0RM08355-60-AA</t>
  </si>
  <si>
    <t>S1CS06720-48-WS</t>
  </si>
  <si>
    <t>S0RM08056-48-AA</t>
  </si>
  <si>
    <t>S1CS06720-50-WS</t>
  </si>
  <si>
    <t>S0RM08056-50-AA</t>
  </si>
  <si>
    <t>S1CS06720-52-WS</t>
  </si>
  <si>
    <t>S0RM08056-52-AA</t>
  </si>
  <si>
    <t>S1CS06720-54-WS</t>
  </si>
  <si>
    <t>S0RM08056-54-AA</t>
  </si>
  <si>
    <t>S1CS06720-60-WS</t>
  </si>
  <si>
    <t>S1CS06742-WS</t>
  </si>
  <si>
    <t>S0RM08056-60-AA</t>
  </si>
  <si>
    <t>S1CS06744-WS</t>
  </si>
  <si>
    <t>S1CS06745-WS</t>
  </si>
  <si>
    <t>S1CS06746-WS</t>
  </si>
  <si>
    <t>S1CS06747-WS</t>
  </si>
  <si>
    <t>S0RM03545-AA</t>
  </si>
  <si>
    <t>S0RM03982-AA</t>
  </si>
  <si>
    <t>108</t>
  </si>
  <si>
    <t>S0RM01366-AA</t>
  </si>
  <si>
    <t>S0RM04266-AA</t>
  </si>
  <si>
    <t>S0RM03544-AA</t>
  </si>
  <si>
    <t>S0RM03546-AA</t>
  </si>
  <si>
    <t>S0RM03704-AA</t>
  </si>
  <si>
    <t>S0RM06694-AA</t>
  </si>
  <si>
    <t>S0RM04662-60-AA</t>
  </si>
  <si>
    <t>S0RM00386-AA</t>
  </si>
  <si>
    <t>S0RM00003-50-AA</t>
  </si>
  <si>
    <t>S0RM00003-52-AA</t>
  </si>
  <si>
    <t>S0RM00018-AA</t>
  </si>
  <si>
    <t>S0RM00025-AA</t>
  </si>
  <si>
    <t>S0RM00026-AA</t>
  </si>
  <si>
    <t>S0RM00038-AA</t>
  </si>
  <si>
    <t>S0RM00045-AA</t>
  </si>
  <si>
    <t>S0RM00051-AA</t>
  </si>
  <si>
    <t>S0RM00053-AA</t>
  </si>
  <si>
    <t>S0RM00061-56-AA</t>
  </si>
  <si>
    <t>S0RM00061-60-AA</t>
  </si>
  <si>
    <t>S0RM00064-AA</t>
  </si>
  <si>
    <t>S0RM00065-AA</t>
  </si>
  <si>
    <t>S0RM00069-AA</t>
  </si>
  <si>
    <t>S0RM00070-AA</t>
  </si>
  <si>
    <t>S0RM00074-AA</t>
  </si>
  <si>
    <t>S0RM00075-AA</t>
  </si>
  <si>
    <t>S0RM00076-AA</t>
  </si>
  <si>
    <t>S0RM00083-AA</t>
  </si>
  <si>
    <t>S0RM00086-AA</t>
  </si>
  <si>
    <t>S0RM00095-AA</t>
  </si>
  <si>
    <t>S0RM00096-AA</t>
  </si>
  <si>
    <t>S0RM00105-AA</t>
  </si>
  <si>
    <t>S0RM00107-AA</t>
  </si>
  <si>
    <t>S0RM00111-AA</t>
  </si>
  <si>
    <t>S0RM00112-AA</t>
  </si>
  <si>
    <t>S0RM00118-AA</t>
  </si>
  <si>
    <t>S0RM00133-AA</t>
  </si>
  <si>
    <t>S0RM00139-AA</t>
  </si>
  <si>
    <t>S0RM00141-AA</t>
  </si>
  <si>
    <t>S0RM00178-AA</t>
  </si>
  <si>
    <t>S0RM00179-AA</t>
  </si>
  <si>
    <t>S0RM00180-AA</t>
  </si>
  <si>
    <t>S0RM00181-AA</t>
  </si>
  <si>
    <t>S0RM00206-AA</t>
  </si>
  <si>
    <t>S0RM00207-AA</t>
  </si>
  <si>
    <t>S0RM00208-AA</t>
  </si>
  <si>
    <t>S0RM00209-AA</t>
  </si>
  <si>
    <t>S0RM00210-AA</t>
  </si>
  <si>
    <t>S0RM00211-AA</t>
  </si>
  <si>
    <t>S0RM00212-AA</t>
  </si>
  <si>
    <t>S0RM00213-AA</t>
  </si>
  <si>
    <t>S0RM00214-AA</t>
  </si>
  <si>
    <t>S0RM00215-AA</t>
  </si>
  <si>
    <t>S0RM00217-AA</t>
  </si>
  <si>
    <t>S0RM00234-AA</t>
  </si>
  <si>
    <t>S0RM00237-AA</t>
  </si>
  <si>
    <t>S0RM00238-AA</t>
  </si>
  <si>
    <t>S0RM00267-AA</t>
  </si>
  <si>
    <t>S0RM00268-AA</t>
  </si>
  <si>
    <t>S0RM00352-AA</t>
  </si>
  <si>
    <t>S0RM00356-AA</t>
  </si>
  <si>
    <t>S0RM00358-AA</t>
  </si>
  <si>
    <t>S0RM00364-AA</t>
  </si>
  <si>
    <t>S0RM00365-AA</t>
  </si>
  <si>
    <t>S0RM00379-AA</t>
  </si>
  <si>
    <t>S0RM00380-AA</t>
  </si>
  <si>
    <t>S0RM00387-AA</t>
  </si>
  <si>
    <t>S0RM00404-AA</t>
  </si>
  <si>
    <t>S0RM00418-48-AA</t>
  </si>
  <si>
    <t>S0RM00418-50-AA</t>
  </si>
  <si>
    <t>S0RM00418-52-AA</t>
  </si>
  <si>
    <t>S0RM00418-54-AA</t>
  </si>
  <si>
    <t>S0RM00418-56-AA</t>
  </si>
  <si>
    <t>S0RM00418-58-AA</t>
  </si>
  <si>
    <t>S0RM00418-60-AA</t>
  </si>
  <si>
    <t>S0RM00512-54-AA</t>
  </si>
  <si>
    <t>S0RM00033-AA</t>
  </si>
  <si>
    <t>S0RM00555-AA</t>
  </si>
  <si>
    <t>S0RM00595-AA</t>
  </si>
  <si>
    <t>S0RM00598-AA</t>
  </si>
  <si>
    <t>S0RM00626-AA</t>
  </si>
  <si>
    <t>S0RM00630-AA</t>
  </si>
  <si>
    <t>S0RM00914-AA</t>
  </si>
  <si>
    <t>S0RM00915-AA</t>
  </si>
  <si>
    <t>S0RM00916-AA</t>
  </si>
  <si>
    <t>S0RM00919-54-AA</t>
  </si>
  <si>
    <t>S0RM00939-52-AA</t>
  </si>
  <si>
    <t>S0RM00941-56-AA</t>
  </si>
  <si>
    <t>S0RM00943-54-AA</t>
  </si>
  <si>
    <t>S0RM00945-54-AA</t>
  </si>
  <si>
    <t>S0RM00978-54-AA</t>
  </si>
  <si>
    <t>S0RM01054-AA</t>
  </si>
  <si>
    <t>S0RM01136-54-AA</t>
  </si>
  <si>
    <t>S0RM00978-44-AA</t>
  </si>
  <si>
    <t>S0RM00978-46-AA</t>
  </si>
  <si>
    <t>S0RM00978-48-AA</t>
  </si>
  <si>
    <t>S0RM00978-50-AA</t>
  </si>
  <si>
    <t>S0RM00978-52-AA</t>
  </si>
  <si>
    <t>S0RM00978-56-AA</t>
  </si>
  <si>
    <t>S0RM00978-58-AA</t>
  </si>
  <si>
    <t>S0RM00978-60-AA</t>
  </si>
  <si>
    <t>S0RM00978-62-AA</t>
  </si>
  <si>
    <t>S0RM00978-64-AA</t>
  </si>
  <si>
    <t>S0RM01488-AA</t>
  </si>
  <si>
    <t>S0RM01506-AA</t>
  </si>
  <si>
    <t>S0RM01507-AA</t>
  </si>
  <si>
    <t>S0RM01525-AA</t>
  </si>
  <si>
    <t>S0RM01526-AA</t>
  </si>
  <si>
    <t>S0RM01527-AA</t>
  </si>
  <si>
    <t>S0RM01528-48-AA</t>
  </si>
  <si>
    <t>S0RM01528-58-AA</t>
  </si>
  <si>
    <t>S0RM01529-54-AA</t>
  </si>
  <si>
    <t>S0RM01766-AA</t>
  </si>
  <si>
    <t>S0RM01767-AA</t>
  </si>
  <si>
    <t>S0RM03201-AA</t>
  </si>
  <si>
    <t>S0RM03202-AA</t>
  </si>
  <si>
    <t>S0RM03051-AA</t>
  </si>
  <si>
    <t>S0RM03107-AA</t>
  </si>
  <si>
    <t>S0RM03108-AA</t>
  </si>
  <si>
    <t>S0RM03109-AA</t>
  </si>
  <si>
    <t>S0RM03132-AA</t>
  </si>
  <si>
    <t>S0RM03133-AA</t>
  </si>
  <si>
    <t>S0RM03134-AA</t>
  </si>
  <si>
    <t>S0RM03143-AA</t>
  </si>
  <si>
    <t>S0RM03165-AA</t>
  </si>
  <si>
    <t>S0RM03166-AA</t>
  </si>
  <si>
    <t>S0RM03167-AA</t>
  </si>
  <si>
    <t>S0RM03213</t>
  </si>
  <si>
    <t>S0RM03226-AA</t>
  </si>
  <si>
    <t>S0RM03244</t>
  </si>
  <si>
    <t>S0RM03249</t>
  </si>
  <si>
    <t>S0RM03265-AA</t>
  </si>
  <si>
    <t>S0RM03276-AA</t>
  </si>
  <si>
    <t>S0RM03313-AA</t>
  </si>
  <si>
    <t>S0RM03332-AA</t>
  </si>
  <si>
    <t>S0RM03333-AA</t>
  </si>
  <si>
    <t>S0RM03334-AA</t>
  </si>
  <si>
    <t>S0RM03353-AA</t>
  </si>
  <si>
    <t>S0RM03354-AA</t>
  </si>
  <si>
    <t>S0RM03382-AA</t>
  </si>
  <si>
    <t>S0RM03387-AA</t>
  </si>
  <si>
    <t>S0RM00366-AA</t>
  </si>
  <si>
    <t>S0RM00368-AA</t>
  </si>
  <si>
    <t>S0RM03396-AA</t>
  </si>
  <si>
    <t>S0RM03397-AA</t>
  </si>
  <si>
    <t>S0RM03407-AA</t>
  </si>
  <si>
    <t>S0RM03433-AA</t>
  </si>
  <si>
    <t>S0RM01154-AA</t>
  </si>
  <si>
    <t>S0RM03450-AA</t>
  </si>
  <si>
    <t>S0RM03451-AA</t>
  </si>
  <si>
    <t>S0RM01094-AA</t>
  </si>
  <si>
    <t>S0RM01095-AA</t>
  </si>
  <si>
    <t>S0RM03468-AA</t>
  </si>
  <si>
    <t>S0RM03469-AA</t>
  </si>
  <si>
    <t>S0RM03549-AA</t>
  </si>
  <si>
    <t>S0RM03550-AA</t>
  </si>
  <si>
    <t>S0RM03551-AA</t>
  </si>
  <si>
    <t>S0RM03603-AA</t>
  </si>
  <si>
    <t>S0RM03754-48-AA</t>
  </si>
  <si>
    <t>S0RM03754-50-AA</t>
  </si>
  <si>
    <t>S0RM03754-52-AA</t>
  </si>
  <si>
    <t>S0RM03754-54-AA</t>
  </si>
  <si>
    <t>S0RM03754-56-AA</t>
  </si>
  <si>
    <t>S0RM03754-58-AA</t>
  </si>
  <si>
    <t>S0RM03754-60-AA</t>
  </si>
  <si>
    <t>S0RM03261-AA</t>
  </si>
  <si>
    <t>S0RM01309-AA</t>
  </si>
  <si>
    <t>S0RM00640-AA</t>
  </si>
  <si>
    <t>S0RM03727-AA</t>
  </si>
  <si>
    <t>S0RM03728-AA</t>
  </si>
  <si>
    <t>S0RM03734-AA</t>
  </si>
  <si>
    <t>S0RM01155-AA</t>
  </si>
  <si>
    <t>S0RM01164-AA</t>
  </si>
  <si>
    <t>S0RM01165-AA</t>
  </si>
  <si>
    <t>S0RM01172-AA</t>
  </si>
  <si>
    <t>S0RM01203-AA</t>
  </si>
  <si>
    <t>S0RM01200-AA</t>
  </si>
  <si>
    <t>S0RM01201-AA</t>
  </si>
  <si>
    <t>S0RM01249-AA</t>
  </si>
  <si>
    <t>S0RM01244-AA</t>
  </si>
  <si>
    <t>S0RM01245-AA</t>
  </si>
  <si>
    <t>S0RM01239-AA</t>
  </si>
  <si>
    <t>S0RM01240-AA</t>
  </si>
  <si>
    <t>S0RM01241-AA</t>
  </si>
  <si>
    <t>S0RM01242-AA</t>
  </si>
  <si>
    <t>S0RM01243-AA</t>
  </si>
  <si>
    <t>S0RM01229-AA</t>
  </si>
  <si>
    <t>S0RM01230-AA</t>
  </si>
  <si>
    <t>S0RM01231-AA</t>
  </si>
  <si>
    <t>S0RM01220-AA</t>
  </si>
  <si>
    <t>S0RM01221-AA</t>
  </si>
  <si>
    <t>S0RM01222-AA</t>
  </si>
  <si>
    <t>S0RM01223-AA</t>
  </si>
  <si>
    <t>S0RM03871-AA</t>
  </si>
  <si>
    <t>S0RM03872-AA</t>
  </si>
  <si>
    <t>S0RM01197-AA</t>
  </si>
  <si>
    <t>S0RM01194-AA</t>
  </si>
  <si>
    <t>S0RM03889-AA</t>
  </si>
  <si>
    <t>S0RM03966-AA</t>
  </si>
  <si>
    <t>S0RM03967-AA</t>
  </si>
  <si>
    <t>S0RM03968-AA</t>
  </si>
  <si>
    <t>S0RM03969-AA</t>
  </si>
  <si>
    <t>S0RM00381-AA</t>
  </si>
  <si>
    <t>S0RM00382-AA</t>
  </si>
  <si>
    <t>S0RM00928-AA</t>
  </si>
  <si>
    <t>S0RM00929-AA</t>
  </si>
  <si>
    <t>S0RM00408-AA</t>
  </si>
  <si>
    <t>S0RM00409-AA</t>
  </si>
  <si>
    <t>S0RM01106-AA</t>
  </si>
  <si>
    <t>S0RM01013-AA</t>
  </si>
  <si>
    <t>S0RM01421-AA</t>
  </si>
  <si>
    <t>S0RM01422-AA</t>
  </si>
  <si>
    <t>S0RM01423-AA</t>
  </si>
  <si>
    <t>S0RM01424-AA</t>
  </si>
  <si>
    <t>S0RM01381-AA</t>
  </si>
  <si>
    <t>S0RM01382-AA</t>
  </si>
  <si>
    <t>S0RM01398-AA</t>
  </si>
  <si>
    <t>S0RM01399-AA</t>
  </si>
  <si>
    <t>S0RM01362-AA</t>
  </si>
  <si>
    <t>S0RM01363-AA</t>
  </si>
  <si>
    <t>S0RM01400-AA</t>
  </si>
  <si>
    <t>S0RM01401-AA</t>
  </si>
  <si>
    <t>S0RM01364-AA</t>
  </si>
  <si>
    <t>S0RM01365-AA</t>
  </si>
  <si>
    <t>S0RM04197</t>
  </si>
  <si>
    <t>S0RM04198-AA</t>
  </si>
  <si>
    <t>S0RM04199-AA</t>
  </si>
  <si>
    <t>S0RM04200-AA</t>
  </si>
  <si>
    <t>S0RM04209</t>
  </si>
  <si>
    <t>S0RM01518-AA</t>
  </si>
  <si>
    <t>S0RM04271-AA</t>
  </si>
  <si>
    <t>S0RM04324-AA</t>
  </si>
  <si>
    <t>S0RM04325-AA</t>
  </si>
  <si>
    <t>S0RM04326-AA</t>
  </si>
  <si>
    <t>S0RM04424-AA</t>
  </si>
  <si>
    <t>S0RM04436-AA</t>
  </si>
  <si>
    <t>S0RM04437-AA</t>
  </si>
  <si>
    <t>S0RM04443-AA</t>
  </si>
  <si>
    <t>S0RM04525-AA</t>
  </si>
  <si>
    <t>S0RM04526-AA</t>
  </si>
  <si>
    <t>S0RM01577-AA</t>
  </si>
  <si>
    <t>S0RM01576-AA</t>
  </si>
  <si>
    <t>S0RM01578-AA</t>
  </si>
  <si>
    <t>S0RM01579-AA</t>
  </si>
  <si>
    <t>S0RM04594-AA</t>
  </si>
  <si>
    <t>S0RM04595-AA</t>
  </si>
  <si>
    <t>S0RM04596-AA</t>
  </si>
  <si>
    <t>S0RM04642-AA</t>
  </si>
  <si>
    <t>S0RM04643-AA</t>
  </si>
  <si>
    <t>S0RM04694-AA</t>
  </si>
  <si>
    <t>S0RM04695-AA</t>
  </si>
  <si>
    <t>S0RM04696-AA</t>
  </si>
  <si>
    <t>S0RM05385-56-AA</t>
  </si>
  <si>
    <t>S0RM05386-AA</t>
  </si>
  <si>
    <t>S0RM07564-AA</t>
  </si>
  <si>
    <t>S0RM05590-52-AA</t>
  </si>
  <si>
    <t>S0RM05774-AA</t>
  </si>
  <si>
    <t>S0RM05775-AA</t>
  </si>
  <si>
    <t>S0RM05805-AA</t>
  </si>
  <si>
    <t>S0RM05806-AA</t>
  </si>
  <si>
    <t>S0RM05823-AA</t>
  </si>
  <si>
    <t>S0RM05844-AA</t>
  </si>
  <si>
    <t>S0RM05845-AA</t>
  </si>
  <si>
    <t>S0RM05955-AA</t>
  </si>
  <si>
    <t>S0RM05956-AA</t>
  </si>
  <si>
    <t>S0RM05957-AA</t>
  </si>
  <si>
    <t>S0RM05958-AA</t>
  </si>
  <si>
    <t>S0RM05960-AA</t>
  </si>
  <si>
    <t>S0RM05961-AA</t>
  </si>
  <si>
    <t>S0RM05975-AA</t>
  </si>
  <si>
    <t>S0RM05987-AA</t>
  </si>
  <si>
    <t>S0RM05995-AA</t>
  </si>
  <si>
    <t>S0RM05996-AA</t>
  </si>
  <si>
    <t>S0RM06106-AA</t>
  </si>
  <si>
    <t>S0RM06107-AA</t>
  </si>
  <si>
    <t>S0RM06108-AA</t>
  </si>
  <si>
    <t>S0RM06109-AA</t>
  </si>
  <si>
    <t>S0RM06110-AA</t>
  </si>
  <si>
    <t>S0RM06111-AA</t>
  </si>
  <si>
    <t>S0RM06141-54-AA</t>
  </si>
  <si>
    <t>S0RM06142-52-AA</t>
  </si>
  <si>
    <t>S0RM06188-52-AA</t>
  </si>
  <si>
    <t>S0RM06222-AA</t>
  </si>
  <si>
    <t>S0RM06223-AA</t>
  </si>
  <si>
    <t>S0RM06224-AA</t>
  </si>
  <si>
    <t>S0RM06249-AA</t>
  </si>
  <si>
    <t>S0RM06257-AA</t>
  </si>
  <si>
    <t>S0RM06300-AA</t>
  </si>
  <si>
    <t>S0RM06372-AA</t>
  </si>
  <si>
    <t>S0RM06392-AA</t>
  </si>
  <si>
    <t>S0RM06410-AA</t>
  </si>
  <si>
    <t>S0RM06414-AA</t>
  </si>
  <si>
    <t>S0RM06450-AA</t>
  </si>
  <si>
    <t>S0RM06451-AA</t>
  </si>
  <si>
    <t>S0RM06492-AA</t>
  </si>
  <si>
    <t>S0RM06524-AA</t>
  </si>
  <si>
    <t>S0RM06525-AA</t>
  </si>
  <si>
    <t>S0RM06583-AA</t>
  </si>
  <si>
    <t>S0RM06584-AA</t>
  </si>
  <si>
    <t>S0RM06586-AA</t>
  </si>
  <si>
    <t>S0RM06588-AA</t>
  </si>
  <si>
    <t>S0RM06591-AA</t>
  </si>
  <si>
    <t>S0RM06592-AA</t>
  </si>
  <si>
    <t>S0RM06602-AA</t>
  </si>
  <si>
    <t>S0RM06603-AA</t>
  </si>
  <si>
    <t>S0RM04826-AA</t>
  </si>
  <si>
    <t>S0RM06635-AA</t>
  </si>
  <si>
    <t>S0RM06636-AA</t>
  </si>
  <si>
    <t>S0RM06640-AA</t>
  </si>
  <si>
    <t>S0RM06641-AA</t>
  </si>
  <si>
    <t>S0RM06642-AA</t>
  </si>
  <si>
    <t>S0RM06648-AA</t>
  </si>
  <si>
    <t>S0RM06647-AA</t>
  </si>
  <si>
    <t>S0RM06649-AA</t>
  </si>
  <si>
    <t>S0RM06698-AA</t>
  </si>
  <si>
    <t>S0RM06699-AA</t>
  </si>
  <si>
    <t>S0RM06700-AA</t>
  </si>
  <si>
    <t>S0RM06703-AA</t>
  </si>
  <si>
    <t>S0RM06704-AA</t>
  </si>
  <si>
    <t>S0RM06729-AA</t>
  </si>
  <si>
    <t>S0RM06730-AA</t>
  </si>
  <si>
    <t>S0RM06745-AA</t>
  </si>
  <si>
    <t>S0RM06782-AA</t>
  </si>
  <si>
    <t>S0RM06783-AA</t>
  </si>
  <si>
    <t>S0RM06800-AA</t>
  </si>
  <si>
    <t>S0RM06812-AA</t>
  </si>
  <si>
    <t>S0RM06825-AA</t>
  </si>
  <si>
    <t>S0RM06826-AA</t>
  </si>
  <si>
    <t>S0RM06827-AA</t>
  </si>
  <si>
    <t>S0RM06835-AA</t>
  </si>
  <si>
    <t>S0RM06845-AA</t>
  </si>
  <si>
    <t>S0RM06879-AA</t>
  </si>
  <si>
    <t>S0RM06882-AA</t>
  </si>
  <si>
    <t>S0RM06903-AA</t>
  </si>
  <si>
    <t>S0RM06931-AA</t>
  </si>
  <si>
    <t>S0RM06952-AA</t>
  </si>
  <si>
    <t>S0RM06953-AA</t>
  </si>
  <si>
    <t>S0RM06959-AA</t>
  </si>
  <si>
    <t>S0RM06960-AA</t>
  </si>
  <si>
    <t>S0RM06975-AA</t>
  </si>
  <si>
    <t>S0RM06976-AA</t>
  </si>
  <si>
    <t>S0RM06977-AA</t>
  </si>
  <si>
    <t>S0RM06978-AA</t>
  </si>
  <si>
    <t>S0RM06987-AA</t>
  </si>
  <si>
    <t>S0RM06988-AA</t>
  </si>
  <si>
    <t>S0RM06989-AA</t>
  </si>
  <si>
    <t>S0RM06990-AA</t>
  </si>
  <si>
    <t>S0RM07012-AA</t>
  </si>
  <si>
    <t>S0RM07013-AA</t>
  </si>
  <si>
    <t>S0RM07033-AA</t>
  </si>
  <si>
    <t>S0RM07034-AA</t>
  </si>
  <si>
    <t>S0RM07042-AA</t>
  </si>
  <si>
    <t>S0RM07043-AA</t>
  </si>
  <si>
    <t>S0RM07064-AA</t>
  </si>
  <si>
    <t>S0RM07065-AA</t>
  </si>
  <si>
    <t>S0RM07079-AA</t>
  </si>
  <si>
    <t>S0RM07080-AA</t>
  </si>
  <si>
    <t>S0RM07081-AA</t>
  </si>
  <si>
    <t>S0RM07086-AA</t>
  </si>
  <si>
    <t>S0RM07087-AA</t>
  </si>
  <si>
    <t>S0RM07287-AA</t>
  </si>
  <si>
    <t>S0RM07288-AA</t>
  </si>
  <si>
    <t>S0RM07474-AA</t>
  </si>
  <si>
    <t>S0RM07475-AA</t>
  </si>
  <si>
    <t>S0RM07508-AA</t>
  </si>
  <si>
    <t>S0RM07509-AA</t>
  </si>
  <si>
    <t>S0RM07529-AA</t>
  </si>
  <si>
    <t>S0RM07530-AA</t>
  </si>
  <si>
    <t>S0RM07651-AA</t>
  </si>
  <si>
    <t>S0RM07664-AA</t>
  </si>
  <si>
    <t>S0RM07689-AA</t>
  </si>
  <si>
    <t>S0RM07701-AA</t>
  </si>
  <si>
    <t>S0RM07702-AA</t>
  </si>
  <si>
    <t>S0RM07703-AA</t>
  </si>
  <si>
    <t>S0RM07744-AA</t>
  </si>
  <si>
    <t>S0RM07745-AA</t>
  </si>
  <si>
    <t>S0RM07753-AA</t>
  </si>
  <si>
    <t>S0RM07754-AA</t>
  </si>
  <si>
    <t>S0RM07755-AA</t>
  </si>
  <si>
    <t>S0RM07756-AA</t>
  </si>
  <si>
    <t>S0RM07766-AA</t>
  </si>
  <si>
    <t>S0RM07767-AA</t>
  </si>
  <si>
    <t>40</t>
  </si>
  <si>
    <t>214</t>
  </si>
  <si>
    <t>110</t>
  </si>
  <si>
    <t>131</t>
  </si>
  <si>
    <t>117</t>
  </si>
  <si>
    <t>S1CS04135-WS</t>
  </si>
  <si>
    <t>S0RM04000</t>
  </si>
  <si>
    <t>50</t>
  </si>
  <si>
    <t>169</t>
  </si>
  <si>
    <t>111</t>
  </si>
  <si>
    <t>238</t>
  </si>
  <si>
    <t>S1CS03994-WS</t>
  </si>
  <si>
    <t>S0RM03880-AA</t>
  </si>
  <si>
    <t>PPT1_BOI04|S1CS03994-WS|S0RM03880-AA</t>
  </si>
  <si>
    <t>229</t>
  </si>
  <si>
    <t>S1CS07021-WS</t>
  </si>
  <si>
    <t>S1CS06968-WS</t>
  </si>
  <si>
    <t>S1CS06967-WS</t>
  </si>
  <si>
    <t>S1CS05221-WS</t>
  </si>
  <si>
    <t>S1CS06863-WS</t>
  </si>
  <si>
    <t>S1CS06862-WS</t>
  </si>
  <si>
    <t>93</t>
  </si>
  <si>
    <t>S1CS07087-WS</t>
  </si>
  <si>
    <t>S1CS07113-WS</t>
  </si>
  <si>
    <t>S1CS07112-WS</t>
  </si>
  <si>
    <t>245</t>
  </si>
  <si>
    <t>212</t>
  </si>
  <si>
    <t>96</t>
  </si>
  <si>
    <t>122</t>
  </si>
  <si>
    <t>260</t>
  </si>
  <si>
    <t>239</t>
  </si>
  <si>
    <t>178</t>
  </si>
  <si>
    <t>92</t>
  </si>
  <si>
    <t>158</t>
  </si>
  <si>
    <t>Production</t>
  </si>
  <si>
    <t>D Phase &amp; Job test</t>
  </si>
  <si>
    <t>Pre production test</t>
  </si>
  <si>
    <t>Column3</t>
  </si>
  <si>
    <t>Day</t>
  </si>
  <si>
    <t>4M-2I-1R-6C</t>
  </si>
  <si>
    <t>166</t>
  </si>
  <si>
    <t>140</t>
  </si>
  <si>
    <t>95</t>
  </si>
  <si>
    <t>241</t>
  </si>
  <si>
    <t>231</t>
  </si>
  <si>
    <t>199</t>
  </si>
  <si>
    <t>185</t>
  </si>
  <si>
    <t>132</t>
  </si>
  <si>
    <t>126</t>
  </si>
  <si>
    <t>105</t>
  </si>
  <si>
    <t>279</t>
  </si>
  <si>
    <t>3M-2I-3R-5C</t>
  </si>
  <si>
    <t>175</t>
  </si>
  <si>
    <t>139</t>
  </si>
  <si>
    <t>WSZ</t>
  </si>
  <si>
    <t>240</t>
  </si>
  <si>
    <t>164</t>
  </si>
  <si>
    <t>104</t>
  </si>
  <si>
    <t>S1CS07194-WS</t>
  </si>
  <si>
    <t>550</t>
  </si>
  <si>
    <t>3M-2I-1R-7C</t>
  </si>
  <si>
    <t>3A_FE_04</t>
  </si>
  <si>
    <t>102</t>
  </si>
  <si>
    <t>172</t>
  </si>
  <si>
    <t>106</t>
  </si>
  <si>
    <t>138</t>
  </si>
  <si>
    <t>83</t>
  </si>
  <si>
    <t>S1CS06095-WS</t>
  </si>
  <si>
    <t>1104</t>
  </si>
  <si>
    <t>334</t>
  </si>
  <si>
    <t>133</t>
  </si>
  <si>
    <t>S1CS04910-WS</t>
  </si>
  <si>
    <t>S1CS05526-WS</t>
  </si>
  <si>
    <t>S0RM06481</t>
  </si>
  <si>
    <t>PPT1_BOI04|S1CS05526-WS|S0RM06481</t>
  </si>
  <si>
    <t>S1CS07020-WS</t>
  </si>
  <si>
    <t>525</t>
  </si>
  <si>
    <t>275</t>
  </si>
  <si>
    <t>203</t>
  </si>
  <si>
    <t>120</t>
  </si>
  <si>
    <t>S1CS07084-WS</t>
  </si>
  <si>
    <t>S0RM08392-AA</t>
  </si>
  <si>
    <t>407</t>
  </si>
  <si>
    <t>1M-1I-6R-3C</t>
  </si>
  <si>
    <t>154</t>
  </si>
  <si>
    <t>123</t>
  </si>
  <si>
    <t>S1CS03207-WS</t>
  </si>
  <si>
    <t>S0RM03193-AA</t>
  </si>
  <si>
    <t>PPT1_BOI04|S1CS03207-WS|S0RM03193-AA</t>
  </si>
  <si>
    <t>S1CS04234-WS</t>
  </si>
  <si>
    <t>S0RM03225</t>
  </si>
  <si>
    <t>PPT1_BOI04|S1CS04234-WS|S0RM03225</t>
  </si>
  <si>
    <t>2M-1I-6R-2C</t>
  </si>
  <si>
    <t>1M-1I-6R-2C</t>
  </si>
  <si>
    <t>136</t>
  </si>
  <si>
    <t/>
  </si>
  <si>
    <t>160</t>
  </si>
  <si>
    <t>2M-1I-5R-4C</t>
  </si>
  <si>
    <t>134</t>
  </si>
  <si>
    <t>S1CS06759-WS</t>
  </si>
  <si>
    <t>S1CS06207-WS</t>
  </si>
  <si>
    <t>181</t>
  </si>
  <si>
    <t>142</t>
  </si>
  <si>
    <t>114</t>
  </si>
  <si>
    <t>85</t>
  </si>
  <si>
    <t>116</t>
  </si>
  <si>
    <t>156</t>
  </si>
  <si>
    <t>582</t>
  </si>
  <si>
    <t>318</t>
  </si>
  <si>
    <t>3M-2I-6R-2C</t>
  </si>
  <si>
    <t>316</t>
  </si>
  <si>
    <t>248</t>
  </si>
  <si>
    <t>376</t>
  </si>
  <si>
    <t>252</t>
  </si>
  <si>
    <t>196</t>
  </si>
  <si>
    <t>S1CS07280-48-WS</t>
  </si>
  <si>
    <t>S0RM08617-48-AA</t>
  </si>
  <si>
    <t>S1CS07280-52-WS</t>
  </si>
  <si>
    <t>S0RM08617-52-AA</t>
  </si>
  <si>
    <t>S1CS07280-56-WS</t>
  </si>
  <si>
    <t>S0RM08617-56-AA</t>
  </si>
  <si>
    <t>S1CS07280-58-WS</t>
  </si>
  <si>
    <t>S0RM08617-58-AA</t>
  </si>
  <si>
    <t>S1CS07280-54-WS</t>
  </si>
  <si>
    <t>S0RM08617-54-AA</t>
  </si>
  <si>
    <t>S1CS03468-WS</t>
  </si>
  <si>
    <t>S0RM05659</t>
  </si>
  <si>
    <t>PPT1_BOI04|S1CS03468-WS|S0RM05659</t>
  </si>
  <si>
    <t>PPT1_BOI04|S1CS06538-WS|S0RM07823-AA</t>
  </si>
  <si>
    <t>1154</t>
  </si>
  <si>
    <t>286</t>
  </si>
  <si>
    <t>270</t>
  </si>
  <si>
    <t>213</t>
  </si>
  <si>
    <t>173</t>
  </si>
  <si>
    <t>148</t>
  </si>
  <si>
    <t>146</t>
  </si>
  <si>
    <t>80</t>
  </si>
  <si>
    <t>98</t>
  </si>
  <si>
    <t>103</t>
  </si>
  <si>
    <t>250</t>
  </si>
  <si>
    <t>168</t>
  </si>
  <si>
    <t>348</t>
  </si>
  <si>
    <t>258</t>
  </si>
  <si>
    <t>S1CS07163-WS</t>
  </si>
  <si>
    <t>S0RM08493-AA</t>
  </si>
  <si>
    <t>157</t>
  </si>
  <si>
    <t>3M-2I-4R-4C</t>
  </si>
  <si>
    <t>107</t>
  </si>
  <si>
    <t>617</t>
  </si>
  <si>
    <t>756</t>
  </si>
  <si>
    <t>424</t>
  </si>
  <si>
    <t>437</t>
  </si>
  <si>
    <t>405</t>
  </si>
  <si>
    <t>163</t>
  </si>
  <si>
    <t>171</t>
  </si>
  <si>
    <t>689</t>
  </si>
  <si>
    <t>4M-2I-4R-4C</t>
  </si>
  <si>
    <t>377</t>
  </si>
  <si>
    <t>378</t>
  </si>
  <si>
    <t>289</t>
  </si>
  <si>
    <t>220</t>
  </si>
  <si>
    <t>2M-1I-7R-2C</t>
  </si>
  <si>
    <t>S1CS04233-WS</t>
  </si>
  <si>
    <t>S0RM03224</t>
  </si>
  <si>
    <t>PPT1_BOI04|S1CS04233-WS|S0RM03224</t>
  </si>
  <si>
    <t>S1CS03858-WS</t>
  </si>
  <si>
    <t>S0RM03716</t>
  </si>
  <si>
    <t>PPT1_BOI04|S1CS03858-WS|S0RM03716</t>
  </si>
  <si>
    <t>S1CS04558-WS</t>
  </si>
  <si>
    <t>S0RM04353-AA</t>
  </si>
  <si>
    <t>PPT1_BOI04|S1CS04558-WS|S0RM04353-AA</t>
  </si>
  <si>
    <t>S1CS07402-WS</t>
  </si>
  <si>
    <t>S1CS07401-WS</t>
  </si>
  <si>
    <t>945</t>
  </si>
  <si>
    <t>870</t>
  </si>
  <si>
    <t>277</t>
  </si>
  <si>
    <t>221</t>
  </si>
  <si>
    <t>207</t>
  </si>
  <si>
    <t>230</t>
  </si>
  <si>
    <t>S1CS07155-WS</t>
  </si>
  <si>
    <t>S0RM08485-AA</t>
  </si>
  <si>
    <t>152</t>
  </si>
  <si>
    <t>430</t>
  </si>
  <si>
    <t>344</t>
  </si>
  <si>
    <t>219</t>
  </si>
  <si>
    <t>129</t>
  </si>
  <si>
    <t>1M-1I-7R-2C</t>
  </si>
  <si>
    <t>S0RM08789-AA</t>
  </si>
  <si>
    <t>S0RM08788-AA</t>
  </si>
  <si>
    <t>981</t>
  </si>
  <si>
    <t>4M-2I-2R-5C</t>
  </si>
  <si>
    <t>422</t>
  </si>
  <si>
    <t>205</t>
  </si>
  <si>
    <t>224</t>
  </si>
  <si>
    <t>174</t>
  </si>
  <si>
    <t>S1CS07219-WS</t>
  </si>
  <si>
    <t>S0RM08553-AA</t>
  </si>
  <si>
    <t>151</t>
  </si>
  <si>
    <t>155</t>
  </si>
  <si>
    <t>79</t>
  </si>
  <si>
    <t>967</t>
  </si>
  <si>
    <t>372</t>
  </si>
  <si>
    <t>336</t>
  </si>
  <si>
    <t>311</t>
  </si>
  <si>
    <t>303</t>
  </si>
  <si>
    <t>135</t>
  </si>
  <si>
    <t>101</t>
  </si>
  <si>
    <t>S1CS07164-WS</t>
  </si>
  <si>
    <t>S0RM08494-AA</t>
  </si>
  <si>
    <t>87</t>
  </si>
  <si>
    <t>1011</t>
  </si>
  <si>
    <t>887</t>
  </si>
  <si>
    <t>S1CS07150-WS</t>
  </si>
  <si>
    <t>S0RM08474-AA</t>
  </si>
  <si>
    <t>322</t>
  </si>
  <si>
    <t>S1CS07149-WS</t>
  </si>
  <si>
    <t>S0RM08473-AA</t>
  </si>
  <si>
    <t>308</t>
  </si>
  <si>
    <t>274</t>
  </si>
  <si>
    <t>284</t>
  </si>
  <si>
    <t>201</t>
  </si>
  <si>
    <t>216</t>
  </si>
  <si>
    <t>1M-1I-7R-1C</t>
  </si>
  <si>
    <t>217</t>
  </si>
  <si>
    <t>192</t>
  </si>
  <si>
    <t>153</t>
  </si>
  <si>
    <t>145</t>
  </si>
  <si>
    <t>542</t>
  </si>
  <si>
    <t>S1CS07066-WS</t>
  </si>
  <si>
    <t>S0RM08387-AA</t>
  </si>
  <si>
    <t>S1CS07067-WS</t>
  </si>
  <si>
    <t>S0RM08388-AA</t>
  </si>
  <si>
    <t>287</t>
  </si>
  <si>
    <t>150</t>
  </si>
  <si>
    <t>S1CS07318-WS</t>
  </si>
  <si>
    <t>S0RM08674-AA</t>
  </si>
  <si>
    <t>115</t>
  </si>
  <si>
    <t>S1CS07381-WS</t>
  </si>
  <si>
    <t>S1CS07385-WS</t>
  </si>
  <si>
    <t>S1CS07399-WS</t>
  </si>
  <si>
    <t>S1CS07400-WS</t>
  </si>
  <si>
    <t>461</t>
  </si>
  <si>
    <t>423</t>
  </si>
  <si>
    <t>390</t>
  </si>
  <si>
    <t>339</t>
  </si>
  <si>
    <t>335</t>
  </si>
  <si>
    <t>315</t>
  </si>
  <si>
    <t>317</t>
  </si>
  <si>
    <t>263</t>
  </si>
  <si>
    <t>S1CS07129-WS</t>
  </si>
  <si>
    <t>S0RM08433-AA</t>
  </si>
  <si>
    <t>218</t>
  </si>
  <si>
    <t>167</t>
  </si>
  <si>
    <t>198</t>
  </si>
  <si>
    <t>189</t>
  </si>
  <si>
    <t>81</t>
  </si>
  <si>
    <t>3M-2I-4R-3C</t>
  </si>
  <si>
    <t>570</t>
  </si>
  <si>
    <t>S1CS06711-WS</t>
  </si>
  <si>
    <t>S0RM08047-AA</t>
  </si>
  <si>
    <t>182</t>
  </si>
  <si>
    <t>S1CS03208-WS</t>
  </si>
  <si>
    <t>S0RM03194-AA</t>
  </si>
  <si>
    <t>PPT1_BOI04|S1CS03208-WS|S0RM03194-AA</t>
  </si>
  <si>
    <t>S1CS04504-WS</t>
  </si>
  <si>
    <t>S1CS07122-WS</t>
  </si>
  <si>
    <t>S1CS05719-WS</t>
  </si>
  <si>
    <t>S0RM06740</t>
  </si>
  <si>
    <t>PPT1_BOI04|S1CS05719-WS|S0RM06740</t>
  </si>
  <si>
    <t>S1CS05883-WS</t>
  </si>
  <si>
    <t>S1CS05834-WS</t>
  </si>
  <si>
    <t>S0RM08786-AA</t>
  </si>
  <si>
    <t>S0RM08787-AA</t>
  </si>
  <si>
    <t>S0RM08758-AA</t>
  </si>
  <si>
    <t>S0RM08754-AA</t>
  </si>
  <si>
    <t>PPT1_BOI04|S1CS06523-WS|S0RM07811-AA</t>
  </si>
  <si>
    <t>Pilot test</t>
  </si>
  <si>
    <t>Shopfloor</t>
  </si>
  <si>
    <t>ว่าง</t>
  </si>
  <si>
    <t>3A_G-WI18, 3A_G-WI20</t>
  </si>
  <si>
    <t>3A_G-WI05,3A_G-WI06</t>
  </si>
  <si>
    <t>3A_G-WI18,3A_G-WI20</t>
  </si>
  <si>
    <t>930</t>
  </si>
  <si>
    <t>845</t>
  </si>
  <si>
    <t>625</t>
  </si>
  <si>
    <t>522</t>
  </si>
  <si>
    <t>448</t>
  </si>
  <si>
    <t>361</t>
  </si>
  <si>
    <t>370</t>
  </si>
  <si>
    <t>320</t>
  </si>
  <si>
    <t>S1CS07183-WS</t>
  </si>
  <si>
    <t>S0RM08517-AA</t>
  </si>
  <si>
    <t>345</t>
  </si>
  <si>
    <t>330</t>
  </si>
  <si>
    <t>298</t>
  </si>
  <si>
    <t>S1CS07086-WS</t>
  </si>
  <si>
    <t>S0RM08394-AA</t>
  </si>
  <si>
    <t>312</t>
  </si>
  <si>
    <t>S1CS07182-WS</t>
  </si>
  <si>
    <t>S0RM08516-AA</t>
  </si>
  <si>
    <t>256</t>
  </si>
  <si>
    <t>3M-2I-6R-1C</t>
  </si>
  <si>
    <t>266</t>
  </si>
  <si>
    <t>209</t>
  </si>
  <si>
    <t>2M-1I-8R-0C</t>
  </si>
  <si>
    <t>3M-2I-5R-2C</t>
  </si>
  <si>
    <t>161</t>
  </si>
  <si>
    <t>179</t>
  </si>
  <si>
    <t>195</t>
  </si>
  <si>
    <t>S1CS07085-WS</t>
  </si>
  <si>
    <t>S0RM08393-AA</t>
  </si>
  <si>
    <t>197</t>
  </si>
  <si>
    <t>162</t>
  </si>
  <si>
    <t>94</t>
  </si>
  <si>
    <t>1503</t>
  </si>
  <si>
    <t>627</t>
  </si>
  <si>
    <t>1079</t>
  </si>
  <si>
    <t>616</t>
  </si>
  <si>
    <t>462</t>
  </si>
  <si>
    <t>242</t>
  </si>
  <si>
    <t>S1CS06856-WS</t>
  </si>
  <si>
    <t>S0RM08219-AA</t>
  </si>
  <si>
    <t>183</t>
  </si>
  <si>
    <t>S1CS06932-44-WS</t>
  </si>
  <si>
    <t>S0RM08355-44-AA</t>
  </si>
  <si>
    <t>91</t>
  </si>
  <si>
    <t>77</t>
  </si>
  <si>
    <t>70</t>
  </si>
  <si>
    <t>S1CS05434-WS</t>
  </si>
  <si>
    <t>S0RM06352</t>
  </si>
  <si>
    <t>PPT1_BOI04|S1CS05434-WS|S0RM06352</t>
  </si>
  <si>
    <t>S1CS06587-WS</t>
  </si>
  <si>
    <t>S0RM07875-AA</t>
  </si>
  <si>
    <t>PPT1_BOI04|S1CS06587-WS|S0RM07875-AA</t>
  </si>
  <si>
    <t>S1CS06075-WS</t>
  </si>
  <si>
    <t>S1CS00125-WS</t>
  </si>
  <si>
    <t>S0RM00136-AA</t>
  </si>
  <si>
    <t>PPT1_BOI04|S1CS00125-WS|S0RM00136-AA</t>
  </si>
  <si>
    <t xml:space="preserve"> </t>
  </si>
  <si>
    <t>3A_G-WI04, 3A_G-WI05</t>
  </si>
  <si>
    <t>3A_G-WI09, 3A_G-WI10</t>
  </si>
  <si>
    <t>3A_G-WI15, 3A_G-WI16</t>
  </si>
  <si>
    <t>3A_G-WI04,3A_G-WI05</t>
  </si>
  <si>
    <t>3A_G-WI09,3A_G-WI10</t>
  </si>
  <si>
    <t>3A_G-WI15,3A_G-WI16</t>
  </si>
  <si>
    <t>1612</t>
  </si>
  <si>
    <t>1361</t>
  </si>
  <si>
    <t>1237</t>
  </si>
  <si>
    <t>1220</t>
  </si>
  <si>
    <t>950</t>
  </si>
  <si>
    <t>833</t>
  </si>
  <si>
    <t>618</t>
  </si>
  <si>
    <t>569</t>
  </si>
  <si>
    <t>517</t>
  </si>
  <si>
    <t>514</t>
  </si>
  <si>
    <t>502</t>
  </si>
  <si>
    <t>441</t>
  </si>
  <si>
    <t>442</t>
  </si>
  <si>
    <t>S1CS07256-WS</t>
  </si>
  <si>
    <t>S0RM08578-AA</t>
  </si>
  <si>
    <t>404</t>
  </si>
  <si>
    <t>408</t>
  </si>
  <si>
    <t>S1CS07060-WS</t>
  </si>
  <si>
    <t>S0RM08379-AA</t>
  </si>
  <si>
    <t>400</t>
  </si>
  <si>
    <t>S1CS07255-WS</t>
  </si>
  <si>
    <t>S0RM08577-AA</t>
  </si>
  <si>
    <t>392</t>
  </si>
  <si>
    <t>333</t>
  </si>
  <si>
    <t>343</t>
  </si>
  <si>
    <t>352</t>
  </si>
  <si>
    <t>310</t>
  </si>
  <si>
    <t>301</t>
  </si>
  <si>
    <t>294</t>
  </si>
  <si>
    <t>304</t>
  </si>
  <si>
    <t>253</t>
  </si>
  <si>
    <t>206</t>
  </si>
  <si>
    <t>225</t>
  </si>
  <si>
    <t>200</t>
  </si>
  <si>
    <t>211</t>
  </si>
  <si>
    <t>2M-1I-0R-8C</t>
  </si>
  <si>
    <t>S1CS07083-WS</t>
  </si>
  <si>
    <t>S0RM08391-AA</t>
  </si>
  <si>
    <t>86</t>
  </si>
  <si>
    <t>73</t>
  </si>
  <si>
    <t>63</t>
  </si>
  <si>
    <t>2848</t>
  </si>
  <si>
    <t>835</t>
  </si>
  <si>
    <t>727</t>
  </si>
  <si>
    <t>385</t>
  </si>
  <si>
    <t>S1CS07289-WS</t>
  </si>
  <si>
    <t>S0RM08625-AA</t>
  </si>
  <si>
    <t>1820</t>
  </si>
  <si>
    <t>1158</t>
  </si>
  <si>
    <t>1072</t>
  </si>
  <si>
    <t>S1CS07264-WS</t>
  </si>
  <si>
    <t>S0RM08592-AA</t>
  </si>
  <si>
    <t>1055</t>
  </si>
  <si>
    <t>820</t>
  </si>
  <si>
    <t>740</t>
  </si>
  <si>
    <t>S1CS07217-WS</t>
  </si>
  <si>
    <t>S0RM08551-AA</t>
  </si>
  <si>
    <t>690</t>
  </si>
  <si>
    <t>479</t>
  </si>
  <si>
    <t>S1CS07216-WS</t>
  </si>
  <si>
    <t>S0RM08550-AA</t>
  </si>
  <si>
    <t>455</t>
  </si>
  <si>
    <t>413</t>
  </si>
  <si>
    <t>411</t>
  </si>
  <si>
    <t>S1CS07059-WS</t>
  </si>
  <si>
    <t>S0RM08378-AA</t>
  </si>
  <si>
    <t>375</t>
  </si>
  <si>
    <t>374</t>
  </si>
  <si>
    <t>S1CS07281-WS</t>
  </si>
  <si>
    <t>S0RM08618-AA</t>
  </si>
  <si>
    <t>6M-2I-0R-8C</t>
  </si>
  <si>
    <t>360</t>
  </si>
  <si>
    <t>401</t>
  </si>
  <si>
    <t>S1CS07110-WS</t>
  </si>
  <si>
    <t>S0RM08409-AA</t>
  </si>
  <si>
    <t>S1CS07265-WS</t>
  </si>
  <si>
    <t>S0RM08593-AA</t>
  </si>
  <si>
    <t>332</t>
  </si>
  <si>
    <t>S1CS07171-WS</t>
  </si>
  <si>
    <t>S0RM08501-AA</t>
  </si>
  <si>
    <t>S1CS07218-WS</t>
  </si>
  <si>
    <t>S0RM08552-AA</t>
  </si>
  <si>
    <t>293</t>
  </si>
  <si>
    <t>273</t>
  </si>
  <si>
    <t>S1CS07109-WS</t>
  </si>
  <si>
    <t>S0RM08408-AA</t>
  </si>
  <si>
    <t>259</t>
  </si>
  <si>
    <t>127</t>
  </si>
  <si>
    <t>112</t>
  </si>
  <si>
    <t>100</t>
  </si>
  <si>
    <t>84</t>
  </si>
  <si>
    <t>69</t>
  </si>
  <si>
    <t>43</t>
  </si>
  <si>
    <t>207197216</t>
  </si>
  <si>
    <t>207197879</t>
  </si>
  <si>
    <t>207198036</t>
  </si>
  <si>
    <t>207197653</t>
  </si>
  <si>
    <t>207197221</t>
  </si>
  <si>
    <t>207197222</t>
  </si>
  <si>
    <t>207197242</t>
  </si>
  <si>
    <t>207197224</t>
  </si>
  <si>
    <t>207197394</t>
  </si>
  <si>
    <t>207197484</t>
  </si>
  <si>
    <t>207197458</t>
  </si>
  <si>
    <t>207197420</t>
  </si>
  <si>
    <t>207197356</t>
  </si>
  <si>
    <t>207197389</t>
  </si>
  <si>
    <t>207197390</t>
  </si>
  <si>
    <t>207197353</t>
  </si>
  <si>
    <t>207197417</t>
  </si>
  <si>
    <t>207201042</t>
  </si>
  <si>
    <t>207197802</t>
  </si>
  <si>
    <t>207201195</t>
  </si>
  <si>
    <t>207201136</t>
  </si>
  <si>
    <t>207201067</t>
  </si>
  <si>
    <t>207197860</t>
  </si>
  <si>
    <t>207201015</t>
  </si>
  <si>
    <t>207197219</t>
  </si>
  <si>
    <t>207201131</t>
  </si>
  <si>
    <t>207201106</t>
  </si>
  <si>
    <t>207201163</t>
  </si>
  <si>
    <t>207201231</t>
  </si>
  <si>
    <t>207199138</t>
  </si>
  <si>
    <t>207198390</t>
  </si>
  <si>
    <t>207199069</t>
  </si>
  <si>
    <t>207201119</t>
  </si>
  <si>
    <t>207201205</t>
  </si>
  <si>
    <t>207198893</t>
  </si>
  <si>
    <t>207201122</t>
  </si>
  <si>
    <t>207201141</t>
  </si>
  <si>
    <t>207198950</t>
  </si>
  <si>
    <t>207201169</t>
  </si>
  <si>
    <t>207198323</t>
  </si>
  <si>
    <t>207201091</t>
  </si>
  <si>
    <t>207201084</t>
  </si>
  <si>
    <t>207198278</t>
  </si>
  <si>
    <t>207197989</t>
  </si>
  <si>
    <t>207199029</t>
  </si>
  <si>
    <t>207201126</t>
  </si>
  <si>
    <t>207199183</t>
  </si>
  <si>
    <t>207201177</t>
  </si>
  <si>
    <t>207198839</t>
  </si>
  <si>
    <t>207198188</t>
  </si>
  <si>
    <t>207197258</t>
  </si>
  <si>
    <t>207197262</t>
  </si>
  <si>
    <t>207197249</t>
  </si>
  <si>
    <t>207197252</t>
  </si>
  <si>
    <t>207197251</t>
  </si>
  <si>
    <t>207197274</t>
  </si>
  <si>
    <t>207197301</t>
  </si>
  <si>
    <t>207197243</t>
  </si>
  <si>
    <t>207197269</t>
  </si>
  <si>
    <t>207197282</t>
  </si>
  <si>
    <t>207197277</t>
  </si>
  <si>
    <t>207197467</t>
  </si>
  <si>
    <t>207201633</t>
  </si>
  <si>
    <t>207197432</t>
  </si>
  <si>
    <t>207197335</t>
  </si>
  <si>
    <t>207197407</t>
  </si>
  <si>
    <t>207197329</t>
  </si>
  <si>
    <t>207197363</t>
  </si>
  <si>
    <t>207197941</t>
  </si>
  <si>
    <t>207197894</t>
  </si>
  <si>
    <t>207201754</t>
  </si>
  <si>
    <t>207201753</t>
  </si>
  <si>
    <t>207198011</t>
  </si>
  <si>
    <t>207201749</t>
  </si>
  <si>
    <t>207197839</t>
  </si>
  <si>
    <t>207201756</t>
  </si>
  <si>
    <t>207198207</t>
  </si>
  <si>
    <t>207198107</t>
  </si>
  <si>
    <t>207201802</t>
  </si>
  <si>
    <t>207201755</t>
  </si>
  <si>
    <t>207198289</t>
  </si>
  <si>
    <t>207197294</t>
  </si>
  <si>
    <t>207197292</t>
  </si>
  <si>
    <t>207200799</t>
  </si>
  <si>
    <t>207200798</t>
  </si>
  <si>
    <t>207200797</t>
  </si>
  <si>
    <t>207197317</t>
  </si>
  <si>
    <t>207197290</t>
  </si>
  <si>
    <t>207197207</t>
  </si>
  <si>
    <t>207200806</t>
  </si>
  <si>
    <t>207200436</t>
  </si>
  <si>
    <t>207197289</t>
  </si>
  <si>
    <t>207200800</t>
  </si>
  <si>
    <t>207201041</t>
  </si>
  <si>
    <t>207198451</t>
  </si>
  <si>
    <t>207198456</t>
  </si>
  <si>
    <t>207198534</t>
  </si>
  <si>
    <t>207201835</t>
  </si>
  <si>
    <t>207201855</t>
  </si>
  <si>
    <t>207201898</t>
  </si>
  <si>
    <t>207197648</t>
  </si>
  <si>
    <t>207201851</t>
  </si>
  <si>
    <t>207201897</t>
  </si>
  <si>
    <t>207197615</t>
  </si>
  <si>
    <t>207201853</t>
  </si>
  <si>
    <t>207197578</t>
  </si>
  <si>
    <t>207197552</t>
  </si>
  <si>
    <t>207201854</t>
  </si>
  <si>
    <t>207201847</t>
  </si>
  <si>
    <t>207201899</t>
  </si>
  <si>
    <t>207201958</t>
  </si>
  <si>
    <t>207201960</t>
  </si>
  <si>
    <t>207201927</t>
  </si>
  <si>
    <t>207201929</t>
  </si>
  <si>
    <t>207201931</t>
  </si>
  <si>
    <t>207201964</t>
  </si>
  <si>
    <t>207197661</t>
  </si>
  <si>
    <t>207201962</t>
  </si>
  <si>
    <t>207201936</t>
  </si>
  <si>
    <t>207199431</t>
  </si>
  <si>
    <t>207198955</t>
  </si>
  <si>
    <t>207199379</t>
  </si>
  <si>
    <t>207199033</t>
  </si>
  <si>
    <t>207198606</t>
  </si>
  <si>
    <t>207199434</t>
  </si>
  <si>
    <t>207199351</t>
  </si>
  <si>
    <t>207199429</t>
  </si>
  <si>
    <t>207197910</t>
  </si>
  <si>
    <t>207199028</t>
  </si>
  <si>
    <t>207197931</t>
  </si>
  <si>
    <t>207199427</t>
  </si>
  <si>
    <t>207199355</t>
  </si>
  <si>
    <t>207197969</t>
  </si>
  <si>
    <t>207201206</t>
  </si>
  <si>
    <t>207198597</t>
  </si>
  <si>
    <t>207199035</t>
  </si>
  <si>
    <t>207199031</t>
  </si>
  <si>
    <t>207198997</t>
  </si>
  <si>
    <t>207201208</t>
  </si>
  <si>
    <t>207199382</t>
  </si>
  <si>
    <t>207199242</t>
  </si>
  <si>
    <t>207201337</t>
  </si>
  <si>
    <t>207198601</t>
  </si>
  <si>
    <t>207201220</t>
  </si>
  <si>
    <t>207199001</t>
  </si>
  <si>
    <t>207197778</t>
  </si>
  <si>
    <t>207198656</t>
  </si>
  <si>
    <t>207198283</t>
  </si>
  <si>
    <t>207197696</t>
  </si>
  <si>
    <t>207198388</t>
  </si>
  <si>
    <t>207197880</t>
  </si>
  <si>
    <t>207197532</t>
  </si>
  <si>
    <t>207197676</t>
  </si>
  <si>
    <t>207197670</t>
  </si>
  <si>
    <t>207197756</t>
  </si>
  <si>
    <t>207199273</t>
  </si>
  <si>
    <t>207198324</t>
  </si>
  <si>
    <t>207197726</t>
  </si>
  <si>
    <t>207199271</t>
  </si>
  <si>
    <t>207199268</t>
  </si>
  <si>
    <t>207198689</t>
  </si>
  <si>
    <t>207199307</t>
  </si>
  <si>
    <t>207199269</t>
  </si>
  <si>
    <t>207197535</t>
  </si>
  <si>
    <t>207197614</t>
  </si>
  <si>
    <t>207198652</t>
  </si>
  <si>
    <t>207198648</t>
  </si>
  <si>
    <t>207197647</t>
  </si>
  <si>
    <t>207197621</t>
  </si>
  <si>
    <t>207198420</t>
  </si>
  <si>
    <t>207199246</t>
  </si>
  <si>
    <t>207199244</t>
  </si>
  <si>
    <t>207197571</t>
  </si>
  <si>
    <t>207197857</t>
  </si>
  <si>
    <t>207199296</t>
  </si>
  <si>
    <t>207199201</t>
  </si>
  <si>
    <t>207198288</t>
  </si>
  <si>
    <t>207199156</t>
  </si>
  <si>
    <t>207199251</t>
  </si>
  <si>
    <t>207199195</t>
  </si>
  <si>
    <t>207199096</t>
  </si>
  <si>
    <t>207198258</t>
  </si>
  <si>
    <t>207198246</t>
  </si>
  <si>
    <t>207198244</t>
  </si>
  <si>
    <t>207201178</t>
  </si>
  <si>
    <t>207199249</t>
  </si>
  <si>
    <t>207199122</t>
  </si>
  <si>
    <t>207199289</t>
  </si>
  <si>
    <t>207198209</t>
  </si>
  <si>
    <t>207199125</t>
  </si>
  <si>
    <t>207199293</t>
  </si>
  <si>
    <t>207199292</t>
  </si>
  <si>
    <t>207198212</t>
  </si>
  <si>
    <t>207201180</t>
  </si>
  <si>
    <t>207199222</t>
  </si>
  <si>
    <t>207199263</t>
  </si>
  <si>
    <t>207201339</t>
  </si>
  <si>
    <t>207199266</t>
  </si>
  <si>
    <t>207199219</t>
  </si>
  <si>
    <t>207198240</t>
  </si>
  <si>
    <t>207199226</t>
  </si>
  <si>
    <t>207199260</t>
  </si>
  <si>
    <t>207199332</t>
  </si>
  <si>
    <t>207199151</t>
  </si>
  <si>
    <t>207198265</t>
  </si>
  <si>
    <t>207198261</t>
  </si>
  <si>
    <t>207201144</t>
  </si>
  <si>
    <t>207199203</t>
  </si>
  <si>
    <t>207199128</t>
  </si>
  <si>
    <t>207199093</t>
  </si>
  <si>
    <t>207198215</t>
  </si>
  <si>
    <t>207199254</t>
  </si>
  <si>
    <t>207199257</t>
  </si>
  <si>
    <t>207199206</t>
  </si>
  <si>
    <t>207198238</t>
  </si>
  <si>
    <t>207199087</t>
  </si>
  <si>
    <t>207199135</t>
  </si>
  <si>
    <t>207199131</t>
  </si>
  <si>
    <t>207199091</t>
  </si>
  <si>
    <t>207201836</t>
  </si>
  <si>
    <t>207197225</t>
  </si>
  <si>
    <t>207197244</t>
  </si>
  <si>
    <t>207197226</t>
  </si>
  <si>
    <t>207197241</t>
  </si>
  <si>
    <t>207201852</t>
  </si>
  <si>
    <t>207197245</t>
  </si>
  <si>
    <t>207197223</t>
  </si>
  <si>
    <t>207201850</t>
  </si>
  <si>
    <t>207201876</t>
  </si>
  <si>
    <t>207201834</t>
  </si>
  <si>
    <t>207197179</t>
  </si>
  <si>
    <t>207197180</t>
  </si>
  <si>
    <t>207197181</t>
  </si>
  <si>
    <t>207197184</t>
  </si>
  <si>
    <t>207197186</t>
  </si>
  <si>
    <t>207199606</t>
  </si>
  <si>
    <t>207199645</t>
  </si>
  <si>
    <t>207200339</t>
  </si>
  <si>
    <t>207197220</t>
  </si>
  <si>
    <t>207197388</t>
  </si>
  <si>
    <t>207197391</t>
  </si>
  <si>
    <t>207197395</t>
  </si>
  <si>
    <t>207197537</t>
  </si>
  <si>
    <t>207197594</t>
  </si>
  <si>
    <t>207201283</t>
  </si>
  <si>
    <t>207201424</t>
  </si>
  <si>
    <t>207201310</t>
  </si>
  <si>
    <t>207197229</t>
  </si>
  <si>
    <t>207197228</t>
  </si>
  <si>
    <t>207197585</t>
  </si>
  <si>
    <t>207197616</t>
  </si>
  <si>
    <t>207197649</t>
  </si>
  <si>
    <t>207197233</t>
  </si>
  <si>
    <t>207197237</t>
  </si>
  <si>
    <t>207201453</t>
  </si>
  <si>
    <t>207197708</t>
  </si>
  <si>
    <t>207201355</t>
  </si>
  <si>
    <t>207201381</t>
  </si>
  <si>
    <t>207197732</t>
  </si>
  <si>
    <t>207198547</t>
  </si>
  <si>
    <t>207201491</t>
  </si>
  <si>
    <t>207198709</t>
  </si>
  <si>
    <t>207201833</t>
  </si>
  <si>
    <t>207198810</t>
  </si>
  <si>
    <t>207201803</t>
  </si>
  <si>
    <t>207201804</t>
  </si>
  <si>
    <t>207197217</t>
  </si>
  <si>
    <t>207197354</t>
  </si>
  <si>
    <t>207197393</t>
  </si>
  <si>
    <t>207198193</t>
  </si>
  <si>
    <t>207197995</t>
  </si>
  <si>
    <t>207198094</t>
  </si>
  <si>
    <t>207201259</t>
  </si>
  <si>
    <t>207197935</t>
  </si>
  <si>
    <t>207197786</t>
  </si>
  <si>
    <t>207197907</t>
  </si>
  <si>
    <t>207198280</t>
  </si>
  <si>
    <t>207197832</t>
  </si>
  <si>
    <t>207197877</t>
  </si>
  <si>
    <t>207197987</t>
  </si>
  <si>
    <t>207200828</t>
  </si>
  <si>
    <t>207200827</t>
  </si>
  <si>
    <t>207200826</t>
  </si>
  <si>
    <t>207197418</t>
  </si>
  <si>
    <t>207200933</t>
  </si>
  <si>
    <t>207200829</t>
  </si>
  <si>
    <t>207197743</t>
  </si>
  <si>
    <t>207197481</t>
  </si>
  <si>
    <t>207197355</t>
  </si>
  <si>
    <t>207197460</t>
  </si>
  <si>
    <t>207200823</t>
  </si>
  <si>
    <t>207197396</t>
  </si>
  <si>
    <t>207198419</t>
  </si>
  <si>
    <t>207198760</t>
  </si>
  <si>
    <t>207199971</t>
  </si>
  <si>
    <t>207200004</t>
  </si>
  <si>
    <t>207198766</t>
  </si>
  <si>
    <t>207199953</t>
  </si>
  <si>
    <t>207200514</t>
  </si>
  <si>
    <t>207201604</t>
  </si>
  <si>
    <t>207201606</t>
  </si>
  <si>
    <t>207200112</t>
  </si>
  <si>
    <t>207201603</t>
  </si>
  <si>
    <t>207200530</t>
  </si>
  <si>
    <t>207201601</t>
  </si>
  <si>
    <t>207200080</t>
  </si>
  <si>
    <t>207200865</t>
  </si>
  <si>
    <t>207197531</t>
  </si>
  <si>
    <t>207197572</t>
  </si>
  <si>
    <t>207197183</t>
  </si>
  <si>
    <t>207197536</t>
  </si>
  <si>
    <t>207197477</t>
  </si>
  <si>
    <t>207200844</t>
  </si>
  <si>
    <t>207200886</t>
  </si>
  <si>
    <t>207197608</t>
  </si>
  <si>
    <t>207200882</t>
  </si>
  <si>
    <t>207200883</t>
  </si>
  <si>
    <t>207197236</t>
  </si>
  <si>
    <t>207197619</t>
  </si>
  <si>
    <t>207200841</t>
  </si>
  <si>
    <t>207200836</t>
  </si>
  <si>
    <t>207200838</t>
  </si>
  <si>
    <t>207201554</t>
  </si>
  <si>
    <t>207201578</t>
  </si>
  <si>
    <t>207201579</t>
  </si>
  <si>
    <t>207198296</t>
  </si>
  <si>
    <t>207200405</t>
  </si>
  <si>
    <t>207198298</t>
  </si>
  <si>
    <t>207201506</t>
  </si>
  <si>
    <t>207201509</t>
  </si>
  <si>
    <t>207201511</t>
  </si>
  <si>
    <t>207201535</t>
  </si>
  <si>
    <t>207198023</t>
  </si>
  <si>
    <t>207201549</t>
  </si>
  <si>
    <t>207201570</t>
  </si>
  <si>
    <t>207201574</t>
  </si>
  <si>
    <t>207200421</t>
  </si>
  <si>
    <t>207201568</t>
  </si>
  <si>
    <t>207197924</t>
  </si>
  <si>
    <t>207201550</t>
  </si>
  <si>
    <t>207198290</t>
  </si>
  <si>
    <t>207197431</t>
  </si>
  <si>
    <t>207197454</t>
  </si>
  <si>
    <t>207197362</t>
  </si>
  <si>
    <t>207201576</t>
  </si>
  <si>
    <t>207197381</t>
  </si>
  <si>
    <t>207200399</t>
  </si>
  <si>
    <t>207201599</t>
  </si>
  <si>
    <t>207201516</t>
  </si>
  <si>
    <t>207200448</t>
  </si>
  <si>
    <t>207201583</t>
  </si>
  <si>
    <t>207200397</t>
  </si>
  <si>
    <t>207201585</t>
  </si>
  <si>
    <t>207200468</t>
  </si>
  <si>
    <t>207198112</t>
  </si>
  <si>
    <t>207200360</t>
  </si>
  <si>
    <t>207200492</t>
  </si>
  <si>
    <t>207201504</t>
  </si>
  <si>
    <t>207198906</t>
  </si>
  <si>
    <t>207198156</t>
  </si>
  <si>
    <t>207201598</t>
  </si>
  <si>
    <t>207200341</t>
  </si>
  <si>
    <t>207198885</t>
  </si>
  <si>
    <t>207199014</t>
  </si>
  <si>
    <t>207199060</t>
  </si>
  <si>
    <t>207199090</t>
  </si>
  <si>
    <t>207197231</t>
  </si>
  <si>
    <t>207197230</t>
  </si>
  <si>
    <t>207197235</t>
  </si>
  <si>
    <t>207197656</t>
  </si>
  <si>
    <t>207197623</t>
  </si>
  <si>
    <t>207197611</t>
  </si>
  <si>
    <t>207197238</t>
  </si>
  <si>
    <t>207197749</t>
  </si>
  <si>
    <t>207197716</t>
  </si>
  <si>
    <t>207198514</t>
  </si>
  <si>
    <t>207198551</t>
  </si>
  <si>
    <t>207197685</t>
  </si>
  <si>
    <t>207198966</t>
  </si>
  <si>
    <t>207198789</t>
  </si>
  <si>
    <t>207201530</t>
  </si>
  <si>
    <t>207199133</t>
  </si>
  <si>
    <t>207199041</t>
  </si>
  <si>
    <t>207197271</t>
  </si>
  <si>
    <t>207197257</t>
  </si>
  <si>
    <t>207197246</t>
  </si>
  <si>
    <t>207197276</t>
  </si>
  <si>
    <t>207197254</t>
  </si>
  <si>
    <t>207197266</t>
  </si>
  <si>
    <t>207197357</t>
  </si>
  <si>
    <t>207197331</t>
  </si>
  <si>
    <t>207197554</t>
  </si>
  <si>
    <t>207197889</t>
  </si>
  <si>
    <t>207197771</t>
  </si>
  <si>
    <t>207197841</t>
  </si>
  <si>
    <t>207197267</t>
  </si>
  <si>
    <t>207197248</t>
  </si>
  <si>
    <t>207197288</t>
  </si>
  <si>
    <t>207197273</t>
  </si>
  <si>
    <t>207197283</t>
  </si>
  <si>
    <t>207198903</t>
  </si>
  <si>
    <t>207197846</t>
  </si>
  <si>
    <t>207198832</t>
  </si>
  <si>
    <t>207197819</t>
  </si>
  <si>
    <t>207198446</t>
  </si>
  <si>
    <t>207201019</t>
  </si>
  <si>
    <t>207201021</t>
  </si>
  <si>
    <t>207200893</t>
  </si>
  <si>
    <t>207200908</t>
  </si>
  <si>
    <t>207200984</t>
  </si>
  <si>
    <t>207198399</t>
  </si>
  <si>
    <t>207201025</t>
  </si>
  <si>
    <t>207200982</t>
  </si>
  <si>
    <t>207197565</t>
  </si>
  <si>
    <t>207198154</t>
  </si>
  <si>
    <t>207198963</t>
  </si>
  <si>
    <t>207201023</t>
  </si>
  <si>
    <t>207200910</t>
  </si>
  <si>
    <t>207200974</t>
  </si>
  <si>
    <t>207200972</t>
  </si>
  <si>
    <t>207198245</t>
  </si>
  <si>
    <t>207200980</t>
  </si>
  <si>
    <t>207200978</t>
  </si>
  <si>
    <t>207200976</t>
  </si>
  <si>
    <t>207200919</t>
  </si>
  <si>
    <t>207200917</t>
  </si>
  <si>
    <t>207200912</t>
  </si>
  <si>
    <t>207200970</t>
  </si>
  <si>
    <t>207200967</t>
  </si>
  <si>
    <t>207200953</t>
  </si>
  <si>
    <t>207197551</t>
  </si>
  <si>
    <t>207197314</t>
  </si>
  <si>
    <t>207198352</t>
  </si>
  <si>
    <t>207197966</t>
  </si>
  <si>
    <t>207201031</t>
  </si>
  <si>
    <t>207197343</t>
  </si>
  <si>
    <t>207198014</t>
  </si>
  <si>
    <t>207201050</t>
  </si>
  <si>
    <t>207197920</t>
  </si>
  <si>
    <t>207197876</t>
  </si>
  <si>
    <t>207201052</t>
  </si>
  <si>
    <t>207201054</t>
  </si>
  <si>
    <t>207197939</t>
  </si>
  <si>
    <t>207198299</t>
  </si>
  <si>
    <t>207197428</t>
  </si>
  <si>
    <t>207197519</t>
  </si>
  <si>
    <t>207197442</t>
  </si>
  <si>
    <t>207197490</t>
  </si>
  <si>
    <t>207197473</t>
  </si>
  <si>
    <t>207197401</t>
  </si>
  <si>
    <t>207197543</t>
  </si>
  <si>
    <t>207198054</t>
  </si>
  <si>
    <t>207197373</t>
  </si>
  <si>
    <t>207201029</t>
  </si>
  <si>
    <t>207197701</t>
  </si>
  <si>
    <t>207197807</t>
  </si>
  <si>
    <t>207197352</t>
  </si>
  <si>
    <t>207197462</t>
  </si>
  <si>
    <t>207197508</t>
  </si>
  <si>
    <t>207200989</t>
  </si>
  <si>
    <t>207200992</t>
  </si>
  <si>
    <t>207197863</t>
  </si>
  <si>
    <t>207198029</t>
  </si>
  <si>
    <t>207197804</t>
  </si>
  <si>
    <t>207200857</t>
  </si>
  <si>
    <t>207197976</t>
  </si>
  <si>
    <t>207197909</t>
  </si>
  <si>
    <t>207197928</t>
  </si>
  <si>
    <t>207200846</t>
  </si>
  <si>
    <t>207200902</t>
  </si>
  <si>
    <t>207200903</t>
  </si>
  <si>
    <t>207200905</t>
  </si>
  <si>
    <t>207200901</t>
  </si>
  <si>
    <t>207200859</t>
  </si>
  <si>
    <t>207200899</t>
  </si>
  <si>
    <t>207197780</t>
  </si>
  <si>
    <t>207197426</t>
  </si>
  <si>
    <t>207197479</t>
  </si>
  <si>
    <t>207197392</t>
  </si>
  <si>
    <t>207199140</t>
  </si>
  <si>
    <t>207199068</t>
  </si>
  <si>
    <t>207198837</t>
  </si>
  <si>
    <t>207198844</t>
  </si>
  <si>
    <t>207198387</t>
  </si>
  <si>
    <t>207199308</t>
  </si>
  <si>
    <t>207199030</t>
  </si>
  <si>
    <t>207198907</t>
  </si>
  <si>
    <t>207199238</t>
  </si>
  <si>
    <t>207198954</t>
  </si>
  <si>
    <t>207199460</t>
  </si>
  <si>
    <t>207197268</t>
  </si>
  <si>
    <t>207197451</t>
  </si>
  <si>
    <t>207197455</t>
  </si>
  <si>
    <t>207197475</t>
  </si>
  <si>
    <t>207197359</t>
  </si>
  <si>
    <t>207197414</t>
  </si>
  <si>
    <t>207200994</t>
  </si>
  <si>
    <t>207200993</t>
  </si>
  <si>
    <t>207200002</t>
  </si>
  <si>
    <t>207198649</t>
  </si>
  <si>
    <t>207197326</t>
  </si>
  <si>
    <t>207197349</t>
  </si>
  <si>
    <t>207200990</t>
  </si>
  <si>
    <t>207200900</t>
  </si>
  <si>
    <t>207198530</t>
  </si>
  <si>
    <t>207197323</t>
  </si>
  <si>
    <t>207200898</t>
  </si>
  <si>
    <t>207200991</t>
  </si>
  <si>
    <t>207197320</t>
  </si>
  <si>
    <t>207199955</t>
  </si>
  <si>
    <t>207201098</t>
  </si>
  <si>
    <t>207200858</t>
  </si>
  <si>
    <t>207198690</t>
  </si>
  <si>
    <t>207198696</t>
  </si>
  <si>
    <t>207198604</t>
  </si>
  <si>
    <t>207201074</t>
  </si>
  <si>
    <t>207197325</t>
  </si>
  <si>
    <t>207201280</t>
  </si>
  <si>
    <t>207201097</t>
  </si>
  <si>
    <t>207199975</t>
  </si>
  <si>
    <t>207201075</t>
  </si>
  <si>
    <t>207198818</t>
  </si>
  <si>
    <t>207200027</t>
  </si>
  <si>
    <t>207198483</t>
  </si>
  <si>
    <t>207198478</t>
  </si>
  <si>
    <t>207200904</t>
  </si>
  <si>
    <t>207198452</t>
  </si>
  <si>
    <t>207198448</t>
  </si>
  <si>
    <t>207200061</t>
  </si>
  <si>
    <t>207200066</t>
  </si>
  <si>
    <t>207200906</t>
  </si>
  <si>
    <t>207200035</t>
  </si>
  <si>
    <t>207201250</t>
  </si>
  <si>
    <t>207201223</t>
  </si>
  <si>
    <t>207199760</t>
  </si>
  <si>
    <t>207197775</t>
  </si>
  <si>
    <t>207198543</t>
  </si>
  <si>
    <t>207201252</t>
  </si>
  <si>
    <t>207201248</t>
  </si>
  <si>
    <t>207201256</t>
  </si>
  <si>
    <t>207198794</t>
  </si>
  <si>
    <t>207201221</t>
  </si>
  <si>
    <t>207198708</t>
  </si>
  <si>
    <t>207199687</t>
  </si>
  <si>
    <t>207198594</t>
  </si>
  <si>
    <t>207199711</t>
  </si>
  <si>
    <t>207199695</t>
  </si>
  <si>
    <t>207199716</t>
  </si>
  <si>
    <t>207201218</t>
  </si>
  <si>
    <t>207201219</t>
  </si>
  <si>
    <t>207198733</t>
  </si>
  <si>
    <t>207197867</t>
  </si>
  <si>
    <t>207197770</t>
  </si>
  <si>
    <t>207197736</t>
  </si>
  <si>
    <t>207197651</t>
  </si>
  <si>
    <t>207201294</t>
  </si>
  <si>
    <t>207199651</t>
  </si>
  <si>
    <t>207197823</t>
  </si>
  <si>
    <t>207197584</t>
  </si>
  <si>
    <t>207198660</t>
  </si>
  <si>
    <t>207201323</t>
  </si>
  <si>
    <t>207201295</t>
  </si>
  <si>
    <t>207197791</t>
  </si>
  <si>
    <t>207199743</t>
  </si>
  <si>
    <t>207201291</t>
  </si>
  <si>
    <t>207197682</t>
  </si>
  <si>
    <t>207201346</t>
  </si>
  <si>
    <t>207201293</t>
  </si>
  <si>
    <t>207201942</t>
  </si>
  <si>
    <t>207200437</t>
  </si>
  <si>
    <t>207200409</t>
  </si>
  <si>
    <t>207201946</t>
  </si>
  <si>
    <t>207202016</t>
  </si>
  <si>
    <t>207200441</t>
  </si>
  <si>
    <t>207201944</t>
  </si>
  <si>
    <t>207200385</t>
  </si>
  <si>
    <t>207200395</t>
  </si>
  <si>
    <t>207200377</t>
  </si>
  <si>
    <t>207200381</t>
  </si>
  <si>
    <t>207200391</t>
  </si>
  <si>
    <t>207201894</t>
  </si>
  <si>
    <t>207200645</t>
  </si>
  <si>
    <t>207201896</t>
  </si>
  <si>
    <t>207200657</t>
  </si>
  <si>
    <t>207200660</t>
  </si>
  <si>
    <t>207200413</t>
  </si>
  <si>
    <t>207201892</t>
  </si>
  <si>
    <t>207197515</t>
  </si>
  <si>
    <t>207197529</t>
  </si>
  <si>
    <t>207200843</t>
  </si>
  <si>
    <t>207197182</t>
  </si>
  <si>
    <t>207200840</t>
  </si>
  <si>
    <t>207197185</t>
  </si>
  <si>
    <t>207200897</t>
  </si>
  <si>
    <t>207200885</t>
  </si>
  <si>
    <t>207197533</t>
  </si>
  <si>
    <t>207200884</t>
  </si>
  <si>
    <t>207200959</t>
  </si>
  <si>
    <t>207200881</t>
  </si>
  <si>
    <t>207197510</t>
  </si>
  <si>
    <t>207197569</t>
  </si>
  <si>
    <t>207201558</t>
  </si>
  <si>
    <t>207197575</t>
  </si>
  <si>
    <t>207197600</t>
  </si>
  <si>
    <t>207197605</t>
  </si>
  <si>
    <t>207197632</t>
  </si>
  <si>
    <t>207197669</t>
  </si>
  <si>
    <t>207197671</t>
  </si>
  <si>
    <t>207201903</t>
  </si>
  <si>
    <t>207197718</t>
  </si>
  <si>
    <t>207197689</t>
  </si>
  <si>
    <t>207199383</t>
  </si>
  <si>
    <t>207199428</t>
  </si>
  <si>
    <t>207199861</t>
  </si>
  <si>
    <t>207199210</t>
  </si>
  <si>
    <t>207199529</t>
  </si>
  <si>
    <t>207199752</t>
  </si>
  <si>
    <t>207198337</t>
  </si>
  <si>
    <t>207200257</t>
  </si>
  <si>
    <t>207200239</t>
  </si>
  <si>
    <t>207200307</t>
  </si>
  <si>
    <t>207199241</t>
  </si>
  <si>
    <t>207199433</t>
  </si>
  <si>
    <t>207199902</t>
  </si>
  <si>
    <t>207199334</t>
  </si>
  <si>
    <t>207199400</t>
  </si>
  <si>
    <t>207198418</t>
  </si>
  <si>
    <t>207198838</t>
  </si>
  <si>
    <t>207200287</t>
  </si>
  <si>
    <t>207199318</t>
  </si>
  <si>
    <t>207199732</t>
  </si>
  <si>
    <t>207199531</t>
  </si>
  <si>
    <t>207198027</t>
  </si>
  <si>
    <t>207200136</t>
  </si>
  <si>
    <t>207199074</t>
  </si>
  <si>
    <t>207199496</t>
  </si>
  <si>
    <t>207199815</t>
  </si>
  <si>
    <t>207198284</t>
  </si>
  <si>
    <t>207199464</t>
  </si>
  <si>
    <t>207200188</t>
  </si>
  <si>
    <t>207199274</t>
  </si>
  <si>
    <t>207198252</t>
  </si>
  <si>
    <t>207199142</t>
  </si>
  <si>
    <t>207198891</t>
  </si>
  <si>
    <t>207199356</t>
  </si>
  <si>
    <t>207199350</t>
  </si>
  <si>
    <t>207199458</t>
  </si>
  <si>
    <t>207199027</t>
  </si>
  <si>
    <t>207199947</t>
  </si>
  <si>
    <t>207200194</t>
  </si>
  <si>
    <t>207199255</t>
  </si>
  <si>
    <t>207199491</t>
  </si>
  <si>
    <t>207198998</t>
  </si>
  <si>
    <t>207199439</t>
  </si>
  <si>
    <t>207199842</t>
  </si>
  <si>
    <t>207199487</t>
  </si>
  <si>
    <t>207197422</t>
  </si>
  <si>
    <t>207197275</t>
  </si>
  <si>
    <t>207198453</t>
  </si>
  <si>
    <t>207198485</t>
  </si>
  <si>
    <t>207198529</t>
  </si>
  <si>
    <t>207199603</t>
  </si>
  <si>
    <t>207199678</t>
  </si>
  <si>
    <t>207208064</t>
  </si>
  <si>
    <t>207198295</t>
  </si>
  <si>
    <t>207199683</t>
  </si>
  <si>
    <t>207199495</t>
  </si>
  <si>
    <t>207199727</t>
  </si>
  <si>
    <t>207199599</t>
  </si>
  <si>
    <t>207199532</t>
  </si>
  <si>
    <t>207199731</t>
  </si>
  <si>
    <t>207199642</t>
  </si>
  <si>
    <t>207201427</t>
  </si>
  <si>
    <t>207208062</t>
  </si>
  <si>
    <t>207201430</t>
  </si>
  <si>
    <t>207208058</t>
  </si>
  <si>
    <t>207201428</t>
  </si>
  <si>
    <t>207208065</t>
  </si>
  <si>
    <t>207201413</t>
  </si>
  <si>
    <t>207208059</t>
  </si>
  <si>
    <t>207208060</t>
  </si>
  <si>
    <t>207201415</t>
  </si>
  <si>
    <t>207208066</t>
  </si>
  <si>
    <t>207208061</t>
  </si>
  <si>
    <t>207201432</t>
  </si>
  <si>
    <t>207201443</t>
  </si>
  <si>
    <t>207208063</t>
  </si>
  <si>
    <t>207201439</t>
  </si>
  <si>
    <t>207201441</t>
  </si>
  <si>
    <t>207199638</t>
  </si>
  <si>
    <t>207201434</t>
  </si>
  <si>
    <t>207201435</t>
  </si>
  <si>
    <t>207208057</t>
  </si>
  <si>
    <t>207197892</t>
  </si>
  <si>
    <t>207201437</t>
  </si>
  <si>
    <t>207200866</t>
  </si>
  <si>
    <t>207197281</t>
  </si>
  <si>
    <t>207197259</t>
  </si>
  <si>
    <t>207197327</t>
  </si>
  <si>
    <t>207201664</t>
  </si>
  <si>
    <t>207197334</t>
  </si>
  <si>
    <t>207198330</t>
  </si>
  <si>
    <t>207197421</t>
  </si>
  <si>
    <t>207197628</t>
  </si>
  <si>
    <t>207201071</t>
  </si>
  <si>
    <t>207201068</t>
  </si>
  <si>
    <t>207201496</t>
  </si>
  <si>
    <t>207197633</t>
  </si>
  <si>
    <t>207200962</t>
  </si>
  <si>
    <t>207201070</t>
  </si>
  <si>
    <t>207197694</t>
  </si>
  <si>
    <t>207200961</t>
  </si>
  <si>
    <t>207200964</t>
  </si>
  <si>
    <t>207197687</t>
  </si>
  <si>
    <t>207197667</t>
  </si>
  <si>
    <t>207200963</t>
  </si>
  <si>
    <t>207200960</t>
  </si>
  <si>
    <t>207201528</t>
  </si>
  <si>
    <t>207208170</t>
  </si>
  <si>
    <t>207201534</t>
  </si>
  <si>
    <t>207201531</t>
  </si>
  <si>
    <t>207208186</t>
  </si>
  <si>
    <t>207200470</t>
  </si>
  <si>
    <t>207201482</t>
  </si>
  <si>
    <t>207201485</t>
  </si>
  <si>
    <t>207201457</t>
  </si>
  <si>
    <t>207198010</t>
  </si>
  <si>
    <t>207201480</t>
  </si>
  <si>
    <t>207208167</t>
  </si>
  <si>
    <t>207208176</t>
  </si>
  <si>
    <t>207208174</t>
  </si>
  <si>
    <t>207201462</t>
  </si>
  <si>
    <t>207208175</t>
  </si>
  <si>
    <t>207198181</t>
  </si>
  <si>
    <t>207201466</t>
  </si>
  <si>
    <t>207208177</t>
  </si>
  <si>
    <t>207201471</t>
  </si>
  <si>
    <t>207201473</t>
  </si>
  <si>
    <t>207201476</t>
  </si>
  <si>
    <t>207208173</t>
  </si>
  <si>
    <t>207208178</t>
  </si>
  <si>
    <t>207198148</t>
  </si>
  <si>
    <t>207201501</t>
  </si>
  <si>
    <t>207200494</t>
  </si>
  <si>
    <t>207198051</t>
  </si>
  <si>
    <t>207208171</t>
  </si>
  <si>
    <t>207208169</t>
  </si>
  <si>
    <t>207197378</t>
  </si>
  <si>
    <t>207197964</t>
  </si>
  <si>
    <t>207197427</t>
  </si>
  <si>
    <t>207208179</t>
  </si>
  <si>
    <t>207197452</t>
  </si>
  <si>
    <t>207201497</t>
  </si>
  <si>
    <t>207201529</t>
  </si>
  <si>
    <t>207208168</t>
  </si>
  <si>
    <t>207201499</t>
  </si>
  <si>
    <t>207208172</t>
  </si>
  <si>
    <t>207202114</t>
  </si>
  <si>
    <t>207199117</t>
  </si>
  <si>
    <t>207199042</t>
  </si>
  <si>
    <t>207199066</t>
  </si>
  <si>
    <t>207199132</t>
  </si>
  <si>
    <t>207199147</t>
  </si>
  <si>
    <t>207199127</t>
  </si>
  <si>
    <t>207199089</t>
  </si>
  <si>
    <t>207199121</t>
  </si>
  <si>
    <t>207197306</t>
  </si>
  <si>
    <t>207197260</t>
  </si>
  <si>
    <t>207197286</t>
  </si>
  <si>
    <t>207198960</t>
  </si>
  <si>
    <t>207197370</t>
  </si>
  <si>
    <t>207197342</t>
  </si>
  <si>
    <t>207197315</t>
  </si>
  <si>
    <t>207201423</t>
  </si>
  <si>
    <t>207200966</t>
  </si>
  <si>
    <t>207197239</t>
  </si>
  <si>
    <t>207200879</t>
  </si>
  <si>
    <t>207197232</t>
  </si>
  <si>
    <t>207197666</t>
  </si>
  <si>
    <t>207201707</t>
  </si>
  <si>
    <t>207201711</t>
  </si>
  <si>
    <t>207201686</t>
  </si>
  <si>
    <t>207197662</t>
  </si>
  <si>
    <t>207201714</t>
  </si>
  <si>
    <t>207201716</t>
  </si>
  <si>
    <t>207200894</t>
  </si>
  <si>
    <t>207200937</t>
  </si>
  <si>
    <t>207198541</t>
  </si>
  <si>
    <t>207198588</t>
  </si>
  <si>
    <t>207200924</t>
  </si>
  <si>
    <t>207198668</t>
  </si>
  <si>
    <t>207198645</t>
  </si>
  <si>
    <t>207197293</t>
  </si>
  <si>
    <t>207197291</t>
  </si>
  <si>
    <t>207197319</t>
  </si>
  <si>
    <t>207197348</t>
  </si>
  <si>
    <t>207197322</t>
  </si>
  <si>
    <t>207198938</t>
  </si>
  <si>
    <t>207198266</t>
  </si>
  <si>
    <t>207201488</t>
  </si>
  <si>
    <t>207198268</t>
  </si>
  <si>
    <t>207197376</t>
  </si>
  <si>
    <t>207201103</t>
  </si>
  <si>
    <t>207201492</t>
  </si>
  <si>
    <t>207198113</t>
  </si>
  <si>
    <t>207197403</t>
  </si>
  <si>
    <t>207198374</t>
  </si>
  <si>
    <t>207201133</t>
  </si>
  <si>
    <t>207197922</t>
  </si>
  <si>
    <t>207201129</t>
  </si>
  <si>
    <t>207201452</t>
  </si>
  <si>
    <t>207201233</t>
  </si>
  <si>
    <t>207198084</t>
  </si>
  <si>
    <t>207197439</t>
  </si>
  <si>
    <t>207201379</t>
  </si>
  <si>
    <t>207201105</t>
  </si>
  <si>
    <t>207201043</t>
  </si>
  <si>
    <t>207200958</t>
  </si>
  <si>
    <t>207197339</t>
  </si>
  <si>
    <t>207197999</t>
  </si>
  <si>
    <t>207197814</t>
  </si>
  <si>
    <t>207201194</t>
  </si>
  <si>
    <t>207197850</t>
  </si>
  <si>
    <t>207201384</t>
  </si>
  <si>
    <t>207197368</t>
  </si>
  <si>
    <t>207201257</t>
  </si>
  <si>
    <t>207198428</t>
  </si>
  <si>
    <t>207197646</t>
  </si>
  <si>
    <t>207197313</t>
  </si>
  <si>
    <t>207201014</t>
  </si>
  <si>
    <t>207198490</t>
  </si>
  <si>
    <t>207197495</t>
  </si>
  <si>
    <t>207198900</t>
  </si>
  <si>
    <t>207198024</t>
  </si>
  <si>
    <t>207201353</t>
  </si>
  <si>
    <t>207201157</t>
  </si>
  <si>
    <t>207197588</t>
  </si>
  <si>
    <t>207198836</t>
  </si>
  <si>
    <t>207197760</t>
  </si>
  <si>
    <t>207201016</t>
  </si>
  <si>
    <t>207198210</t>
  </si>
  <si>
    <t>207201162</t>
  </si>
  <si>
    <t>207197980</t>
  </si>
  <si>
    <t>207198059</t>
  </si>
  <si>
    <t>207198334</t>
  </si>
  <si>
    <t>207197487</t>
  </si>
  <si>
    <t>207198130</t>
  </si>
  <si>
    <t>207201229</t>
  </si>
  <si>
    <t>207197855</t>
  </si>
  <si>
    <t>207197637</t>
  </si>
  <si>
    <t>207197705</t>
  </si>
  <si>
    <t>207197905</t>
  </si>
  <si>
    <t>207201313</t>
  </si>
  <si>
    <t>207198199</t>
  </si>
  <si>
    <t>207201009</t>
  </si>
  <si>
    <t>207201349</t>
  </si>
  <si>
    <t>207197307</t>
  </si>
  <si>
    <t>207198447</t>
  </si>
  <si>
    <t>207199003</t>
  </si>
  <si>
    <t>207201072</t>
  </si>
  <si>
    <t>207198317</t>
  </si>
  <si>
    <t>207198339</t>
  </si>
  <si>
    <t>207201069</t>
  </si>
  <si>
    <t>207201495</t>
  </si>
  <si>
    <t>207198841</t>
  </si>
  <si>
    <t>207201073</t>
  </si>
  <si>
    <t>207198422</t>
  </si>
  <si>
    <t>207201165</t>
  </si>
  <si>
    <t>207201166</t>
  </si>
  <si>
    <t>207201264</t>
  </si>
  <si>
    <t>207201164</t>
  </si>
  <si>
    <t>207198145</t>
  </si>
  <si>
    <t>207201262</t>
  </si>
  <si>
    <t>207201263</t>
  </si>
  <si>
    <t>207201421</t>
  </si>
  <si>
    <t>207201418</t>
  </si>
  <si>
    <t>207198034</t>
  </si>
  <si>
    <t>207201417</t>
  </si>
  <si>
    <t>207201266</t>
  </si>
  <si>
    <t>207201420</t>
  </si>
  <si>
    <t>207201265</t>
  </si>
  <si>
    <t>207197930</t>
  </si>
  <si>
    <t>207198138</t>
  </si>
  <si>
    <t>207198253</t>
  </si>
  <si>
    <t>207198913</t>
  </si>
  <si>
    <t>207197993</t>
  </si>
  <si>
    <t>207201419</t>
  </si>
  <si>
    <t>207201261</t>
  </si>
  <si>
    <t>207201391</t>
  </si>
  <si>
    <t>207201406</t>
  </si>
  <si>
    <t>207198396</t>
  </si>
  <si>
    <t>207201402</t>
  </si>
  <si>
    <t>207201397</t>
  </si>
  <si>
    <t>207198143</t>
  </si>
  <si>
    <t>207201469</t>
  </si>
  <si>
    <t>207201395</t>
  </si>
  <si>
    <t>207199208</t>
  </si>
  <si>
    <t>207201376</t>
  </si>
  <si>
    <t>207201410</t>
  </si>
  <si>
    <t>207201414</t>
  </si>
  <si>
    <t>207201374</t>
  </si>
  <si>
    <t>207201389</t>
  </si>
  <si>
    <t>207198090</t>
  </si>
  <si>
    <t>207201408</t>
  </si>
  <si>
    <t>207197970</t>
  </si>
  <si>
    <t>207198249</t>
  </si>
  <si>
    <t>207198319</t>
  </si>
  <si>
    <t>207198825</t>
  </si>
  <si>
    <t>207198914</t>
  </si>
  <si>
    <t>207199144</t>
  </si>
  <si>
    <t>207201445</t>
  </si>
  <si>
    <t>207199245</t>
  </si>
  <si>
    <t>207198255</t>
  </si>
  <si>
    <t>207199002</t>
  </si>
  <si>
    <t>207201363</t>
  </si>
  <si>
    <t>207201460</t>
  </si>
  <si>
    <t>207201429</t>
  </si>
  <si>
    <t>207201365</t>
  </si>
  <si>
    <t>207198888</t>
  </si>
  <si>
    <t>207198342</t>
  </si>
  <si>
    <t>207202188</t>
  </si>
  <si>
    <t>207202146</t>
  </si>
  <si>
    <t>207202145</t>
  </si>
  <si>
    <t>207199730</t>
  </si>
  <si>
    <t>207202155</t>
  </si>
  <si>
    <t>207202142</t>
  </si>
  <si>
    <t>207202187</t>
  </si>
  <si>
    <t>207202144</t>
  </si>
  <si>
    <t>207202150</t>
  </si>
  <si>
    <t>207202143</t>
  </si>
  <si>
    <t>207199898</t>
  </si>
  <si>
    <t>207199224</t>
  </si>
  <si>
    <t>207199935</t>
  </si>
  <si>
    <t>207199857</t>
  </si>
  <si>
    <t>207202149</t>
  </si>
  <si>
    <t>207200263</t>
  </si>
  <si>
    <t>207202138</t>
  </si>
  <si>
    <t>207199749</t>
  </si>
  <si>
    <t>207200192</t>
  </si>
  <si>
    <t>207199839</t>
  </si>
  <si>
    <t>207199530</t>
  </si>
  <si>
    <t>207202136</t>
  </si>
  <si>
    <t>207202140</t>
  </si>
  <si>
    <t>207202141</t>
  </si>
  <si>
    <t>207200158</t>
  </si>
  <si>
    <t>207199733</t>
  </si>
  <si>
    <t>207199808</t>
  </si>
  <si>
    <t>207200214</t>
  </si>
  <si>
    <t>207202156</t>
  </si>
  <si>
    <t>207200220</t>
  </si>
  <si>
    <t>207201045</t>
  </si>
  <si>
    <t>207201128</t>
  </si>
  <si>
    <t>207201130</t>
  </si>
  <si>
    <t>207199799</t>
  </si>
  <si>
    <t>207199890</t>
  </si>
  <si>
    <t>207201104</t>
  </si>
  <si>
    <t>207201159</t>
  </si>
  <si>
    <t>207199766</t>
  </si>
  <si>
    <t>207201134</t>
  </si>
  <si>
    <t>207201011</t>
  </si>
  <si>
    <t>207201010</t>
  </si>
  <si>
    <t>207199943</t>
  </si>
  <si>
    <t>207201227</t>
  </si>
  <si>
    <t>207201232</t>
  </si>
  <si>
    <t>207201236</t>
  </si>
  <si>
    <t>207200996</t>
  </si>
  <si>
    <t>207199990</t>
  </si>
  <si>
    <t>207200156</t>
  </si>
  <si>
    <t>207201193</t>
  </si>
  <si>
    <t>207201040</t>
  </si>
  <si>
    <t>207200068</t>
  </si>
  <si>
    <t>207201191</t>
  </si>
  <si>
    <t>207200117</t>
  </si>
  <si>
    <t>207199848</t>
  </si>
  <si>
    <t>207201037</t>
  </si>
  <si>
    <t>207199744</t>
  </si>
  <si>
    <t>207199561</t>
  </si>
  <si>
    <t>207197737</t>
  </si>
  <si>
    <t>207199536</t>
  </si>
  <si>
    <t>207199558</t>
  </si>
  <si>
    <t>207200913</t>
  </si>
  <si>
    <t>207200914</t>
  </si>
  <si>
    <t>207200916</t>
  </si>
  <si>
    <t>207198179</t>
  </si>
  <si>
    <t>207198182</t>
  </si>
  <si>
    <t>207198185</t>
  </si>
  <si>
    <t>207200948</t>
  </si>
  <si>
    <t>207200975</t>
  </si>
  <si>
    <t>207197943</t>
  </si>
  <si>
    <t>207200915</t>
  </si>
  <si>
    <t>207198151</t>
  </si>
  <si>
    <t>207200969</t>
  </si>
  <si>
    <t>207198016</t>
  </si>
  <si>
    <t>207197978</t>
  </si>
  <si>
    <t>207200909</t>
  </si>
  <si>
    <t>207200911</t>
  </si>
  <si>
    <t>207198086</t>
  </si>
  <si>
    <t>207200921</t>
  </si>
  <si>
    <t>207198048</t>
  </si>
  <si>
    <t>207201027</t>
  </si>
  <si>
    <t>207200892</t>
  </si>
  <si>
    <t>207200955</t>
  </si>
  <si>
    <t>207201438</t>
  </si>
  <si>
    <t>207201433</t>
  </si>
  <si>
    <t>207201372</t>
  </si>
  <si>
    <t>207201477</t>
  </si>
  <si>
    <t>207201367</t>
  </si>
  <si>
    <t>207201370</t>
  </si>
  <si>
    <t>207197567</t>
  </si>
  <si>
    <t>207197635</t>
  </si>
  <si>
    <t>207201436</t>
  </si>
  <si>
    <t>207197603</t>
  </si>
  <si>
    <t>207197631</t>
  </si>
  <si>
    <t>207197598</t>
  </si>
  <si>
    <t>207197597</t>
  </si>
  <si>
    <t>207202086</t>
  </si>
  <si>
    <t>207202082</t>
  </si>
  <si>
    <t>207202064</t>
  </si>
  <si>
    <t>207202075</t>
  </si>
  <si>
    <t>207202066</t>
  </si>
  <si>
    <t>207200420</t>
  </si>
  <si>
    <t>207200496</t>
  </si>
  <si>
    <t>207200426</t>
  </si>
  <si>
    <t>207200456</t>
  </si>
  <si>
    <t>207202070</t>
  </si>
  <si>
    <t>207201860</t>
  </si>
  <si>
    <t>207202077</t>
  </si>
  <si>
    <t>207202079</t>
  </si>
  <si>
    <t>207201813</t>
  </si>
  <si>
    <t>207201815</t>
  </si>
  <si>
    <t>207201808</t>
  </si>
  <si>
    <t>207201810</t>
  </si>
  <si>
    <t>207198079</t>
  </si>
  <si>
    <t>207202060</t>
  </si>
  <si>
    <t>207201817</t>
  </si>
  <si>
    <t>207202084</t>
  </si>
  <si>
    <t>207197456</t>
  </si>
  <si>
    <t>207197433</t>
  </si>
  <si>
    <t>207198020</t>
  </si>
  <si>
    <t>207201736</t>
  </si>
  <si>
    <t>207197961</t>
  </si>
  <si>
    <t>207197919</t>
  </si>
  <si>
    <t>207197983</t>
  </si>
  <si>
    <t>207197415</t>
  </si>
  <si>
    <t>207202057</t>
  </si>
  <si>
    <t>207201819</t>
  </si>
  <si>
    <t>207198349</t>
  </si>
  <si>
    <t>207198213</t>
  </si>
  <si>
    <t>207198302</t>
  </si>
  <si>
    <t>207199232</t>
  </si>
  <si>
    <t>207201560</t>
  </si>
  <si>
    <t>207199227</t>
  </si>
  <si>
    <t>207198674</t>
  </si>
  <si>
    <t>207199883</t>
  </si>
  <si>
    <t>207198793</t>
  </si>
  <si>
    <t>207201564</t>
  </si>
  <si>
    <t>207199925</t>
  </si>
  <si>
    <t>207201422</t>
  </si>
  <si>
    <t>207201565</t>
  </si>
  <si>
    <t>207201563</t>
  </si>
  <si>
    <t>207201562</t>
  </si>
  <si>
    <t>207199920</t>
  </si>
  <si>
    <t>207199282</t>
  </si>
  <si>
    <t>207198637</t>
  </si>
  <si>
    <t>207201284</t>
  </si>
  <si>
    <t>207199423</t>
  </si>
  <si>
    <t>207197735</t>
  </si>
  <si>
    <t>207201712</t>
  </si>
  <si>
    <t>207201748</t>
  </si>
  <si>
    <t>207201282</t>
  </si>
  <si>
    <t>207199592</t>
  </si>
  <si>
    <t>207201747</t>
  </si>
  <si>
    <t>207198662</t>
  </si>
  <si>
    <t>207201311</t>
  </si>
  <si>
    <t>207201308</t>
  </si>
  <si>
    <t>207199880</t>
  </si>
  <si>
    <t>207199418</t>
  </si>
  <si>
    <t>207201307</t>
  </si>
  <si>
    <t>207199631</t>
  </si>
  <si>
    <t>207199981</t>
  </si>
  <si>
    <t>207201662</t>
  </si>
  <si>
    <t>207199342</t>
  </si>
  <si>
    <t>207201683</t>
  </si>
  <si>
    <t>207201449</t>
  </si>
  <si>
    <t>207201682</t>
  </si>
  <si>
    <t>207201661</t>
  </si>
  <si>
    <t>207200013</t>
  </si>
  <si>
    <t>207201523</t>
  </si>
  <si>
    <t>207201524</t>
  </si>
  <si>
    <t>207201526</t>
  </si>
  <si>
    <t>207201660</t>
  </si>
  <si>
    <t>207199983</t>
  </si>
  <si>
    <t>207200009</t>
  </si>
  <si>
    <t>207198729</t>
  </si>
  <si>
    <t>207201537</t>
  </si>
  <si>
    <t>207201713</t>
  </si>
  <si>
    <t>207199277</t>
  </si>
  <si>
    <t>207201715</t>
  </si>
  <si>
    <t>207201426</t>
  </si>
  <si>
    <t>207201566</t>
  </si>
  <si>
    <t>207201539</t>
  </si>
  <si>
    <t>207197712</t>
  </si>
  <si>
    <t>207201684</t>
  </si>
  <si>
    <t>207201447</t>
  </si>
  <si>
    <t>207201448</t>
  </si>
  <si>
    <t>207201685</t>
  </si>
  <si>
    <t>207198828</t>
  </si>
  <si>
    <t>207201587</t>
  </si>
  <si>
    <t>207201708</t>
  </si>
  <si>
    <t>207198992</t>
  </si>
  <si>
    <t>207198409</t>
  </si>
  <si>
    <t>207199821</t>
  </si>
  <si>
    <t>207198592</t>
  </si>
  <si>
    <t>207199826</t>
  </si>
  <si>
    <t>207199061</t>
  </si>
  <si>
    <t>207201781</t>
  </si>
  <si>
    <t>207199009</t>
  </si>
  <si>
    <t>207198413</t>
  </si>
  <si>
    <t>207201801</t>
  </si>
  <si>
    <t>207201102</t>
  </si>
  <si>
    <t>207199572</t>
  </si>
  <si>
    <t>207199130</t>
  </si>
  <si>
    <t>207199471</t>
  </si>
  <si>
    <t>207201101</t>
  </si>
  <si>
    <t>207199155</t>
  </si>
  <si>
    <t>207198578</t>
  </si>
  <si>
    <t>207201100</t>
  </si>
  <si>
    <t>207199120</t>
  </si>
  <si>
    <t>207198498</t>
  </si>
  <si>
    <t>207201778</t>
  </si>
  <si>
    <t>207201779</t>
  </si>
  <si>
    <t>207199019</t>
  </si>
  <si>
    <t>207198461</t>
  </si>
  <si>
    <t>207198618</t>
  </si>
  <si>
    <t>207201780</t>
  </si>
  <si>
    <t>207199200</t>
  </si>
  <si>
    <t>207198510</t>
  </si>
  <si>
    <t>207201777</t>
  </si>
  <si>
    <t>207200320</t>
  </si>
  <si>
    <t>207200604</t>
  </si>
  <si>
    <t>207200606</t>
  </si>
  <si>
    <t>207202286</t>
  </si>
  <si>
    <t>207202285</t>
  </si>
  <si>
    <t>207202287</t>
  </si>
  <si>
    <t>207200374</t>
  </si>
  <si>
    <t>207202238</t>
  </si>
  <si>
    <t>207202244</t>
  </si>
  <si>
    <t>207200376</t>
  </si>
  <si>
    <t>207200372</t>
  </si>
  <si>
    <t>207200322</t>
  </si>
  <si>
    <t>207202254</t>
  </si>
  <si>
    <t>207200325</t>
  </si>
  <si>
    <t>207200317</t>
  </si>
  <si>
    <t>207202219</t>
  </si>
  <si>
    <t>207202275</t>
  </si>
  <si>
    <t>207202245</t>
  </si>
  <si>
    <t>207202274</t>
  </si>
  <si>
    <t>207202246</t>
  </si>
  <si>
    <t>207200601</t>
  </si>
  <si>
    <t>207202303</t>
  </si>
  <si>
    <t>207200276</t>
  </si>
  <si>
    <t>207200370</t>
  </si>
  <si>
    <t>207202301</t>
  </si>
  <si>
    <t>207202284</t>
  </si>
  <si>
    <t>207200271</t>
  </si>
  <si>
    <t>207202276</t>
  </si>
  <si>
    <t>207200368</t>
  </si>
  <si>
    <t>207200274</t>
  </si>
  <si>
    <t>207202302</t>
  </si>
  <si>
    <t>207202262</t>
  </si>
  <si>
    <t>207202292</t>
  </si>
  <si>
    <t>207202273</t>
  </si>
  <si>
    <t>207200431</t>
  </si>
  <si>
    <t>207202249</t>
  </si>
  <si>
    <t>207200432</t>
  </si>
  <si>
    <t>207200434</t>
  </si>
  <si>
    <t>207200167</t>
  </si>
  <si>
    <t>207200433</t>
  </si>
  <si>
    <t>207202293</t>
  </si>
  <si>
    <t>207202291</t>
  </si>
  <si>
    <t>207200153</t>
  </si>
  <si>
    <t>207200428</t>
  </si>
  <si>
    <t>207200155</t>
  </si>
  <si>
    <t>207200427</t>
  </si>
  <si>
    <t>207202253</t>
  </si>
  <si>
    <t>207200151</t>
  </si>
  <si>
    <t>207202261</t>
  </si>
  <si>
    <t>207200430</t>
  </si>
  <si>
    <t>207202252</t>
  </si>
  <si>
    <t>207200149</t>
  </si>
  <si>
    <t>207200429</t>
  </si>
  <si>
    <t>207202221</t>
  </si>
  <si>
    <t>207202220</t>
  </si>
  <si>
    <t>207202264</t>
  </si>
  <si>
    <t>207202235</t>
  </si>
  <si>
    <t>207202297</t>
  </si>
  <si>
    <t>207202290</t>
  </si>
  <si>
    <t>207202299</t>
  </si>
  <si>
    <t>207202237</t>
  </si>
  <si>
    <t>207202288</t>
  </si>
  <si>
    <t>207202289</t>
  </si>
  <si>
    <t>207202236</t>
  </si>
  <si>
    <t>207202234</t>
  </si>
  <si>
    <t>207200171</t>
  </si>
  <si>
    <t>207202263</t>
  </si>
  <si>
    <t>207200169</t>
  </si>
  <si>
    <t>207200435</t>
  </si>
  <si>
    <t>207202228</t>
  </si>
  <si>
    <t>207202226</t>
  </si>
  <si>
    <t>207202248</t>
  </si>
  <si>
    <t>207200172</t>
  </si>
  <si>
    <t>207202227</t>
  </si>
  <si>
    <t>207202295</t>
  </si>
  <si>
    <t>207200632</t>
  </si>
  <si>
    <t>207200634</t>
  </si>
  <si>
    <t>207200627</t>
  </si>
  <si>
    <t>207200630</t>
  </si>
  <si>
    <t>207200636</t>
  </si>
  <si>
    <t>207200643</t>
  </si>
  <si>
    <t>207202265</t>
  </si>
  <si>
    <t>207200638</t>
  </si>
  <si>
    <t>207200640</t>
  </si>
  <si>
    <t>207200616</t>
  </si>
  <si>
    <t>207200611</t>
  </si>
  <si>
    <t>207200614</t>
  </si>
  <si>
    <t>207200609</t>
  </si>
  <si>
    <t>207200608</t>
  </si>
  <si>
    <t>207197280</t>
  </si>
  <si>
    <t>207197299</t>
  </si>
  <si>
    <t>207197304</t>
  </si>
  <si>
    <t>207197386</t>
  </si>
  <si>
    <t>207197416</t>
  </si>
  <si>
    <t>207197336</t>
  </si>
  <si>
    <t>207197364</t>
  </si>
  <si>
    <t>207198600</t>
  </si>
  <si>
    <t>207199969</t>
  </si>
  <si>
    <t>207198692</t>
  </si>
  <si>
    <t>207198653</t>
  </si>
  <si>
    <t>207199951</t>
  </si>
  <si>
    <t>207198647</t>
  </si>
  <si>
    <t>207198764</t>
  </si>
  <si>
    <t>207199998</t>
  </si>
  <si>
    <t>207200941</t>
  </si>
  <si>
    <t>207200895</t>
  </si>
  <si>
    <t>207200945</t>
  </si>
  <si>
    <t>207200876</t>
  </si>
  <si>
    <t>207200889</t>
  </si>
  <si>
    <t>207200907</t>
  </si>
  <si>
    <t>207200896</t>
  </si>
  <si>
    <t>207200888</t>
  </si>
  <si>
    <t>207200887</t>
  </si>
  <si>
    <t>207198507</t>
  </si>
  <si>
    <t>207200939</t>
  </si>
  <si>
    <t>207200851</t>
  </si>
  <si>
    <t>207200852</t>
  </si>
  <si>
    <t>207200854</t>
  </si>
  <si>
    <t>207200714</t>
  </si>
  <si>
    <t>207200716</t>
  </si>
  <si>
    <t>207200848</t>
  </si>
  <si>
    <t>207200856</t>
  </si>
  <si>
    <t>207200872</t>
  </si>
  <si>
    <t>207198905</t>
  </si>
  <si>
    <t>207200873</t>
  </si>
  <si>
    <t>207198957</t>
  </si>
  <si>
    <t>207200870</t>
  </si>
  <si>
    <t>207200871</t>
  </si>
  <si>
    <t>207200951</t>
  </si>
  <si>
    <t>207197590</t>
  </si>
  <si>
    <t>207197541</t>
  </si>
  <si>
    <t>207197493</t>
  </si>
  <si>
    <t>207197639</t>
  </si>
  <si>
    <t>207201828</t>
  </si>
  <si>
    <t>207201830</t>
  </si>
  <si>
    <t>207201832</t>
  </si>
  <si>
    <t>207197372</t>
  </si>
  <si>
    <t>207197367</t>
  </si>
  <si>
    <t>207197338</t>
  </si>
  <si>
    <t>207197400</t>
  </si>
  <si>
    <t>207197444</t>
  </si>
  <si>
    <t>207197310</t>
  </si>
  <si>
    <t>207197438</t>
  </si>
  <si>
    <t>207198057</t>
  </si>
  <si>
    <t>207197997</t>
  </si>
  <si>
    <t>207197906</t>
  </si>
  <si>
    <t>207198132</t>
  </si>
  <si>
    <t>207198402</t>
  </si>
  <si>
    <t>207201002</t>
  </si>
  <si>
    <t>207198204</t>
  </si>
  <si>
    <t>207197704</t>
  </si>
  <si>
    <t>207201806</t>
  </si>
  <si>
    <t>207201827</t>
  </si>
  <si>
    <t>207201868</t>
  </si>
  <si>
    <t>207197853</t>
  </si>
  <si>
    <t>207197811</t>
  </si>
  <si>
    <t>207197761</t>
  </si>
  <si>
    <t>207198880</t>
  </si>
  <si>
    <t>207208082</t>
  </si>
  <si>
    <t>207197599</t>
  </si>
  <si>
    <t>207198840</t>
  </si>
  <si>
    <t>207198561</t>
  </si>
  <si>
    <t>207198557</t>
  </si>
  <si>
    <t>207208068</t>
  </si>
  <si>
    <t>207198820</t>
  </si>
  <si>
    <t>207208083</t>
  </si>
  <si>
    <t>207197973</t>
  </si>
  <si>
    <t>207197992</t>
  </si>
  <si>
    <t>207197602</t>
  </si>
  <si>
    <t>207197604</t>
  </si>
  <si>
    <t>207197576</t>
  </si>
  <si>
    <t>207198449</t>
  </si>
  <si>
    <t>207208081</t>
  </si>
  <si>
    <t>207208078</t>
  </si>
  <si>
    <t>207208067</t>
  </si>
  <si>
    <t>207199067</t>
  </si>
  <si>
    <t>207208077</t>
  </si>
  <si>
    <t>207208080</t>
  </si>
  <si>
    <t>207208086</t>
  </si>
  <si>
    <t>207208079</t>
  </si>
  <si>
    <t>207198477</t>
  </si>
  <si>
    <t>207208085</t>
  </si>
  <si>
    <t>207198824</t>
  </si>
  <si>
    <t>207208075</t>
  </si>
  <si>
    <t>207199075</t>
  </si>
  <si>
    <t>207198527</t>
  </si>
  <si>
    <t>207208076</t>
  </si>
  <si>
    <t>207198533</t>
  </si>
  <si>
    <t>207197627</t>
  </si>
  <si>
    <t>207208073</t>
  </si>
  <si>
    <t>207198915</t>
  </si>
  <si>
    <t>207198908</t>
  </si>
  <si>
    <t>207208072</t>
  </si>
  <si>
    <t>207208084</t>
  </si>
  <si>
    <t>207198845</t>
  </si>
  <si>
    <t>207208071</t>
  </si>
  <si>
    <t>207198087</t>
  </si>
  <si>
    <t>207198189</t>
  </si>
  <si>
    <t>207198892</t>
  </si>
  <si>
    <t>207198195</t>
  </si>
  <si>
    <t>207198093</t>
  </si>
  <si>
    <t>207208074</t>
  </si>
  <si>
    <t>207198141</t>
  </si>
  <si>
    <t>207208070</t>
  </si>
  <si>
    <t>207198030</t>
  </si>
  <si>
    <t>207208069</t>
  </si>
  <si>
    <t>207198846</t>
  </si>
  <si>
    <t>207199000</t>
  </si>
  <si>
    <t>207198392</t>
  </si>
  <si>
    <t>207202100</t>
  </si>
  <si>
    <t>207202102</t>
  </si>
  <si>
    <t>207198256</t>
  </si>
  <si>
    <t>207198823</t>
  </si>
  <si>
    <t>207202137</t>
  </si>
  <si>
    <t>207198325</t>
  </si>
  <si>
    <t>207202103</t>
  </si>
  <si>
    <t>207198911</t>
  </si>
  <si>
    <t>207202107</t>
  </si>
  <si>
    <t>207202105</t>
  </si>
  <si>
    <t>207201848</t>
  </si>
  <si>
    <t>207198424</t>
  </si>
  <si>
    <t>207201798</t>
  </si>
  <si>
    <t>207199386</t>
  </si>
  <si>
    <t>207199178</t>
  </si>
  <si>
    <t>207199005</t>
  </si>
  <si>
    <t>207201751</t>
  </si>
  <si>
    <t>207201786</t>
  </si>
  <si>
    <t>207201784</t>
  </si>
  <si>
    <t>207201799</t>
  </si>
  <si>
    <t>207199113</t>
  </si>
  <si>
    <t>207201805</t>
  </si>
  <si>
    <t>207198889</t>
  </si>
  <si>
    <t>207201785</t>
  </si>
  <si>
    <t>207199352</t>
  </si>
  <si>
    <t>207201800</t>
  </si>
  <si>
    <t>207201750</t>
  </si>
  <si>
    <t>207198916</t>
  </si>
  <si>
    <t>207199272</t>
  </si>
  <si>
    <t>207199036</t>
  </si>
  <si>
    <t>207199314</t>
  </si>
  <si>
    <t>207201783</t>
  </si>
  <si>
    <t>207199212</t>
  </si>
  <si>
    <t>207201782</t>
  </si>
  <si>
    <t>207198389</t>
  </si>
  <si>
    <t>207199813</t>
  </si>
  <si>
    <t>207199840</t>
  </si>
  <si>
    <t>207200210</t>
  </si>
  <si>
    <t>207200132</t>
  </si>
  <si>
    <t>207200166</t>
  </si>
  <si>
    <t>207202021</t>
  </si>
  <si>
    <t>207202007</t>
  </si>
  <si>
    <t>207200243</t>
  </si>
  <si>
    <t>207202056</t>
  </si>
  <si>
    <t>207202054</t>
  </si>
  <si>
    <t>207200291</t>
  </si>
  <si>
    <t>207202003</t>
  </si>
  <si>
    <t>207202023</t>
  </si>
  <si>
    <t>207199262</t>
  </si>
  <si>
    <t>207202025</t>
  </si>
  <si>
    <t>207202034</t>
  </si>
  <si>
    <t>207199416</t>
  </si>
  <si>
    <t>207199747</t>
  </si>
  <si>
    <t>207202045</t>
  </si>
  <si>
    <t>207202043</t>
  </si>
  <si>
    <t>207202028</t>
  </si>
  <si>
    <t>207202040</t>
  </si>
  <si>
    <t>207199327</t>
  </si>
  <si>
    <t>207202038</t>
  </si>
  <si>
    <t>207202036</t>
  </si>
  <si>
    <t>207202026</t>
  </si>
  <si>
    <t>207202042</t>
  </si>
  <si>
    <t>207199863</t>
  </si>
  <si>
    <t>207199361</t>
  </si>
  <si>
    <t>207200311</t>
  </si>
  <si>
    <t>207202052</t>
  </si>
  <si>
    <t>207199931</t>
  </si>
  <si>
    <t>207201361</t>
  </si>
  <si>
    <t>207198078</t>
  </si>
  <si>
    <t>207201327</t>
  </si>
  <si>
    <t>207201340</t>
  </si>
  <si>
    <t>207201325</t>
  </si>
  <si>
    <t>207198259</t>
  </si>
  <si>
    <t>207201342</t>
  </si>
  <si>
    <t>207201344</t>
  </si>
  <si>
    <t>207198184</t>
  </si>
  <si>
    <t>207198297</t>
  </si>
  <si>
    <t>207197950</t>
  </si>
  <si>
    <t>207198062</t>
  </si>
  <si>
    <t>207198131</t>
  </si>
  <si>
    <t>207198000</t>
  </si>
  <si>
    <t>207198205</t>
  </si>
  <si>
    <t>207197506</t>
  </si>
  <si>
    <t>207201254</t>
  </si>
  <si>
    <t>207197562</t>
  </si>
  <si>
    <t>207200512</t>
  </si>
  <si>
    <t>207197500</t>
  </si>
  <si>
    <t>207200536</t>
  </si>
  <si>
    <t>207197472</t>
  </si>
  <si>
    <t>207200551</t>
  </si>
  <si>
    <t>207198713</t>
  </si>
  <si>
    <t>207198809</t>
  </si>
  <si>
    <t>207198643</t>
  </si>
  <si>
    <t>207198813</t>
  </si>
  <si>
    <t>207198767</t>
  </si>
  <si>
    <t>207198591</t>
  </si>
  <si>
    <t>207198550</t>
  </si>
  <si>
    <t>207198667</t>
  </si>
  <si>
    <t>207199192</t>
  </si>
  <si>
    <t>207199153</t>
  </si>
  <si>
    <t>207199189</t>
  </si>
  <si>
    <t>207199198</t>
  </si>
  <si>
    <t>207199148</t>
  </si>
  <si>
    <t>207197459</t>
  </si>
  <si>
    <t>207197425</t>
  </si>
  <si>
    <t>207197457</t>
  </si>
  <si>
    <t>207197461</t>
  </si>
  <si>
    <t>207197463</t>
  </si>
  <si>
    <t>207197765</t>
  </si>
  <si>
    <t>207197641</t>
  </si>
  <si>
    <t>207197699</t>
  </si>
  <si>
    <t>207197706</t>
  </si>
  <si>
    <t>207197851</t>
  </si>
  <si>
    <t>207197816</t>
  </si>
  <si>
    <t>207198909</t>
  </si>
  <si>
    <t>207198842</t>
  </si>
  <si>
    <t>207202058</t>
  </si>
  <si>
    <t>207199108</t>
  </si>
  <si>
    <t>207202062</t>
  </si>
  <si>
    <t>207199182</t>
  </si>
  <si>
    <t>207199216</t>
  </si>
  <si>
    <t>207202068</t>
  </si>
  <si>
    <t>207202072</t>
  </si>
  <si>
    <t>207198376</t>
  </si>
  <si>
    <t>207197757</t>
  </si>
  <si>
    <t>207202305</t>
  </si>
  <si>
    <t>207197764</t>
  </si>
  <si>
    <t>207202306</t>
  </si>
  <si>
    <t>207197700</t>
  </si>
  <si>
    <t>207202304</t>
  </si>
  <si>
    <t>207202311</t>
  </si>
  <si>
    <t>207197311</t>
  </si>
  <si>
    <t>207202310</t>
  </si>
  <si>
    <t>207197491</t>
  </si>
  <si>
    <t>207202308</t>
  </si>
  <si>
    <t>207202309</t>
  </si>
  <si>
    <t>207197346</t>
  </si>
  <si>
    <t>207197397</t>
  </si>
  <si>
    <t>207197638</t>
  </si>
  <si>
    <t>207197441</t>
  </si>
  <si>
    <t>207202307</t>
  </si>
  <si>
    <t>207197589</t>
  </si>
  <si>
    <t>207201871</t>
  </si>
  <si>
    <t>207198006</t>
  </si>
  <si>
    <t>207198001</t>
  </si>
  <si>
    <t>207197952</t>
  </si>
  <si>
    <t>207201870</t>
  </si>
  <si>
    <t>207198064</t>
  </si>
  <si>
    <t>207197900</t>
  </si>
  <si>
    <t>207201873</t>
  </si>
  <si>
    <t>207201849</t>
  </si>
  <si>
    <t>207198134</t>
  </si>
  <si>
    <t>207198316</t>
  </si>
  <si>
    <t>207198206</t>
  </si>
  <si>
    <t>207201901</t>
  </si>
  <si>
    <t>207201900</t>
  </si>
  <si>
    <t>207198308</t>
  </si>
  <si>
    <t>207198567</t>
  </si>
  <si>
    <t>207201902</t>
  </si>
  <si>
    <t>207201874</t>
  </si>
  <si>
    <t>207200869</t>
  </si>
  <si>
    <t>207198364</t>
  </si>
  <si>
    <t>207201875</t>
  </si>
  <si>
    <t>207199214</t>
  </si>
  <si>
    <t>207199146</t>
  </si>
  <si>
    <t>207199032</t>
  </si>
  <si>
    <t>207199312</t>
  </si>
  <si>
    <t>207199110</t>
  </si>
  <si>
    <t>207199270</t>
  </si>
  <si>
    <t>207198822</t>
  </si>
  <si>
    <t>207198532</t>
  </si>
  <si>
    <t>207198688</t>
  </si>
  <si>
    <t>207200086</t>
  </si>
  <si>
    <t>207200550</t>
  </si>
  <si>
    <t>207200516</t>
  </si>
  <si>
    <t>207197466</t>
  </si>
  <si>
    <t>207197419</t>
  </si>
  <si>
    <t>207197465</t>
  </si>
  <si>
    <t>207197483</t>
  </si>
  <si>
    <t>207197574</t>
  </si>
  <si>
    <t>207199054</t>
  </si>
  <si>
    <t>207201655</t>
  </si>
  <si>
    <t>207199722</t>
  </si>
  <si>
    <t>207201698</t>
  </si>
  <si>
    <t>207201567</t>
  </si>
  <si>
    <t>207201673</t>
  </si>
  <si>
    <t>207201688</t>
  </si>
  <si>
    <t>207201571</t>
  </si>
  <si>
    <t>207201580</t>
  </si>
  <si>
    <t>207201573</t>
  </si>
  <si>
    <t>207198981</t>
  </si>
  <si>
    <t>207201650</t>
  </si>
  <si>
    <t>207199772</t>
  </si>
  <si>
    <t>207201553</t>
  </si>
  <si>
    <t>207199726</t>
  </si>
  <si>
    <t>207199665</t>
  </si>
  <si>
    <t>207199170</t>
  </si>
  <si>
    <t>207201726</t>
  </si>
  <si>
    <t>207199658</t>
  </si>
  <si>
    <t>207199581</t>
  </si>
  <si>
    <t>207199537</t>
  </si>
  <si>
    <t>207201717</t>
  </si>
  <si>
    <t>207198545</t>
  </si>
  <si>
    <t>207201838</t>
  </si>
  <si>
    <t>207201705</t>
  </si>
  <si>
    <t>207201937</t>
  </si>
  <si>
    <t>207201826</t>
  </si>
  <si>
    <t>207198670</t>
  </si>
  <si>
    <t>207201812</t>
  </si>
  <si>
    <t>207201814</t>
  </si>
  <si>
    <t>207201893</t>
  </si>
  <si>
    <t>207201840</t>
  </si>
  <si>
    <t>207197710</t>
  </si>
  <si>
    <t>207201895</t>
  </si>
  <si>
    <t>207201776</t>
  </si>
  <si>
    <t>207201947</t>
  </si>
  <si>
    <t>207201652</t>
  </si>
  <si>
    <t>207201976</t>
  </si>
  <si>
    <t>207197747</t>
  </si>
  <si>
    <t>207198582</t>
  </si>
  <si>
    <t>207201774</t>
  </si>
  <si>
    <t>207201651</t>
  </si>
  <si>
    <t>207198715</t>
  </si>
  <si>
    <t>207201939</t>
  </si>
  <si>
    <t>207201889</t>
  </si>
  <si>
    <t>207197663</t>
  </si>
  <si>
    <t>207201945</t>
  </si>
  <si>
    <t>207201885</t>
  </si>
  <si>
    <t>207198770</t>
  </si>
  <si>
    <t>207197476</t>
  </si>
  <si>
    <t>207197768</t>
  </si>
  <si>
    <t>207197845</t>
  </si>
  <si>
    <t>207197468</t>
  </si>
  <si>
    <t>207197559</t>
  </si>
  <si>
    <t>207197654</t>
  </si>
  <si>
    <t>207201788</t>
  </si>
  <si>
    <t>207197618</t>
  </si>
  <si>
    <t>207201790</t>
  </si>
  <si>
    <t>207197787</t>
  </si>
  <si>
    <t>207197792</t>
  </si>
  <si>
    <t>207197826</t>
  </si>
  <si>
    <t>207198625</t>
  </si>
  <si>
    <t>207198748</t>
  </si>
  <si>
    <t>207197875</t>
  </si>
  <si>
    <t>207201908</t>
  </si>
  <si>
    <t>207198787</t>
  </si>
  <si>
    <t>207197524</t>
  </si>
  <si>
    <t>207201811</t>
  </si>
  <si>
    <t>207201719</t>
  </si>
  <si>
    <t>207198595</t>
  </si>
  <si>
    <t>207201033</t>
  </si>
  <si>
    <t>207201034</t>
  </si>
  <si>
    <t>207198795</t>
  </si>
  <si>
    <t>207201036</t>
  </si>
  <si>
    <t>207198707</t>
  </si>
  <si>
    <t>207198624</t>
  </si>
  <si>
    <t>207200986</t>
  </si>
  <si>
    <t>207200947</t>
  </si>
  <si>
    <t>207200949</t>
  </si>
  <si>
    <t>207200943</t>
  </si>
  <si>
    <t>207198658</t>
  </si>
  <si>
    <t>207201004</t>
  </si>
  <si>
    <t>207198555</t>
  </si>
  <si>
    <t>207200998</t>
  </si>
  <si>
    <t>207201000</t>
  </si>
  <si>
    <t>207199735</t>
  </si>
  <si>
    <t>207199728</t>
  </si>
  <si>
    <t>207199527</t>
  </si>
  <si>
    <t>207199754</t>
  </si>
  <si>
    <t>207201058</t>
  </si>
  <si>
    <t>207197440</t>
  </si>
  <si>
    <t>207198886</t>
  </si>
  <si>
    <t>207197399</t>
  </si>
  <si>
    <t>207198939</t>
  </si>
  <si>
    <t>207201111</t>
  </si>
  <si>
    <t>207197998</t>
  </si>
  <si>
    <t>207198273</t>
  </si>
  <si>
    <t>207201113</t>
  </si>
  <si>
    <t>207198314</t>
  </si>
  <si>
    <t>207201063</t>
  </si>
  <si>
    <t>207201108</t>
  </si>
  <si>
    <t>207201096</t>
  </si>
  <si>
    <t>207201147</t>
  </si>
  <si>
    <t>207201143</t>
  </si>
  <si>
    <t>207198133</t>
  </si>
  <si>
    <t>207198065</t>
  </si>
  <si>
    <t>207198267</t>
  </si>
  <si>
    <t>207201117</t>
  </si>
  <si>
    <t>207198061</t>
  </si>
  <si>
    <t>207197494</t>
  </si>
  <si>
    <t>207201060</t>
  </si>
  <si>
    <t>207197446</t>
  </si>
  <si>
    <t>207197702</t>
  </si>
  <si>
    <t>207197640</t>
  </si>
  <si>
    <t>207197763</t>
  </si>
  <si>
    <t>207197344</t>
  </si>
  <si>
    <t>207197371</t>
  </si>
  <si>
    <t>207197308</t>
  </si>
  <si>
    <t>207197337</t>
  </si>
  <si>
    <t>207197897</t>
  </si>
  <si>
    <t>207197545</t>
  </si>
  <si>
    <t>207197953</t>
  </si>
  <si>
    <t>207197903</t>
  </si>
  <si>
    <t>207197591</t>
  </si>
  <si>
    <t>207197810</t>
  </si>
  <si>
    <t>207201056</t>
  </si>
  <si>
    <t>207197852</t>
  </si>
  <si>
    <t>207198805</t>
  </si>
  <si>
    <t>207198798</t>
  </si>
  <si>
    <t>207198630</t>
  </si>
  <si>
    <t>207198681</t>
  </si>
  <si>
    <t>207198742</t>
  </si>
  <si>
    <t>207199048</t>
  </si>
  <si>
    <t>207199538</t>
  </si>
  <si>
    <t>207199167</t>
  </si>
  <si>
    <t>207199056</t>
  </si>
  <si>
    <t>207199578</t>
  </si>
  <si>
    <t>207199967</t>
  </si>
  <si>
    <t>207200501</t>
  </si>
  <si>
    <t>207200378</t>
  </si>
  <si>
    <t>207200388</t>
  </si>
  <si>
    <t>207200483</t>
  </si>
  <si>
    <t>207202324</t>
  </si>
  <si>
    <t>207200347</t>
  </si>
  <si>
    <t>207202323</t>
  </si>
  <si>
    <t>207198850</t>
  </si>
  <si>
    <t>207200300</t>
  </si>
  <si>
    <t>207200668</t>
  </si>
  <si>
    <t>207200293</t>
  </si>
  <si>
    <t>207199805</t>
  </si>
  <si>
    <t>207198855</t>
  </si>
  <si>
    <t>207200673</t>
  </si>
  <si>
    <t>207198852</t>
  </si>
  <si>
    <t>207199738</t>
  </si>
  <si>
    <t>207200629</t>
  </si>
  <si>
    <t>207200709</t>
  </si>
  <si>
    <t>207200712</t>
  </si>
  <si>
    <t>207202331</t>
  </si>
  <si>
    <t>207200707</t>
  </si>
  <si>
    <t>207200446</t>
  </si>
  <si>
    <t>207200603</t>
  </si>
  <si>
    <t>207200596</t>
  </si>
  <si>
    <t>207200463</t>
  </si>
  <si>
    <t>207199518</t>
  </si>
  <si>
    <t>207200688</t>
  </si>
  <si>
    <t>207200694</t>
  </si>
  <si>
    <t>207200396</t>
  </si>
  <si>
    <t>207198881</t>
  </si>
  <si>
    <t>207200466</t>
  </si>
  <si>
    <t>207200440</t>
  </si>
  <si>
    <t>207200576</t>
  </si>
  <si>
    <t>207200562</t>
  </si>
  <si>
    <t>207199759</t>
  </si>
  <si>
    <t>207199875</t>
  </si>
  <si>
    <t>207200095</t>
  </si>
  <si>
    <t>207200613</t>
  </si>
  <si>
    <t>207198834</t>
  </si>
  <si>
    <t>207200040</t>
  </si>
  <si>
    <t>207199859</t>
  </si>
  <si>
    <t>207202313</t>
  </si>
  <si>
    <t>207202312</t>
  </si>
  <si>
    <t>207200644</t>
  </si>
  <si>
    <t>207199252</t>
  </si>
  <si>
    <t>207199376</t>
  </si>
  <si>
    <t>207199373</t>
  </si>
  <si>
    <t>207199950</t>
  </si>
  <si>
    <t>207199927</t>
  </si>
  <si>
    <t>207199916</t>
  </si>
  <si>
    <t>207200526</t>
  </si>
  <si>
    <t>207199321</t>
  </si>
  <si>
    <t>207200637</t>
  </si>
  <si>
    <t>207199963</t>
  </si>
  <si>
    <t>207199550</t>
  </si>
  <si>
    <t>207202319</t>
  </si>
  <si>
    <t>207200242</t>
  </si>
  <si>
    <t>207200517</t>
  </si>
  <si>
    <t>207200222</t>
  </si>
  <si>
    <t>207199449</t>
  </si>
  <si>
    <t>207202322</t>
  </si>
  <si>
    <t>207200545</t>
  </si>
  <si>
    <t>207202321</t>
  </si>
  <si>
    <t>207202320</t>
  </si>
  <si>
    <t>207200256</t>
  </si>
  <si>
    <t>207202314</t>
  </si>
  <si>
    <t>207199850</t>
  </si>
  <si>
    <t>207199676</t>
  </si>
  <si>
    <t>207200161</t>
  </si>
  <si>
    <t>207200168</t>
  </si>
  <si>
    <t>207202315</t>
  </si>
  <si>
    <t>207200209</t>
  </si>
  <si>
    <t>207202318</t>
  </si>
  <si>
    <t>207202316</t>
  </si>
  <si>
    <t>207202317</t>
  </si>
  <si>
    <t>207200462</t>
  </si>
  <si>
    <t>207201151</t>
  </si>
  <si>
    <t>207201153</t>
  </si>
  <si>
    <t>207200174</t>
  </si>
  <si>
    <t>207200200</t>
  </si>
  <si>
    <t>207201145</t>
  </si>
  <si>
    <t>207201149</t>
  </si>
  <si>
    <t>207201182</t>
  </si>
  <si>
    <t>207200157</t>
  </si>
  <si>
    <t>207200521</t>
  </si>
  <si>
    <t>207200133</t>
  </si>
  <si>
    <t>207201184</t>
  </si>
  <si>
    <t>207201186</t>
  </si>
  <si>
    <t>207200159</t>
  </si>
  <si>
    <t>207200486</t>
  </si>
  <si>
    <t>207200500</t>
  </si>
  <si>
    <t>207200506</t>
  </si>
  <si>
    <t>207200445</t>
  </si>
  <si>
    <t>207200477</t>
  </si>
  <si>
    <t>207200480</t>
  </si>
  <si>
    <t>207200255</t>
  </si>
  <si>
    <t>207201109</t>
  </si>
  <si>
    <t>207201115</t>
  </si>
  <si>
    <t>207200205</t>
  </si>
  <si>
    <t>207200249</t>
  </si>
  <si>
    <t>207200223</t>
  </si>
  <si>
    <t>207200221</t>
  </si>
  <si>
    <t>207200129</t>
  </si>
  <si>
    <t>207199860</t>
  </si>
  <si>
    <t>207199858</t>
  </si>
  <si>
    <t>207199841</t>
  </si>
  <si>
    <t>207199966</t>
  </si>
  <si>
    <t>207199956</t>
  </si>
  <si>
    <t>207199952</t>
  </si>
  <si>
    <t>207200539</t>
  </si>
  <si>
    <t>207199807</t>
  </si>
  <si>
    <t>207199750</t>
  </si>
  <si>
    <t>207200600</t>
  </si>
  <si>
    <t>207200544</t>
  </si>
  <si>
    <t>207199816</t>
  </si>
  <si>
    <t>207199809</t>
  </si>
  <si>
    <t>207200036</t>
  </si>
  <si>
    <t>207200032</t>
  </si>
  <si>
    <t>207200028</t>
  </si>
  <si>
    <t>207200127</t>
  </si>
  <si>
    <t>207201442</t>
  </si>
  <si>
    <t>207200060</t>
  </si>
  <si>
    <t>207200021</t>
  </si>
  <si>
    <t>207199992</t>
  </si>
  <si>
    <t>207199974</t>
  </si>
  <si>
    <t>207199970</t>
  </si>
  <si>
    <t>207200018</t>
  </si>
  <si>
    <t>207200001</t>
  </si>
  <si>
    <t>207199999</t>
  </si>
  <si>
    <t>207198605</t>
  </si>
  <si>
    <t>207199973</t>
  </si>
  <si>
    <t>207200033</t>
  </si>
  <si>
    <t>207200531</t>
  </si>
  <si>
    <t>207200128</t>
  </si>
  <si>
    <t>207200059</t>
  </si>
  <si>
    <t>207200063</t>
  </si>
  <si>
    <t>207199751</t>
  </si>
  <si>
    <t>207199948</t>
  </si>
  <si>
    <t>207197398</t>
  </si>
  <si>
    <t>207197445</t>
  </si>
  <si>
    <t>207199596</t>
  </si>
  <si>
    <t>207199150</t>
  </si>
  <si>
    <t>207199569</t>
  </si>
  <si>
    <t>207199191</t>
  </si>
  <si>
    <t>207199092</t>
  </si>
  <si>
    <t>207199278</t>
  </si>
  <si>
    <t>207199344</t>
  </si>
  <si>
    <t>207199337</t>
  </si>
  <si>
    <t>207199174</t>
  </si>
  <si>
    <t>207199919</t>
  </si>
  <si>
    <t>207199926</t>
  </si>
  <si>
    <t>207201431</t>
  </si>
  <si>
    <t>207199682</t>
  </si>
  <si>
    <t>207201393</t>
  </si>
  <si>
    <t>207201412</t>
  </si>
  <si>
    <t>207201400</t>
  </si>
  <si>
    <t>207201416</t>
  </si>
  <si>
    <t>207199602</t>
  </si>
  <si>
    <t>207201464</t>
  </si>
  <si>
    <t>207199641</t>
  </si>
  <si>
    <t>207201920</t>
  </si>
  <si>
    <t>207201914</t>
  </si>
  <si>
    <t>207201955</t>
  </si>
  <si>
    <t>207201916</t>
  </si>
  <si>
    <t>207198109</t>
  </si>
  <si>
    <t>207198007</t>
  </si>
  <si>
    <t>207198186</t>
  </si>
  <si>
    <t>207201951</t>
  </si>
  <si>
    <t>207201881</t>
  </si>
  <si>
    <t>207199855</t>
  </si>
  <si>
    <t>207199909</t>
  </si>
  <si>
    <t>207199801</t>
  </si>
  <si>
    <t>207199462</t>
  </si>
  <si>
    <t>207199465</t>
  </si>
  <si>
    <t>207199435</t>
  </si>
  <si>
    <t>207199489</t>
  </si>
  <si>
    <t>207199494</t>
  </si>
  <si>
    <t>207199493</t>
  </si>
  <si>
    <t>207201336</t>
  </si>
  <si>
    <t>207201289</t>
  </si>
  <si>
    <t>207199324</t>
  </si>
  <si>
    <t>207200265</t>
  </si>
  <si>
    <t>207201322</t>
  </si>
  <si>
    <t>207199483</t>
  </si>
  <si>
    <t>207201305</t>
  </si>
  <si>
    <t>207201303</t>
  </si>
  <si>
    <t>207201332</t>
  </si>
  <si>
    <t>207201301</t>
  </si>
  <si>
    <t>207199756</t>
  </si>
  <si>
    <t>207201329</t>
  </si>
  <si>
    <t>207199843</t>
  </si>
  <si>
    <t>207199865</t>
  </si>
  <si>
    <t>207200190</t>
  </si>
  <si>
    <t>207199446</t>
  </si>
  <si>
    <t>207199929</t>
  </si>
  <si>
    <t>207199258</t>
  </si>
  <si>
    <t>207199404</t>
  </si>
  <si>
    <t>207199655</t>
  </si>
  <si>
    <t>207200135</t>
  </si>
  <si>
    <t>207201330</t>
  </si>
  <si>
    <t>207200309</t>
  </si>
  <si>
    <t>207200240</t>
  </si>
  <si>
    <t>207200196</t>
  </si>
  <si>
    <t>207199547</t>
  </si>
  <si>
    <t>207201532</t>
  </si>
  <si>
    <t>207202010</t>
  </si>
  <si>
    <t>207201795</t>
  </si>
  <si>
    <t>207201864</t>
  </si>
  <si>
    <t>207201512</t>
  </si>
  <si>
    <t>207201862</t>
  </si>
  <si>
    <t>207201602</t>
  </si>
  <si>
    <t>207202019</t>
  </si>
  <si>
    <t>207201515</t>
  </si>
  <si>
    <t>207201619</t>
  </si>
  <si>
    <t>207202015</t>
  </si>
  <si>
    <t>207202050</t>
  </si>
  <si>
    <t>207201791</t>
  </si>
  <si>
    <t>207201597</t>
  </si>
  <si>
    <t>207201623</t>
  </si>
  <si>
    <t>207201700</t>
  </si>
  <si>
    <t>207201718</t>
  </si>
  <si>
    <t>207201770</t>
  </si>
  <si>
    <t>207201773</t>
  </si>
  <si>
    <t>207201722</t>
  </si>
  <si>
    <t>207201702</t>
  </si>
  <si>
    <t>207201787</t>
  </si>
  <si>
    <t>207201997</t>
  </si>
  <si>
    <t>207202327</t>
  </si>
  <si>
    <t>207202325</t>
  </si>
  <si>
    <t>207202326</t>
  </si>
  <si>
    <t>207202328</t>
  </si>
  <si>
    <t>207202329</t>
  </si>
  <si>
    <t>207197766</t>
  </si>
  <si>
    <t>207200290</t>
  </si>
  <si>
    <t>207198951</t>
  </si>
  <si>
    <t>207197423</t>
  </si>
  <si>
    <t>207197485</t>
  </si>
  <si>
    <t>207197516</t>
  </si>
  <si>
    <t>207199812</t>
  </si>
  <si>
    <t>207199900</t>
  </si>
  <si>
    <t>207197544</t>
  </si>
  <si>
    <t>207198135</t>
  </si>
  <si>
    <t>207198269</t>
  </si>
  <si>
    <t>207198060</t>
  </si>
  <si>
    <t>207198202</t>
  </si>
  <si>
    <t>207198312</t>
  </si>
  <si>
    <t>207198128</t>
  </si>
  <si>
    <t>207199049</t>
  </si>
  <si>
    <t>207198982</t>
  </si>
  <si>
    <t>207199098</t>
  </si>
  <si>
    <t>207199059</t>
  </si>
  <si>
    <t>207201701</t>
  </si>
  <si>
    <t>207200375</t>
  </si>
  <si>
    <t>207201982</t>
  </si>
  <si>
    <t>207202008</t>
  </si>
  <si>
    <t>207201706</t>
  </si>
  <si>
    <t>207200367</t>
  </si>
  <si>
    <t>207200369</t>
  </si>
  <si>
    <t>207200371</t>
  </si>
  <si>
    <t>207201983</t>
  </si>
  <si>
    <t>207200373</t>
  </si>
  <si>
    <t>207201720</t>
  </si>
  <si>
    <t>207202047</t>
  </si>
  <si>
    <t>207202049</t>
  </si>
  <si>
    <t>207201510</t>
  </si>
  <si>
    <t>207201527</t>
  </si>
  <si>
    <t>207201978</t>
  </si>
  <si>
    <t>207201514</t>
  </si>
  <si>
    <t>207201500</t>
  </si>
  <si>
    <t>207202014</t>
  </si>
  <si>
    <t>207202012</t>
  </si>
  <si>
    <t>207201985</t>
  </si>
  <si>
    <t>207201704</t>
  </si>
  <si>
    <t>207200229</t>
  </si>
  <si>
    <t>207200233</t>
  </si>
  <si>
    <t>207200321</t>
  </si>
  <si>
    <t>207200324</t>
  </si>
  <si>
    <t>207200267</t>
  </si>
  <si>
    <t>207201605</t>
  </si>
  <si>
    <t>207201793</t>
  </si>
  <si>
    <t>207200318</t>
  </si>
  <si>
    <t>207200007</t>
  </si>
  <si>
    <t>207200011</t>
  </si>
  <si>
    <t>207201600</t>
  </si>
  <si>
    <t>207201768</t>
  </si>
  <si>
    <t>207201771</t>
  </si>
  <si>
    <t>207201625</t>
  </si>
  <si>
    <t>207201617</t>
  </si>
  <si>
    <t>207201789</t>
  </si>
  <si>
    <t>207201775</t>
  </si>
  <si>
    <t>207201621</t>
  </si>
  <si>
    <t>207200326</t>
  </si>
  <si>
    <t>207200273</t>
  </si>
  <si>
    <t>207200272</t>
  </si>
  <si>
    <t>207200275</t>
  </si>
  <si>
    <t>207200269</t>
  </si>
  <si>
    <t>207202017</t>
  </si>
  <si>
    <t>207201972</t>
  </si>
  <si>
    <t>207199979</t>
  </si>
  <si>
    <t>207201584</t>
  </si>
  <si>
    <t>207199604</t>
  </si>
  <si>
    <t>207199677</t>
  </si>
  <si>
    <t>207200472</t>
  </si>
  <si>
    <t>207197365</t>
  </si>
  <si>
    <t>207198862</t>
  </si>
  <si>
    <t>207199541</t>
  </si>
  <si>
    <t>207201508</t>
  </si>
  <si>
    <t>207199169</t>
  </si>
  <si>
    <t>207198986</t>
  </si>
  <si>
    <t>207198980</t>
  </si>
  <si>
    <t>207201724</t>
  </si>
  <si>
    <t>207201670</t>
  </si>
  <si>
    <t>207201577</t>
  </si>
  <si>
    <t>207199582</t>
  </si>
  <si>
    <t>207201730</t>
  </si>
  <si>
    <t>207201582</t>
  </si>
  <si>
    <t>207201569</t>
  </si>
  <si>
    <t>207201555</t>
  </si>
  <si>
    <t>207201693</t>
  </si>
  <si>
    <t>207199662</t>
  </si>
  <si>
    <t>207201653</t>
  </si>
  <si>
    <t>207199097</t>
  </si>
  <si>
    <t>207201695</t>
  </si>
  <si>
    <t>207200401</t>
  </si>
  <si>
    <t>207200363</t>
  </si>
  <si>
    <t>207200423</t>
  </si>
  <si>
    <t>207200454</t>
  </si>
  <si>
    <t>207199221</t>
  </si>
  <si>
    <t>207199628</t>
  </si>
  <si>
    <t>207197812</t>
  </si>
  <si>
    <t>207197947</t>
  </si>
  <si>
    <t>207197898</t>
  </si>
  <si>
    <t>207198198</t>
  </si>
  <si>
    <t>207198058</t>
  </si>
  <si>
    <t>207198737</t>
  </si>
  <si>
    <t>207201999</t>
  </si>
  <si>
    <t>207198636</t>
  </si>
  <si>
    <t>207202232</t>
  </si>
  <si>
    <t>207202229</t>
  </si>
  <si>
    <t>207198569</t>
  </si>
  <si>
    <t>207202230</t>
  </si>
  <si>
    <t>207202222</t>
  </si>
  <si>
    <t>207198573</t>
  </si>
  <si>
    <t>207198627</t>
  </si>
  <si>
    <t>207202239</t>
  </si>
  <si>
    <t>207202233</t>
  </si>
  <si>
    <t>207202231</t>
  </si>
  <si>
    <t>207202242</t>
  </si>
  <si>
    <t>207202243</t>
  </si>
  <si>
    <t>207202240</t>
  </si>
  <si>
    <t>207202241</t>
  </si>
  <si>
    <t>207198365</t>
  </si>
  <si>
    <t>207202225</t>
  </si>
  <si>
    <t>207202224</t>
  </si>
  <si>
    <t>207202223</t>
  </si>
  <si>
    <t>207198287</t>
  </si>
  <si>
    <t>207199007</t>
  </si>
  <si>
    <t>207198056</t>
  </si>
  <si>
    <t>207199017</t>
  </si>
  <si>
    <t>207201575</t>
  </si>
  <si>
    <t>207201675</t>
  </si>
  <si>
    <t>207198153</t>
  </si>
  <si>
    <t>207201728</t>
  </si>
  <si>
    <t>207201837</t>
  </si>
  <si>
    <t>207198115</t>
  </si>
  <si>
    <t>207201697</t>
  </si>
  <si>
    <t>207198303</t>
  </si>
  <si>
    <t>207197981</t>
  </si>
  <si>
    <t>207198183</t>
  </si>
  <si>
    <t>207197958</t>
  </si>
  <si>
    <t>207198026</t>
  </si>
  <si>
    <t>207197937</t>
  </si>
  <si>
    <t>207201825</t>
  </si>
  <si>
    <t>207198902</t>
  </si>
  <si>
    <t>207198291</t>
  </si>
  <si>
    <t>207201767</t>
  </si>
  <si>
    <t>207198237</t>
  </si>
  <si>
    <t>207198242</t>
  </si>
  <si>
    <t>207201969</t>
  </si>
  <si>
    <t>207201732</t>
  </si>
  <si>
    <t>207201734</t>
  </si>
  <si>
    <t>207201846</t>
  </si>
  <si>
    <t>207198962</t>
  </si>
  <si>
    <t>207198262</t>
  </si>
  <si>
    <t>207201649</t>
  </si>
  <si>
    <t>207201667</t>
  </si>
  <si>
    <t>207201765</t>
  </si>
  <si>
    <t>207201841</t>
  </si>
  <si>
    <t>207198936</t>
  </si>
  <si>
    <t>207201884</t>
  </si>
  <si>
    <t>207202139</t>
  </si>
  <si>
    <t>207198178</t>
  </si>
  <si>
    <t>207201761</t>
  </si>
  <si>
    <t>207201763</t>
  </si>
  <si>
    <t>207199907</t>
  </si>
  <si>
    <t>207201923</t>
  </si>
  <si>
    <t>207199786</t>
  </si>
  <si>
    <t>207200302</t>
  </si>
  <si>
    <t>207201925</t>
  </si>
  <si>
    <t>207201921</t>
  </si>
  <si>
    <t>207200093</t>
  </si>
  <si>
    <t>207200024</t>
  </si>
  <si>
    <t>207201977</t>
  </si>
  <si>
    <t>207201973</t>
  </si>
  <si>
    <t>207202027</t>
  </si>
  <si>
    <t>207200248</t>
  </si>
  <si>
    <t>207201975</t>
  </si>
  <si>
    <t>207202024</t>
  </si>
  <si>
    <t>207200206</t>
  </si>
  <si>
    <t>207200280</t>
  </si>
  <si>
    <t>207201979</t>
  </si>
  <si>
    <t>207201938</t>
  </si>
  <si>
    <t>207200152</t>
  </si>
  <si>
    <t>207199993</t>
  </si>
  <si>
    <t>207201878</t>
  </si>
  <si>
    <t>207201880</t>
  </si>
  <si>
    <t>207201882</t>
  </si>
  <si>
    <t>207201919</t>
  </si>
  <si>
    <t>207201866</t>
  </si>
  <si>
    <t>207200333</t>
  </si>
  <si>
    <t>207201821</t>
  </si>
  <si>
    <t>207199836</t>
  </si>
  <si>
    <t>207201823</t>
  </si>
  <si>
    <t>207200412</t>
  </si>
  <si>
    <t>207200392</t>
  </si>
  <si>
    <t>207199946</t>
  </si>
  <si>
    <t>207199871</t>
  </si>
  <si>
    <t>207200438</t>
  </si>
  <si>
    <t>207200382</t>
  </si>
  <si>
    <t>207202296</t>
  </si>
  <si>
    <t>207200565</t>
  </si>
  <si>
    <t>207200592</t>
  </si>
  <si>
    <t>207202298</t>
  </si>
  <si>
    <t>207200574</t>
  </si>
  <si>
    <t>207200546</t>
  </si>
  <si>
    <t>207202300</t>
  </si>
  <si>
    <t>207199425</t>
  </si>
  <si>
    <t>207201757</t>
  </si>
  <si>
    <t>207199421</t>
  </si>
  <si>
    <t>207201759</t>
  </si>
  <si>
    <t>207198457</t>
  </si>
  <si>
    <t>207198463</t>
  </si>
  <si>
    <t>207198412</t>
  </si>
  <si>
    <t>207201762</t>
  </si>
  <si>
    <t>207199281</t>
  </si>
  <si>
    <t>207198500</t>
  </si>
  <si>
    <t>207202044</t>
  </si>
  <si>
    <t>207199470</t>
  </si>
  <si>
    <t>207201760</t>
  </si>
  <si>
    <t>207201809</t>
  </si>
  <si>
    <t>207201796</t>
  </si>
  <si>
    <t>207201764</t>
  </si>
  <si>
    <t>207199228</t>
  </si>
  <si>
    <t>207201807</t>
  </si>
  <si>
    <t>207201690</t>
  </si>
  <si>
    <t>207199338</t>
  </si>
  <si>
    <t>207201674</t>
  </si>
  <si>
    <t>207199234</t>
  </si>
  <si>
    <t>207201691</t>
  </si>
  <si>
    <t>207201687</t>
  </si>
  <si>
    <t>207201689</t>
  </si>
  <si>
    <t>207199346</t>
  </si>
  <si>
    <t>207199652</t>
  </si>
  <si>
    <t>207197951</t>
  </si>
  <si>
    <t>207202251</t>
  </si>
  <si>
    <t>207202247</t>
  </si>
  <si>
    <t>207198003</t>
  </si>
  <si>
    <t>207202250</t>
  </si>
  <si>
    <t>207198129</t>
  </si>
  <si>
    <t>207198363</t>
  </si>
  <si>
    <t>207198357</t>
  </si>
  <si>
    <t>207198271</t>
  </si>
  <si>
    <t>207198682</t>
  </si>
  <si>
    <t>207198631</t>
  </si>
  <si>
    <t>207199573</t>
  </si>
  <si>
    <t>207200037</t>
  </si>
  <si>
    <t>207199524</t>
  </si>
  <si>
    <t>207199784</t>
  </si>
  <si>
    <t>207199832</t>
  </si>
  <si>
    <t>207199611</t>
  </si>
  <si>
    <t>207199854</t>
  </si>
  <si>
    <t>207199896</t>
  </si>
  <si>
    <t>207199915</t>
  </si>
  <si>
    <t>207199874</t>
  </si>
  <si>
    <t>207202101</t>
  </si>
  <si>
    <t>207202098</t>
  </si>
  <si>
    <t>207198270</t>
  </si>
  <si>
    <t>207202094</t>
  </si>
  <si>
    <t>207198311</t>
  </si>
  <si>
    <t>207198366</t>
  </si>
  <si>
    <t>207202112</t>
  </si>
  <si>
    <t>207202106</t>
  </si>
  <si>
    <t>207202081</t>
  </si>
  <si>
    <t>207198063</t>
  </si>
  <si>
    <t>207202109</t>
  </si>
  <si>
    <t>207197956</t>
  </si>
  <si>
    <t>207202115</t>
  </si>
  <si>
    <t>207202110</t>
  </si>
  <si>
    <t>207202111</t>
  </si>
  <si>
    <t>207202083</t>
  </si>
  <si>
    <t>207202089</t>
  </si>
  <si>
    <t>207198197</t>
  </si>
  <si>
    <t>207202085</t>
  </si>
  <si>
    <t>207202091</t>
  </si>
  <si>
    <t>207198628</t>
  </si>
  <si>
    <t>207198685</t>
  </si>
  <si>
    <t>207202215</t>
  </si>
  <si>
    <t>207198677</t>
  </si>
  <si>
    <t>207202218</t>
  </si>
  <si>
    <t>207202216</t>
  </si>
  <si>
    <t>207202217</t>
  </si>
  <si>
    <t>207202211</t>
  </si>
  <si>
    <t>207202213</t>
  </si>
  <si>
    <t>207202214</t>
  </si>
  <si>
    <t>207200527</t>
  </si>
  <si>
    <t>207200533</t>
  </si>
  <si>
    <t>207200116</t>
  </si>
  <si>
    <t>207200110</t>
  </si>
  <si>
    <t>207201911</t>
  </si>
  <si>
    <t>207201865</t>
  </si>
  <si>
    <t>207201913</t>
  </si>
  <si>
    <t>207201924</t>
  </si>
  <si>
    <t>207199648</t>
  </si>
  <si>
    <t>207201863</t>
  </si>
  <si>
    <t>207201861</t>
  </si>
  <si>
    <t>207201909</t>
  </si>
  <si>
    <t>207201824</t>
  </si>
  <si>
    <t>207201859</t>
  </si>
  <si>
    <t>207199674</t>
  </si>
  <si>
    <t>207199708</t>
  </si>
  <si>
    <t>207198641</t>
  </si>
  <si>
    <t>207198756</t>
  </si>
  <si>
    <t>207198730</t>
  </si>
  <si>
    <t>207198676</t>
  </si>
  <si>
    <t>207199615</t>
  </si>
  <si>
    <t>207198501</t>
  </si>
  <si>
    <t>207199236</t>
  </si>
  <si>
    <t>207199280</t>
  </si>
  <si>
    <t>207199918</t>
  </si>
  <si>
    <t>207199881</t>
  </si>
  <si>
    <t>207199371</t>
  </si>
  <si>
    <t>207199265</t>
  </si>
  <si>
    <t>207199741</t>
  </si>
  <si>
    <t>207202041</t>
  </si>
  <si>
    <t>207200528</t>
  </si>
  <si>
    <t>207200535</t>
  </si>
  <si>
    <t>207197474</t>
  </si>
  <si>
    <t>207199204</t>
  </si>
  <si>
    <t>207199647</t>
  </si>
  <si>
    <t>207198460</t>
  </si>
  <si>
    <t>207200108</t>
  </si>
  <si>
    <t>207200083</t>
  </si>
  <si>
    <t>207200547</t>
  </si>
  <si>
    <t>207197385</t>
  </si>
  <si>
    <t>207200365</t>
  </si>
  <si>
    <t>207200490</t>
  </si>
  <si>
    <t>207200406</t>
  </si>
  <si>
    <t>207200358</t>
  </si>
  <si>
    <t>207200451</t>
  </si>
  <si>
    <t>207197890</t>
  </si>
  <si>
    <t>207197435</t>
  </si>
  <si>
    <t>207198922</t>
  </si>
  <si>
    <t>207198744</t>
  </si>
  <si>
    <t>207199047</t>
  </si>
  <si>
    <t>207202063</t>
  </si>
  <si>
    <t>207202039</t>
  </si>
  <si>
    <t>207202067</t>
  </si>
  <si>
    <t>207202037</t>
  </si>
  <si>
    <t>207199105</t>
  </si>
  <si>
    <t>207202061</t>
  </si>
  <si>
    <t>207198806</t>
  </si>
  <si>
    <t>207198863</t>
  </si>
  <si>
    <t>207199259</t>
  </si>
  <si>
    <t>207200186</t>
  </si>
  <si>
    <t>207200182</t>
  </si>
  <si>
    <t>207198439</t>
  </si>
  <si>
    <t>207201907</t>
  </si>
  <si>
    <t>207199220</t>
  </si>
  <si>
    <t>207198403</t>
  </si>
  <si>
    <t>207201891</t>
  </si>
  <si>
    <t>207201941</t>
  </si>
  <si>
    <t>207201943</t>
  </si>
  <si>
    <t>207201974</t>
  </si>
  <si>
    <t>207198491</t>
  </si>
  <si>
    <t>207201926</t>
  </si>
  <si>
    <t>207201887</t>
  </si>
  <si>
    <t>207201980</t>
  </si>
  <si>
    <t>207198333</t>
  </si>
  <si>
    <t>207201949</t>
  </si>
  <si>
    <t>207198367</t>
  </si>
  <si>
    <t>207199190</t>
  </si>
  <si>
    <t>207200177</t>
  </si>
  <si>
    <t>207199349</t>
  </si>
  <si>
    <t>207200954</t>
  </si>
  <si>
    <t>207200983</t>
  </si>
  <si>
    <t>207199313</t>
  </si>
  <si>
    <t>207199315</t>
  </si>
  <si>
    <t>207201116</t>
  </si>
  <si>
    <t>207200952</t>
  </si>
  <si>
    <t>207199564</t>
  </si>
  <si>
    <t>207199566</t>
  </si>
  <si>
    <t>207199311</t>
  </si>
  <si>
    <t>207200950</t>
  </si>
  <si>
    <t>207199347</t>
  </si>
  <si>
    <t>207200973</t>
  </si>
  <si>
    <t>207200981</t>
  </si>
  <si>
    <t>207201369</t>
  </si>
  <si>
    <t>207201366</t>
  </si>
  <si>
    <t>207198391</t>
  </si>
  <si>
    <t>207201368</t>
  </si>
  <si>
    <t>207201360</t>
  </si>
  <si>
    <t>207201364</t>
  </si>
  <si>
    <t>207198248</t>
  </si>
  <si>
    <t>207198320</t>
  </si>
  <si>
    <t>207201371</t>
  </si>
  <si>
    <t>207198279</t>
  </si>
  <si>
    <t>207198395</t>
  </si>
  <si>
    <t>207198338</t>
  </si>
  <si>
    <t>207198341</t>
  </si>
  <si>
    <t>207201375</t>
  </si>
  <si>
    <t>207199442</t>
  </si>
  <si>
    <t>207199363</t>
  </si>
  <si>
    <t>207199295</t>
  </si>
  <si>
    <t>207199961</t>
  </si>
  <si>
    <t>207200150</t>
  </si>
  <si>
    <t>207200022</t>
  </si>
  <si>
    <t>207200087</t>
  </si>
  <si>
    <t>207200197</t>
  </si>
  <si>
    <t>207198305</t>
  </si>
  <si>
    <t>207199020</t>
  </si>
  <si>
    <t>207198994</t>
  </si>
  <si>
    <t>207199129</t>
  </si>
  <si>
    <t>207199044</t>
  </si>
  <si>
    <t>207198571</t>
  </si>
  <si>
    <t>207199686</t>
  </si>
  <si>
    <t>207199100</t>
  </si>
  <si>
    <t>207199474</t>
  </si>
  <si>
    <t>207198866</t>
  </si>
  <si>
    <t>207199546</t>
  </si>
  <si>
    <t>207198803</t>
  </si>
  <si>
    <t>207198861</t>
  </si>
  <si>
    <t>207199050</t>
  </si>
  <si>
    <t>207198745</t>
  </si>
  <si>
    <t>207198738</t>
  </si>
  <si>
    <t>207198926</t>
  </si>
  <si>
    <t>207197940</t>
  </si>
  <si>
    <t>207198575</t>
  </si>
  <si>
    <t>207198635</t>
  </si>
  <si>
    <t>207198740</t>
  </si>
  <si>
    <t>207198743</t>
  </si>
  <si>
    <t>207198680</t>
  </si>
  <si>
    <t>207199504</t>
  </si>
  <si>
    <t>207199707</t>
  </si>
  <si>
    <t>207199556</t>
  </si>
  <si>
    <t>207202121</t>
  </si>
  <si>
    <t>207202122</t>
  </si>
  <si>
    <t>207202133</t>
  </si>
  <si>
    <t>207200635</t>
  </si>
  <si>
    <t>207200711</t>
  </si>
  <si>
    <t>207202116</t>
  </si>
  <si>
    <t>207202117</t>
  </si>
  <si>
    <t>207198830</t>
  </si>
  <si>
    <t>207198847</t>
  </si>
  <si>
    <t>207200708</t>
  </si>
  <si>
    <t>207202120</t>
  </si>
  <si>
    <t>207202118</t>
  </si>
  <si>
    <t>207202119</t>
  </si>
  <si>
    <t>207202130</t>
  </si>
  <si>
    <t>207200695</t>
  </si>
  <si>
    <t>207202129</t>
  </si>
  <si>
    <t>207200663</t>
  </si>
  <si>
    <t>207200690</t>
  </si>
  <si>
    <t>207200675</t>
  </si>
  <si>
    <t>207200642</t>
  </si>
  <si>
    <t>207202132</t>
  </si>
  <si>
    <t>207202131</t>
  </si>
  <si>
    <t>207202333</t>
  </si>
  <si>
    <t>207200595</t>
  </si>
  <si>
    <t>207200502</t>
  </si>
  <si>
    <t>207199958</t>
  </si>
  <si>
    <t>207200541</t>
  </si>
  <si>
    <t>207199949</t>
  </si>
  <si>
    <t>207200525</t>
  </si>
  <si>
    <t>207200518</t>
  </si>
  <si>
    <t>207199942</t>
  </si>
  <si>
    <t>207199996</t>
  </si>
  <si>
    <t>207200479</t>
  </si>
  <si>
    <t>207199987</t>
  </si>
  <si>
    <t>207200484</t>
  </si>
  <si>
    <t>207202332</t>
  </si>
  <si>
    <t>207200458</t>
  </si>
  <si>
    <t>207199968</t>
  </si>
  <si>
    <t>207199838</t>
  </si>
  <si>
    <t>207199962</t>
  </si>
  <si>
    <t>207202334</t>
  </si>
  <si>
    <t>207199991</t>
  </si>
  <si>
    <t>207199864</t>
  </si>
  <si>
    <t>207199846</t>
  </si>
  <si>
    <t>207200279</t>
  </si>
  <si>
    <t>207200198</t>
  </si>
  <si>
    <t>207199755</t>
  </si>
  <si>
    <t>207200023</t>
  </si>
  <si>
    <t>207200201</t>
  </si>
  <si>
    <t>207200217</t>
  </si>
  <si>
    <t>207199811</t>
  </si>
  <si>
    <t>207200225</t>
  </si>
  <si>
    <t>207200251</t>
  </si>
  <si>
    <t>207199783</t>
  </si>
  <si>
    <t>207199853</t>
  </si>
  <si>
    <t>207199579</t>
  </si>
  <si>
    <t>207200137</t>
  </si>
  <si>
    <t>207198860</t>
  </si>
  <si>
    <t>207199486</t>
  </si>
  <si>
    <t>207199769</t>
  </si>
  <si>
    <t>207198923</t>
  </si>
  <si>
    <t>207199476</t>
  </si>
  <si>
    <t>207199888</t>
  </si>
  <si>
    <t>207198494</t>
  </si>
  <si>
    <t>207199218</t>
  </si>
  <si>
    <t>207200056</t>
  </si>
  <si>
    <t>207198445</t>
  </si>
  <si>
    <t>207200053</t>
  </si>
  <si>
    <t>207198983</t>
  </si>
  <si>
    <t>207199370</t>
  </si>
  <si>
    <t>207199101</t>
  </si>
  <si>
    <t>207199253</t>
  </si>
  <si>
    <t>207199852</t>
  </si>
  <si>
    <t>207199608</t>
  </si>
  <si>
    <t>207198354</t>
  </si>
  <si>
    <t>207200140</t>
  </si>
  <si>
    <t>207199555</t>
  </si>
  <si>
    <t>207200144</t>
  </si>
  <si>
    <t>207199781</t>
  </si>
  <si>
    <t>207199718</t>
  </si>
  <si>
    <t>207200178</t>
  </si>
  <si>
    <t>207198918</t>
  </si>
  <si>
    <t>207200104</t>
  </si>
  <si>
    <t>207199576</t>
  </si>
  <si>
    <t>207199776</t>
  </si>
  <si>
    <t>207200183</t>
  </si>
  <si>
    <t>207199187</t>
  </si>
  <si>
    <t>207199723</t>
  </si>
  <si>
    <t>207200101</t>
  </si>
  <si>
    <t>207199820</t>
  </si>
  <si>
    <t>207199053</t>
  </si>
  <si>
    <t>207199325</t>
  </si>
  <si>
    <t>207198329</t>
  </si>
  <si>
    <t>207200015</t>
  </si>
  <si>
    <t>207199336</t>
  </si>
  <si>
    <t>207199453</t>
  </si>
  <si>
    <t>207199660</t>
  </si>
  <si>
    <t>207199835</t>
  </si>
  <si>
    <t>207199517</t>
  </si>
  <si>
    <t>207200050</t>
  </si>
  <si>
    <t>207199290</t>
  </si>
  <si>
    <t>207198430</t>
  </si>
  <si>
    <t>207200026</t>
  </si>
  <si>
    <t>207202113</t>
  </si>
  <si>
    <t>207199941</t>
  </si>
  <si>
    <t>207199867</t>
  </si>
  <si>
    <t>207199829</t>
  </si>
  <si>
    <t>207200017</t>
  </si>
  <si>
    <t>207200091</t>
  </si>
  <si>
    <t>207200126</t>
  </si>
  <si>
    <t>207199914</t>
  </si>
  <si>
    <t>207200523</t>
  </si>
  <si>
    <t>207198657</t>
  </si>
  <si>
    <t>207198617</t>
  </si>
  <si>
    <t>207198774</t>
  </si>
  <si>
    <t>207202090</t>
  </si>
  <si>
    <t>207198548</t>
  </si>
  <si>
    <t>207198750</t>
  </si>
  <si>
    <t>207202099</t>
  </si>
  <si>
    <t>207197820</t>
  </si>
  <si>
    <t>207202092</t>
  </si>
  <si>
    <t>207202088</t>
  </si>
  <si>
    <t>207202095</t>
  </si>
  <si>
    <t>207202097</t>
  </si>
  <si>
    <t>207198586</t>
  </si>
  <si>
    <t>207202087</t>
  </si>
  <si>
    <t>207197842</t>
  </si>
  <si>
    <t>207198537</t>
  </si>
  <si>
    <t>207197555</t>
  </si>
  <si>
    <t>207198085</t>
  </si>
  <si>
    <t>207201470</t>
  </si>
  <si>
    <t>207201321</t>
  </si>
  <si>
    <t>207201324</t>
  </si>
  <si>
    <t>207197942</t>
  </si>
  <si>
    <t>207198080</t>
  </si>
  <si>
    <t>207198353</t>
  </si>
  <si>
    <t>207197561</t>
  </si>
  <si>
    <t>207198012</t>
  </si>
  <si>
    <t>207197550</t>
  </si>
  <si>
    <t>207198152</t>
  </si>
  <si>
    <t>207201328</t>
  </si>
  <si>
    <t>207201326</t>
  </si>
  <si>
    <t>207197677</t>
  </si>
  <si>
    <t>207198111</t>
  </si>
  <si>
    <t>207197684</t>
  </si>
  <si>
    <t>207198116</t>
  </si>
  <si>
    <t>207197681</t>
  </si>
  <si>
    <t>207198373</t>
  </si>
  <si>
    <t>207197610</t>
  </si>
  <si>
    <t>207201319</t>
  </si>
  <si>
    <t>207197655</t>
  </si>
  <si>
    <t>207197650</t>
  </si>
  <si>
    <t>207197986</t>
  </si>
  <si>
    <t>207198350</t>
  </si>
  <si>
    <t>207197713</t>
  </si>
  <si>
    <t>207197607</t>
  </si>
  <si>
    <t>207197945</t>
  </si>
  <si>
    <t>207197715</t>
  </si>
  <si>
    <t>207197960</t>
  </si>
  <si>
    <t>207198019</t>
  </si>
  <si>
    <t>207201318</t>
  </si>
  <si>
    <t>207198404</t>
  </si>
  <si>
    <t>207197734</t>
  </si>
  <si>
    <t>207197979</t>
  </si>
  <si>
    <t>207197729</t>
  </si>
  <si>
    <t>207197965</t>
  </si>
  <si>
    <t>207197660</t>
  </si>
  <si>
    <t>207197564</t>
  </si>
  <si>
    <t>207197709</t>
  </si>
  <si>
    <t>207197582</t>
  </si>
  <si>
    <t>207197577</t>
  </si>
  <si>
    <t>207198025</t>
  </si>
  <si>
    <t>207201331</t>
  </si>
  <si>
    <t>207197917</t>
  </si>
  <si>
    <t>207201320</t>
  </si>
  <si>
    <t>207198053</t>
  </si>
  <si>
    <t>207197925</t>
  </si>
  <si>
    <t>207197750</t>
  </si>
  <si>
    <t>207201333</t>
  </si>
  <si>
    <t>207200706</t>
  </si>
  <si>
    <t>207200705</t>
  </si>
  <si>
    <t>207200704</t>
  </si>
  <si>
    <t>207199359</t>
  </si>
  <si>
    <t>207199526</t>
  </si>
  <si>
    <t>207199484</t>
  </si>
  <si>
    <t>207199444</t>
  </si>
  <si>
    <t>207199938</t>
  </si>
  <si>
    <t>207199804</t>
  </si>
  <si>
    <t>207199833</t>
  </si>
  <si>
    <t>207199856</t>
  </si>
  <si>
    <t>207200046</t>
  </si>
  <si>
    <t>207199876</t>
  </si>
  <si>
    <t>207200041</t>
  </si>
  <si>
    <t>207200094</t>
  </si>
  <si>
    <t>207199913</t>
  </si>
  <si>
    <t>207199895</t>
  </si>
  <si>
    <t>207200088</t>
  </si>
  <si>
    <t>207199630</t>
  </si>
  <si>
    <t>207200120</t>
  </si>
  <si>
    <t>207200073</t>
  </si>
  <si>
    <t>207199051</t>
  </si>
  <si>
    <t>207198917</t>
  </si>
  <si>
    <t>207199102</t>
  </si>
  <si>
    <t>207199544</t>
  </si>
  <si>
    <t>207198924</t>
  </si>
  <si>
    <t>207199664</t>
  </si>
  <si>
    <t>207199585</t>
  </si>
  <si>
    <t>207199475</t>
  </si>
  <si>
    <t>207199767</t>
  </si>
  <si>
    <t>207199721</t>
  </si>
  <si>
    <t>207198802</t>
  </si>
  <si>
    <t>207202078</t>
  </si>
  <si>
    <t>207198405</t>
  </si>
  <si>
    <t>207198469</t>
  </si>
  <si>
    <t>207199261</t>
  </si>
  <si>
    <t>207199154</t>
  </si>
  <si>
    <t>207198509</t>
  </si>
  <si>
    <t>207199205</t>
  </si>
  <si>
    <t>207199545</t>
  </si>
  <si>
    <t>207199770</t>
  </si>
  <si>
    <t>207199724</t>
  </si>
  <si>
    <t>207199720</t>
  </si>
  <si>
    <t>207199775</t>
  </si>
  <si>
    <t>207200148</t>
  </si>
  <si>
    <t>207200351</t>
  </si>
  <si>
    <t>207200298</t>
  </si>
  <si>
    <t>207200598</t>
  </si>
  <si>
    <t>207200605</t>
  </si>
  <si>
    <t>207200588</t>
  </si>
  <si>
    <t>207200559</t>
  </si>
  <si>
    <t>207202002</t>
  </si>
  <si>
    <t>207200569</t>
  </si>
  <si>
    <t>207200612</t>
  </si>
  <si>
    <t>207200631</t>
  </si>
  <si>
    <t>207200540</t>
  </si>
  <si>
    <t>207200499</t>
  </si>
  <si>
    <t>207200482</t>
  </si>
  <si>
    <t>207201998</t>
  </si>
  <si>
    <t>207200327</t>
  </si>
  <si>
    <t>207200505</t>
  </si>
  <si>
    <t>207202022</t>
  </si>
  <si>
    <t>207202125</t>
  </si>
  <si>
    <t>207200524</t>
  </si>
  <si>
    <t>207202020</t>
  </si>
  <si>
    <t>207200278</t>
  </si>
  <si>
    <t>207202018</t>
  </si>
  <si>
    <t>207200416</t>
  </si>
  <si>
    <t>207200390</t>
  </si>
  <si>
    <t>207200459</t>
  </si>
  <si>
    <t>207200410</t>
  </si>
  <si>
    <t>207200444</t>
  </si>
  <si>
    <t>207201984</t>
  </si>
  <si>
    <t>207200349</t>
  </si>
  <si>
    <t>207200384</t>
  </si>
  <si>
    <t>207200465</t>
  </si>
  <si>
    <t>207200226</t>
  </si>
  <si>
    <t>207202011</t>
  </si>
  <si>
    <t>207202076</t>
  </si>
  <si>
    <t>207200303</t>
  </si>
  <si>
    <t>207200277</t>
  </si>
  <si>
    <t>207200154</t>
  </si>
  <si>
    <t>207200570</t>
  </si>
  <si>
    <t>207200408</t>
  </si>
  <si>
    <t>207199422</t>
  </si>
  <si>
    <t>207199283</t>
  </si>
  <si>
    <t>207199469</t>
  </si>
  <si>
    <t>207199341</t>
  </si>
  <si>
    <t>207199917</t>
  </si>
  <si>
    <t>207199878</t>
  </si>
  <si>
    <t>207199825</t>
  </si>
  <si>
    <t>207199921</t>
  </si>
  <si>
    <t>207199980</t>
  </si>
  <si>
    <t>207199199</t>
  </si>
  <si>
    <t>207200361</t>
  </si>
  <si>
    <t>207200364</t>
  </si>
  <si>
    <t>207200092</t>
  </si>
  <si>
    <t>207200340</t>
  </si>
  <si>
    <t>207200342</t>
  </si>
  <si>
    <t>207200338</t>
  </si>
  <si>
    <t>207199830</t>
  </si>
  <si>
    <t>207200357</t>
  </si>
  <si>
    <t>207199614</t>
  </si>
  <si>
    <t>207200345</t>
  </si>
  <si>
    <t>207200113</t>
  </si>
  <si>
    <t>207200111</t>
  </si>
  <si>
    <t>207200402</t>
  </si>
  <si>
    <t>207199441</t>
  </si>
  <si>
    <t>207200118</t>
  </si>
  <si>
    <t>207199937</t>
  </si>
  <si>
    <t>207200404</t>
  </si>
  <si>
    <t>207200147</t>
  </si>
  <si>
    <t>207200124</t>
  </si>
  <si>
    <t>207199748</t>
  </si>
  <si>
    <t>207200366</t>
  </si>
  <si>
    <t>207199362</t>
  </si>
  <si>
    <t>207200400</t>
  </si>
  <si>
    <t>207200109</t>
  </si>
  <si>
    <t>207200107</t>
  </si>
  <si>
    <t>207199589</t>
  </si>
  <si>
    <t>207200260</t>
  </si>
  <si>
    <t>207200262</t>
  </si>
  <si>
    <t>207200215</t>
  </si>
  <si>
    <t>207200258</t>
  </si>
  <si>
    <t>207200044</t>
  </si>
  <si>
    <t>207200039</t>
  </si>
  <si>
    <t>207200213</t>
  </si>
  <si>
    <t>207200264</t>
  </si>
  <si>
    <t>207200237</t>
  </si>
  <si>
    <t>207200070</t>
  </si>
  <si>
    <t>207200077</t>
  </si>
  <si>
    <t>207200076</t>
  </si>
  <si>
    <t>207200246</t>
  </si>
  <si>
    <t>207200065</t>
  </si>
  <si>
    <t>207200241</t>
  </si>
  <si>
    <t>207200244</t>
  </si>
  <si>
    <t>207199247</t>
  </si>
  <si>
    <t>207200314</t>
  </si>
  <si>
    <t>207200081</t>
  </si>
  <si>
    <t>207200310</t>
  </si>
  <si>
    <t>207200082</t>
  </si>
  <si>
    <t>207200084</t>
  </si>
  <si>
    <t>207200316</t>
  </si>
  <si>
    <t>207199330</t>
  </si>
  <si>
    <t>207200211</t>
  </si>
  <si>
    <t>207199502</t>
  </si>
  <si>
    <t>207199294</t>
  </si>
  <si>
    <t>207199478</t>
  </si>
  <si>
    <t>207200079</t>
  </si>
  <si>
    <t>207200308</t>
  </si>
  <si>
    <t>207200208</t>
  </si>
  <si>
    <t>207199802</t>
  </si>
  <si>
    <t>207200583</t>
  </si>
  <si>
    <t>207200582</t>
  </si>
  <si>
    <t>207199901</t>
  </si>
  <si>
    <t>207199897</t>
  </si>
  <si>
    <t>207199899</t>
  </si>
  <si>
    <t>207200581</t>
  </si>
  <si>
    <t>207200577</t>
  </si>
  <si>
    <t>207200575</t>
  </si>
  <si>
    <t>207200578</t>
  </si>
  <si>
    <t>207200580</t>
  </si>
  <si>
    <t>207200579</t>
  </si>
  <si>
    <t>207200529</t>
  </si>
  <si>
    <t>207200532</t>
  </si>
  <si>
    <t>207200515</t>
  </si>
  <si>
    <t>207200513</t>
  </si>
  <si>
    <t>207198496</t>
  </si>
  <si>
    <t>207200591</t>
  </si>
  <si>
    <t>207199548</t>
  </si>
  <si>
    <t>207200587</t>
  </si>
  <si>
    <t>207199891</t>
  </si>
  <si>
    <t>207200589</t>
  </si>
  <si>
    <t>207199868</t>
  </si>
  <si>
    <t>207200534</t>
  </si>
  <si>
    <t>207199932</t>
  </si>
  <si>
    <t>207199934</t>
  </si>
  <si>
    <t>207199930</t>
  </si>
  <si>
    <t>207200549</t>
  </si>
  <si>
    <t>207199928</t>
  </si>
  <si>
    <t>207200556</t>
  </si>
  <si>
    <t>207200552</t>
  </si>
  <si>
    <t>207200312</t>
  </si>
  <si>
    <t>207200553</t>
  </si>
  <si>
    <t>207200555</t>
  </si>
  <si>
    <t>207200554</t>
  </si>
  <si>
    <t>207199911</t>
  </si>
  <si>
    <t>207199736</t>
  </si>
  <si>
    <t>207199904</t>
  </si>
  <si>
    <t>207200560</t>
  </si>
  <si>
    <t>207200573</t>
  </si>
  <si>
    <t>207200571</t>
  </si>
  <si>
    <t>207200566</t>
  </si>
  <si>
    <t>207200548</t>
  </si>
  <si>
    <t>207199903</t>
  </si>
  <si>
    <t>207199906</t>
  </si>
  <si>
    <t>207199851</t>
  </si>
  <si>
    <t>207200774</t>
  </si>
  <si>
    <t>207200773</t>
  </si>
  <si>
    <t>207200772</t>
  </si>
  <si>
    <t>207200771</t>
  </si>
  <si>
    <t>207200770</t>
  </si>
  <si>
    <t>207200777</t>
  </si>
  <si>
    <t>207200778</t>
  </si>
  <si>
    <t>207200779</t>
  </si>
  <si>
    <t>207200775</t>
  </si>
  <si>
    <t>207200776</t>
  </si>
  <si>
    <t>207200763</t>
  </si>
  <si>
    <t>207200764</t>
  </si>
  <si>
    <t>207200760</t>
  </si>
  <si>
    <t>207200761</t>
  </si>
  <si>
    <t>207200762</t>
  </si>
  <si>
    <t>207200768</t>
  </si>
  <si>
    <t>207200769</t>
  </si>
  <si>
    <t>207200767</t>
  </si>
  <si>
    <t>207200765</t>
  </si>
  <si>
    <t>207200766</t>
  </si>
  <si>
    <t>207200793</t>
  </si>
  <si>
    <t>207200794</t>
  </si>
  <si>
    <t>207200792</t>
  </si>
  <si>
    <t>207200790</t>
  </si>
  <si>
    <t>207200791</t>
  </si>
  <si>
    <t>207200585</t>
  </si>
  <si>
    <t>207200584</t>
  </si>
  <si>
    <t>207200586</t>
  </si>
  <si>
    <t>207200795</t>
  </si>
  <si>
    <t>207200796</t>
  </si>
  <si>
    <t>207200783</t>
  </si>
  <si>
    <t>207200784</t>
  </si>
  <si>
    <t>207200782</t>
  </si>
  <si>
    <t>207200780</t>
  </si>
  <si>
    <t>207200781</t>
  </si>
  <si>
    <t>207200788</t>
  </si>
  <si>
    <t>207200789</t>
  </si>
  <si>
    <t>207200787</t>
  </si>
  <si>
    <t>207200785</t>
  </si>
  <si>
    <t>207200786</t>
  </si>
  <si>
    <t>207200759</t>
  </si>
  <si>
    <t>207200721</t>
  </si>
  <si>
    <t>207200722</t>
  </si>
  <si>
    <t>207200723</t>
  </si>
  <si>
    <t>207200720</t>
  </si>
  <si>
    <t>207200648</t>
  </si>
  <si>
    <t>207200718</t>
  </si>
  <si>
    <t>207200719</t>
  </si>
  <si>
    <t>207200728</t>
  </si>
  <si>
    <t>207200729</t>
  </si>
  <si>
    <t>207200730</t>
  </si>
  <si>
    <t>207200727</t>
  </si>
  <si>
    <t>207200724</t>
  </si>
  <si>
    <t>207200725</t>
  </si>
  <si>
    <t>207200726</t>
  </si>
  <si>
    <t>207200621</t>
  </si>
  <si>
    <t>207200620</t>
  </si>
  <si>
    <t>207200619</t>
  </si>
  <si>
    <t>207200622</t>
  </si>
  <si>
    <t>207200625</t>
  </si>
  <si>
    <t>207200624</t>
  </si>
  <si>
    <t>207200623</t>
  </si>
  <si>
    <t>207200650</t>
  </si>
  <si>
    <t>207200717</t>
  </si>
  <si>
    <t>207200649</t>
  </si>
  <si>
    <t>207200647</t>
  </si>
  <si>
    <t>207200618</t>
  </si>
  <si>
    <t>207200626</t>
  </si>
  <si>
    <t>207200617</t>
  </si>
  <si>
    <t>207200749</t>
  </si>
  <si>
    <t>207200750</t>
  </si>
  <si>
    <t>207200751</t>
  </si>
  <si>
    <t>207200748</t>
  </si>
  <si>
    <t>207200745</t>
  </si>
  <si>
    <t>207200746</t>
  </si>
  <si>
    <t>207200747</t>
  </si>
  <si>
    <t>207200756</t>
  </si>
  <si>
    <t>207200757</t>
  </si>
  <si>
    <t>207200758</t>
  </si>
  <si>
    <t>207200755</t>
  </si>
  <si>
    <t>207200752</t>
  </si>
  <si>
    <t>207200753</t>
  </si>
  <si>
    <t>207200754</t>
  </si>
  <si>
    <t>207200744</t>
  </si>
  <si>
    <t>207200738</t>
  </si>
  <si>
    <t>207200737</t>
  </si>
  <si>
    <t>207200731</t>
  </si>
  <si>
    <t>207200739</t>
  </si>
  <si>
    <t>207200736</t>
  </si>
  <si>
    <t>207200733</t>
  </si>
  <si>
    <t>207200732</t>
  </si>
  <si>
    <t>207200735</t>
  </si>
  <si>
    <t>207200734</t>
  </si>
  <si>
    <t>207200741</t>
  </si>
  <si>
    <t>207200742</t>
  </si>
  <si>
    <t>207200740</t>
  </si>
  <si>
    <t>207200743</t>
  </si>
  <si>
    <t>207201465</t>
  </si>
  <si>
    <t>207201468</t>
  </si>
  <si>
    <t>207201459</t>
  </si>
  <si>
    <t>207201467</t>
  </si>
  <si>
    <t>207198444</t>
  </si>
  <si>
    <t>207201463</t>
  </si>
  <si>
    <t>207198368</t>
  </si>
  <si>
    <t>207201458</t>
  </si>
  <si>
    <t>207201461</t>
  </si>
  <si>
    <t>207198470</t>
  </si>
  <si>
    <t>207198473</t>
  </si>
  <si>
    <t>207198546</t>
  </si>
  <si>
    <t>207198542</t>
  </si>
  <si>
    <t>207198553</t>
  </si>
  <si>
    <t>207198579</t>
  </si>
  <si>
    <t>207201444</t>
  </si>
  <si>
    <t>207198584</t>
  </si>
  <si>
    <t>207198516</t>
  </si>
  <si>
    <t>207198495</t>
  </si>
  <si>
    <t>207198489</t>
  </si>
  <si>
    <t>207198398</t>
  </si>
  <si>
    <t>207198511</t>
  </si>
  <si>
    <t>207198437</t>
  </si>
  <si>
    <t>207198433</t>
  </si>
  <si>
    <t>207201446</t>
  </si>
  <si>
    <t>207201142</t>
  </si>
  <si>
    <t>207201170</t>
  </si>
  <si>
    <t>207201176</t>
  </si>
  <si>
    <t>207201156</t>
  </si>
  <si>
    <t>207201172</t>
  </si>
  <si>
    <t>207201204</t>
  </si>
  <si>
    <t>207201138</t>
  </si>
  <si>
    <t>207198811</t>
  </si>
  <si>
    <t>207198792</t>
  </si>
  <si>
    <t>207198790</t>
  </si>
  <si>
    <t>207198831</t>
  </si>
  <si>
    <t>207198827</t>
  </si>
  <si>
    <t>207198814</t>
  </si>
  <si>
    <t>207198788</t>
  </si>
  <si>
    <t>207198771</t>
  </si>
  <si>
    <t>207198769</t>
  </si>
  <si>
    <t>207198768</t>
  </si>
  <si>
    <t>207198775</t>
  </si>
  <si>
    <t>207198773</t>
  </si>
  <si>
    <t>207198755</t>
  </si>
  <si>
    <t>207198807</t>
  </si>
  <si>
    <t>207198848</t>
  </si>
  <si>
    <t>207198833</t>
  </si>
  <si>
    <t>207200867</t>
  </si>
  <si>
    <t>207198753</t>
  </si>
  <si>
    <t>207198640</t>
  </si>
  <si>
    <t>207198996</t>
  </si>
  <si>
    <t>207200849</t>
  </si>
  <si>
    <t>207201872</t>
  </si>
  <si>
    <t>207197406</t>
  </si>
  <si>
    <t>207198930</t>
  </si>
  <si>
    <t>207197375</t>
  </si>
  <si>
    <t>207198878</t>
  </si>
  <si>
    <t>207198441</t>
  </si>
  <si>
    <t>207197341</t>
  </si>
  <si>
    <t>207197312</t>
  </si>
  <si>
    <t>207201680</t>
  </si>
  <si>
    <t>207201681</t>
  </si>
  <si>
    <t>207201636</t>
  </si>
  <si>
    <t>207201657</t>
  </si>
  <si>
    <t>207201658</t>
  </si>
  <si>
    <t>207197724</t>
  </si>
  <si>
    <t>207197878</t>
  </si>
  <si>
    <t>207200942</t>
  </si>
  <si>
    <t>207198254</t>
  </si>
  <si>
    <t>207197859</t>
  </si>
  <si>
    <t>207200971</t>
  </si>
  <si>
    <t>207197568</t>
  </si>
  <si>
    <t>207197691</t>
  </si>
  <si>
    <t>207197927</t>
  </si>
  <si>
    <t>207197746</t>
  </si>
  <si>
    <t>207200940</t>
  </si>
  <si>
    <t>207200944</t>
  </si>
  <si>
    <t>207197673</t>
  </si>
  <si>
    <t>207197936</t>
  </si>
  <si>
    <t>207200946</t>
  </si>
  <si>
    <t>207200938</t>
  </si>
  <si>
    <t>207197908</t>
  </si>
  <si>
    <t>207201114</t>
  </si>
  <si>
    <t>207208130</t>
  </si>
  <si>
    <t>207197514</t>
  </si>
  <si>
    <t>207197509</t>
  </si>
  <si>
    <t>207201118</t>
  </si>
  <si>
    <t>207201112</t>
  </si>
  <si>
    <t>207201107</t>
  </si>
  <si>
    <t>207201095</t>
  </si>
  <si>
    <t>207201110</t>
  </si>
  <si>
    <t>207208132</t>
  </si>
  <si>
    <t>207208131</t>
  </si>
  <si>
    <t>207197528</t>
  </si>
  <si>
    <t>207200977</t>
  </si>
  <si>
    <t>207200979</t>
  </si>
  <si>
    <t>207201028</t>
  </si>
  <si>
    <t>207197570</t>
  </si>
  <si>
    <t>207198321</t>
  </si>
  <si>
    <t>207198953</t>
  </si>
  <si>
    <t>207200985</t>
  </si>
  <si>
    <t>207201030</t>
  </si>
  <si>
    <t>207201061</t>
  </si>
  <si>
    <t>207201062</t>
  </si>
  <si>
    <t>207201055</t>
  </si>
  <si>
    <t>207197672</t>
  </si>
  <si>
    <t>207201057</t>
  </si>
  <si>
    <t>207200999</t>
  </si>
  <si>
    <t>207199006</t>
  </si>
  <si>
    <t>207197688</t>
  </si>
  <si>
    <t>207201053</t>
  </si>
  <si>
    <t>207201083</t>
  </si>
  <si>
    <t>207198343</t>
  </si>
  <si>
    <t>207198423</t>
  </si>
  <si>
    <t>207199004</t>
  </si>
  <si>
    <t>207197722</t>
  </si>
  <si>
    <t>207201022</t>
  </si>
  <si>
    <t>207201026</t>
  </si>
  <si>
    <t>207200997</t>
  </si>
  <si>
    <t>207198394</t>
  </si>
  <si>
    <t>207198999</t>
  </si>
  <si>
    <t>207201020</t>
  </si>
  <si>
    <t>207198285</t>
  </si>
  <si>
    <t>207197882</t>
  </si>
  <si>
    <t>207197912</t>
  </si>
  <si>
    <t>207197861</t>
  </si>
  <si>
    <t>207198247</t>
  </si>
  <si>
    <t>207197836</t>
  </si>
  <si>
    <t>207198650</t>
  </si>
  <si>
    <t>207198599</t>
  </si>
  <si>
    <t>207198654</t>
  </si>
  <si>
    <t>207197932</t>
  </si>
  <si>
    <t>207198687</t>
  </si>
  <si>
    <t>207198603</t>
  </si>
  <si>
    <t>207197744</t>
  </si>
  <si>
    <t>207197617</t>
  </si>
  <si>
    <t>207197873</t>
  </si>
  <si>
    <t>207197624</t>
  </si>
  <si>
    <t>207197620</t>
  </si>
  <si>
    <t>207199430</t>
  </si>
  <si>
    <t>207197753</t>
  </si>
  <si>
    <t>207198155</t>
  </si>
  <si>
    <t>207197869</t>
  </si>
  <si>
    <t>207201399</t>
  </si>
  <si>
    <t>207199275</t>
  </si>
  <si>
    <t>207201396</t>
  </si>
  <si>
    <t>207201398</t>
  </si>
  <si>
    <t>207199436</t>
  </si>
  <si>
    <t>207199380</t>
  </si>
  <si>
    <t>207199384</t>
  </si>
  <si>
    <t>207197773</t>
  </si>
  <si>
    <t>207197837</t>
  </si>
  <si>
    <t>207197769</t>
  </si>
  <si>
    <t>207197817</t>
  </si>
  <si>
    <t>207197793</t>
  </si>
  <si>
    <t>207199353</t>
  </si>
  <si>
    <t>207197794</t>
  </si>
  <si>
    <t>207197788</t>
  </si>
  <si>
    <t>207197824</t>
  </si>
  <si>
    <t>207197776</t>
  </si>
  <si>
    <t>207199377</t>
  </si>
  <si>
    <t>207197821</t>
  </si>
  <si>
    <t>207199267</t>
  </si>
  <si>
    <t>207199072</t>
  </si>
  <si>
    <t>207198956</t>
  </si>
  <si>
    <t>207199316</t>
  </si>
  <si>
    <t>207199378</t>
  </si>
  <si>
    <t>207197926</t>
  </si>
  <si>
    <t>207198021</t>
  </si>
  <si>
    <t>207198081</t>
  </si>
  <si>
    <t>207198216</t>
  </si>
  <si>
    <t>207201047</t>
  </si>
  <si>
    <t>207201018</t>
  </si>
  <si>
    <t>207201005</t>
  </si>
  <si>
    <t>207201003</t>
  </si>
  <si>
    <t>207201049</t>
  </si>
  <si>
    <t>207201001</t>
  </si>
  <si>
    <t>207197797</t>
  </si>
  <si>
    <t>207201066</t>
  </si>
  <si>
    <t>207201081</t>
  </si>
  <si>
    <t>207201078</t>
  </si>
  <si>
    <t>207200968</t>
  </si>
  <si>
    <t>207201064</t>
  </si>
  <si>
    <t>207197781</t>
  </si>
  <si>
    <t>207201035</t>
  </si>
  <si>
    <t>207201032</t>
  </si>
  <si>
    <t>207200956</t>
  </si>
  <si>
    <t>207201403</t>
  </si>
  <si>
    <t>207201401</t>
  </si>
  <si>
    <t>207201407</t>
  </si>
  <si>
    <t>207201405</t>
  </si>
  <si>
    <t>207201409</t>
  </si>
  <si>
    <t>207201411</t>
  </si>
  <si>
    <t>207201404</t>
  </si>
  <si>
    <t>207201637</t>
  </si>
  <si>
    <t>207201624</t>
  </si>
  <si>
    <t>207201622</t>
  </si>
  <si>
    <t>207202001</t>
  </si>
  <si>
    <t>207198313</t>
  </si>
  <si>
    <t>207201654</t>
  </si>
  <si>
    <t>207201671</t>
  </si>
  <si>
    <t>207201668</t>
  </si>
  <si>
    <t>207201642</t>
  </si>
  <si>
    <t>207201721</t>
  </si>
  <si>
    <t>207198272</t>
  </si>
  <si>
    <t>207201725</t>
  </si>
  <si>
    <t>207199168</t>
  </si>
  <si>
    <t>207198859</t>
  </si>
  <si>
    <t>207198919</t>
  </si>
  <si>
    <t>207199542</t>
  </si>
  <si>
    <t>207198686</t>
  </si>
  <si>
    <t>207198634</t>
  </si>
  <si>
    <t>207198799</t>
  </si>
  <si>
    <t>207198570</t>
  </si>
  <si>
    <t>207198984</t>
  </si>
  <si>
    <t>207198629</t>
  </si>
  <si>
    <t>207198979</t>
  </si>
  <si>
    <t>207198362</t>
  </si>
  <si>
    <t>207198315</t>
  </si>
  <si>
    <t>207198506</t>
  </si>
  <si>
    <t>207198678</t>
  </si>
  <si>
    <t>207198576</t>
  </si>
  <si>
    <t>207199583</t>
  </si>
  <si>
    <t>207197256</t>
  </si>
  <si>
    <t>207197263</t>
  </si>
  <si>
    <t>207198092</t>
  </si>
  <si>
    <t>207201797</t>
  </si>
  <si>
    <t>207197974</t>
  </si>
  <si>
    <t>207202280</t>
  </si>
  <si>
    <t>207202270</t>
  </si>
  <si>
    <t>207202294</t>
  </si>
  <si>
    <t>207202272</t>
  </si>
  <si>
    <t>207202271</t>
  </si>
  <si>
    <t>207202281</t>
  </si>
  <si>
    <t>207197213</t>
  </si>
  <si>
    <t>207197218</t>
  </si>
  <si>
    <t>207197208</t>
  </si>
  <si>
    <t>207197214</t>
  </si>
  <si>
    <t>207197210</t>
  </si>
  <si>
    <t>207197211</t>
  </si>
  <si>
    <t>207197328</t>
  </si>
  <si>
    <t>207197300</t>
  </si>
  <si>
    <t>207197279</t>
  </si>
  <si>
    <t>207197270</t>
  </si>
  <si>
    <t>207197285</t>
  </si>
  <si>
    <t>207197409</t>
  </si>
  <si>
    <t>207197360</t>
  </si>
  <si>
    <t>207197333</t>
  </si>
  <si>
    <t>207197264</t>
  </si>
  <si>
    <t>207197913</t>
  </si>
  <si>
    <t>207197858</t>
  </si>
  <si>
    <t>207197247</t>
  </si>
  <si>
    <t>207200809</t>
  </si>
  <si>
    <t>207200815</t>
  </si>
  <si>
    <t>207197250</t>
  </si>
  <si>
    <t>207197253</t>
  </si>
  <si>
    <t>207200810</t>
  </si>
  <si>
    <t>207200814</t>
  </si>
  <si>
    <t>207200816</t>
  </si>
  <si>
    <t>207197272</t>
  </si>
  <si>
    <t>207197227</t>
  </si>
  <si>
    <t>207200820</t>
  </si>
  <si>
    <t>207200821</t>
  </si>
  <si>
    <t>207200801</t>
  </si>
  <si>
    <t>207200822</t>
  </si>
  <si>
    <t>207200807</t>
  </si>
  <si>
    <t>207200817</t>
  </si>
  <si>
    <t>207197287</t>
  </si>
  <si>
    <t>207200808</t>
  </si>
  <si>
    <t>207200819</t>
  </si>
  <si>
    <t>207200818</t>
  </si>
  <si>
    <t>207197721</t>
  </si>
  <si>
    <t>207197741</t>
  </si>
  <si>
    <t>207197674</t>
  </si>
  <si>
    <t>207202124</t>
  </si>
  <si>
    <t>207202123</t>
  </si>
  <si>
    <t>207202126</t>
  </si>
  <si>
    <t>207202128</t>
  </si>
  <si>
    <t>207202135</t>
  </si>
  <si>
    <t>207202127</t>
  </si>
  <si>
    <t>207202134</t>
  </si>
  <si>
    <t>207200805</t>
  </si>
  <si>
    <t>207200811</t>
  </si>
  <si>
    <t>207200803</t>
  </si>
  <si>
    <t>207200802</t>
  </si>
  <si>
    <t>207200804</t>
  </si>
  <si>
    <t>207200812</t>
  </si>
  <si>
    <t>207200813</t>
  </si>
  <si>
    <t>207201425</t>
  </si>
  <si>
    <t>207201312</t>
  </si>
  <si>
    <t>207201285</t>
  </si>
  <si>
    <t>207201856</t>
  </si>
  <si>
    <t>207201309</t>
  </si>
  <si>
    <t>207201906</t>
  </si>
  <si>
    <t>207201932</t>
  </si>
  <si>
    <t>207197209</t>
  </si>
  <si>
    <t>207201904</t>
  </si>
  <si>
    <t>207201934</t>
  </si>
  <si>
    <t>207197215</t>
  </si>
  <si>
    <t>207201933</t>
  </si>
  <si>
    <t>207201905</t>
  </si>
  <si>
    <t>207197464</t>
  </si>
  <si>
    <t>207197745</t>
  </si>
  <si>
    <t>207197212</t>
  </si>
  <si>
    <t>207197424</t>
  </si>
  <si>
    <t>207201710</t>
  </si>
  <si>
    <t>207201663</t>
  </si>
  <si>
    <t>207201628</t>
  </si>
  <si>
    <t>207201629</t>
  </si>
  <si>
    <t>207199116</t>
  </si>
  <si>
    <t>207199180</t>
  </si>
  <si>
    <t>207201992</t>
  </si>
  <si>
    <t>207199034</t>
  </si>
  <si>
    <t>207198952</t>
  </si>
  <si>
    <t>207201963</t>
  </si>
  <si>
    <t>207201966</t>
  </si>
  <si>
    <t>207200832</t>
  </si>
  <si>
    <t>207200831</t>
  </si>
  <si>
    <t>207200842</t>
  </si>
  <si>
    <t>207200839</t>
  </si>
  <si>
    <t>207200837</t>
  </si>
  <si>
    <t>207200833</t>
  </si>
  <si>
    <t>207200845</t>
  </si>
  <si>
    <t>207200830</t>
  </si>
  <si>
    <t>207200824</t>
  </si>
  <si>
    <t>207200825</t>
  </si>
  <si>
    <t>207208160</t>
  </si>
  <si>
    <t>207198544</t>
  </si>
  <si>
    <t>207208163</t>
  </si>
  <si>
    <t>207208161</t>
  </si>
  <si>
    <t>207208164</t>
  </si>
  <si>
    <t>207208162</t>
  </si>
  <si>
    <t>207208166</t>
  </si>
  <si>
    <t>207208165</t>
  </si>
  <si>
    <t>207208147</t>
  </si>
  <si>
    <t>207208151</t>
  </si>
  <si>
    <t>207197296</t>
  </si>
  <si>
    <t>207208145</t>
  </si>
  <si>
    <t>207208146</t>
  </si>
  <si>
    <t>207197295</t>
  </si>
  <si>
    <t>207208150</t>
  </si>
  <si>
    <t>207208149</t>
  </si>
  <si>
    <t>207208148</t>
  </si>
  <si>
    <t>207198566</t>
  </si>
  <si>
    <t>207197884</t>
  </si>
  <si>
    <t>207197835</t>
  </si>
  <si>
    <t>207201234</t>
  </si>
  <si>
    <t>207201230</t>
  </si>
  <si>
    <t>207201196</t>
  </si>
  <si>
    <t>207201380</t>
  </si>
  <si>
    <t>207201354</t>
  </si>
  <si>
    <t>207200936</t>
  </si>
  <si>
    <t>207200931</t>
  </si>
  <si>
    <t>207200935</t>
  </si>
  <si>
    <t>207201038</t>
  </si>
  <si>
    <t>207201012</t>
  </si>
  <si>
    <t>207201046</t>
  </si>
  <si>
    <t>207201007</t>
  </si>
  <si>
    <t>207201347</t>
  </si>
  <si>
    <t>207201158</t>
  </si>
  <si>
    <t>207201451</t>
  </si>
  <si>
    <t>207201487</t>
  </si>
  <si>
    <t>207201161</t>
  </si>
  <si>
    <t>207201260</t>
  </si>
  <si>
    <t>207200928</t>
  </si>
  <si>
    <t>207200930</t>
  </si>
  <si>
    <t>207201127</t>
  </si>
  <si>
    <t>207201132</t>
  </si>
  <si>
    <t>207200864</t>
  </si>
  <si>
    <t>207201646</t>
  </si>
  <si>
    <t>207201644</t>
  </si>
  <si>
    <t>207201647</t>
  </si>
  <si>
    <t>207201699</t>
  </si>
  <si>
    <t>207201703</t>
  </si>
  <si>
    <t>207201735</t>
  </si>
  <si>
    <t>207201676</t>
  </si>
  <si>
    <t>207201694</t>
  </si>
  <si>
    <t>207201696</t>
  </si>
  <si>
    <t>207201692</t>
  </si>
  <si>
    <t>207201792</t>
  </si>
  <si>
    <t>207201729</t>
  </si>
  <si>
    <t>207201648</t>
  </si>
  <si>
    <t>207201733</t>
  </si>
  <si>
    <t>207201731</t>
  </si>
  <si>
    <t>207201917</t>
  </si>
  <si>
    <t>207201915</t>
  </si>
  <si>
    <t>207201952</t>
  </si>
  <si>
    <t>207201910</t>
  </si>
  <si>
    <t>207201948</t>
  </si>
  <si>
    <t>207201950</t>
  </si>
  <si>
    <t>207201912</t>
  </si>
  <si>
    <t>207201839</t>
  </si>
  <si>
    <t>207201967</t>
  </si>
  <si>
    <t>207201843</t>
  </si>
  <si>
    <t>207201858</t>
  </si>
  <si>
    <t>207201890</t>
  </si>
  <si>
    <t>207201886</t>
  </si>
  <si>
    <t>207201888</t>
  </si>
  <si>
    <t>207202199</t>
  </si>
  <si>
    <t>207202202</t>
  </si>
  <si>
    <t>207202197</t>
  </si>
  <si>
    <t>207202198</t>
  </si>
  <si>
    <t>207202212</t>
  </si>
  <si>
    <t>207202206</t>
  </si>
  <si>
    <t>207202207</t>
  </si>
  <si>
    <t>207202205</t>
  </si>
  <si>
    <t>207202203</t>
  </si>
  <si>
    <t>207202204</t>
  </si>
  <si>
    <t>207202201</t>
  </si>
  <si>
    <t>207202200</t>
  </si>
  <si>
    <t>207202210</t>
  </si>
  <si>
    <t>207202208</t>
  </si>
  <si>
    <t>207202209</t>
  </si>
  <si>
    <t>207202189</t>
  </si>
  <si>
    <t>207202154</t>
  </si>
  <si>
    <t>207202190</t>
  </si>
  <si>
    <t>207202192</t>
  </si>
  <si>
    <t>207202191</t>
  </si>
  <si>
    <t>207202193</t>
  </si>
  <si>
    <t>207202196</t>
  </si>
  <si>
    <t>207202194</t>
  </si>
  <si>
    <t>207200927</t>
  </si>
  <si>
    <t>207200863</t>
  </si>
  <si>
    <t>207201594</t>
  </si>
  <si>
    <t>207201013</t>
  </si>
  <si>
    <t>207200835</t>
  </si>
  <si>
    <t>207200834</t>
  </si>
  <si>
    <t>207201039</t>
  </si>
  <si>
    <t>207201008</t>
  </si>
  <si>
    <t>207200929</t>
  </si>
  <si>
    <t>207201044</t>
  </si>
  <si>
    <t>207200957</t>
  </si>
  <si>
    <t>207200860</t>
  </si>
  <si>
    <t>207200862</t>
  </si>
  <si>
    <t>207200932</t>
  </si>
  <si>
    <t>207200934</t>
  </si>
  <si>
    <t>207200861</t>
  </si>
  <si>
    <t>207201991</t>
  </si>
  <si>
    <t>207201959</t>
  </si>
  <si>
    <t>207201987</t>
  </si>
  <si>
    <t>207201989</t>
  </si>
  <si>
    <t>207201988</t>
  </si>
  <si>
    <t>207201961</t>
  </si>
  <si>
    <t>207201965</t>
  </si>
  <si>
    <t>207201957</t>
  </si>
  <si>
    <t>207201935</t>
  </si>
  <si>
    <t>207201930</t>
  </si>
  <si>
    <t>207201928</t>
  </si>
  <si>
    <t>207201994</t>
  </si>
  <si>
    <t>207201993</t>
  </si>
  <si>
    <t>207201990</t>
  </si>
  <si>
    <t>207200880</t>
  </si>
  <si>
    <t>207200988</t>
  </si>
  <si>
    <t>207200965</t>
  </si>
  <si>
    <t>207200987</t>
  </si>
  <si>
    <t>207200878</t>
  </si>
  <si>
    <t>207200877</t>
  </si>
  <si>
    <t>207201286</t>
  </si>
  <si>
    <t>207197255</t>
  </si>
  <si>
    <t>207201677</t>
  </si>
  <si>
    <t>207208155</t>
  </si>
  <si>
    <t>207208159</t>
  </si>
  <si>
    <t>207201595</t>
  </si>
  <si>
    <t>207201591</t>
  </si>
  <si>
    <t>207201678</t>
  </si>
  <si>
    <t>207201351</t>
  </si>
  <si>
    <t>207201666</t>
  </si>
  <si>
    <t>207208156</t>
  </si>
  <si>
    <t>207201665</t>
  </si>
  <si>
    <t>207208158</t>
  </si>
  <si>
    <t>207208157</t>
  </si>
  <si>
    <t>207201635</t>
  </si>
  <si>
    <t>207201632</t>
  </si>
  <si>
    <t>207201631</t>
  </si>
  <si>
    <t>207201634</t>
  </si>
  <si>
    <t>207201454</t>
  </si>
  <si>
    <t>207201519</t>
  </si>
  <si>
    <t>207201377</t>
  </si>
  <si>
    <t>207201522</t>
  </si>
  <si>
    <t>207201520</t>
  </si>
  <si>
    <t>207201490</t>
  </si>
  <si>
    <t>207201383</t>
  </si>
  <si>
    <t>207201517</t>
  </si>
  <si>
    <t>207201494</t>
  </si>
  <si>
    <t>207201540</t>
  </si>
  <si>
    <t>207208154</t>
  </si>
  <si>
    <t>207208153</t>
  </si>
  <si>
    <t>207201590</t>
  </si>
  <si>
    <t>207201588</t>
  </si>
  <si>
    <t>207201546</t>
  </si>
  <si>
    <t>207201544</t>
  </si>
  <si>
    <t>207208152</t>
  </si>
  <si>
    <t>207201709</t>
  </si>
  <si>
    <t>207201316</t>
  </si>
  <si>
    <t>207201258</t>
  </si>
  <si>
    <t>207199689</t>
  </si>
  <si>
    <t>207197387</t>
  </si>
  <si>
    <t>207198346</t>
  </si>
  <si>
    <t>207198142</t>
  </si>
  <si>
    <t>207198322</t>
  </si>
  <si>
    <t>207198194</t>
  </si>
  <si>
    <t>207198031</t>
  </si>
  <si>
    <t>207197967</t>
  </si>
  <si>
    <t>207199348</t>
  </si>
  <si>
    <t>207199186</t>
  </si>
  <si>
    <t>207199276</t>
  </si>
  <si>
    <t>207199076</t>
  </si>
  <si>
    <t>207199432</t>
  </si>
  <si>
    <t>207199457</t>
  </si>
  <si>
    <t>207199381</t>
  </si>
  <si>
    <t>207199243</t>
  </si>
  <si>
    <t>207201051</t>
  </si>
  <si>
    <t>207200918</t>
  </si>
  <si>
    <t>207200920</t>
  </si>
  <si>
    <t>207200925</t>
  </si>
  <si>
    <t>207200923</t>
  </si>
  <si>
    <t>207200926</t>
  </si>
  <si>
    <t>207200922</t>
  </si>
  <si>
    <t>207201238</t>
  </si>
  <si>
    <t>207201275</t>
  </si>
  <si>
    <t>207198758</t>
  </si>
  <si>
    <t>207201226</t>
  </si>
  <si>
    <t>207198761</t>
  </si>
  <si>
    <t>207201276</t>
  </si>
  <si>
    <t>207198691</t>
  </si>
  <si>
    <t>207201217</t>
  </si>
  <si>
    <t>207201215</t>
  </si>
  <si>
    <t>207208091</t>
  </si>
  <si>
    <t>207198695</t>
  </si>
  <si>
    <t>207201224</t>
  </si>
  <si>
    <t>207201222</t>
  </si>
  <si>
    <t>207198693</t>
  </si>
  <si>
    <t>207198694</t>
  </si>
  <si>
    <t>207208087</t>
  </si>
  <si>
    <t>207201269</t>
  </si>
  <si>
    <t>207201247</t>
  </si>
  <si>
    <t>207201246</t>
  </si>
  <si>
    <t>207201271</t>
  </si>
  <si>
    <t>207201249</t>
  </si>
  <si>
    <t>207201255</t>
  </si>
  <si>
    <t>207201267</t>
  </si>
  <si>
    <t>207201253</t>
  </si>
  <si>
    <t>207201251</t>
  </si>
  <si>
    <t>207198819</t>
  </si>
  <si>
    <t>207201273</t>
  </si>
  <si>
    <t>207208089</t>
  </si>
  <si>
    <t>207201240</t>
  </si>
  <si>
    <t>207208090</t>
  </si>
  <si>
    <t>207198763</t>
  </si>
  <si>
    <t>207208088</t>
  </si>
  <si>
    <t>207201121</t>
  </si>
  <si>
    <t>207208133</t>
  </si>
  <si>
    <t>207201244</t>
  </si>
  <si>
    <t>207201125</t>
  </si>
  <si>
    <t>207201123</t>
  </si>
  <si>
    <t>207199213</t>
  </si>
  <si>
    <t>207201306</t>
  </si>
  <si>
    <t>207201304</t>
  </si>
  <si>
    <t>207201362</t>
  </si>
  <si>
    <t>207208095</t>
  </si>
  <si>
    <t>207199237</t>
  </si>
  <si>
    <t>207199185</t>
  </si>
  <si>
    <t>207201296</t>
  </si>
  <si>
    <t>207199181</t>
  </si>
  <si>
    <t>207201302</t>
  </si>
  <si>
    <t>207199209</t>
  </si>
  <si>
    <t>207201298</t>
  </si>
  <si>
    <t>207208096</t>
  </si>
  <si>
    <t>207208099</t>
  </si>
  <si>
    <t>207201146</t>
  </si>
  <si>
    <t>207201242</t>
  </si>
  <si>
    <t>207208098</t>
  </si>
  <si>
    <t>207208097</t>
  </si>
  <si>
    <t>207201317</t>
  </si>
  <si>
    <t>207201183</t>
  </si>
  <si>
    <t>207201185</t>
  </si>
  <si>
    <t>207201148</t>
  </si>
  <si>
    <t>207201150</t>
  </si>
  <si>
    <t>207201152</t>
  </si>
  <si>
    <t>207197636</t>
  </si>
  <si>
    <t>207201201</t>
  </si>
  <si>
    <t>207201288</t>
  </si>
  <si>
    <t>207201197</t>
  </si>
  <si>
    <t>207208092</t>
  </si>
  <si>
    <t>207201290</t>
  </si>
  <si>
    <t>207201210</t>
  </si>
  <si>
    <t>207201212</t>
  </si>
  <si>
    <t>207201214</t>
  </si>
  <si>
    <t>207197634</t>
  </si>
  <si>
    <t>207208093</t>
  </si>
  <si>
    <t>207201203</t>
  </si>
  <si>
    <t>207201199</t>
  </si>
  <si>
    <t>207199177</t>
  </si>
  <si>
    <t>207201292</t>
  </si>
  <si>
    <t>207208094</t>
  </si>
  <si>
    <t>207201581</t>
  </si>
  <si>
    <t>207198474</t>
  </si>
  <si>
    <t>207201440</t>
  </si>
  <si>
    <t>207198328</t>
  </si>
  <si>
    <t>207198849</t>
  </si>
  <si>
    <t>207198406</t>
  </si>
  <si>
    <t>207200285</t>
  </si>
  <si>
    <t>207201679</t>
  </si>
  <si>
    <t>207197790</t>
  </si>
  <si>
    <t>207201521</t>
  </si>
  <si>
    <t>207201589</t>
  </si>
  <si>
    <t>207201557</t>
  </si>
  <si>
    <t>207201543</t>
  </si>
  <si>
    <t>207201545</t>
  </si>
  <si>
    <t>207201593</t>
  </si>
  <si>
    <t>207201596</t>
  </si>
  <si>
    <t>207201541</t>
  </si>
  <si>
    <t>207197563</t>
  </si>
  <si>
    <t>207197522</t>
  </si>
  <si>
    <t>207201592</t>
  </si>
  <si>
    <t>207197436</t>
  </si>
  <si>
    <t>207198008</t>
  </si>
  <si>
    <t>207198180</t>
  </si>
  <si>
    <t>207198263</t>
  </si>
  <si>
    <t>207198052</t>
  </si>
  <si>
    <t>207198431</t>
  </si>
  <si>
    <t>207198331</t>
  </si>
  <si>
    <t>207197874</t>
  </si>
  <si>
    <t>207197946</t>
  </si>
  <si>
    <t>207198480</t>
  </si>
  <si>
    <t>207198486</t>
  </si>
  <si>
    <t>207197361</t>
  </si>
  <si>
    <t>207197447</t>
  </si>
  <si>
    <t>207197469</t>
  </si>
  <si>
    <t>207197412</t>
  </si>
  <si>
    <t>207197384</t>
  </si>
  <si>
    <t>207197332</t>
  </si>
  <si>
    <t>207197297</t>
  </si>
  <si>
    <t>207197284</t>
  </si>
  <si>
    <t>207197261</t>
  </si>
  <si>
    <t>207197302</t>
  </si>
  <si>
    <t>207201076</t>
  </si>
  <si>
    <t>207201190</t>
  </si>
  <si>
    <t>207200995</t>
  </si>
  <si>
    <t>207201386</t>
  </si>
  <si>
    <t>207201385</t>
  </si>
  <si>
    <t>207201281</t>
  </si>
  <si>
    <t>207201187</t>
  </si>
  <si>
    <t>207201278</t>
  </si>
  <si>
    <t>207201277</t>
  </si>
  <si>
    <t>207201099</t>
  </si>
  <si>
    <t>207201189</t>
  </si>
  <si>
    <t>207201279</t>
  </si>
  <si>
    <t>207197298</t>
  </si>
  <si>
    <t>207197265</t>
  </si>
  <si>
    <t>207197305</t>
  </si>
  <si>
    <t>207199612</t>
  </si>
  <si>
    <t>207199197</t>
  </si>
  <si>
    <t>207199575</t>
  </si>
  <si>
    <t>207197380</t>
  </si>
  <si>
    <t>207197499</t>
  </si>
  <si>
    <t>207197754</t>
  </si>
  <si>
    <t>207201350</t>
  </si>
  <si>
    <t>207201235</t>
  </si>
  <si>
    <t>207201455</t>
  </si>
  <si>
    <t>207201135</t>
  </si>
  <si>
    <t>207201315</t>
  </si>
  <si>
    <t>207201489</t>
  </si>
  <si>
    <t>207201192</t>
  </si>
  <si>
    <t>207201228</t>
  </si>
  <si>
    <t>207201356</t>
  </si>
  <si>
    <t>207201382</t>
  </si>
  <si>
    <t>207201518</t>
  </si>
  <si>
    <t>207201493</t>
  </si>
  <si>
    <t>207201160</t>
  </si>
  <si>
    <t>207197784</t>
  </si>
  <si>
    <t>207197478</t>
  </si>
  <si>
    <t>207197480</t>
  </si>
  <si>
    <t>207197959</t>
  </si>
  <si>
    <t>207197560</t>
  </si>
  <si>
    <t>207197825</t>
  </si>
  <si>
    <t>207197434</t>
  </si>
  <si>
    <t>207197871</t>
  </si>
  <si>
    <t>207198018</t>
  </si>
  <si>
    <t>207197923</t>
  </si>
  <si>
    <t>207197526</t>
  </si>
  <si>
    <t>207197497</t>
  </si>
  <si>
    <t>207197767</t>
  </si>
  <si>
    <t>207198147</t>
  </si>
  <si>
    <t>207197798</t>
  </si>
  <si>
    <t>207197915</t>
  </si>
  <si>
    <t>207197827</t>
  </si>
  <si>
    <t>207197482</t>
  </si>
  <si>
    <t>207197866</t>
  </si>
  <si>
    <t>207197990</t>
  </si>
  <si>
    <t>207198196</t>
  </si>
  <si>
    <t>207198286</t>
  </si>
  <si>
    <t>207198895</t>
  </si>
  <si>
    <t>207198426</t>
  </si>
  <si>
    <t>207198948</t>
  </si>
  <si>
    <t>207197777</t>
  </si>
  <si>
    <t>207197486</t>
  </si>
  <si>
    <t>207197933</t>
  </si>
  <si>
    <t>207197972</t>
  </si>
  <si>
    <t>207198191</t>
  </si>
  <si>
    <t>207201188</t>
  </si>
  <si>
    <t>207198344</t>
  </si>
  <si>
    <t>207198140</t>
  </si>
  <si>
    <t>207198282</t>
  </si>
  <si>
    <t>207198033</t>
  </si>
  <si>
    <t>207197881</t>
  </si>
  <si>
    <t>207197539</t>
  </si>
  <si>
    <t>207197513</t>
  </si>
  <si>
    <t>207197527</t>
  </si>
  <si>
    <t>207197629</t>
  </si>
  <si>
    <t>207197234</t>
  </si>
  <si>
    <t>207198088</t>
  </si>
  <si>
    <t>207197626</t>
  </si>
  <si>
    <t>207201450</t>
  </si>
  <si>
    <t>207201348</t>
  </si>
  <si>
    <t>207201314</t>
  </si>
  <si>
    <t>207201456</t>
  </si>
  <si>
    <t>207201352</t>
  </si>
  <si>
    <t>207201378</t>
  </si>
  <si>
    <t>207201542</t>
  </si>
  <si>
    <t>207197366</t>
  </si>
  <si>
    <t>207197548</t>
  </si>
  <si>
    <t>207197501</t>
  </si>
  <si>
    <t>207197321</t>
  </si>
  <si>
    <t>207197324</t>
  </si>
  <si>
    <t>207197351</t>
  </si>
  <si>
    <t>207198479</t>
  </si>
  <si>
    <t>207198454</t>
  </si>
  <si>
    <t>207197318</t>
  </si>
  <si>
    <t>207197347</t>
  </si>
  <si>
    <t>207198562</t>
  </si>
  <si>
    <t>207200476</t>
  </si>
  <si>
    <t>207200362</t>
  </si>
  <si>
    <t>207197413</t>
  </si>
  <si>
    <t>207200450</t>
  </si>
  <si>
    <t>207200343</t>
  </si>
  <si>
    <t>207200419</t>
  </si>
  <si>
    <t>207198013</t>
  </si>
  <si>
    <t>207198083</t>
  </si>
  <si>
    <t>207201559</t>
  </si>
  <si>
    <t>207198257</t>
  </si>
  <si>
    <t>207198264</t>
  </si>
  <si>
    <t>207201390</t>
  </si>
  <si>
    <t>207201388</t>
  </si>
  <si>
    <t>207201394</t>
  </si>
  <si>
    <t>207201392</t>
  </si>
  <si>
    <t>207198250</t>
  </si>
  <si>
    <t>207198096</t>
  </si>
  <si>
    <t>207201659</t>
  </si>
  <si>
    <t>207197683</t>
  </si>
  <si>
    <t>207197727</t>
  </si>
  <si>
    <t>207208117</t>
  </si>
  <si>
    <t>207198192</t>
  </si>
  <si>
    <t>207199112</t>
  </si>
  <si>
    <t>207199109</t>
  </si>
  <si>
    <t>207198035</t>
  </si>
  <si>
    <t>207199107</t>
  </si>
  <si>
    <t>207208119</t>
  </si>
  <si>
    <t>207198531</t>
  </si>
  <si>
    <t>207198535</t>
  </si>
  <si>
    <t>207199137</t>
  </si>
  <si>
    <t>207208118</t>
  </si>
  <si>
    <t>207198821</t>
  </si>
  <si>
    <t>207198565</t>
  </si>
  <si>
    <t>207197988</t>
  </si>
  <si>
    <t>207198887</t>
  </si>
  <si>
    <t>207208108</t>
  </si>
  <si>
    <t>207198894</t>
  </si>
  <si>
    <t>207208100</t>
  </si>
  <si>
    <t>207198482</t>
  </si>
  <si>
    <t>207208112</t>
  </si>
  <si>
    <t>207208109</t>
  </si>
  <si>
    <t>207198896</t>
  </si>
  <si>
    <t>207198912</t>
  </si>
  <si>
    <t>207198089</t>
  </si>
  <si>
    <t>207208106</t>
  </si>
  <si>
    <t>207208110</t>
  </si>
  <si>
    <t>207198843</t>
  </si>
  <si>
    <t>207208104</t>
  </si>
  <si>
    <t>207208105</t>
  </si>
  <si>
    <t>207208103</t>
  </si>
  <si>
    <t>207198455</t>
  </si>
  <si>
    <t>207208111</t>
  </si>
  <si>
    <t>207197994</t>
  </si>
  <si>
    <t>207208107</t>
  </si>
  <si>
    <t>207198826</t>
  </si>
  <si>
    <t>207208102</t>
  </si>
  <si>
    <t>207208113</t>
  </si>
  <si>
    <t>207198559</t>
  </si>
  <si>
    <t>207198563</t>
  </si>
  <si>
    <t>207208101</t>
  </si>
  <si>
    <t>207208114</t>
  </si>
  <si>
    <t>207198137</t>
  </si>
  <si>
    <t>207198144</t>
  </si>
  <si>
    <t>207208116</t>
  </si>
  <si>
    <t>207199070</t>
  </si>
  <si>
    <t>207208115</t>
  </si>
  <si>
    <t>207198949</t>
  </si>
  <si>
    <t>207197630</t>
  </si>
  <si>
    <t>207197240</t>
  </si>
  <si>
    <t>207197659</t>
  </si>
  <si>
    <t>207197680</t>
  </si>
  <si>
    <t>207197730</t>
  </si>
  <si>
    <t>207198581</t>
  </si>
  <si>
    <t>207198538</t>
  </si>
  <si>
    <t>207197382</t>
  </si>
  <si>
    <t>207197430</t>
  </si>
  <si>
    <t>207197504</t>
  </si>
  <si>
    <t>207197774</t>
  </si>
  <si>
    <t>207198336</t>
  </si>
  <si>
    <t>207197538</t>
  </si>
  <si>
    <t>207197643</t>
  </si>
  <si>
    <t>207197402</t>
  </si>
  <si>
    <t>207198438</t>
  </si>
  <si>
    <t>207197592</t>
  </si>
  <si>
    <t>207198943</t>
  </si>
  <si>
    <t>207197316</t>
  </si>
  <si>
    <t>207197443</t>
  </si>
  <si>
    <t>207198883</t>
  </si>
  <si>
    <t>207197369</t>
  </si>
  <si>
    <t>207198493</t>
  </si>
  <si>
    <t>207199288</t>
  </si>
  <si>
    <t>207200121</t>
  </si>
  <si>
    <t>207200069</t>
  </si>
  <si>
    <t>207199672</t>
  </si>
  <si>
    <t>207199331</t>
  </si>
  <si>
    <t>207200130</t>
  </si>
  <si>
    <t>207199869</t>
  </si>
  <si>
    <t>207200633</t>
  </si>
  <si>
    <t>207200386</t>
  </si>
  <si>
    <t>207200394</t>
  </si>
  <si>
    <t>207200602</t>
  </si>
  <si>
    <t>207200610</t>
  </si>
  <si>
    <t>207200615</t>
  </si>
  <si>
    <t>207200355</t>
  </si>
  <si>
    <t>207200313</t>
  </si>
  <si>
    <t>207199407</t>
  </si>
  <si>
    <t>207200288</t>
  </si>
  <si>
    <t>207200520</t>
  </si>
  <si>
    <t>207199713</t>
  </si>
  <si>
    <t>207200329</t>
  </si>
  <si>
    <t>207200641</t>
  </si>
  <si>
    <t>207200414</t>
  </si>
  <si>
    <t>207200498</t>
  </si>
  <si>
    <t>207199845</t>
  </si>
  <si>
    <t>207200478</t>
  </si>
  <si>
    <t>207199827</t>
  </si>
  <si>
    <t>207200538</t>
  </si>
  <si>
    <t>207199780</t>
  </si>
  <si>
    <t>207199455</t>
  </si>
  <si>
    <t>207200558</t>
  </si>
  <si>
    <t>207200563</t>
  </si>
  <si>
    <t>207200572</t>
  </si>
  <si>
    <t>207200594</t>
  </si>
  <si>
    <t>207199520</t>
  </si>
  <si>
    <t>207200461</t>
  </si>
  <si>
    <t>207200457</t>
  </si>
  <si>
    <t>207200442</t>
  </si>
  <si>
    <t>207200204</t>
  </si>
  <si>
    <t>207200165</t>
  </si>
  <si>
    <t>207199988</t>
  </si>
  <si>
    <t>207200238</t>
  </si>
  <si>
    <t>207199810</t>
  </si>
  <si>
    <t>207200692</t>
  </si>
  <si>
    <t>207200250</t>
  </si>
  <si>
    <t>207199905</t>
  </si>
  <si>
    <t>207200665</t>
  </si>
  <si>
    <t>207200661</t>
  </si>
  <si>
    <t>207200670</t>
  </si>
  <si>
    <t>207199939</t>
  </si>
  <si>
    <t>207200282</t>
  </si>
  <si>
    <t>207199960</t>
  </si>
  <si>
    <t>207199374</t>
  </si>
  <si>
    <t>207199753</t>
  </si>
  <si>
    <t>207199954</t>
  </si>
  <si>
    <t>207199989</t>
  </si>
  <si>
    <t>207199976</t>
  </si>
  <si>
    <t>207199994</t>
  </si>
  <si>
    <t>207199814</t>
  </si>
  <si>
    <t>207199438</t>
  </si>
  <si>
    <t>207199964</t>
  </si>
  <si>
    <t>207199844</t>
  </si>
  <si>
    <t>207199972</t>
  </si>
  <si>
    <t>207200019</t>
  </si>
  <si>
    <t>207199411</t>
  </si>
  <si>
    <t>207199414</t>
  </si>
  <si>
    <t>207199402</t>
  </si>
  <si>
    <t>207200034</t>
  </si>
  <si>
    <t>207199405</t>
  </si>
  <si>
    <t>207200030</t>
  </si>
  <si>
    <t>207199408</t>
  </si>
  <si>
    <t>207199936</t>
  </si>
  <si>
    <t>207199862</t>
  </si>
  <si>
    <t>207199945</t>
  </si>
  <si>
    <t>207199944</t>
  </si>
  <si>
    <t>207199399</t>
  </si>
  <si>
    <t>207200006</t>
  </si>
  <si>
    <t>207199397</t>
  </si>
  <si>
    <t>207200003</t>
  </si>
  <si>
    <t>207200134</t>
  </si>
  <si>
    <t>207200115</t>
  </si>
  <si>
    <t>207200281</t>
  </si>
  <si>
    <t>207200593</t>
  </si>
  <si>
    <t>207200519</t>
  </si>
  <si>
    <t>207200537</t>
  </si>
  <si>
    <t>207200176</t>
  </si>
  <si>
    <t>207200543</t>
  </si>
  <si>
    <t>207200131</t>
  </si>
  <si>
    <t>207200253</t>
  </si>
  <si>
    <t>207200247</t>
  </si>
  <si>
    <t>207200203</t>
  </si>
  <si>
    <t>207200460</t>
  </si>
  <si>
    <t>207198877</t>
  </si>
  <si>
    <t>207200219</t>
  </si>
  <si>
    <t>207200062</t>
  </si>
  <si>
    <t>207200481</t>
  </si>
  <si>
    <t>207200058</t>
  </si>
  <si>
    <t>207200497</t>
  </si>
  <si>
    <t>207200597</t>
  </si>
  <si>
    <t>207200464</t>
  </si>
  <si>
    <t>207200504</t>
  </si>
  <si>
    <t>207200855</t>
  </si>
  <si>
    <t>207201831</t>
  </si>
  <si>
    <t>207200850</t>
  </si>
  <si>
    <t>207200853</t>
  </si>
  <si>
    <t>207200847</t>
  </si>
  <si>
    <t>207201829</t>
  </si>
  <si>
    <t>207201869</t>
  </si>
  <si>
    <t>207200715</t>
  </si>
  <si>
    <t>207201867</t>
  </si>
  <si>
    <t>207197488</t>
  </si>
  <si>
    <t>207197540</t>
  </si>
  <si>
    <t>207197345</t>
  </si>
  <si>
    <t>207197404</t>
  </si>
  <si>
    <t>207197593</t>
  </si>
  <si>
    <t>207198655</t>
  </si>
  <si>
    <t>207198765</t>
  </si>
  <si>
    <t>207199997</t>
  </si>
  <si>
    <t>207200005</t>
  </si>
  <si>
    <t>207199609</t>
  </si>
  <si>
    <t>207199634</t>
  </si>
  <si>
    <t>207199235</t>
  </si>
  <si>
    <t>207198407</t>
  </si>
  <si>
    <t>207199126</t>
  </si>
  <si>
    <t>207199095</t>
  </si>
  <si>
    <t>207198416</t>
  </si>
  <si>
    <t>207198465</t>
  </si>
  <si>
    <t>207198462</t>
  </si>
  <si>
    <t>207199025</t>
  </si>
  <si>
    <t>207198502</t>
  </si>
  <si>
    <t>207198411</t>
  </si>
  <si>
    <t>207199217</t>
  </si>
  <si>
    <t>207199229</t>
  </si>
  <si>
    <t>207199175</t>
  </si>
  <si>
    <t>207199588</t>
  </si>
  <si>
    <t>207199188</t>
  </si>
  <si>
    <t>207198829</t>
  </si>
  <si>
    <t>207198488</t>
  </si>
  <si>
    <t>207198355</t>
  </si>
  <si>
    <t>207198927</t>
  </si>
  <si>
    <t>207201181</t>
  </si>
  <si>
    <t>207198560</t>
  </si>
  <si>
    <t>207198528</t>
  </si>
  <si>
    <t>207198481</t>
  </si>
  <si>
    <t>207198536</t>
  </si>
  <si>
    <t>207200868</t>
  </si>
  <si>
    <t>207201359</t>
  </si>
  <si>
    <t>207201198</t>
  </si>
  <si>
    <t>207201200</t>
  </si>
  <si>
    <t>207201225</t>
  </si>
  <si>
    <t>207201237</t>
  </si>
  <si>
    <t>207197806</t>
  </si>
  <si>
    <t>207197785</t>
  </si>
  <si>
    <t>207197829</t>
  </si>
  <si>
    <t>207200031</t>
  </si>
  <si>
    <t>207197982</t>
  </si>
  <si>
    <t>207198260</t>
  </si>
  <si>
    <t>207198434</t>
  </si>
  <si>
    <t>207198177</t>
  </si>
  <si>
    <t>207198369</t>
  </si>
  <si>
    <t>207201120</t>
  </si>
  <si>
    <t>207201272</t>
  </si>
  <si>
    <t>207201077</t>
  </si>
  <si>
    <t>207199015</t>
  </si>
  <si>
    <t>207201065</t>
  </si>
  <si>
    <t>207201080</t>
  </si>
  <si>
    <t>207201167</t>
  </si>
  <si>
    <t>207201239</t>
  </si>
  <si>
    <t>207201241</t>
  </si>
  <si>
    <t>207201094</t>
  </si>
  <si>
    <t>207201124</t>
  </si>
  <si>
    <t>207201245</t>
  </si>
  <si>
    <t>207201274</t>
  </si>
  <si>
    <t>207201243</t>
  </si>
  <si>
    <t>207201155</t>
  </si>
  <si>
    <t>207199022</t>
  </si>
  <si>
    <t>207201211</t>
  </si>
  <si>
    <t>207201209</t>
  </si>
  <si>
    <t>207201207</t>
  </si>
  <si>
    <t>207201048</t>
  </si>
  <si>
    <t>207201173</t>
  </si>
  <si>
    <t>207201213</t>
  </si>
  <si>
    <t>207201268</t>
  </si>
  <si>
    <t>207201202</t>
  </si>
  <si>
    <t>207199152</t>
  </si>
  <si>
    <t>207201179</t>
  </si>
  <si>
    <t>207201139</t>
  </si>
  <si>
    <t>207199118</t>
  </si>
  <si>
    <t>207201087</t>
  </si>
  <si>
    <t>207201089</t>
  </si>
  <si>
    <t>207201171</t>
  </si>
  <si>
    <t>207201079</t>
  </si>
  <si>
    <t>207201618</t>
  </si>
  <si>
    <t>207201270</t>
  </si>
  <si>
    <t>207199064</t>
  </si>
  <si>
    <t>207201082</t>
  </si>
  <si>
    <t>207201216</t>
  </si>
  <si>
    <t>207201299</t>
  </si>
  <si>
    <t>207201287</t>
  </si>
  <si>
    <t>207198815</t>
  </si>
  <si>
    <t>207198602</t>
  </si>
  <si>
    <t>207198598</t>
  </si>
  <si>
    <t>207198564</t>
  </si>
  <si>
    <t>207198651</t>
  </si>
  <si>
    <t>207198558</t>
  </si>
  <si>
    <t>207199385</t>
  </si>
  <si>
    <t>207199310</t>
  </si>
  <si>
    <t>207199354</t>
  </si>
  <si>
    <t>207197725</t>
  </si>
  <si>
    <t>207199534</t>
  </si>
  <si>
    <t>207199563</t>
  </si>
  <si>
    <t>207197437</t>
  </si>
  <si>
    <t>207197698</t>
  </si>
  <si>
    <t>207197642</t>
  </si>
  <si>
    <t>207197546</t>
  </si>
  <si>
    <t>207197758</t>
  </si>
  <si>
    <t>207198004</t>
  </si>
  <si>
    <t>207197954</t>
  </si>
  <si>
    <t>207197815</t>
  </si>
  <si>
    <t>207197902</t>
  </si>
  <si>
    <t>207200114</t>
  </si>
  <si>
    <t>207197492</t>
  </si>
  <si>
    <t>207197644</t>
  </si>
  <si>
    <t>207199045</t>
  </si>
  <si>
    <t>207199136</t>
  </si>
  <si>
    <t>207201503</t>
  </si>
  <si>
    <t>207201547</t>
  </si>
  <si>
    <t>207201507</t>
  </si>
  <si>
    <t>207201513</t>
  </si>
  <si>
    <t>207201556</t>
  </si>
  <si>
    <t>207201586</t>
  </si>
  <si>
    <t>207201572</t>
  </si>
  <si>
    <t>207201552</t>
  </si>
  <si>
    <t>207197847</t>
  </si>
  <si>
    <t>207201970</t>
  </si>
  <si>
    <t>207197904</t>
  </si>
  <si>
    <t>207197899</t>
  </si>
  <si>
    <t>207200000</t>
  </si>
  <si>
    <t>207199882</t>
  </si>
  <si>
    <t>207199886</t>
  </si>
  <si>
    <t>207199230</t>
  </si>
  <si>
    <t>207199420</t>
  </si>
  <si>
    <t>207199285</t>
  </si>
  <si>
    <t>207200234</t>
  </si>
  <si>
    <t>207199877</t>
  </si>
  <si>
    <t>207199922</t>
  </si>
  <si>
    <t>207199924</t>
  </si>
  <si>
    <t>207200231</t>
  </si>
  <si>
    <t>207199172</t>
  </si>
  <si>
    <t>207199984</t>
  </si>
  <si>
    <t>207199340</t>
  </si>
  <si>
    <t>207199978</t>
  </si>
  <si>
    <t>207199279</t>
  </si>
  <si>
    <t>207199426</t>
  </si>
  <si>
    <t>207199823</t>
  </si>
  <si>
    <t>207198497</t>
  </si>
  <si>
    <t>207199473</t>
  </si>
  <si>
    <t>207200268</t>
  </si>
  <si>
    <t>207200012</t>
  </si>
  <si>
    <t>207200008</t>
  </si>
  <si>
    <t>207199837</t>
  </si>
  <si>
    <t>207199866</t>
  </si>
  <si>
    <t>207200216</t>
  </si>
  <si>
    <t>207200261</t>
  </si>
  <si>
    <t>207199248</t>
  </si>
  <si>
    <t>207198203</t>
  </si>
  <si>
    <t>207198359</t>
  </si>
  <si>
    <t>207199580</t>
  </si>
  <si>
    <t>207199661</t>
  </si>
  <si>
    <t>207198632</t>
  </si>
  <si>
    <t>207198002</t>
  </si>
  <si>
    <t>207198505</t>
  </si>
  <si>
    <t>207199539</t>
  </si>
  <si>
    <t>207197809</t>
  </si>
  <si>
    <t>207198977</t>
  </si>
  <si>
    <t>207198274</t>
  </si>
  <si>
    <t>207198800</t>
  </si>
  <si>
    <t>207198572</t>
  </si>
  <si>
    <t>207197848</t>
  </si>
  <si>
    <t>207198864</t>
  </si>
  <si>
    <t>207198858</t>
  </si>
  <si>
    <t>207199719</t>
  </si>
  <si>
    <t>207198574</t>
  </si>
  <si>
    <t>207197856</t>
  </si>
  <si>
    <t>207199103</t>
  </si>
  <si>
    <t>207197948</t>
  </si>
  <si>
    <t>207199052</t>
  </si>
  <si>
    <t>207198739</t>
  </si>
  <si>
    <t>207198746</t>
  </si>
  <si>
    <t>207198127</t>
  </si>
  <si>
    <t>207198679</t>
  </si>
  <si>
    <t>207200048</t>
  </si>
  <si>
    <t>207200055</t>
  </si>
  <si>
    <t>207198512</t>
  </si>
  <si>
    <t>207200043</t>
  </si>
  <si>
    <t>207200568</t>
  </si>
  <si>
    <t>207200074</t>
  </si>
  <si>
    <t>207200067</t>
  </si>
  <si>
    <t>207200071</t>
  </si>
  <si>
    <t>207198472</t>
  </si>
  <si>
    <t>207199847</t>
  </si>
  <si>
    <t>207199627</t>
  </si>
  <si>
    <t>207199797</t>
  </si>
  <si>
    <t>207199908</t>
  </si>
  <si>
    <t>207200025</t>
  </si>
  <si>
    <t>207199870</t>
  </si>
  <si>
    <t>207199893</t>
  </si>
  <si>
    <t>207200564</t>
  </si>
  <si>
    <t>207200139</t>
  </si>
  <si>
    <t>207198397</t>
  </si>
  <si>
    <t>207198332</t>
  </si>
  <si>
    <t>207198351</t>
  </si>
  <si>
    <t>207200179</t>
  </si>
  <si>
    <t>207200184</t>
  </si>
  <si>
    <t>207200143</t>
  </si>
  <si>
    <t>207198432</t>
  </si>
  <si>
    <t>207200096</t>
  </si>
  <si>
    <t>207200099</t>
  </si>
  <si>
    <t>207200090</t>
  </si>
  <si>
    <t>207200557</t>
  </si>
  <si>
    <t>207200122</t>
  </si>
  <si>
    <t>207200125</t>
  </si>
  <si>
    <t>207200102</t>
  </si>
  <si>
    <t>207200105</t>
  </si>
  <si>
    <t>207199806</t>
  </si>
  <si>
    <t>207199365</t>
  </si>
  <si>
    <t>207199319</t>
  </si>
  <si>
    <t>207199333</t>
  </si>
  <si>
    <t>207199591</t>
  </si>
  <si>
    <t>207199522</t>
  </si>
  <si>
    <t>207199499</t>
  </si>
  <si>
    <t>207199568</t>
  </si>
  <si>
    <t>207199448</t>
  </si>
  <si>
    <t>207199196</t>
  </si>
  <si>
    <t>207199225</t>
  </si>
  <si>
    <t>207199264</t>
  </si>
  <si>
    <t>207199452</t>
  </si>
  <si>
    <t>207199366</t>
  </si>
  <si>
    <t>207200162</t>
  </si>
  <si>
    <t>207199933</t>
  </si>
  <si>
    <t>207200259</t>
  </si>
  <si>
    <t>207200315</t>
  </si>
  <si>
    <t>207199479</t>
  </si>
  <si>
    <t>207199410</t>
  </si>
  <si>
    <t>207200029</t>
  </si>
  <si>
    <t>207200057</t>
  </si>
  <si>
    <t>207202151</t>
  </si>
  <si>
    <t>207202148</t>
  </si>
  <si>
    <t>207202147</t>
  </si>
  <si>
    <t>207202195</t>
  </si>
  <si>
    <t>207200344</t>
  </si>
  <si>
    <t>207199681</t>
  </si>
  <si>
    <t>207202153</t>
  </si>
  <si>
    <t>207202152</t>
  </si>
  <si>
    <t>207200510</t>
  </si>
  <si>
    <t>207199173</t>
  </si>
  <si>
    <t>207202030</t>
  </si>
  <si>
    <t>207201641</t>
  </si>
  <si>
    <t>207198408</t>
  </si>
  <si>
    <t>207201645</t>
  </si>
  <si>
    <t>207201638</t>
  </si>
  <si>
    <t>207201643</t>
  </si>
  <si>
    <t>207198459</t>
  </si>
  <si>
    <t>207201505</t>
  </si>
  <si>
    <t>207201551</t>
  </si>
  <si>
    <t>207201502</t>
  </si>
  <si>
    <t>207201536</t>
  </si>
  <si>
    <t>207201533</t>
  </si>
  <si>
    <t>207201548</t>
  </si>
  <si>
    <t>207198466</t>
  </si>
  <si>
    <t>207201758</t>
  </si>
  <si>
    <t>207202006</t>
  </si>
  <si>
    <t>207201940</t>
  </si>
  <si>
    <t>207202005</t>
  </si>
  <si>
    <t>207202013</t>
  </si>
  <si>
    <t>207202009</t>
  </si>
  <si>
    <t>207202046</t>
  </si>
  <si>
    <t>207202033</t>
  </si>
  <si>
    <t>207202069</t>
  </si>
  <si>
    <t>207202035</t>
  </si>
  <si>
    <t>207202051</t>
  </si>
  <si>
    <t>207202053</t>
  </si>
  <si>
    <t>207202055</t>
  </si>
  <si>
    <t>207202073</t>
  </si>
  <si>
    <t>207202048</t>
  </si>
  <si>
    <t>207202029</t>
  </si>
  <si>
    <t>207202074</t>
  </si>
  <si>
    <t>207202031</t>
  </si>
  <si>
    <t>207202071</t>
  </si>
  <si>
    <t>207201669</t>
  </si>
  <si>
    <t>207201639</t>
  </si>
  <si>
    <t>207201620</t>
  </si>
  <si>
    <t>207201626</t>
  </si>
  <si>
    <t>207201656</t>
  </si>
  <si>
    <t>207201727</t>
  </si>
  <si>
    <t>207201672</t>
  </si>
  <si>
    <t>207201640</t>
  </si>
  <si>
    <t>207201723</t>
  </si>
  <si>
    <t>207199291</t>
  </si>
  <si>
    <t>207199357</t>
  </si>
  <si>
    <t>207200212</t>
  </si>
  <si>
    <t>207200245</t>
  </si>
  <si>
    <t>207199413</t>
  </si>
  <si>
    <t>207200295</t>
  </si>
  <si>
    <t>207200337</t>
  </si>
  <si>
    <t>207199525</t>
  </si>
  <si>
    <t>207198414</t>
  </si>
  <si>
    <t>207199171</t>
  </si>
  <si>
    <t>207198427</t>
  </si>
  <si>
    <t>207200180</t>
  </si>
  <si>
    <t>207200185</t>
  </si>
  <si>
    <t>207200146</t>
  </si>
  <si>
    <t>207199055</t>
  </si>
  <si>
    <t>207198375</t>
  </si>
  <si>
    <t>207199577</t>
  </si>
  <si>
    <t>207199818</t>
  </si>
  <si>
    <t>207200047</t>
  </si>
  <si>
    <t>207199659</t>
  </si>
  <si>
    <t>207199725</t>
  </si>
  <si>
    <t>207199717</t>
  </si>
  <si>
    <t>207199773</t>
  </si>
  <si>
    <t>207199771</t>
  </si>
  <si>
    <t>207198335</t>
  </si>
  <si>
    <t>207200103</t>
  </si>
  <si>
    <t>207200141</t>
  </si>
  <si>
    <t>207200138</t>
  </si>
  <si>
    <t>207200100</t>
  </si>
  <si>
    <t>207200051</t>
  </si>
  <si>
    <t>207200098</t>
  </si>
  <si>
    <t>207199497</t>
  </si>
  <si>
    <t>207199692</t>
  </si>
  <si>
    <t>207199553</t>
  </si>
  <si>
    <t>207199762</t>
  </si>
  <si>
    <t>207200123</t>
  </si>
  <si>
    <t>207200072</t>
  </si>
  <si>
    <t>207200020</t>
  </si>
  <si>
    <t>207199957</t>
  </si>
  <si>
    <t>207202269</t>
  </si>
  <si>
    <t>207198804</t>
  </si>
  <si>
    <t>207202268</t>
  </si>
  <si>
    <t>207202278</t>
  </si>
  <si>
    <t>207202277</t>
  </si>
  <si>
    <t>207202279</t>
  </si>
  <si>
    <t>207202283</t>
  </si>
  <si>
    <t>207202282</t>
  </si>
  <si>
    <t>207202267</t>
  </si>
  <si>
    <t>207202257</t>
  </si>
  <si>
    <t>207198978</t>
  </si>
  <si>
    <t>207202256</t>
  </si>
  <si>
    <t>207198921</t>
  </si>
  <si>
    <t>207202255</t>
  </si>
  <si>
    <t>207202258</t>
  </si>
  <si>
    <t>207202259</t>
  </si>
  <si>
    <t>207202266</t>
  </si>
  <si>
    <t>207202260</t>
  </si>
  <si>
    <t>207199657</t>
  </si>
  <si>
    <t>207201769</t>
  </si>
  <si>
    <t>207201772</t>
  </si>
  <si>
    <t>207201766</t>
  </si>
  <si>
    <t>207199543</t>
  </si>
  <si>
    <t>207201822</t>
  </si>
  <si>
    <t>207201844</t>
  </si>
  <si>
    <t>207201818</t>
  </si>
  <si>
    <t>207201842</t>
  </si>
  <si>
    <t>207201845</t>
  </si>
  <si>
    <t>207201857</t>
  </si>
  <si>
    <t>207201877</t>
  </si>
  <si>
    <t>207201794</t>
  </si>
  <si>
    <t>207201816</t>
  </si>
  <si>
    <t>207201820</t>
  </si>
  <si>
    <t>207199104</t>
  </si>
  <si>
    <t>207201879</t>
  </si>
  <si>
    <t>207201883</t>
  </si>
  <si>
    <t>207198812</t>
  </si>
  <si>
    <t>207199194</t>
  </si>
  <si>
    <t>207199646</t>
  </si>
  <si>
    <t>207198568</t>
  </si>
  <si>
    <t>207198307</t>
  </si>
  <si>
    <t>207198361</t>
  </si>
  <si>
    <t>207198200</t>
  </si>
  <si>
    <t>207199817</t>
  </si>
  <si>
    <t>207200049</t>
  </si>
  <si>
    <t>207200054</t>
  </si>
  <si>
    <t>207198276</t>
  </si>
  <si>
    <t>207198201</t>
  </si>
  <si>
    <t>207198504</t>
  </si>
  <si>
    <t>207198360</t>
  </si>
  <si>
    <t>207198633</t>
  </si>
  <si>
    <t>207198797</t>
  </si>
  <si>
    <t>207198741</t>
  </si>
  <si>
    <t>207198683</t>
  </si>
  <si>
    <t>207199757</t>
  </si>
  <si>
    <t>207201953</t>
  </si>
  <si>
    <t>207201922</t>
  </si>
  <si>
    <t>207201918</t>
  </si>
  <si>
    <t>207201968</t>
  </si>
  <si>
    <t>207201956</t>
  </si>
  <si>
    <t>207202032</t>
  </si>
  <si>
    <t>207198208</t>
  </si>
  <si>
    <t>207197448</t>
  </si>
  <si>
    <t>207197893</t>
  </si>
  <si>
    <t>207200508</t>
  </si>
  <si>
    <t>207198214</t>
  </si>
  <si>
    <t>207198275</t>
  </si>
  <si>
    <t>207198358</t>
  </si>
  <si>
    <t>207198310</t>
  </si>
  <si>
    <t>207198309</t>
  </si>
  <si>
    <t>207200199</t>
  </si>
  <si>
    <t>207199500</t>
  </si>
  <si>
    <t>207199709</t>
  </si>
  <si>
    <t>207200346</t>
  </si>
  <si>
    <t>207199684</t>
  </si>
  <si>
    <t>207197383</t>
  </si>
  <si>
    <t>207199668</t>
  </si>
  <si>
    <t>207198415</t>
  </si>
  <si>
    <t>207199231</t>
  </si>
  <si>
    <t>207197502</t>
  </si>
  <si>
    <t>207197622</t>
  </si>
  <si>
    <t>207197521</t>
  </si>
  <si>
    <t>207197580</t>
  </si>
  <si>
    <t>207197556</t>
  </si>
  <si>
    <t>207197665</t>
  </si>
  <si>
    <t>207197470</t>
  </si>
  <si>
    <t>207199965</t>
  </si>
  <si>
    <t>207200119</t>
  </si>
  <si>
    <t>207199831</t>
  </si>
  <si>
    <t>207200224</t>
  </si>
  <si>
    <t>207200045</t>
  </si>
  <si>
    <t>207200170</t>
  </si>
  <si>
    <t>207198499</t>
  </si>
  <si>
    <t>207197609</t>
  </si>
  <si>
    <t>207197772</t>
  </si>
  <si>
    <t>207197707</t>
  </si>
  <si>
    <t>207197625</t>
  </si>
  <si>
    <t>207198684</t>
  </si>
  <si>
    <t>207198801</t>
  </si>
  <si>
    <t>207198865</t>
  </si>
  <si>
    <t>207199887</t>
  </si>
  <si>
    <t>207199233</t>
  </si>
  <si>
    <t>207198503</t>
  </si>
  <si>
    <t>207199286</t>
  </si>
  <si>
    <t>207199468</t>
  </si>
  <si>
    <t>207199959</t>
  </si>
  <si>
    <t>207199894</t>
  </si>
  <si>
    <t>207200075</t>
  </si>
  <si>
    <t>207200175</t>
  </si>
  <si>
    <t>207200702</t>
  </si>
  <si>
    <t>207200697</t>
  </si>
  <si>
    <t>207200701</t>
  </si>
  <si>
    <t>207200700</t>
  </si>
  <si>
    <t>207200698</t>
  </si>
  <si>
    <t>207200699</t>
  </si>
  <si>
    <t>207200703</t>
  </si>
  <si>
    <t>207200686</t>
  </si>
  <si>
    <t>207199586</t>
  </si>
  <si>
    <t>207208194</t>
  </si>
  <si>
    <t>207198925</t>
  </si>
  <si>
    <t>207198920</t>
  </si>
  <si>
    <t>207208193</t>
  </si>
  <si>
    <t>207199774</t>
  </si>
  <si>
    <t>207208195</t>
  </si>
  <si>
    <t>207199666</t>
  </si>
  <si>
    <t>207198985</t>
  </si>
  <si>
    <t>207199099</t>
  </si>
  <si>
    <t>207200052</t>
  </si>
  <si>
    <t>207208196</t>
  </si>
  <si>
    <t>207200016</t>
  </si>
  <si>
    <t>207208192</t>
  </si>
  <si>
    <t>207208190</t>
  </si>
  <si>
    <t>207198857</t>
  </si>
  <si>
    <t>207199540</t>
  </si>
  <si>
    <t>207208191</t>
  </si>
  <si>
    <t>207199768</t>
  </si>
  <si>
    <t>207200097</t>
  </si>
  <si>
    <t>207199819</t>
  </si>
  <si>
    <t>207198347</t>
  </si>
  <si>
    <t>207208202</t>
  </si>
  <si>
    <t>207208199</t>
  </si>
  <si>
    <t>207208201</t>
  </si>
  <si>
    <t>207198476</t>
  </si>
  <si>
    <t>207208198</t>
  </si>
  <si>
    <t>207198435</t>
  </si>
  <si>
    <t>207198400</t>
  </si>
  <si>
    <t>207208197</t>
  </si>
  <si>
    <t>207198370</t>
  </si>
  <si>
    <t>207208200</t>
  </si>
  <si>
    <t>207199250</t>
  </si>
  <si>
    <t>207200181</t>
  </si>
  <si>
    <t>207199287</t>
  </si>
  <si>
    <t>207200227</t>
  </si>
  <si>
    <t>207199322</t>
  </si>
  <si>
    <t>207199193</t>
  </si>
  <si>
    <t>207200106</t>
  </si>
  <si>
    <t>207208203</t>
  </si>
  <si>
    <t>207200145</t>
  </si>
  <si>
    <t>207200142</t>
  </si>
  <si>
    <t>207200252</t>
  </si>
  <si>
    <t>207200042</t>
  </si>
  <si>
    <t>207200202</t>
  </si>
  <si>
    <t>207200335</t>
  </si>
  <si>
    <t>207200379</t>
  </si>
  <si>
    <t>207200286</t>
  </si>
  <si>
    <t>207208185</t>
  </si>
  <si>
    <t>207208181</t>
  </si>
  <si>
    <t>207208180</t>
  </si>
  <si>
    <t>207202065</t>
  </si>
  <si>
    <t>207208184</t>
  </si>
  <si>
    <t>207208182</t>
  </si>
  <si>
    <t>207208183</t>
  </si>
  <si>
    <t>207199417</t>
  </si>
  <si>
    <t>207201971</t>
  </si>
  <si>
    <t>207201954</t>
  </si>
  <si>
    <t>207199467</t>
  </si>
  <si>
    <t>207201981</t>
  </si>
  <si>
    <t>207202000</t>
  </si>
  <si>
    <t>207201986</t>
  </si>
  <si>
    <t>207208187</t>
  </si>
  <si>
    <t>207202108</t>
  </si>
  <si>
    <t>207202096</t>
  </si>
  <si>
    <t>207202104</t>
  </si>
  <si>
    <t>207208188</t>
  </si>
  <si>
    <t>207199884</t>
  </si>
  <si>
    <t>207208189</t>
  </si>
  <si>
    <t>207200305</t>
  </si>
  <si>
    <t>207200353</t>
  </si>
  <si>
    <t>207198890</t>
  </si>
  <si>
    <t>207197505</t>
  </si>
  <si>
    <t>207197523</t>
  </si>
  <si>
    <t>207198910</t>
  </si>
  <si>
    <t>207199073</t>
  </si>
  <si>
    <t>207199141</t>
  </si>
  <si>
    <t>207199115</t>
  </si>
  <si>
    <t>207197868</t>
  </si>
  <si>
    <t>207197796</t>
  </si>
  <si>
    <t>207198556</t>
  </si>
  <si>
    <t>207197733</t>
  </si>
  <si>
    <t>207197838</t>
  </si>
  <si>
    <t>207197657</t>
  </si>
  <si>
    <t>207197714</t>
  </si>
  <si>
    <t>207198772</t>
  </si>
  <si>
    <t>207199690</t>
  </si>
  <si>
    <t>207198791</t>
  </si>
  <si>
    <t>207198663</t>
  </si>
  <si>
    <t>207198620</t>
  </si>
  <si>
    <t>207199654</t>
  </si>
  <si>
    <t>207198735</t>
  </si>
  <si>
    <t>207199667</t>
  </si>
  <si>
    <t>207198711</t>
  </si>
  <si>
    <t>207198816</t>
  </si>
  <si>
    <t>207200284</t>
  </si>
  <si>
    <t>207200218</t>
  </si>
  <si>
    <t>207200254</t>
  </si>
  <si>
    <t>207200331</t>
  </si>
  <si>
    <t>207200089</t>
  </si>
  <si>
    <t>207202059</t>
  </si>
  <si>
    <t>207202093</t>
  </si>
  <si>
    <t>207197408</t>
  </si>
  <si>
    <t>207198243</t>
  </si>
  <si>
    <t>207198211</t>
  </si>
  <si>
    <t>207198898</t>
  </si>
  <si>
    <t>207198301</t>
  </si>
  <si>
    <t>207199345</t>
  </si>
  <si>
    <t>207199822</t>
  </si>
  <si>
    <t>207200323</t>
  </si>
  <si>
    <t>207200319</t>
  </si>
  <si>
    <t>207199584</t>
  </si>
  <si>
    <t>207199106</t>
  </si>
  <si>
    <t>207199663</t>
  </si>
  <si>
    <t>207200304</t>
  </si>
  <si>
    <t>207200301</t>
  </si>
  <si>
    <t>207200297</t>
  </si>
  <si>
    <t>207200299</t>
  </si>
  <si>
    <t>207199149</t>
  </si>
  <si>
    <t>207200352</t>
  </si>
  <si>
    <t>207200336</t>
  </si>
  <si>
    <t>207200306</t>
  </si>
  <si>
    <t>207200330</t>
  </si>
  <si>
    <t>207200485</t>
  </si>
  <si>
    <t>207200659</t>
  </si>
  <si>
    <t>207200667</t>
  </si>
  <si>
    <t>207200687</t>
  </si>
  <si>
    <t>207200696</t>
  </si>
  <si>
    <t>207200710</t>
  </si>
  <si>
    <t>207200693</t>
  </si>
  <si>
    <t>207200713</t>
  </si>
  <si>
    <t>207200639</t>
  </si>
  <si>
    <t>207200561</t>
  </si>
  <si>
    <t>207200567</t>
  </si>
  <si>
    <t>207200542</t>
  </si>
  <si>
    <t>207200522</t>
  </si>
  <si>
    <t>207200503</t>
  </si>
  <si>
    <t>207200599</t>
  </si>
  <si>
    <t>207200607</t>
  </si>
  <si>
    <t>207200628</t>
  </si>
  <si>
    <t>207200590</t>
  </si>
  <si>
    <t>207198933</t>
  </si>
  <si>
    <t>207198854</t>
  </si>
  <si>
    <t>207197891</t>
  </si>
  <si>
    <t>207198371</t>
  </si>
  <si>
    <t>207198468</t>
  </si>
  <si>
    <t>207201525</t>
  </si>
  <si>
    <t>207201561</t>
  </si>
  <si>
    <t>207201538</t>
  </si>
  <si>
    <t>207198241</t>
  </si>
  <si>
    <t>207197697</t>
  </si>
  <si>
    <t>207197596</t>
  </si>
  <si>
    <t>207198304</t>
  </si>
  <si>
    <t>207198150</t>
  </si>
  <si>
    <t>207197962</t>
  </si>
  <si>
    <t>207197843</t>
  </si>
  <si>
    <t>207197762</t>
  </si>
  <si>
    <t>207198047</t>
  </si>
  <si>
    <t>207197405</t>
  </si>
  <si>
    <t>207197453</t>
  </si>
  <si>
    <t>207197374</t>
  </si>
  <si>
    <t>207197309</t>
  </si>
  <si>
    <t>207197340</t>
  </si>
  <si>
    <t>207197579</t>
  </si>
  <si>
    <t>207197489</t>
  </si>
  <si>
    <t>207197542</t>
  </si>
  <si>
    <t>207197350</t>
  </si>
  <si>
    <t>207197278</t>
  </si>
  <si>
    <t>207201630</t>
  </si>
  <si>
    <t>207197911</t>
  </si>
  <si>
    <t>207197830</t>
  </si>
  <si>
    <t>207201752</t>
  </si>
  <si>
    <t>S1CS07170-WS</t>
  </si>
  <si>
    <t>3A_G-WI01, 3A_G-WI04</t>
  </si>
  <si>
    <t>3A_G-WI01, 3A_G-WI04, 3A_G-WI05, 3A_G-WI06, 3A_G-WI07, 3A_G-WI08</t>
  </si>
  <si>
    <t>207197303</t>
  </si>
  <si>
    <t>207197330</t>
  </si>
  <si>
    <t>207197358</t>
  </si>
  <si>
    <t>207197377</t>
  </si>
  <si>
    <t>207197379</t>
  </si>
  <si>
    <t>207197410</t>
  </si>
  <si>
    <t>207197411</t>
  </si>
  <si>
    <t>207197429</t>
  </si>
  <si>
    <t>207197449</t>
  </si>
  <si>
    <t>207197450</t>
  </si>
  <si>
    <t>207197471</t>
  </si>
  <si>
    <t>207197496</t>
  </si>
  <si>
    <t>207197498</t>
  </si>
  <si>
    <t>207197503</t>
  </si>
  <si>
    <t>207197507</t>
  </si>
  <si>
    <t>207197511</t>
  </si>
  <si>
    <t>207197512</t>
  </si>
  <si>
    <t>207197517</t>
  </si>
  <si>
    <t>207197518</t>
  </si>
  <si>
    <t>207197520</t>
  </si>
  <si>
    <t>207197525</t>
  </si>
  <si>
    <t>207197530</t>
  </si>
  <si>
    <t>207197534</t>
  </si>
  <si>
    <t>207197547</t>
  </si>
  <si>
    <t>207197549</t>
  </si>
  <si>
    <t>207197553</t>
  </si>
  <si>
    <t>207197557</t>
  </si>
  <si>
    <t>207197558</t>
  </si>
  <si>
    <t>207197566</t>
  </si>
  <si>
    <t>207197573</t>
  </si>
  <si>
    <t>207197581</t>
  </si>
  <si>
    <t>207197583</t>
  </si>
  <si>
    <t>207197586</t>
  </si>
  <si>
    <t>207197587</t>
  </si>
  <si>
    <t>207197595</t>
  </si>
  <si>
    <t>207197601</t>
  </si>
  <si>
    <t>207197606</t>
  </si>
  <si>
    <t>207197612</t>
  </si>
  <si>
    <t>207197613</t>
  </si>
  <si>
    <t>207197645</t>
  </si>
  <si>
    <t>207197652</t>
  </si>
  <si>
    <t>207197658</t>
  </si>
  <si>
    <t>207197664</t>
  </si>
  <si>
    <t>207197668</t>
  </si>
  <si>
    <t>207197675</t>
  </si>
  <si>
    <t>207197678</t>
  </si>
  <si>
    <t>207197679</t>
  </si>
  <si>
    <t>207197686</t>
  </si>
  <si>
    <t>207197690</t>
  </si>
  <si>
    <t>207197692</t>
  </si>
  <si>
    <t>207197693</t>
  </si>
  <si>
    <t>207197695</t>
  </si>
  <si>
    <t>207197703</t>
  </si>
  <si>
    <t>207197711</t>
  </si>
  <si>
    <t>207197717</t>
  </si>
  <si>
    <t>207197719</t>
  </si>
  <si>
    <t>207197720</t>
  </si>
  <si>
    <t>207197723</t>
  </si>
  <si>
    <t>207197728</t>
  </si>
  <si>
    <t>207197731</t>
  </si>
  <si>
    <t>207197738</t>
  </si>
  <si>
    <t>207197739</t>
  </si>
  <si>
    <t>207197740</t>
  </si>
  <si>
    <t>207197742</t>
  </si>
  <si>
    <t>207197748</t>
  </si>
  <si>
    <t>207197751</t>
  </si>
  <si>
    <t>207197752</t>
  </si>
  <si>
    <t>207197755</t>
  </si>
  <si>
    <t>207197759</t>
  </si>
  <si>
    <t>207197779</t>
  </si>
  <si>
    <t>207197782</t>
  </si>
  <si>
    <t>207197783</t>
  </si>
  <si>
    <t>207197789</t>
  </si>
  <si>
    <t>207197795</t>
  </si>
  <si>
    <t>207197799</t>
  </si>
  <si>
    <t>207197800</t>
  </si>
  <si>
    <t>207197801</t>
  </si>
  <si>
    <t>207197803</t>
  </si>
  <si>
    <t>207197805</t>
  </si>
  <si>
    <t>207197808</t>
  </si>
  <si>
    <t>207197813</t>
  </si>
  <si>
    <t>207197818</t>
  </si>
  <si>
    <t>207197822</t>
  </si>
  <si>
    <t>207197828</t>
  </si>
  <si>
    <t>207197831</t>
  </si>
  <si>
    <t>207197833</t>
  </si>
  <si>
    <t>207197834</t>
  </si>
  <si>
    <t>207197840</t>
  </si>
  <si>
    <t>207197844</t>
  </si>
  <si>
    <t>207197849</t>
  </si>
  <si>
    <t>207197854</t>
  </si>
  <si>
    <t>207197862</t>
  </si>
  <si>
    <t>207197864</t>
  </si>
  <si>
    <t>207197865</t>
  </si>
  <si>
    <t>207197870</t>
  </si>
  <si>
    <t>207197872</t>
  </si>
  <si>
    <t>207197883</t>
  </si>
  <si>
    <t>207197885</t>
  </si>
  <si>
    <t>207197886</t>
  </si>
  <si>
    <t>207197887</t>
  </si>
  <si>
    <t>207197888</t>
  </si>
  <si>
    <t>207197895</t>
  </si>
  <si>
    <t>207197896</t>
  </si>
  <si>
    <t>207197901</t>
  </si>
  <si>
    <t>207197914</t>
  </si>
  <si>
    <t>207197916</t>
  </si>
  <si>
    <t>207197918</t>
  </si>
  <si>
    <t>207197921</t>
  </si>
  <si>
    <t>207197929</t>
  </si>
  <si>
    <t>207197934</t>
  </si>
  <si>
    <t>207197938</t>
  </si>
  <si>
    <t>207197944</t>
  </si>
  <si>
    <t>207197949</t>
  </si>
  <si>
    <t>207197955</t>
  </si>
  <si>
    <t>207197957</t>
  </si>
  <si>
    <t>207197963</t>
  </si>
  <si>
    <t>207197968</t>
  </si>
  <si>
    <t>207197971</t>
  </si>
  <si>
    <t>207197975</t>
  </si>
  <si>
    <t>207197977</t>
  </si>
  <si>
    <t>207197984</t>
  </si>
  <si>
    <t>207197985</t>
  </si>
  <si>
    <t>207197991</t>
  </si>
  <si>
    <t>207197996</t>
  </si>
  <si>
    <t>207198005</t>
  </si>
  <si>
    <t>207198009</t>
  </si>
  <si>
    <t>207198015</t>
  </si>
  <si>
    <t>207198017</t>
  </si>
  <si>
    <t>207198022</t>
  </si>
  <si>
    <t>207198028</t>
  </si>
  <si>
    <t>207198032</t>
  </si>
  <si>
    <t>207198049</t>
  </si>
  <si>
    <t>207198050</t>
  </si>
  <si>
    <t>207198055</t>
  </si>
  <si>
    <t>207198066</t>
  </si>
  <si>
    <t>207198077</t>
  </si>
  <si>
    <t>207198082</t>
  </si>
  <si>
    <t>207198091</t>
  </si>
  <si>
    <t>207198095</t>
  </si>
  <si>
    <t>207198108</t>
  </si>
  <si>
    <t>207198110</t>
  </si>
  <si>
    <t>207198114</t>
  </si>
  <si>
    <t>207198136</t>
  </si>
  <si>
    <t>207198139</t>
  </si>
  <si>
    <t>207198146</t>
  </si>
  <si>
    <t>207198149</t>
  </si>
  <si>
    <t>207198187</t>
  </si>
  <si>
    <t>207198190</t>
  </si>
  <si>
    <t>207198239</t>
  </si>
  <si>
    <t>207198251</t>
  </si>
  <si>
    <t>207198277</t>
  </si>
  <si>
    <t>207198281</t>
  </si>
  <si>
    <t>207198292</t>
  </si>
  <si>
    <t>207198293</t>
  </si>
  <si>
    <t>207198294</t>
  </si>
  <si>
    <t>207198300</t>
  </si>
  <si>
    <t>207198306</t>
  </si>
  <si>
    <t>207198318</t>
  </si>
  <si>
    <t>207198326</t>
  </si>
  <si>
    <t>207198327</t>
  </si>
  <si>
    <t>207198340</t>
  </si>
  <si>
    <t>207198345</t>
  </si>
  <si>
    <t>207198348</t>
  </si>
  <si>
    <t>207198356</t>
  </si>
  <si>
    <t>207198372</t>
  </si>
  <si>
    <t>207198393</t>
  </si>
  <si>
    <t>207198401</t>
  </si>
  <si>
    <t>207198410</t>
  </si>
  <si>
    <t>207198417</t>
  </si>
  <si>
    <t>207198421</t>
  </si>
  <si>
    <t>207198425</t>
  </si>
  <si>
    <t>207198429</t>
  </si>
  <si>
    <t>207198436</t>
  </si>
  <si>
    <t>207198440</t>
  </si>
  <si>
    <t>207198442</t>
  </si>
  <si>
    <t>207198443</t>
  </si>
  <si>
    <t>207198450</t>
  </si>
  <si>
    <t>207198458</t>
  </si>
  <si>
    <t>207198464</t>
  </si>
  <si>
    <t>207198467</t>
  </si>
  <si>
    <t>207198471</t>
  </si>
  <si>
    <t>207198475</t>
  </si>
  <si>
    <t>207198484</t>
  </si>
  <si>
    <t>207198487</t>
  </si>
  <si>
    <t>207198492</t>
  </si>
  <si>
    <t>207198508</t>
  </si>
  <si>
    <t>207198513</t>
  </si>
  <si>
    <t>207198515</t>
  </si>
  <si>
    <t>207198539</t>
  </si>
  <si>
    <t>207198540</t>
  </si>
  <si>
    <t>207198549</t>
  </si>
  <si>
    <t>207198552</t>
  </si>
  <si>
    <t>207198554</t>
  </si>
  <si>
    <t>207198577</t>
  </si>
  <si>
    <t>207198580</t>
  </si>
  <si>
    <t>207198583</t>
  </si>
  <si>
    <t>207198585</t>
  </si>
  <si>
    <t>207198587</t>
  </si>
  <si>
    <t>207198589</t>
  </si>
  <si>
    <t>207198590</t>
  </si>
  <si>
    <t>207198593</t>
  </si>
  <si>
    <t>207198596</t>
  </si>
  <si>
    <t>207198619</t>
  </si>
  <si>
    <t>207198621</t>
  </si>
  <si>
    <t>207198622</t>
  </si>
  <si>
    <t>207198623</t>
  </si>
  <si>
    <t>207198626</t>
  </si>
  <si>
    <t>207198638</t>
  </si>
  <si>
    <t>207198639</t>
  </si>
  <si>
    <t>207198642</t>
  </si>
  <si>
    <t>207198644</t>
  </si>
  <si>
    <t>207198646</t>
  </si>
  <si>
    <t>207198659</t>
  </si>
  <si>
    <t>207198661</t>
  </si>
  <si>
    <t>207198664</t>
  </si>
  <si>
    <t>207198665</t>
  </si>
  <si>
    <t>207198666</t>
  </si>
  <si>
    <t>207198669</t>
  </si>
  <si>
    <t>207198671</t>
  </si>
  <si>
    <t>207198672</t>
  </si>
  <si>
    <t>207198673</t>
  </si>
  <si>
    <t>207198675</t>
  </si>
  <si>
    <t>207198710</t>
  </si>
  <si>
    <t>207198712</t>
  </si>
  <si>
    <t>207198714</t>
  </si>
  <si>
    <t>207198716</t>
  </si>
  <si>
    <t>207198727</t>
  </si>
  <si>
    <t>207198728</t>
  </si>
  <si>
    <t>207198731</t>
  </si>
  <si>
    <t>207198732</t>
  </si>
  <si>
    <t>207198734</t>
  </si>
  <si>
    <t>207198736</t>
  </si>
  <si>
    <t>207198747</t>
  </si>
  <si>
    <t>207198749</t>
  </si>
  <si>
    <t>207198751</t>
  </si>
  <si>
    <t>207198752</t>
  </si>
  <si>
    <t>207198754</t>
  </si>
  <si>
    <t>207198757</t>
  </si>
  <si>
    <t>207198759</t>
  </si>
  <si>
    <t>207198762</t>
  </si>
  <si>
    <t>207198776</t>
  </si>
  <si>
    <t>207198796</t>
  </si>
  <si>
    <t>207198808</t>
  </si>
  <si>
    <t>207198817</t>
  </si>
  <si>
    <t>207198835</t>
  </si>
  <si>
    <t>207198851</t>
  </si>
  <si>
    <t>207198853</t>
  </si>
  <si>
    <t>207198856</t>
  </si>
  <si>
    <t>207198879</t>
  </si>
  <si>
    <t>207198882</t>
  </si>
  <si>
    <t>207198884</t>
  </si>
  <si>
    <t>207198897</t>
  </si>
  <si>
    <t>207198899</t>
  </si>
  <si>
    <t>207198901</t>
  </si>
  <si>
    <t>207198904</t>
  </si>
  <si>
    <t>207198928</t>
  </si>
  <si>
    <t>207198929</t>
  </si>
  <si>
    <t>207198931</t>
  </si>
  <si>
    <t>207198932</t>
  </si>
  <si>
    <t>207198934</t>
  </si>
  <si>
    <t>207198935</t>
  </si>
  <si>
    <t>207198937</t>
  </si>
  <si>
    <t>207198940</t>
  </si>
  <si>
    <t>207198941</t>
  </si>
  <si>
    <t>207198942</t>
  </si>
  <si>
    <t>207198944</t>
  </si>
  <si>
    <t>207198945</t>
  </si>
  <si>
    <t>207198946</t>
  </si>
  <si>
    <t>207198947</t>
  </si>
  <si>
    <t>207198958</t>
  </si>
  <si>
    <t>207198959</t>
  </si>
  <si>
    <t>207198961</t>
  </si>
  <si>
    <t>207198964</t>
  </si>
  <si>
    <t>207198965</t>
  </si>
  <si>
    <t>207198987</t>
  </si>
  <si>
    <t>207198988</t>
  </si>
  <si>
    <t>207198989</t>
  </si>
  <si>
    <t>207198990</t>
  </si>
  <si>
    <t>207198991</t>
  </si>
  <si>
    <t>207198993</t>
  </si>
  <si>
    <t>207198995</t>
  </si>
  <si>
    <t>207199008</t>
  </si>
  <si>
    <t>207199010</t>
  </si>
  <si>
    <t>207199011</t>
  </si>
  <si>
    <t>207199012</t>
  </si>
  <si>
    <t>207199013</t>
  </si>
  <si>
    <t>207199016</t>
  </si>
  <si>
    <t>207199018</t>
  </si>
  <si>
    <t>207199021</t>
  </si>
  <si>
    <t>207199023</t>
  </si>
  <si>
    <t>207199024</t>
  </si>
  <si>
    <t>207199026</t>
  </si>
  <si>
    <t>207199037</t>
  </si>
  <si>
    <t>207199038</t>
  </si>
  <si>
    <t>207199039</t>
  </si>
  <si>
    <t>207199040</t>
  </si>
  <si>
    <t>207199043</t>
  </si>
  <si>
    <t>207199046</t>
  </si>
  <si>
    <t>207199057</t>
  </si>
  <si>
    <t>207199058</t>
  </si>
  <si>
    <t>207199062</t>
  </si>
  <si>
    <t>207199063</t>
  </si>
  <si>
    <t>207199065</t>
  </si>
  <si>
    <t>207199071</t>
  </si>
  <si>
    <t>207199088</t>
  </si>
  <si>
    <t>207199094</t>
  </si>
  <si>
    <t>207199111</t>
  </si>
  <si>
    <t>207199114</t>
  </si>
  <si>
    <t>207199119</t>
  </si>
  <si>
    <t>207199123</t>
  </si>
  <si>
    <t>207199124</t>
  </si>
  <si>
    <t>207199134</t>
  </si>
  <si>
    <t>207199139</t>
  </si>
  <si>
    <t>207199143</t>
  </si>
  <si>
    <t>207199145</t>
  </si>
  <si>
    <t>207199176</t>
  </si>
  <si>
    <t>207199179</t>
  </si>
  <si>
    <t>207199184</t>
  </si>
  <si>
    <t>207199202</t>
  </si>
  <si>
    <t>207199207</t>
  </si>
  <si>
    <t>207199211</t>
  </si>
  <si>
    <t>207199215</t>
  </si>
  <si>
    <t>207199223</t>
  </si>
  <si>
    <t>207199239</t>
  </si>
  <si>
    <t>207199240</t>
  </si>
  <si>
    <t>207199256</t>
  </si>
  <si>
    <t>207199284</t>
  </si>
  <si>
    <t>207199309</t>
  </si>
  <si>
    <t>207199317</t>
  </si>
  <si>
    <t>207199320</t>
  </si>
  <si>
    <t>207199323</t>
  </si>
  <si>
    <t>207199326</t>
  </si>
  <si>
    <t>207199328</t>
  </si>
  <si>
    <t>207199329</t>
  </si>
  <si>
    <t>207199335</t>
  </si>
  <si>
    <t>207199339</t>
  </si>
  <si>
    <t>207199343</t>
  </si>
  <si>
    <t>207199358</t>
  </si>
  <si>
    <t>207199360</t>
  </si>
  <si>
    <t>207199364</t>
  </si>
  <si>
    <t>207199367</t>
  </si>
  <si>
    <t>207199368</t>
  </si>
  <si>
    <t>207199369</t>
  </si>
  <si>
    <t>207199372</t>
  </si>
  <si>
    <t>207199375</t>
  </si>
  <si>
    <t>207199398</t>
  </si>
  <si>
    <t>207199401</t>
  </si>
  <si>
    <t>207199403</t>
  </si>
  <si>
    <t>207199406</t>
  </si>
  <si>
    <t>207199409</t>
  </si>
  <si>
    <t>207199412</t>
  </si>
  <si>
    <t>207199415</t>
  </si>
  <si>
    <t>207199419</t>
  </si>
  <si>
    <t>207199424</t>
  </si>
  <si>
    <t>207199437</t>
  </si>
  <si>
    <t>207199440</t>
  </si>
  <si>
    <t>207199443</t>
  </si>
  <si>
    <t>207199445</t>
  </si>
  <si>
    <t>207199447</t>
  </si>
  <si>
    <t>207199450</t>
  </si>
  <si>
    <t>207199451</t>
  </si>
  <si>
    <t>207199454</t>
  </si>
  <si>
    <t>207199456</t>
  </si>
  <si>
    <t>207199459</t>
  </si>
  <si>
    <t>207199461</t>
  </si>
  <si>
    <t>207199463</t>
  </si>
  <si>
    <t>207199466</t>
  </si>
  <si>
    <t>207199472</t>
  </si>
  <si>
    <t>207199477</t>
  </si>
  <si>
    <t>207199480</t>
  </si>
  <si>
    <t>207199481</t>
  </si>
  <si>
    <t>207199482</t>
  </si>
  <si>
    <t>207199485</t>
  </si>
  <si>
    <t>207199488</t>
  </si>
  <si>
    <t>207199490</t>
  </si>
  <si>
    <t>207199492</t>
  </si>
  <si>
    <t>207199498</t>
  </si>
  <si>
    <t>207199501</t>
  </si>
  <si>
    <t>207199503</t>
  </si>
  <si>
    <t>207199505</t>
  </si>
  <si>
    <t>207199506</t>
  </si>
  <si>
    <t>207199519</t>
  </si>
  <si>
    <t>207199521</t>
  </si>
  <si>
    <t>207199523</t>
  </si>
  <si>
    <t>207199528</t>
  </si>
  <si>
    <t>207199533</t>
  </si>
  <si>
    <t>207199535</t>
  </si>
  <si>
    <t>207199549</t>
  </si>
  <si>
    <t>207199551</t>
  </si>
  <si>
    <t>207199552</t>
  </si>
  <si>
    <t>207199554</t>
  </si>
  <si>
    <t>207199557</t>
  </si>
  <si>
    <t>207199559</t>
  </si>
  <si>
    <t>207199560</t>
  </si>
  <si>
    <t>207199562</t>
  </si>
  <si>
    <t>207199565</t>
  </si>
  <si>
    <t>207199567</t>
  </si>
  <si>
    <t>207199570</t>
  </si>
  <si>
    <t>207199571</t>
  </si>
  <si>
    <t>207199574</t>
  </si>
  <si>
    <t>207199587</t>
  </si>
  <si>
    <t>207199590</t>
  </si>
  <si>
    <t>207199593</t>
  </si>
  <si>
    <t>207199594</t>
  </si>
  <si>
    <t>207199595</t>
  </si>
  <si>
    <t>207199597</t>
  </si>
  <si>
    <t>207199598</t>
  </si>
  <si>
    <t>207199600</t>
  </si>
  <si>
    <t>207199601</t>
  </si>
  <si>
    <t>207199605</t>
  </si>
  <si>
    <t>207199607</t>
  </si>
  <si>
    <t>207199610</t>
  </si>
  <si>
    <t>207199613</t>
  </si>
  <si>
    <t>207199616</t>
  </si>
  <si>
    <t>207199629</t>
  </si>
  <si>
    <t>207199632</t>
  </si>
  <si>
    <t>207199633</t>
  </si>
  <si>
    <t>207199635</t>
  </si>
  <si>
    <t>207199636</t>
  </si>
  <si>
    <t>207199637</t>
  </si>
  <si>
    <t>207199639</t>
  </si>
  <si>
    <t>207199640</t>
  </si>
  <si>
    <t>207199643</t>
  </si>
  <si>
    <t>207199644</t>
  </si>
  <si>
    <t>207199649</t>
  </si>
  <si>
    <t>207199650</t>
  </si>
  <si>
    <t>207199653</t>
  </si>
  <si>
    <t>207199656</t>
  </si>
  <si>
    <t>207199669</t>
  </si>
  <si>
    <t>207199670</t>
  </si>
  <si>
    <t>207199671</t>
  </si>
  <si>
    <t>207199673</t>
  </si>
  <si>
    <t>207199675</t>
  </si>
  <si>
    <t>207199679</t>
  </si>
  <si>
    <t>207199680</t>
  </si>
  <si>
    <t>207199685</t>
  </si>
  <si>
    <t>207199688</t>
  </si>
  <si>
    <t>207199691</t>
  </si>
  <si>
    <t>207199693</t>
  </si>
  <si>
    <t>207199694</t>
  </si>
  <si>
    <t>207199696</t>
  </si>
  <si>
    <t>207199710</t>
  </si>
  <si>
    <t>207199712</t>
  </si>
  <si>
    <t>207199714</t>
  </si>
  <si>
    <t>207199715</t>
  </si>
  <si>
    <t>207199729</t>
  </si>
  <si>
    <t>207199734</t>
  </si>
  <si>
    <t>207199737</t>
  </si>
  <si>
    <t>207199739</t>
  </si>
  <si>
    <t>207199740</t>
  </si>
  <si>
    <t>207199742</t>
  </si>
  <si>
    <t>207199745</t>
  </si>
  <si>
    <t>207199746</t>
  </si>
  <si>
    <t>207199758</t>
  </si>
  <si>
    <t>207199761</t>
  </si>
  <si>
    <t>207199763</t>
  </si>
  <si>
    <t>207199764</t>
  </si>
  <si>
    <t>207199765</t>
  </si>
  <si>
    <t>207199777</t>
  </si>
  <si>
    <t>207199778</t>
  </si>
  <si>
    <t>207199779</t>
  </si>
  <si>
    <t>207199782</t>
  </si>
  <si>
    <t>207199785</t>
  </si>
  <si>
    <t>207199798</t>
  </si>
  <si>
    <t>207199800</t>
  </si>
  <si>
    <t>207199803</t>
  </si>
  <si>
    <t>207199824</t>
  </si>
  <si>
    <t>207199828</t>
  </si>
  <si>
    <t>207199834</t>
  </si>
  <si>
    <t>207199849</t>
  </si>
  <si>
    <t>207199872</t>
  </si>
  <si>
    <t>207199873</t>
  </si>
  <si>
    <t>207199879</t>
  </si>
  <si>
    <t>207199885</t>
  </si>
  <si>
    <t>207199889</t>
  </si>
  <si>
    <t>207199892</t>
  </si>
  <si>
    <t>207199910</t>
  </si>
  <si>
    <t>207199912</t>
  </si>
  <si>
    <t>207199923</t>
  </si>
  <si>
    <t>207199940</t>
  </si>
  <si>
    <t>207199977</t>
  </si>
  <si>
    <t>207199982</t>
  </si>
  <si>
    <t>207199985</t>
  </si>
  <si>
    <t>207199986</t>
  </si>
  <si>
    <t>207199995</t>
  </si>
  <si>
    <t>207200010</t>
  </si>
  <si>
    <t>207200014</t>
  </si>
  <si>
    <t>207200038</t>
  </si>
  <si>
    <t>207200064</t>
  </si>
  <si>
    <t>207200078</t>
  </si>
  <si>
    <t>207200085</t>
  </si>
  <si>
    <t>207200160</t>
  </si>
  <si>
    <t>207200163</t>
  </si>
  <si>
    <t>207200164</t>
  </si>
  <si>
    <t>207200173</t>
  </si>
  <si>
    <t>207200187</t>
  </si>
  <si>
    <t>207200189</t>
  </si>
  <si>
    <t>207200191</t>
  </si>
  <si>
    <t>207200193</t>
  </si>
  <si>
    <t>207200195</t>
  </si>
  <si>
    <t>207200207</t>
  </si>
  <si>
    <t>207200228</t>
  </si>
  <si>
    <t>207200230</t>
  </si>
  <si>
    <t>207200232</t>
  </si>
  <si>
    <t>207200235</t>
  </si>
  <si>
    <t>207200236</t>
  </si>
  <si>
    <t>207200266</t>
  </si>
  <si>
    <t>207200270</t>
  </si>
  <si>
    <t>207200283</t>
  </si>
  <si>
    <t>207200289</t>
  </si>
  <si>
    <t>207200292</t>
  </si>
  <si>
    <t>207200294</t>
  </si>
  <si>
    <t>207200296</t>
  </si>
  <si>
    <t>207200328</t>
  </si>
  <si>
    <t>207200332</t>
  </si>
  <si>
    <t>207200334</t>
  </si>
  <si>
    <t>207200348</t>
  </si>
  <si>
    <t>207200350</t>
  </si>
  <si>
    <t>207200354</t>
  </si>
  <si>
    <t>207200356</t>
  </si>
  <si>
    <t>207200359</t>
  </si>
  <si>
    <t>207200380</t>
  </si>
  <si>
    <t>207200383</t>
  </si>
  <si>
    <t>207200387</t>
  </si>
  <si>
    <t>207200389</t>
  </si>
  <si>
    <t>207200393</t>
  </si>
  <si>
    <t>207200398</t>
  </si>
  <si>
    <t>207200403</t>
  </si>
  <si>
    <t>207200407</t>
  </si>
  <si>
    <t>207200411</t>
  </si>
  <si>
    <t>207200415</t>
  </si>
  <si>
    <t>207200417</t>
  </si>
  <si>
    <t>207200418</t>
  </si>
  <si>
    <t>207200422</t>
  </si>
  <si>
    <t>207200424</t>
  </si>
  <si>
    <t>207200425</t>
  </si>
  <si>
    <t>207200439</t>
  </si>
  <si>
    <t>207200443</t>
  </si>
  <si>
    <t>207200447</t>
  </si>
  <si>
    <t>207200449</t>
  </si>
  <si>
    <t>207200452</t>
  </si>
  <si>
    <t>207200453</t>
  </si>
  <si>
    <t>207200455</t>
  </si>
  <si>
    <t>207200467</t>
  </si>
  <si>
    <t>207200469</t>
  </si>
  <si>
    <t>207200471</t>
  </si>
  <si>
    <t>207200473</t>
  </si>
  <si>
    <t>207200474</t>
  </si>
  <si>
    <t>207200475</t>
  </si>
  <si>
    <t>207200487</t>
  </si>
  <si>
    <t>207200488</t>
  </si>
  <si>
    <t>207200489</t>
  </si>
  <si>
    <t>207200491</t>
  </si>
  <si>
    <t>207200493</t>
  </si>
  <si>
    <t>207200495</t>
  </si>
  <si>
    <t>207200507</t>
  </si>
  <si>
    <t>207200509</t>
  </si>
  <si>
    <t>207200511</t>
  </si>
  <si>
    <t>207200646</t>
  </si>
  <si>
    <t>207200651</t>
  </si>
  <si>
    <t>207200652</t>
  </si>
  <si>
    <t>207200653</t>
  </si>
  <si>
    <t>207200654</t>
  </si>
  <si>
    <t>207200655</t>
  </si>
  <si>
    <t>207200656</t>
  </si>
  <si>
    <t>207200658</t>
  </si>
  <si>
    <t>207200662</t>
  </si>
  <si>
    <t>207200664</t>
  </si>
  <si>
    <t>207200666</t>
  </si>
  <si>
    <t>207200669</t>
  </si>
  <si>
    <t>207200671</t>
  </si>
  <si>
    <t>207200672</t>
  </si>
  <si>
    <t>207200674</t>
  </si>
  <si>
    <t>207200676</t>
  </si>
  <si>
    <t>207200677</t>
  </si>
  <si>
    <t>207200678</t>
  </si>
  <si>
    <t>207200679</t>
  </si>
  <si>
    <t>207200680</t>
  </si>
  <si>
    <t>207200681</t>
  </si>
  <si>
    <t>207200682</t>
  </si>
  <si>
    <t>207200683</t>
  </si>
  <si>
    <t>207200684</t>
  </si>
  <si>
    <t>207200685</t>
  </si>
  <si>
    <t>207200689</t>
  </si>
  <si>
    <t>207200691</t>
  </si>
  <si>
    <t>207200874</t>
  </si>
  <si>
    <t>207200875</t>
  </si>
  <si>
    <t>207200890</t>
  </si>
  <si>
    <t>207200891</t>
  </si>
  <si>
    <t>207201006</t>
  </si>
  <si>
    <t>207201017</t>
  </si>
  <si>
    <t>207201024</t>
  </si>
  <si>
    <t>207201059</t>
  </si>
  <si>
    <t>207201085</t>
  </si>
  <si>
    <t>207201086</t>
  </si>
  <si>
    <t>207201088</t>
  </si>
  <si>
    <t>207201090</t>
  </si>
  <si>
    <t>207201092</t>
  </si>
  <si>
    <t>207201093</t>
  </si>
  <si>
    <t>207201137</t>
  </si>
  <si>
    <t>207201140</t>
  </si>
  <si>
    <t>207201154</t>
  </si>
  <si>
    <t>207201168</t>
  </si>
  <si>
    <t>207201174</t>
  </si>
  <si>
    <t>207201175</t>
  </si>
  <si>
    <t>207201297</t>
  </si>
  <si>
    <t>207201300</t>
  </si>
  <si>
    <t>207201334</t>
  </si>
  <si>
    <t>207201335</t>
  </si>
  <si>
    <t>207201338</t>
  </si>
  <si>
    <t>207201341</t>
  </si>
  <si>
    <t>207201343</t>
  </si>
  <si>
    <t>207201345</t>
  </si>
  <si>
    <t>207201357</t>
  </si>
  <si>
    <t>207201358</t>
  </si>
  <si>
    <t>207201373</t>
  </si>
  <si>
    <t>207201387</t>
  </si>
  <si>
    <t>207201472</t>
  </si>
  <si>
    <t>207201474</t>
  </si>
  <si>
    <t>207201475</t>
  </si>
  <si>
    <t>207201478</t>
  </si>
  <si>
    <t>207201479</t>
  </si>
  <si>
    <t>207201481</t>
  </si>
  <si>
    <t>207201483</t>
  </si>
  <si>
    <t>207201484</t>
  </si>
  <si>
    <t>207201486</t>
  </si>
  <si>
    <t>207201498</t>
  </si>
  <si>
    <t>207201627</t>
  </si>
  <si>
    <t>207202004</t>
  </si>
  <si>
    <t>207202080</t>
  </si>
  <si>
    <t>207202330</t>
  </si>
  <si>
    <t>207208120</t>
  </si>
  <si>
    <t>207208121</t>
  </si>
  <si>
    <t>207208122</t>
  </si>
  <si>
    <t>207208123</t>
  </si>
  <si>
    <t>207208124</t>
  </si>
  <si>
    <t>207208125</t>
  </si>
  <si>
    <t>207208126</t>
  </si>
  <si>
    <t>207208127</t>
  </si>
  <si>
    <t>207208128</t>
  </si>
  <si>
    <t>207208129</t>
  </si>
  <si>
    <t>207208134</t>
  </si>
  <si>
    <t>207208135</t>
  </si>
  <si>
    <t>207208136</t>
  </si>
  <si>
    <t>207208137</t>
  </si>
  <si>
    <t>207208138</t>
  </si>
  <si>
    <t>207208139</t>
  </si>
  <si>
    <t>207208140</t>
  </si>
  <si>
    <t>207208141</t>
  </si>
  <si>
    <t>207208142</t>
  </si>
  <si>
    <t>207208143</t>
  </si>
  <si>
    <t>207208144</t>
  </si>
  <si>
    <t>3A_G-WI01,3A_G-WI04</t>
  </si>
  <si>
    <t>3A_G-WI01,3A_G-WI04,3A_G-WI05,3A_G-WI06,3A_G-WI07,3A_G-WI08</t>
  </si>
  <si>
    <t>C:\Users\Nattapon.s\OneDrive - Pandora\E2E\Tool\Github\AAAFEAllocation\Import</t>
  </si>
  <si>
    <t>IsLongRoute</t>
  </si>
  <si>
    <t>GMQty</t>
  </si>
  <si>
    <t>ItemID</t>
  </si>
  <si>
    <t>Line</t>
  </si>
  <si>
    <t>Fixed line</t>
  </si>
  <si>
    <t>Scatter Items</t>
  </si>
  <si>
    <t>IsSparePart</t>
  </si>
  <si>
    <t>3A_G-WI10, 3A_G-WI11, 3A_G-WI12, 3A_G-WI13, 3A_G-WI14</t>
  </si>
  <si>
    <t>3A_G-WI15, 3A_G-WI16, 3A_G-WI17, 3A_G-WI18, 3A_G-WI20, 3A_G-WI21, 3A_G-WI22</t>
  </si>
  <si>
    <t>3A_G-WI01, 3A_G-WI04, 3A_G-WI05, 3A_G-WI06, 3A_G-WI07, 3A_G-WI08, 3A_G-WI09, 3A_G-WI10, 3A_G-WI11, 3A_G-WI12, 3A_G-WI13, 3A_G-WI14, 3A_G-WI15, 3A_G-WI16, 3A_G-WI17, 3A_G-WI18, 3A_G-WI20, 3A_G-WI21, 3A_G-WI22</t>
  </si>
  <si>
    <t>3A_G-WI08, 3A_G-WI06</t>
  </si>
  <si>
    <t>3A_G-WI08, 3A_G-WI16</t>
  </si>
  <si>
    <t>3A_G-WI06, 3A_G-WI04, 3A_G-WI05</t>
  </si>
  <si>
    <t>3A_G-WI21, 3A_G-WI13</t>
  </si>
  <si>
    <t>3A_G-WI20, 3A_G-WI05</t>
  </si>
  <si>
    <t>3A_G-WI08, 3A_G-WI20, 3A_G-WI07</t>
  </si>
  <si>
    <t>3A_G-WI04, 3A_G-WI13</t>
  </si>
  <si>
    <t>3A_G-WI15, 3A_G-WI05</t>
  </si>
  <si>
    <t>3A_G-WI10, 3A_G-WI08</t>
  </si>
  <si>
    <t>3A_G-WI14, 3A_G-WI10, 3A_G-WI07</t>
  </si>
  <si>
    <t>3A_G-WI04, 3A_G-WI21</t>
  </si>
  <si>
    <t>0 Total</t>
  </si>
  <si>
    <t>1 Total</t>
  </si>
  <si>
    <t>Sum of GMQty</t>
  </si>
  <si>
    <t>3A_G-WI10, 3A_G-WI11, 3A_G-WI12</t>
  </si>
  <si>
    <t>3A_G-WI13, 3A_G-WI14, 3A_G-WI15, 3A_G-WI16, 3A_G-WI17, 3A_G-WI18, 3A_G-WI20, 3A_G-WI22</t>
  </si>
  <si>
    <t>3A_G-WI21, 3A_G-WI22, 3A_G-WI09, 3A_G-WI04, 3A_G-WI05, 3A_G-WI06, 3A_G-WI07</t>
  </si>
  <si>
    <t>3A_G-WI08, 3A_G-WI01, 3A_G-WI13, 3A_G-WI14, 3A_G-WI15, 3A_G-WI16, 3A_G-WI17</t>
  </si>
  <si>
    <t>3A_G-WI07, 3A_G-WI21</t>
  </si>
  <si>
    <t>3A_G-WI22, 3A_G-WI09</t>
  </si>
  <si>
    <t>3A_G-WI06, 3A_G-WI12, 3A_G-WI10, 3A_G-WI15</t>
  </si>
  <si>
    <t>3A_G-WI11, 3A_G-WI06, 3A_G-WI07</t>
  </si>
  <si>
    <t>3A_G-WI21, 3A_G-WI12</t>
  </si>
  <si>
    <t>3A_G-WI04, 3A_G-WI05, 3A_G-WI10</t>
  </si>
  <si>
    <t>3A_G-WI09, 3A_G-WI11, 3A_G-WI06, 3A_G-WI07, 3A_G-WI22</t>
  </si>
  <si>
    <t>3A_G-WI05, 3A_G-WI10, 3A_G-WI21, 3A_G-WI12</t>
  </si>
  <si>
    <t>3A_G-WI09, 3A_G-WI06, 3A_G-WI07, 3A_G-WI22</t>
  </si>
  <si>
    <t>3A_G-WI05, 3A_G-WI21</t>
  </si>
  <si>
    <t>3A_G-WI10, 3A_G-WI07, 3A_G-WI22</t>
  </si>
  <si>
    <t>3A_G-WI18, 3A_G-WI07, 3A_G-WI16</t>
  </si>
  <si>
    <t>3A_G-WI04, 3A_G-WI09, 3A_G-WI06, 3A_G-WI07, 3A_G-WI22</t>
  </si>
  <si>
    <t>3A_G-WI18, 3A_G-WI17</t>
  </si>
  <si>
    <t>3A_G-WI11, 3A_G-WI10</t>
  </si>
  <si>
    <t>3A_G-WI22, 3A_G-WI20, 3A_G-WI04, 3A_G-WI18, 3A_G-WI01</t>
  </si>
  <si>
    <t>3A_G-WI05, 3A_G-WI09, 3A_G-WI22, 3A_G-WI06, 3A_G-WI07, 3A_G-WI20, 3A_G-WI04, 3A_G-WI18</t>
  </si>
  <si>
    <t>3A_G-WI09, 3A_G-WI22, 3A_G-WI06, 3A_G-WI07, 3A_G-WI20, 3A_G-WI05, 3A_G-WI04, 3A_G-WI10</t>
  </si>
  <si>
    <t>3A_G-WI18, 3A_G-WI10, 3A_G-WI09</t>
  </si>
  <si>
    <t>3A_G-WI22, 3A_G-WI06, 3A_G-WI07</t>
  </si>
  <si>
    <t>3A_G-WI20, 3A_G-WI12, 3A_G-WI11, 3A_G-WI09</t>
  </si>
  <si>
    <t>3A_G-WI22, 3A_G-WI01</t>
  </si>
  <si>
    <t>3A_G-WI06, 3A_G-WI07, 3A_G-WI18, 3A_G-WI05, 3A_G-WI04, 3A_G-WI21</t>
  </si>
  <si>
    <t>3A_G-WI10, 3A_G-WI22, 3A_G-WI06, 3A_G-WI07</t>
  </si>
  <si>
    <t>3A_G-WI18, 3A_G-WI04, 3A_G-WI21</t>
  </si>
  <si>
    <t>3A_G-WI22, 3A_G-WI06, 3A_G-WI05, 3A_G-WI07, 3A_G-WI10, 3A_G-WI14</t>
  </si>
  <si>
    <t>3A_G-WI07, 3A_G-WI14</t>
  </si>
  <si>
    <t>3A_G-WI10, 3A_G-WI22, 3A_G-WI18, 3A_G-WI07, 3A_G-WI06, 3A_G-WI05, 3A_G-WI21, 3A_G-WI08, 3A_G-WI01, 3A_G-WI13</t>
  </si>
  <si>
    <t>3A_G-WI18, 3A_G-WI07, 3A_G-WI06, 3A_G-WI05, 3A_G-WI04, 3A_G-WI16, 3A_G-WI17</t>
  </si>
  <si>
    <t>3A_G-WI21, 3A_G-WI09</t>
  </si>
  <si>
    <t>3A_G-WI01, 3A_G-WI22</t>
  </si>
  <si>
    <t>3A_G-WI07, 3A_G-WI06, 3A_G-WI05</t>
  </si>
  <si>
    <t>3A_G-WI04, 3A_G-WI16, 3A_G-WI17</t>
  </si>
  <si>
    <t>3A_G-WI15, 3A_G-WI08</t>
  </si>
  <si>
    <t>3A_G-WI10, 3A_G-WI22, 3A_G-WI18, 3A_G-WI15, 3A_G-WI21, 3A_G-WI13, 3A_G-WI14, 3A_G-WI08, 3A_G-WI01</t>
  </si>
  <si>
    <t>3A_G-WI11, 3A_G-WI09</t>
  </si>
  <si>
    <t>3A_G-WI18, 3A_G-WI20, 3A_G-WI11</t>
  </si>
  <si>
    <t>3A_G-WI13, 3A_G-WI12</t>
  </si>
  <si>
    <t>3A_G-WI01, 3A_G-WI15</t>
  </si>
  <si>
    <t>3A_G-WI13, 3A_G-WI14, 3A_G-WI10</t>
  </si>
  <si>
    <t>3A_G-WI01, 3A_G-WI22, 3A_G-WI09, 3A_G-WI05, 3A_G-WI15, 3A_G-WI12, 3A_G-WI16, 3A_G-WI17, 3A_G-WI18</t>
  </si>
  <si>
    <t>3A_G-WI06, 3A_G-WI20, 3A_G-WI07, 3A_G-WI04, 3A_G-WI14, 3A_G-WI10, 3A_G-WI08, 3A_G-WI11, 3A_G-WI21</t>
  </si>
  <si>
    <t>3A_G-WI15, 3A_G-WI01, 3A_G-WI22, 3A_G-WI12, 3A_G-WI10, 3A_G-WI08, 3A_G-WI16, 3A_G-WI17, 3A_G-WI13</t>
  </si>
  <si>
    <t>3A_G-WI09, 3A_G-WI11, 3A_G-WI21, 3A_G-WI05, 3A_G-WI18, 3A_G-WI06, 3A_G-WI20, 3A_G-WI07</t>
  </si>
  <si>
    <t>3A_G-WI04, 3A_G-WI14, 3A_G-WI08, 3A_G-WI16, 3A_G-WI17, 3A_G-WI13, 3A_G-WI15, 3A_G-WI01</t>
  </si>
  <si>
    <t>3A_G-WI22, 3A_G-WI12, 3A_G-WI10, 3A_G-WI20, 3A_G-WI07, 3A_G-WI04, 3A_G-WI15, 3A_G-WI01</t>
  </si>
  <si>
    <t>3A_G-WI11, 3A_G-WI05</t>
  </si>
  <si>
    <t>3A_G-WI04, 3A_G-WI15</t>
  </si>
  <si>
    <t>3A_G-WI17, 3A_G-WI13, 3A_G-WI16, 3A_G-WI01, 3A_G-WI22, 3A_G-WI09, 3A_G-WI12, 3A_G-WI10, 3A_G-WI21</t>
  </si>
  <si>
    <t>3A_G-WI06, 3A_G-WI18, 3A_G-WI20, 3A_G-WI07, 3A_G-WI14, 3A_G-WI08, 3A_G-WI04</t>
  </si>
  <si>
    <t>3A_G-WI16, 3A_G-WI01</t>
  </si>
  <si>
    <t>3A_G-WI12, 3A_G-WI10, 3A_G-WI17</t>
  </si>
  <si>
    <t>3A_G-WI06, 3A_G-WI18, 3A_G-WI15</t>
  </si>
  <si>
    <t>3A_G-WI09, 3A_G-WI14, 3A_G-WI08, 3A_G-WI07</t>
  </si>
  <si>
    <t>3A_G-WI13, 3A_G-WI12, 3A_G-WI21</t>
  </si>
  <si>
    <t>3A_G-WI16, 3A_G-WI12</t>
  </si>
  <si>
    <t>3A_G-WI01, 3A_G-WI10</t>
  </si>
  <si>
    <t>3A_G-WI16, 3A_G-WI14, 3A_G-WI08</t>
  </si>
  <si>
    <t>3A_G-WI09, 3A_G-WI20, 3A_G-WI18, 3A_G-WI22</t>
  </si>
  <si>
    <t>3A_G-WI15, 3A_G-WI01, 3A_G-WI10, 3A_G-WI17, 3A_G-WI04, 3A_G-WI06</t>
  </si>
  <si>
    <t>3A_G-WI16, 3A_G-WI08, 3A_G-WI12</t>
  </si>
  <si>
    <t>3A_G-WI14, 3A_G-WI13, 3A_G-WI01</t>
  </si>
  <si>
    <t>3A_G-WI21, 3A_G-WI01</t>
  </si>
  <si>
    <t>3A_G-WI07, 3A_G-WI16</t>
  </si>
  <si>
    <t>3A_G-WI16, 3A_G-WI18</t>
  </si>
  <si>
    <t>3A_G-WI14, 3A_G-WI13, 3A_G-WI21</t>
  </si>
  <si>
    <t>3A_G-WI12, 3A_G-WI07, 3A_G-WI16, 3A_G-WI17</t>
  </si>
  <si>
    <t>3A_G-WI12, 3A_G-WI10</t>
  </si>
  <si>
    <t>3A_G-WI07, 3A_G-WI12</t>
  </si>
  <si>
    <t>3A_G-WI13, 3A_G-WI06</t>
  </si>
  <si>
    <t>3A_G-WI12, 3A_G-WI08</t>
  </si>
  <si>
    <t>3A_G-WI13, 3A_G-WI14, 3A_G-WI17, 3A_G-WI04, 3A_G-WI06, 3A_G-WI01</t>
  </si>
  <si>
    <t>3A_G-WI16, 3A_G-WI07, 3A_G-WI13</t>
  </si>
  <si>
    <t>3A_G-WI21, 3A_G-WI14</t>
  </si>
  <si>
    <t>3A_G-WI17, 3A_G-WI04, 3A_G-WI06, 3A_G-WI10, 3A_G-WI14, 3A_G-WI08, 3A_G-WI22</t>
  </si>
  <si>
    <t>3A_G-WI06, 3A_G-WI20</t>
  </si>
  <si>
    <t>3A_G-WI21, 3A_G-WI10, 3A_G-WI14</t>
  </si>
  <si>
    <t>3A_G-WI17, 3A_G-WI08, 3A_G-WI06, 3A_G-WI04, 3A_G-WI12, 3A_G-WI16, 3A_G-WI18, 3A_G-WI01</t>
  </si>
  <si>
    <t>3A_G-WI13, 3A_G-WI07, 3A_G-WI17, 3A_G-WI08, 3A_G-WI06, 3A_G-WI04</t>
  </si>
  <si>
    <t>3A_G-WI01, 3A_G-WI14</t>
  </si>
  <si>
    <t>3A_G-WI14, 3A_G-WI12, 3A_G-WI01, 3A_G-WI15, 3A_G-WI21, 3A_G-WI16, 3A_G-WI06</t>
  </si>
  <si>
    <t>3A_G-WI21, 3A_G-WI16, 3A_G-WI18, 3A_G-WI10</t>
  </si>
  <si>
    <t>3A_G-WI12, 3A_G-WI01, 3A_G-WI15, 3A_G-WI21, 3A_G-WI16, 3A_G-WI18, 3A_G-WI10, 3A_G-WI08</t>
  </si>
  <si>
    <t>3A_G-WI15, 3A_G-WI21, 3A_G-WI16</t>
  </si>
  <si>
    <t>3A_G-WI14, 3A_G-WI04</t>
  </si>
  <si>
    <t>3A_G-WI20, 3A_G-WI12, 3A_G-WI08</t>
  </si>
  <si>
    <t>3A_G-WI20, 3A_G-WI12</t>
  </si>
  <si>
    <t>3A_G-WI18, 3A_G-WI06, 3A_G-WI08, 3A_G-WI17</t>
  </si>
  <si>
    <t>3A_G-WI15, 3A_G-WI10, 3A_G-WI14, 3A_G-WI18, 3A_G-WI16, 3A_G-WI09, 3A_G-WI12, 3A_G-WI20, 3A_G-WI01, 3A_G-WI21</t>
  </si>
  <si>
    <t>3A_G-WI12, 3A_G-WI20</t>
  </si>
  <si>
    <t>3A_G-WI22, 3A_G-WI04, 3A_G-WI15, 3A_G-WI01</t>
  </si>
  <si>
    <t>3A_G-WI10, 3A_G-WI01</t>
  </si>
  <si>
    <t>3A_G-WI14, 3A_G-WI18, 3A_G-WI09</t>
  </si>
  <si>
    <t>3A_G-WI16, 3A_G-WI21, 3A_G-WI12, 3A_G-WI09</t>
  </si>
  <si>
    <t>3A_G-WI20, 3A_G-WI10, 3A_G-WI14, 3A_G-WI13</t>
  </si>
  <si>
    <t>3A_G-WI07, 3A_G-WI18, 3A_G-WI17</t>
  </si>
  <si>
    <t>3A_G-WI17, 3A_G-WI22</t>
  </si>
  <si>
    <t>3A_G-WI06, 3A_G-WI18, 3A_G-WI17, 3A_G-WI22, 3A_G-WI01</t>
  </si>
  <si>
    <t>3A_G-WI01, 3A_G-WI15, 3A_G-WI04, 3A_G-WI08</t>
  </si>
  <si>
    <t>3A_G-WI22, 3A_G-WI07, 3A_G-WI09, 3A_G-WI16, 3A_G-WI21, 3A_G-WI12</t>
  </si>
  <si>
    <t>3A_G-WI04, 3A_G-WI08, 3A_G-WI06</t>
  </si>
  <si>
    <t>3A_G-WI08, 3A_G-WI01</t>
  </si>
  <si>
    <t>3A_G-WI15, 3A_G-WI13</t>
  </si>
  <si>
    <t>3A_G-WI05, 3A_G-WI08, 3A_G-WI06</t>
  </si>
  <si>
    <t>3A_G-WI21, 3A_G-WI20</t>
  </si>
  <si>
    <t>3A_G-WI15, 3A_G-WI14</t>
  </si>
  <si>
    <t>GMQty.1</t>
  </si>
  <si>
    <t>3A_G-WI10,3A_G-WI11,3A_G-WI12,3A_G-WI13,3A_G-WI14</t>
  </si>
  <si>
    <t>3A_G-WI15,3A_G-WI16,3A_G-WI17,3A_G-WI18,3A_G-WI20,3A_G-WI21,3A_G-WI22</t>
  </si>
  <si>
    <t>3A_G-WI21,3A_G-WI20,3A_G-WI22,3A_G-WI15,3A_G-WI16,3A_G-WI17,3A_G-WI18,3A_G-WI11,3A_G-WI09</t>
  </si>
  <si>
    <t>3A_G-WI20,3A_G-WI10,3A_G-WI12,3A_G-WI13</t>
  </si>
  <si>
    <t>3A_G-WI14,3A_G-WI09,3A_G-WI11,3A_G-WI21,3A_G-WI22,3A_G-WI15,3A_G-WI16,3A_G-WI17,3A_G-WI18,3A_G-WI20,3A_G-WI12,3A_G-WI13,3A_G-WI10</t>
  </si>
  <si>
    <t>3A_G-WI09,3A_G-WI15,3A_G-WI11,3A_G-WI16,3A_G-WI18,3A_G-WI10,3A_G-WI14,3A_G-WI17,3A_G-WI20,3A_G-WI12,3A_G-WI13,3A_G-WI21,3A_G-WI22,3A_G-WI04</t>
  </si>
  <si>
    <t>3A_G-WI07,3A_G-WI08,3A_G-WI11</t>
  </si>
  <si>
    <t>3A_G-WI13,3A_G-WI16,3A_G-WI18,3A_G-WI22,3A_G-WI10,3A_G-WI14,3A_G-WI09,3A_G-WI11,3A_G-WI17,3A_G-WI20,3A_G-WI21,3A_G-WI12,3A_G-WI15,3A_G-WI04,3A_G-WI01</t>
  </si>
  <si>
    <t>3A_G-WI05,3A_G-WI13,3A_G-WI16,3A_G-WI06,3A_G-WI07,3A_G-WI08,3A_G-WI20</t>
  </si>
  <si>
    <t>3A_G-WI18,3A_G-WI22,3A_G-WI10,3A_G-WI14</t>
  </si>
  <si>
    <t>3A_G-WI09,3A_G-WI11</t>
  </si>
  <si>
    <t>3A_G-WI17,3A_G-WI06</t>
  </si>
  <si>
    <t>3A_G-WI01,3A_G-WI04,3A_G-WI05,3A_G-WI06,3A_G-WI07,3A_G-WI08,3A_G-WI09,3A_G-WI10,3A_G-WI11,3A_G-WI12,3A_G-WI13,3A_G-WI14,3A_G-WI15,3A_G-WI16,3A_G-WI17,3A_G-WI18,3A_G-WI20,3A_G-WI21,3A_G-WI22</t>
  </si>
  <si>
    <t>3A_G-WI10,3A_G-WI11,3A_G-WI12</t>
  </si>
  <si>
    <t>3A_G-WI13,3A_G-WI14,3A_G-WI15,3A_G-WI16,3A_G-WI17,3A_G-WI18,3A_G-WI20,3A_G-WI22</t>
  </si>
  <si>
    <t>3A_G-WI21,3A_G-WI22,3A_G-WI09,3A_G-WI04,3A_G-WI05,3A_G-WI06,3A_G-WI07</t>
  </si>
  <si>
    <t>3A_G-WI08,3A_G-WI01,3A_G-WI13,3A_G-WI14,3A_G-WI15,3A_G-WI16,3A_G-WI17</t>
  </si>
  <si>
    <t>3A_G-WI07,3A_G-WI21</t>
  </si>
  <si>
    <t>3A_G-WI22,3A_G-WI09</t>
  </si>
  <si>
    <t>3A_G-WI06,3A_G-WI12,3A_G-WI10,3A_G-WI15</t>
  </si>
  <si>
    <t>3A_G-WI11,3A_G-WI06,3A_G-WI07</t>
  </si>
  <si>
    <t>3A_G-WI21,3A_G-WI12</t>
  </si>
  <si>
    <t>3A_G-WI04,3A_G-WI05,3A_G-WI10</t>
  </si>
  <si>
    <t>3A_G-WI09,3A_G-WI11,3A_G-WI06,3A_G-WI07,3A_G-WI22</t>
  </si>
  <si>
    <t>3A_G-WI05,3A_G-WI10,3A_G-WI21,3A_G-WI12</t>
  </si>
  <si>
    <t>3A_G-WI09,3A_G-WI06,3A_G-WI07,3A_G-WI22</t>
  </si>
  <si>
    <t>3A_G-WI05,3A_G-WI21</t>
  </si>
  <si>
    <t>3A_G-WI10,3A_G-WI07,3A_G-WI22</t>
  </si>
  <si>
    <t>3A_G-WI20,3A_G-WI05</t>
  </si>
  <si>
    <t>3A_G-WI18,3A_G-WI07,3A_G-WI16</t>
  </si>
  <si>
    <t>3A_G-WI04,3A_G-WI09,3A_G-WI06,3A_G-WI07,3A_G-WI22</t>
  </si>
  <si>
    <t>3A_G-WI18,3A_G-WI17</t>
  </si>
  <si>
    <t>3A_G-WI11,3A_G-WI10</t>
  </si>
  <si>
    <t>3A_G-WI22,3A_G-WI20,3A_G-WI04,3A_G-WI18,3A_G-WI01</t>
  </si>
  <si>
    <t>3A_G-WI05,3A_G-WI09,3A_G-WI22,3A_G-WI06,3A_G-WI07,3A_G-WI20,3A_G-WI04,3A_G-WI18</t>
  </si>
  <si>
    <t>3A_G-WI09,3A_G-WI22,3A_G-WI06,3A_G-WI07,3A_G-WI20,3A_G-WI05,3A_G-WI04,3A_G-WI10</t>
  </si>
  <si>
    <t>3A_G-WI18,3A_G-WI10,3A_G-WI09</t>
  </si>
  <si>
    <t>3A_G-WI22,3A_G-WI06,3A_G-WI07</t>
  </si>
  <si>
    <t>3A_G-WI20,3A_G-WI12,3A_G-WI11,3A_G-WI09</t>
  </si>
  <si>
    <t>3A_G-WI22,3A_G-WI01</t>
  </si>
  <si>
    <t>3A_G-WI06,3A_G-WI07,3A_G-WI18,3A_G-WI05,3A_G-WI04,3A_G-WI21</t>
  </si>
  <si>
    <t>3A_G-WI10,3A_G-WI22,3A_G-WI06,3A_G-WI07</t>
  </si>
  <si>
    <t>3A_G-WI18,3A_G-WI04,3A_G-WI21</t>
  </si>
  <si>
    <t>3A_G-WI22,3A_G-WI06,3A_G-WI05,3A_G-WI07,3A_G-WI10,3A_G-WI14</t>
  </si>
  <si>
    <t>3A_G-WI06,3A_G-WI04,3A_G-WI05</t>
  </si>
  <si>
    <t>3A_G-WI07,3A_G-WI14</t>
  </si>
  <si>
    <t>3A_G-WI10,3A_G-WI22,3A_G-WI18,3A_G-WI07,3A_G-WI06,3A_G-WI05,3A_G-WI21,3A_G-WI08,3A_G-WI01,3A_G-WI13</t>
  </si>
  <si>
    <t>3A_G-WI18,3A_G-WI07,3A_G-WI06,3A_G-WI05,3A_G-WI04,3A_G-WI16,3A_G-WI17</t>
  </si>
  <si>
    <t>3A_G-WI21,3A_G-WI09</t>
  </si>
  <si>
    <t>3A_G-WI10,3A_G-WI08</t>
  </si>
  <si>
    <t>3A_G-WI01,3A_G-WI22</t>
  </si>
  <si>
    <t>3A_G-WI07,3A_G-WI06,3A_G-WI05</t>
  </si>
  <si>
    <t>3A_G-WI04,3A_G-WI16,3A_G-WI17</t>
  </si>
  <si>
    <t>3A_G-WI15,3A_G-WI08</t>
  </si>
  <si>
    <t>3A_G-WI10,3A_G-WI22,3A_G-WI18,3A_G-WI15,3A_G-WI21,3A_G-WI13,3A_G-WI14,3A_G-WI08,3A_G-WI01</t>
  </si>
  <si>
    <t>3A_G-WI11,3A_G-WI09</t>
  </si>
  <si>
    <t>3A_G-WI18,3A_G-WI20,3A_G-WI11</t>
  </si>
  <si>
    <t>3A_G-WI13,3A_G-WI12</t>
  </si>
  <si>
    <t>3A_G-WI14,3A_G-WI10,3A_G-WI07</t>
  </si>
  <si>
    <t>3A_G-WI01,3A_G-WI15</t>
  </si>
  <si>
    <t>3A_G-WI13,3A_G-WI14,3A_G-WI10</t>
  </si>
  <si>
    <t>3A_G-WI01,3A_G-WI22,3A_G-WI09,3A_G-WI05,3A_G-WI15,3A_G-WI12,3A_G-WI16,3A_G-WI17,3A_G-WI18</t>
  </si>
  <si>
    <t>3A_G-WI06,3A_G-WI20,3A_G-WI07,3A_G-WI04,3A_G-WI14,3A_G-WI10,3A_G-WI08,3A_G-WI11,3A_G-WI21</t>
  </si>
  <si>
    <t>3A_G-WI15,3A_G-WI01,3A_G-WI22,3A_G-WI12,3A_G-WI10,3A_G-WI08,3A_G-WI16,3A_G-WI17,3A_G-WI13</t>
  </si>
  <si>
    <t>3A_G-WI09,3A_G-WI11,3A_G-WI21,3A_G-WI05,3A_G-WI18,3A_G-WI06,3A_G-WI20,3A_G-WI07</t>
  </si>
  <si>
    <t>3A_G-WI04,3A_G-WI14,3A_G-WI08,3A_G-WI16,3A_G-WI17,3A_G-WI13,3A_G-WI15,3A_G-WI01</t>
  </si>
  <si>
    <t>3A_G-WI22,3A_G-WI12,3A_G-WI10,3A_G-WI20,3A_G-WI07,3A_G-WI04,3A_G-WI15,3A_G-WI01</t>
  </si>
  <si>
    <t>3A_G-WI08,3A_G-WI16</t>
  </si>
  <si>
    <t>3A_G-WI11,3A_G-WI05</t>
  </si>
  <si>
    <t>3A_G-WI04,3A_G-WI15</t>
  </si>
  <si>
    <t>3A_G-WI17,3A_G-WI13,3A_G-WI16,3A_G-WI01,3A_G-WI22,3A_G-WI09,3A_G-WI12,3A_G-WI10,3A_G-WI21</t>
  </si>
  <si>
    <t>3A_G-WI06,3A_G-WI18,3A_G-WI20,3A_G-WI07,3A_G-WI14,3A_G-WI08,3A_G-WI04</t>
  </si>
  <si>
    <t>3A_G-WI16,3A_G-WI01</t>
  </si>
  <si>
    <t>3A_G-WI12,3A_G-WI10,3A_G-WI17</t>
  </si>
  <si>
    <t>3A_G-WI06,3A_G-WI18,3A_G-WI15</t>
  </si>
  <si>
    <t>3A_G-WI09,3A_G-WI14,3A_G-WI08,3A_G-WI07</t>
  </si>
  <si>
    <t>3A_G-WI13,3A_G-WI12,3A_G-WI21</t>
  </si>
  <si>
    <t>3A_G-WI08,3A_G-WI20,3A_G-WI07</t>
  </si>
  <si>
    <t>3A_G-WI04,3A_G-WI21</t>
  </si>
  <si>
    <t>3A_G-WI16,3A_G-WI12</t>
  </si>
  <si>
    <t>3A_G-WI01,3A_G-WI10</t>
  </si>
  <si>
    <t>3A_G-WI16,3A_G-WI14,3A_G-WI08</t>
  </si>
  <si>
    <t>3A_G-WI09,3A_G-WI20,3A_G-WI18,3A_G-WI22</t>
  </si>
  <si>
    <t>3A_G-WI15,3A_G-WI01,3A_G-WI10,3A_G-WI17,3A_G-WI04,3A_G-WI06</t>
  </si>
  <si>
    <t>3A_G-WI16,3A_G-WI08,3A_G-WI12</t>
  </si>
  <si>
    <t>3A_G-WI14,3A_G-WI13,3A_G-WI01</t>
  </si>
  <si>
    <t>3A_G-WI21,3A_G-WI01</t>
  </si>
  <si>
    <t>3A_G-WI07,3A_G-WI16</t>
  </si>
  <si>
    <t>3A_G-WI16,3A_G-WI18</t>
  </si>
  <si>
    <t>3A_G-WI14,3A_G-WI13,3A_G-WI21</t>
  </si>
  <si>
    <t>3A_G-WI12,3A_G-WI07,3A_G-WI16,3A_G-WI17</t>
  </si>
  <si>
    <t>3A_G-WI21,3A_G-WI13</t>
  </si>
  <si>
    <t>3A_G-WI12,3A_G-WI10</t>
  </si>
  <si>
    <t>3A_G-WI07,3A_G-WI12</t>
  </si>
  <si>
    <t>3A_G-WI13,3A_G-WI06</t>
  </si>
  <si>
    <t>3A_G-WI12,3A_G-WI08</t>
  </si>
  <si>
    <t>3A_G-WI13,3A_G-WI14,3A_G-WI17,3A_G-WI04,3A_G-WI06,3A_G-WI01</t>
  </si>
  <si>
    <t>3A_G-WI16,3A_G-WI07,3A_G-WI13</t>
  </si>
  <si>
    <t>3A_G-WI21,3A_G-WI14</t>
  </si>
  <si>
    <t>3A_G-WI17,3A_G-WI04,3A_G-WI06,3A_G-WI10,3A_G-WI14,3A_G-WI08,3A_G-WI22</t>
  </si>
  <si>
    <t>3A_G-WI06,3A_G-WI20</t>
  </si>
  <si>
    <t>3A_G-WI21,3A_G-WI10,3A_G-WI14</t>
  </si>
  <si>
    <t>3A_G-WI17,3A_G-WI08,3A_G-WI06,3A_G-WI04,3A_G-WI12,3A_G-WI16,3A_G-WI18,3A_G-WI01</t>
  </si>
  <si>
    <t>3A_G-WI13,3A_G-WI07,3A_G-WI17,3A_G-WI08,3A_G-WI06,3A_G-WI04</t>
  </si>
  <si>
    <t>3A_G-WI01,3A_G-WI14</t>
  </si>
  <si>
    <t>3A_G-WI14,3A_G-WI12,3A_G-WI01,3A_G-WI15,3A_G-WI21,3A_G-WI16,3A_G-WI06</t>
  </si>
  <si>
    <t>3A_G-WI21,3A_G-WI16,3A_G-WI18,3A_G-WI10</t>
  </si>
  <si>
    <t>3A_G-WI12,3A_G-WI01,3A_G-WI15,3A_G-WI21,3A_G-WI16,3A_G-WI18,3A_G-WI10,3A_G-WI08</t>
  </si>
  <si>
    <t>3A_G-WI15,3A_G-WI21,3A_G-WI16</t>
  </si>
  <si>
    <t>3A_G-WI14,3A_G-WI04</t>
  </si>
  <si>
    <t>3A_G-WI20,3A_G-WI12,3A_G-WI08</t>
  </si>
  <si>
    <t>3A_G-WI20,3A_G-WI12</t>
  </si>
  <si>
    <t>3A_G-WI18,3A_G-WI06,3A_G-WI08,3A_G-WI17</t>
  </si>
  <si>
    <t>3A_G-WI15,3A_G-WI10,3A_G-WI14,3A_G-WI18,3A_G-WI16,3A_G-WI09,3A_G-WI12,3A_G-WI20,3A_G-WI01,3A_G-WI21</t>
  </si>
  <si>
    <t>3A_G-WI12,3A_G-WI20</t>
  </si>
  <si>
    <t>3A_G-WI22,3A_G-WI04,3A_G-WI15,3A_G-WI01</t>
  </si>
  <si>
    <t>3A_G-WI10,3A_G-WI01</t>
  </si>
  <si>
    <t>3A_G-WI14,3A_G-WI18,3A_G-WI09</t>
  </si>
  <si>
    <t>3A_G-WI16,3A_G-WI21,3A_G-WI12,3A_G-WI09</t>
  </si>
  <si>
    <t>3A_G-WI20,3A_G-WI10,3A_G-WI14,3A_G-WI13</t>
  </si>
  <si>
    <t>3A_G-WI07,3A_G-WI18,3A_G-WI17</t>
  </si>
  <si>
    <t>3A_G-WI08,3A_G-WI06</t>
  </si>
  <si>
    <t>3A_G-WI17,3A_G-WI22</t>
  </si>
  <si>
    <t>3A_G-WI06,3A_G-WI18,3A_G-WI17,3A_G-WI22,3A_G-WI01</t>
  </si>
  <si>
    <t>3A_G-WI01,3A_G-WI15,3A_G-WI04,3A_G-WI08</t>
  </si>
  <si>
    <t>3A_G-WI22,3A_G-WI07,3A_G-WI09,3A_G-WI16,3A_G-WI21,3A_G-WI12</t>
  </si>
  <si>
    <t>3A_G-WI04,3A_G-WI08,3A_G-WI06</t>
  </si>
  <si>
    <t>3A_G-WI08,3A_G-WI01</t>
  </si>
  <si>
    <t>3A_G-WI08,3A_G-WI11</t>
  </si>
  <si>
    <t>3A_G-WI01,3A_G-WI17,3A_G-WI11,3A_G-WI08,3A_G-WI15</t>
  </si>
  <si>
    <t>3A_G-WI15,3A_G-WI11,3A_G-WI01,3A_G-WI17,3A_G-WI08</t>
  </si>
  <si>
    <t>3A_G-WI13,3A_G-WI05</t>
  </si>
  <si>
    <t>3A_G-WI13,3A_G-WI05,3A_G-WI15</t>
  </si>
  <si>
    <t>3A_G-WI05,3A_G-WI11,3A_G-WI13,3A_G-WI15,3A_G-WI01</t>
  </si>
  <si>
    <t>3A_G-WI17,3A_G-WI16,3A_G-WI20,3A_G-WI08,3A_G-WI13</t>
  </si>
  <si>
    <t>3A_G-WI12,3A_G-WI15</t>
  </si>
  <si>
    <t>3A_G-WI05,3A_G-WI12,3A_G-WI11</t>
  </si>
  <si>
    <t>3A_G-WI15,3A_G-WI20,3A_G-WI13,3A_G-WI01</t>
  </si>
  <si>
    <t>3A_G-WI06,3A_G-WI17,3A_G-WI08,3A_G-WI21</t>
  </si>
  <si>
    <t>3A_G-WI16,3A_G-WI09,3A_G-WI18</t>
  </si>
  <si>
    <t>3A_G-WI16,3A_G-WI09,3A_G-WI14,3A_G-WI18,3A_G-WI12</t>
  </si>
  <si>
    <t>3A_G-WI04,3A_G-WI05,3A_G-WI11</t>
  </si>
  <si>
    <t>3A_G-WI07,3A_G-WI16,3A_G-WI09,3A_G-WI14</t>
  </si>
  <si>
    <t>3A_G-WI05,3A_G-WI18,3A_G-WI12,3A_G-WI07,3A_G-WI04</t>
  </si>
  <si>
    <t>3A_G-WI16,3A_G-WI05</t>
  </si>
  <si>
    <t>3A_G-WI18,3A_G-WI14,3A_G-WI04,3A_G-WI12,3A_G-WI07</t>
  </si>
  <si>
    <t>3A_G-WI04,3A_G-WI12,3A_G-WI09,3A_G-WI07,3A_G-WI11</t>
  </si>
  <si>
    <t>3A_G-WI12,3A_G-WI18</t>
  </si>
  <si>
    <t>3A_G-WI09,3A_G-WI14,3A_G-WI07,3A_G-WI11,3A_G-WI04</t>
  </si>
  <si>
    <t>3A_G-WI05,3A_G-WI20,3A_G-WI01</t>
  </si>
  <si>
    <t>3A_G-WI15,3A_G-WI18,3A_G-WI13,3A_G-WI16</t>
  </si>
  <si>
    <t>3A_G-WI01,3A_G-WI12,3A_G-WI16,3A_G-WI05,3A_G-WI20</t>
  </si>
  <si>
    <t>3A_G-WI16,3A_G-WI01,3A_G-WI13,3A_G-WI14,3A_G-WI12</t>
  </si>
  <si>
    <t>3A_G-WI11,3A_G-WI18,3A_G-WI04</t>
  </si>
  <si>
    <t>3A_G-WI07,3A_G-WI15,3A_G-WI09</t>
  </si>
  <si>
    <t>3A_G-WI05,3A_G-WI20,3A_G-WI09</t>
  </si>
  <si>
    <t>3A_G-WI07,3A_G-WI15,3A_G-WI05</t>
  </si>
  <si>
    <t>3A_G-WI07,3A_G-WI20</t>
  </si>
  <si>
    <t>3A_G-WI09,3A_G-WI07</t>
  </si>
  <si>
    <t>3A_G-WI15,3A_G-WI13</t>
  </si>
  <si>
    <t>3A_G-WI14,3A_G-WI05</t>
  </si>
  <si>
    <t>3A_G-WI07,3A_G-WI14,3A_G-WI09</t>
  </si>
  <si>
    <t>3A_G-WI16,3A_G-WI01,3A_G-WI20,3A_G-WI12</t>
  </si>
  <si>
    <t>3A_G-WI08,3A_G-WI16,3A_G-WI01</t>
  </si>
  <si>
    <t>3A_G-WI20,3A_G-WI14</t>
  </si>
  <si>
    <t>3A_G-WI17,3A_G-WI12</t>
  </si>
  <si>
    <t>3A_G-WI13,3A_G-WI14,3A_G-WI06</t>
  </si>
  <si>
    <t>3A_G-WI21,3A_G-WI17,3A_G-WI05</t>
  </si>
  <si>
    <t>3A_G-WI15,3A_G-WI12,3A_G-WI09,3A_G-WI20,3A_G-WI07</t>
  </si>
  <si>
    <t>3A_G-WI09,3A_G-WI15,3A_G-WI12</t>
  </si>
  <si>
    <t>3A_G-WI20,3A_G-WI07</t>
  </si>
  <si>
    <t>3A_G-WI22,3A_G-WI21,3A_G-WI17</t>
  </si>
  <si>
    <t>3A_G-WI04,3A_G-WI05,3A_G-WI14,3A_G-WI11</t>
  </si>
  <si>
    <t>3A_G-WI18,3A_G-WI06</t>
  </si>
  <si>
    <t>3A_G-WI13,3A_G-WI10,3A_G-WI18</t>
  </si>
  <si>
    <t>3A_G-WI13,3A_G-WI10</t>
  </si>
  <si>
    <t>3A_G-WI06,3A_G-WI05,3A_G-WI11,3A_G-WI13,3A_G-WI14,3A_G-WI18,3A_G-WI04,3A_G-WI10</t>
  </si>
  <si>
    <t>3A_G-WI17,3A_G-WI22,3A_G-WI05,3A_G-WI14,3A_G-WI18</t>
  </si>
  <si>
    <t>3A_G-WI04,3A_G-WI21,3A_G-WI11</t>
  </si>
  <si>
    <t>3A_G-WI04,3A_G-WI10,3A_G-WI13</t>
  </si>
  <si>
    <t>3A_G-WI04,3A_G-WI10,3A_G-WI21,3A_G-WI13,3A_G-WI06</t>
  </si>
  <si>
    <t>3A_G-WI11,3A_G-WI15,3A_G-WI09,3A_G-WI10,3A_G-WI13,3A_G-WI08,3A_G-WI18,3A_G-WI06,3A_G-WI12,3A_G-WI21,3A_G-WI05,3A_G-WI22,3A_G-WI14,3A_G-WI16,3A_G-WI17,3A_G-WI01,3A_G-WI04</t>
  </si>
  <si>
    <t>3A_G-WI09,3A_G-WI08,3A_G-WI18,3A_G-WI06,3A_G-WI01</t>
  </si>
  <si>
    <t>3A_G-WI15,3A_G-WI12,3A_G-WI21</t>
  </si>
  <si>
    <t>3A_G-WI17,3A_G-WI11,3A_G-WI22,3A_G-WI14,3A_G-WI16</t>
  </si>
  <si>
    <t>3A_G-WI10,3A_G-WI04,3A_G-WI13</t>
  </si>
  <si>
    <t>3A_G-WI21,3A_G-WI17,3A_G-WI11</t>
  </si>
  <si>
    <t>3A_G-WI08,3A_G-WI22,3A_G-WI01</t>
  </si>
  <si>
    <t>3A_G-WI18,3A_G-WI10</t>
  </si>
  <si>
    <t>3A_G-WI09,3A_G-WI15,3A_G-WI12,3A_G-WI14</t>
  </si>
  <si>
    <t>3A_G-WI08,3A_G-WI04,3A_G-WI17,3A_G-WI06,3A_G-WI01,3A_G-WI11,3A_G-WI22,3A_G-WI10</t>
  </si>
  <si>
    <t>3A_G-WI13,3A_G-WI16,3A_G-WI05</t>
  </si>
  <si>
    <t>3A_G-WI18,3A_G-WI21,3A_G-WI11,3A_G-WI06</t>
  </si>
  <si>
    <t>3A_G-WI10,3A_G-WI08,3A_G-WI04</t>
  </si>
  <si>
    <t>3A_G-WI22,3A_G-WI17,3A_G-WI01</t>
  </si>
  <si>
    <t>3A_G-WI17,3A_G-WI20,3A_G-WI01,3A_G-WI22,3A_G-WI07</t>
  </si>
  <si>
    <t>3A_G-WI20,3A_G-WI01,3A_G-WI17,3A_G-WI07,3A_G-WI22</t>
  </si>
  <si>
    <t>3A_G-WI22,3A_G-WI20,3A_G-WI01,3A_G-WI07</t>
  </si>
  <si>
    <t>3A_G-WI11,3A_G-WI21,3A_G-WI17,3A_G-WI06,3A_G-WI18,3A_G-WI16,3A_G-WI05</t>
  </si>
  <si>
    <t>3A_G-WI13,3A_G-WI07,3A_G-WI10</t>
  </si>
  <si>
    <t>3A_G-WI08,3A_G-WI20</t>
  </si>
  <si>
    <t>3A_G-WI10,3A_G-WI16,3A_G-WI06,3A_G-WI13</t>
  </si>
  <si>
    <t>3A_G-WI21,3A_G-WI17,3A_G-WI07,3A_G-WI10,3A_G-WI11</t>
  </si>
  <si>
    <t>3A_G-WI14,3A_G-WI18,3A_G-WI05,3A_G-WI09,3A_G-WI16,3A_G-WI06,3A_G-WI15,3A_G-WI12</t>
  </si>
  <si>
    <t>3A_G-WI13,3A_G-WI07,3A_G-WI11,3A_G-WI20,3A_G-WI08,3A_G-WI10,3A_G-WI21,3A_G-WI17</t>
  </si>
  <si>
    <t>3A_G-WI11,3A_G-WI10,3A_G-WI21,3A_G-WI17,3A_G-WI06,3A_G-WI15,3A_G-WI12,3A_G-WI13,3A_G-WI20,3A_G-WI14,3A_G-WI07,3A_G-WI08,3A_G-WI05</t>
  </si>
  <si>
    <t>3A_G-WI18,3A_G-WI09,3A_G-WI16,3A_G-WI11,3A_G-WI10,3A_G-WI21,3A_G-WI17</t>
  </si>
  <si>
    <t>3A_G-WI06,3A_G-WI07,3A_G-WI15,3A_G-WI12,3A_G-WI13</t>
  </si>
  <si>
    <t>3A_G-WI20,3A_G-WI14,3A_G-WI08,3A_G-WI05</t>
  </si>
  <si>
    <t>3A_G-WI14,3A_G-WI08,3A_G-WI06,3A_G-WI20,3A_G-WI15</t>
  </si>
  <si>
    <t>3A_G-WI13,3A_G-WI12,3A_G-WI05,3A_G-WI07,3A_G-WI14,3A_G-WI08,3A_G-WI06</t>
  </si>
  <si>
    <t>3A_G-WI20,3A_G-WI15,3A_G-WI12,3A_G-WI05,3A_G-WI07,3A_G-WI13,3A_G-WI14</t>
  </si>
  <si>
    <t>3A_G-WI05,3A_G-WI08,3A_G-WI06</t>
  </si>
  <si>
    <t>3A_G-WI20,3A_G-WI15,3A_G-WI07,3A_G-WI13</t>
  </si>
  <si>
    <t>3A_G-WI14,3A_G-WI12,3A_G-WI20</t>
  </si>
  <si>
    <t>3A_G-WI15,3A_G-WI07,3A_G-WI06,3A_G-WI08,3A_G-WI13,3A_G-WI05</t>
  </si>
  <si>
    <t>3A_G-WI15,3A_G-WI10,3A_G-WI12,3A_G-WI07,3A_G-WI21</t>
  </si>
  <si>
    <t>3A_G-WI17,3A_G-WI06,3A_G-WI05,3A_G-WI14</t>
  </si>
  <si>
    <t>3A_G-WI13,3A_G-WI11</t>
  </si>
  <si>
    <t>3A_G-WI11,3A_G-WI18,3A_G-WI09</t>
  </si>
  <si>
    <t>3A_G-WI16,3A_G-WI11,3A_G-WI13</t>
  </si>
  <si>
    <t>3A_G-WI13,3A_G-WI16,3A_G-WI12</t>
  </si>
  <si>
    <t>3A_G-WI07,3A_G-WI11,3A_G-WI18,3A_G-WI21,3A_G-WI09,3A_G-WI08</t>
  </si>
  <si>
    <t>3A_G-WI20,3A_G-WI15</t>
  </si>
  <si>
    <t>3A_G-WI06,3A_G-WI05</t>
  </si>
  <si>
    <t>3A_G-WI14,3A_G-WI17,3A_G-WI10,3A_G-WI01</t>
  </si>
  <si>
    <t>3A_G-WI13,3A_G-WI04,3A_G-WI16,3A_G-WI12</t>
  </si>
  <si>
    <t>3A_G-WI04,3A_G-WI17,3A_G-WI12,3A_G-WI15,3A_G-WI16,3A_G-WI20,3A_G-WI13,3A_G-WI21,3A_G-WI01,3A_G-WI14,3A_G-WI07,3A_G-WI11,3A_G-WI18,3A_G-WI09</t>
  </si>
  <si>
    <t>3A_G-WI08,3A_G-WI10,3A_G-WI22,3A_G-WI12,3A_G-WI15,3A_G-WI20,3A_G-WI13,3A_G-WI21,3A_G-WI01,3A_G-WI14,3A_G-WI11,3A_G-WI16,3A_G-WI18,3A_G-WI07</t>
  </si>
  <si>
    <t>3A_G-WI17,3A_G-WI04</t>
  </si>
  <si>
    <t>3A_G-WI16,3A_G-WI18,3A_G-WI08</t>
  </si>
  <si>
    <t>3A_G-WI09,3A_G-WI10,3A_G-WI07,3A_G-WI12</t>
  </si>
  <si>
    <t>3A_G-WI06,3A_G-WI15</t>
  </si>
  <si>
    <t>3A_G-WI21,3A_G-WI20</t>
  </si>
  <si>
    <t>3A_G-WI13,3A_G-WI09,3A_G-WI01,3A_G-WI14</t>
  </si>
  <si>
    <t>3A_G-WI05,3A_G-WI22,3A_G-WI11</t>
  </si>
  <si>
    <t>3A_G-WI15,3A_G-WI05</t>
  </si>
  <si>
    <t>3A_G-WI22,3A_G-WI11,3A_G-WI10</t>
  </si>
  <si>
    <t>3A_G-WI07,3A_G-WI12,3A_G-WI08,3A_G-WI04</t>
  </si>
  <si>
    <t>3A_G-WI06,3A_G-WI18,3A_G-WI17,3A_G-WI13,3A_G-WI09</t>
  </si>
  <si>
    <t>3A_G-WI16,3A_G-WI14,3A_G-WI06,3A_G-WI01,3A_G-WI18</t>
  </si>
  <si>
    <t>3A_G-WI17,3A_G-WI13,3A_G-WI15</t>
  </si>
  <si>
    <t>3A_G-WI14,3A_G-WI09,3A_G-WI06,3A_G-WI01,3A_G-WI18,3A_G-WI05,3A_G-WI17,3A_G-WI13</t>
  </si>
  <si>
    <t>3A_G-WI07,3A_G-WI04</t>
  </si>
  <si>
    <t>3A_G-WI12,3A_G-WI16,3A_G-WI15,3A_G-WI21,3A_G-WI04,3A_G-WI20,3A_G-WI08,3A_G-WI07</t>
  </si>
  <si>
    <t>3A_G-WI04,3A_G-WI07</t>
  </si>
  <si>
    <t>3A_G-WI08,3A_G-WI10,3A_G-WI21</t>
  </si>
  <si>
    <t>3A_G-WI16,3A_G-WI20</t>
  </si>
  <si>
    <t>3A_G-WI15,3A_G-WI22,3A_G-WI11</t>
  </si>
  <si>
    <t>3A_G-WI10,3A_G-WI15,3A_G-WI04</t>
  </si>
  <si>
    <t>3A_G-WI08,3A_G-WI12,3A_G-WI11,3A_G-WI07,3A_G-WI22,3A_G-WI16</t>
  </si>
  <si>
    <t>3A_G-WI20,3A_G-WI21,3A_G-WI14</t>
  </si>
  <si>
    <t>3A_G-WI09,3A_G-WI06,3A_G-WI01,3A_G-WI18,3A_G-WI05</t>
  </si>
  <si>
    <t>3A_G-WI17,3A_G-WI13,3A_G-WI15,3A_G-WI04,3A_G-WI10,3A_G-WI09,3A_G-WI01,3A_G-WI18,3A_G-WI05,3A_G-WI06,3A_G-WI07,3A_G-WI16,3A_G-WI22</t>
  </si>
  <si>
    <t>3A_G-WI10,3A_G-WI13</t>
  </si>
  <si>
    <t>3A_G-WI16,3A_G-WI08</t>
  </si>
  <si>
    <t>3A_G-WI15,3A_G-WI06,3A_G-WI18,3A_G-WI11,3A_G-WI09,3A_G-WI01,3A_G-WI05,3A_G-WI17,3A_G-WI16</t>
  </si>
  <si>
    <t>3A_G-WI06,3A_G-WI18,3A_G-WI07,3A_G-WI21,3A_G-WI08</t>
  </si>
  <si>
    <t>3A_G-WI11,3A_G-WI09,3A_G-WI14,3A_G-WI22,3A_G-WI04,3A_G-WI05,3A_G-WI01,3A_G-WI20,3A_G-WI17</t>
  </si>
  <si>
    <t>3A_G-WI15,3A_G-WI16,3A_G-WI20,3A_G-WI11</t>
  </si>
  <si>
    <t>3A_G-WI16,3A_G-WI10</t>
  </si>
  <si>
    <t>3A_G-WI04,3A_G-WI05,3A_G-WI20</t>
  </si>
  <si>
    <t>3A_G-WI01,3A_G-WI09</t>
  </si>
  <si>
    <t>3A_G-WI17,3A_G-WI15</t>
  </si>
  <si>
    <t>3A_G-WI13,3A_G-WI15</t>
  </si>
  <si>
    <t>3A_G-WI05,3A_G-WI11</t>
  </si>
  <si>
    <t>3A_G-WI13,3A_G-WI01,3A_G-WI22,3A_G-WI11,3A_G-WI09,3A_G-WI17</t>
  </si>
  <si>
    <t>3A_G-WI04,3A_G-WI13</t>
  </si>
  <si>
    <t>3A_G-WI20,3A_G-WI22,3A_G-WI21,3A_G-WI04,3A_G-WI05</t>
  </si>
  <si>
    <t>3A_G-WI08,3A_G-WI12,3A_G-WI13,3A_G-WI06,3A_G-WI18,3A_G-WI07</t>
  </si>
  <si>
    <t>3A_G-WI01,3A_G-WI11,3A_G-WI15,3A_G-WI09</t>
  </si>
  <si>
    <t>3A_G-WI13,3A_G-WI06,3A_G-WI07</t>
  </si>
  <si>
    <t>3A_G-WI08,3A_G-WI18</t>
  </si>
  <si>
    <t>3A_G-WI16,3A_G-WI13,3A_G-WI10</t>
  </si>
  <si>
    <t>3A_G-WI20,3A_G-WI22,3A_G-WI21</t>
  </si>
  <si>
    <t>3A_G-WI13,3A_G-WI07,3A_G-WI06,3A_G-WI05,3A_G-WI10</t>
  </si>
  <si>
    <t>3A_G-WI18,3A_G-WI04,3A_G-WI16</t>
  </si>
  <si>
    <t>3A_G-WI14,3A_G-WI13,3A_G-WI04,3A_G-WI07,3A_G-WI06,3A_G-WI08,3A_G-WI05,3A_G-WI18,3A_G-WI10,3A_G-WI16</t>
  </si>
  <si>
    <t>3A_G-WI04,3A_G-WI01,3A_G-WI07,3A_G-WI06,3A_G-WI20,3A_G-WI08</t>
  </si>
  <si>
    <t>3A_G-WI05,3A_G-WI18</t>
  </si>
  <si>
    <t>3A_G-WI10,3A_G-WI21,3A_G-WI18,3A_G-WI16,3A_G-WI09,3A_G-WI14,3A_G-WI13,3A_G-WI22,3A_G-WI11,3A_G-WI05</t>
  </si>
  <si>
    <t>3A_G-WI15,3A_G-WI21,3A_G-WI22,3A_G-WI11</t>
  </si>
  <si>
    <t>3A_G-WI05,3A_G-WI18,3A_G-WI16,3A_G-WI09,3A_G-WI14,3A_G-WI13,3A_G-WI21,3A_G-WI22,3A_G-WI15,3A_G-WI11</t>
  </si>
  <si>
    <t>3A_G-WI10,3A_G-WI13,3A_G-WI21</t>
  </si>
  <si>
    <t>3A_G-WI16,3A_G-WI15,3A_G-WI11</t>
  </si>
  <si>
    <t>3A_G-WI22,3A_G-WI05</t>
  </si>
  <si>
    <t>3A_G-WI18,3A_G-WI09,3A_G-WI14,3A_G-WI15</t>
  </si>
  <si>
    <t>3A_G-WI11,3A_G-WI21,3A_G-WI10,3A_G-WI17,3A_G-WI13,3A_G-WI16</t>
  </si>
  <si>
    <t>3A_G-WI12,3A_G-WI11,3A_G-WI10,3A_G-WI17</t>
  </si>
  <si>
    <t>3A_G-WI12,3A_G-WI21</t>
  </si>
  <si>
    <t>3A_G-WI16,3A_G-WI17,3A_G-WI04,3A_G-WI11,3A_G-WI13</t>
  </si>
  <si>
    <t>3A_G-WI06,3A_G-WI20,3A_G-WI08,3A_G-WI11</t>
  </si>
  <si>
    <t>3A_G-WI10,3A_G-WI04,3A_G-WI15,3A_G-WI17,3A_G-WI09</t>
  </si>
  <si>
    <t>3A_G-WI04,3A_G-WI13,3A_G-WI16,3A_G-WI07</t>
  </si>
  <si>
    <t>3A_G-WI06,3A_G-WI20,3A_G-WI08,3A_G-WI10</t>
  </si>
  <si>
    <t>3A_G-WI18,3A_G-WI11,3A_G-WI14,3A_G-WI15,3A_G-WI17</t>
  </si>
  <si>
    <t>3A_G-WI09,3A_G-WI01,3A_G-WI17,3A_G-WI11,3A_G-WI14</t>
  </si>
  <si>
    <t>3A_G-WI15,3A_G-WI14</t>
  </si>
  <si>
    <t>3A_G-WI21, 3A_G-WI20, 3A_G-WI22, 3A_G-WI15, 3A_G-WI11, 3A_G-WI16, 3A_G-WI17, 3A_G-WI18, 3A_G-WI09</t>
  </si>
  <si>
    <t>3A_G-WI10, 3A_G-WI12, 3A_G-WI13, 3A_G-WI14</t>
  </si>
  <si>
    <t>3A_G-WI20, 3A_G-WI09, 3A_G-WI18, 3A_G-WI21, 3A_G-WI22, 3A_G-WI15, 3A_G-WI11, 3A_G-WI16, 3A_G-WI17, 3A_G-WI10, 3A_G-WI13, 3A_G-WI14, 3A_G-WI12</t>
  </si>
  <si>
    <t>3A_G-WI22, 3A_G-WI15, 3A_G-WI18, 3A_G-WI11, 3A_G-WI17, 3A_G-WI12, 3A_G-WI20, 3A_G-WI10, 3A_G-WI13, 3A_G-WI14, 3A_G-WI16, 3A_G-WI21, 3A_G-WI09, 3A_G-WI04, 3A_G-WI05, 3A_G-WI06, 3A_G-WI07, 3A_G-WI08</t>
  </si>
  <si>
    <t>3A_G-WI14, 3A_G-WI16</t>
  </si>
  <si>
    <t>3A_G-WI22, 3A_G-WI08, 3A_G-WI21</t>
  </si>
  <si>
    <t>3A_G-WI18, 3A_G-WI09, 3A_G-WI11, 3A_G-WI17, 3A_G-WI12, 3A_G-WI21, 3A_G-WI20, 3A_G-WI01, 3A_G-WI04, 3A_G-WI05, 3A_G-WI06, 3A_G-WI07, 3A_G-WI15, 3A_G-WI10, 3A_G-WI13</t>
  </si>
  <si>
    <t>3A_G-WI14, 3A_G-WI16, 3A_G-WI13, 3A_G-WI22, 3A_G-WI09, 3A_G-WI08, 3A_G-WI05</t>
  </si>
  <si>
    <t>3A_G-WI11, 3A_G-WI17, 3A_G-WI12, 3A_G-WI22</t>
  </si>
  <si>
    <t>3A_G-WI09, 3A_G-WI01</t>
  </si>
  <si>
    <t>3A_G-WI15, 3A_G-WI11, 3A_G-WI01, 3A_G-WI08, 3A_G-WI13</t>
  </si>
  <si>
    <t>3A_G-WI05, 3A_G-WI17, 3A_G-WI01, 3A_G-WI08, 3A_G-WI13</t>
  </si>
  <si>
    <t>3A_G-WI15, 3A_G-WI11, 3A_G-WI18</t>
  </si>
  <si>
    <t>3A_G-WI16, 3A_G-WI18, 3A_G-WI15, 3A_G-WI11</t>
  </si>
  <si>
    <t>3A_G-WI11, 3A_G-WI15, 3A_G-WI14, 3A_G-WI16, 3A_G-WI18</t>
  </si>
  <si>
    <t>3A_G-WI20, 3A_G-WI17, 3A_G-WI13, 3A_G-WI06, 3A_G-WI01</t>
  </si>
  <si>
    <t>3A_G-WI16, 3A_G-WI05, 3A_G-WI08</t>
  </si>
  <si>
    <t>3A_G-WI18, 3A_G-WI21, 3A_G-WI11, 3A_G-WI15</t>
  </si>
  <si>
    <t>3A_G-WI14, 3A_G-WI17, 3A_G-WI13, 3A_G-WI01</t>
  </si>
  <si>
    <t>3A_G-WI20, 3A_G-WI06, 3A_G-WI09</t>
  </si>
  <si>
    <t>3A_G-WI20, 3A_G-WI06, 3A_G-WI09, 3A_G-WI07</t>
  </si>
  <si>
    <t>3A_G-WI09, 3A_G-WI16, 3A_G-WI07, 3A_G-WI08</t>
  </si>
  <si>
    <t>3A_G-WI04, 3A_G-WI20, 3A_G-WI09, 3A_G-WI16, 3A_G-WI05</t>
  </si>
  <si>
    <t>3A_G-WI07, 3A_G-WI06</t>
  </si>
  <si>
    <t>3A_G-WI04, 3A_G-WI20</t>
  </si>
  <si>
    <t>3A_G-WI08, 3A_G-WI05, 3A_G-WI09, 3A_G-WI12, 3A_G-WI16</t>
  </si>
  <si>
    <t>3A_G-WI09, 3A_G-WI12, 3A_G-WI16, 3A_G-WI07, 3A_G-WI06</t>
  </si>
  <si>
    <t>3A_G-WI12, 3A_G-WI16</t>
  </si>
  <si>
    <t>3A_G-WI07, 3A_G-WI06, 3A_G-WI08, 3A_G-WI05, 3A_G-WI21</t>
  </si>
  <si>
    <t>3A_G-WI11, 3A_G-WI09, 3A_G-WI15</t>
  </si>
  <si>
    <t>3A_G-WI20, 3A_G-WI16, 3A_G-WI18, 3A_G-WI04</t>
  </si>
  <si>
    <t>3A_G-WI15, 3A_G-WI12, 3A_G-WI04, 3A_G-WI11, 3A_G-WI09</t>
  </si>
  <si>
    <t>3A_G-WI04, 3A_G-WI15, 3A_G-WI18, 3A_G-WI10, 3A_G-WI06</t>
  </si>
  <si>
    <t>3A_G-WI12, 3A_G-WI05, 3A_G-WI21</t>
  </si>
  <si>
    <t>3A_G-WI16, 3A_G-WI20, 3A_G-WI08</t>
  </si>
  <si>
    <t>3A_G-WI07, 3A_G-WI11, 3A_G-WI09</t>
  </si>
  <si>
    <t>3A_G-WI16, 3A_G-WI08, 3A_G-WI20</t>
  </si>
  <si>
    <t>3A_G-WI16, 3A_G-WI07</t>
  </si>
  <si>
    <t>3A_G-WI09, 3A_G-WI08</t>
  </si>
  <si>
    <t>3A_G-WI11, 3A_G-WI20</t>
  </si>
  <si>
    <t>3A_G-WI09, 3A_G-WI18, 3A_G-WI11</t>
  </si>
  <si>
    <t>3A_G-WI10, 3A_G-WI07, 3A_G-WI14, 3A_G-WI04</t>
  </si>
  <si>
    <t>3A_G-WI17, 3A_G-WI13, 3A_G-WI06</t>
  </si>
  <si>
    <t>3A_G-WI20, 3A_G-WI10</t>
  </si>
  <si>
    <t>3A_G-WI10, 3A_G-WI18, 3A_G-WI11</t>
  </si>
  <si>
    <t>3A_G-WI07, 3A_G-WI04, 3A_G-WI16</t>
  </si>
  <si>
    <t>3A_G-WI20, 3A_G-WI15, 3A_G-WI01, 3A_G-WI14, 3A_G-WI08</t>
  </si>
  <si>
    <t>3A_G-WI01, 3A_G-WI20, 3A_G-WI09</t>
  </si>
  <si>
    <t>3A_G-WI22, 3A_G-WI08, 3A_G-WI07</t>
  </si>
  <si>
    <t>3A_G-WI04, 3A_G-WI16, 3A_G-WI18, 3A_G-WI11</t>
  </si>
  <si>
    <t>3A_G-WI10, 3A_G-WI21</t>
  </si>
  <si>
    <t>3A_G-WI07, 3A_G-WI18, 3A_G-WI08</t>
  </si>
  <si>
    <t>3A_G-WI10, 3A_G-WI12</t>
  </si>
  <si>
    <t>3A_G-WI16, 3A_G-WI08, 3A_G-WI05, 3A_G-WI22, 3A_G-WI11, 3A_G-WI07, 3A_G-WI04, 3A_G-WI10</t>
  </si>
  <si>
    <t>3A_G-WI21, 3A_G-WI18, 3A_G-WI07, 3A_G-WI12, 3A_G-WI04</t>
  </si>
  <si>
    <t>3A_G-WI16, 3A_G-WI08, 3A_G-WI05</t>
  </si>
  <si>
    <t>3A_G-WI22, 3A_G-WI11, 3A_G-WI16</t>
  </si>
  <si>
    <t>3A_G-WI22, 3A_G-WI11, 3A_G-WI08, 3A_G-WI16, 3A_G-WI20</t>
  </si>
  <si>
    <t>3A_G-WI05, 3A_G-WI10, 3A_G-WI09, 3A_G-WI17, 3A_G-WI01, 3A_G-WI13, 3A_G-WI11, 3A_G-WI06, 3A_G-WI16, 3A_G-WI20, 3A_G-WI04, 3A_G-WI08, 3A_G-WI18, 3A_G-WI21, 3A_G-WI07, 3A_G-WI12, 3A_G-WI22</t>
  </si>
  <si>
    <t>3A_G-WI09, 3A_G-WI18, 3A_G-WI12, 3A_G-WI22, 3A_G-WI13</t>
  </si>
  <si>
    <t>3A_G-WI11, 3A_G-WI06, 3A_G-WI16</t>
  </si>
  <si>
    <t>3A_G-WI20, 3A_G-WI04, 3A_G-WI05, 3A_G-WI10, 3A_G-WI17</t>
  </si>
  <si>
    <t>3A_G-WI21, 3A_G-WI01, 3A_G-WI07</t>
  </si>
  <si>
    <t>3A_G-WI20, 3A_G-WI04, 3A_G-WI16</t>
  </si>
  <si>
    <t>3A_G-WI12, 3A_G-WI22</t>
  </si>
  <si>
    <t>3A_G-WI18, 3A_G-WI05, 3A_G-WI13</t>
  </si>
  <si>
    <t>3A_G-WI09, 3A_G-WI10, 3A_G-WI17, 3A_G-WI11</t>
  </si>
  <si>
    <t>3A_G-WI18, 3A_G-WI01, 3A_G-WI04, 3A_G-WI16, 3A_G-WI05, 3A_G-WI22, 3A_G-WI13, 3A_G-WI12</t>
  </si>
  <si>
    <t>3A_G-WI07, 3A_G-WI06, 3A_G-WI08</t>
  </si>
  <si>
    <t>3A_G-WI21, 3A_G-WI20, 3A_G-WI22, 3A_G-WI16</t>
  </si>
  <si>
    <t>3A_G-WI12, 3A_G-WI13, 3A_G-WI18</t>
  </si>
  <si>
    <t>3A_G-WI01, 3A_G-WI04, 3A_G-WI15</t>
  </si>
  <si>
    <t>3A_G-WI05, 3A_G-WI14, 3A_G-WI04, 3A_G-WI15</t>
  </si>
  <si>
    <t>3A_G-WI14, 3A_G-WI05, 3A_G-WI15, 3A_G-WI01, 3A_G-WI04</t>
  </si>
  <si>
    <t>3A_G-WI01, 3A_G-WI15, 3A_G-WI05, 3A_G-WI14</t>
  </si>
  <si>
    <t>3A_G-WI04, 3A_G-WI21, 3A_G-WI20, 3A_G-WI16, 3A_G-WI22, 3A_G-WI06, 3A_G-WI07</t>
  </si>
  <si>
    <t>3A_G-WI05, 3A_G-WI01, 3A_G-WI08</t>
  </si>
  <si>
    <t>3A_G-WI14, 3A_G-WI18</t>
  </si>
  <si>
    <t>3A_G-WI08, 3A_G-WI04, 3A_G-WI05, 3A_G-WI06</t>
  </si>
  <si>
    <t>3A_G-WI01, 3A_G-WI08, 3A_G-WI21, 3A_G-WI20, 3A_G-WI11</t>
  </si>
  <si>
    <t>3A_G-WI07, 3A_G-WI16, 3A_G-WI22, 3A_G-WI09, 3A_G-WI04, 3A_G-WI05, 3A_G-WI06, 3A_G-WI10</t>
  </si>
  <si>
    <t>3A_G-WI17, 3A_G-WI21, 3A_G-WI13, 3A_G-WI11, 3A_G-WI15, 3A_G-WI20, 3A_G-WI01, 3A_G-WI08</t>
  </si>
  <si>
    <t>3A_G-WI13, 3A_G-WI20, 3A_G-WI01, 3A_G-WI05, 3A_G-WI06, 3A_G-WI08, 3A_G-WI10, 3A_G-WI11, 3A_G-WI17, 3A_G-WI07, 3A_G-WI15, 3A_G-WI22, 3A_G-WI21</t>
  </si>
  <si>
    <t>3A_G-WI16, 3A_G-WI13, 3A_G-WI09, 3A_G-WI04, 3A_G-WI20, 3A_G-WI01, 3A_G-WI05</t>
  </si>
  <si>
    <t>3A_G-WI15, 3A_G-WI06, 3A_G-WI08, 3A_G-WI10, 3A_G-WI11</t>
  </si>
  <si>
    <t>3A_G-WI17, 3A_G-WI07, 3A_G-WI22, 3A_G-WI21</t>
  </si>
  <si>
    <t>3A_G-WI07, 3A_G-WI22, 3A_G-WI17, 3A_G-WI21</t>
  </si>
  <si>
    <t>3A_G-WI22, 3A_G-WI15, 3A_G-WI08, 3A_G-WI11, 3A_G-WI17, 3A_G-WI10, 3A_G-WI21</t>
  </si>
  <si>
    <t>3A_G-WI06, 3A_G-WI15, 3A_G-WI07, 3A_G-WI08, 3A_G-WI11, 3A_G-WI17, 3A_G-WI10, 3A_G-WI21</t>
  </si>
  <si>
    <t>3A_G-WI08, 3A_G-WI15, 3A_G-WI11, 3A_G-WI17, 3A_G-WI10</t>
  </si>
  <si>
    <t>3A_G-WI21, 3A_G-WI11, 3A_G-WI08</t>
  </si>
  <si>
    <t>3A_G-WI15, 3A_G-WI10</t>
  </si>
  <si>
    <t>3A_G-WI17, 3A_G-WI07, 3A_G-WI15, 3A_G-WI20, 3A_G-WI06, 3A_G-WI01, 3A_G-WI05</t>
  </si>
  <si>
    <t>3A_G-WI22, 3A_G-WI08, 3A_G-WI15, 3A_G-WI05, 3A_G-WI10</t>
  </si>
  <si>
    <t>3A_G-WI11, 3A_G-WI17, 3A_G-WI07, 3A_G-WI21</t>
  </si>
  <si>
    <t>3A_G-WI20, 3A_G-WI06</t>
  </si>
  <si>
    <t>3A_G-WI01, 3A_G-WI16, 3A_G-WI13</t>
  </si>
  <si>
    <t>3A_G-WI09, 3A_G-WI01, 3A_G-WI04</t>
  </si>
  <si>
    <t>3A_G-WI01, 3A_G-WI04, 3A_G-WI09</t>
  </si>
  <si>
    <t>3A_G-WI15, 3A_G-WI05, 3A_G-WI16, 3A_G-WI13, 3A_G-WI10, 3A_G-WI20</t>
  </si>
  <si>
    <t>3A_G-WI06, 3A_G-WI22</t>
  </si>
  <si>
    <t>3A_G-WI17, 3A_G-WI07</t>
  </si>
  <si>
    <t>3A_G-WI21, 3A_G-WI11, 3A_G-WI08, 3A_G-WI18</t>
  </si>
  <si>
    <t>3A_G-WI01, 3A_G-WI14, 3A_G-WI04, 3A_G-WI09</t>
  </si>
  <si>
    <t>3A_G-WI09, 3A_G-WI21, 3A_G-WI11, 3A_G-WI04, 3A_G-WI18, 3A_G-WI22, 3A_G-WI01, 3A_G-WI06, 3A_G-WI14, 3A_G-WI20, 3A_G-WI15, 3A_G-WI05, 3A_G-WI16, 3A_G-WI10</t>
  </si>
  <si>
    <t>3A_G-WI13, 3A_G-WI08, 3A_G-WI12, 3A_G-WI11, 3A_G-WI04, 3A_G-WI22, 3A_G-WI01, 3A_G-WI06, 3A_G-WI14, 3A_G-WI20, 3A_G-WI05, 3A_G-WI16, 3A_G-WI18, 3A_G-WI15</t>
  </si>
  <si>
    <t>3A_G-WI07, 3A_G-WI13, 3A_G-WI16</t>
  </si>
  <si>
    <t>3A_G-WI10, 3A_G-WI08, 3A_G-WI11, 3A_G-WI15</t>
  </si>
  <si>
    <t>3A_G-WI04, 3A_G-WI18</t>
  </si>
  <si>
    <t>3A_G-WI14, 3A_G-WI22</t>
  </si>
  <si>
    <t>3A_G-WI01, 3A_G-WI06, 3A_G-WI10, 3A_G-WI12</t>
  </si>
  <si>
    <t>3A_G-WI20, 3A_G-WI17, 3A_G-WI05</t>
  </si>
  <si>
    <t>3A_G-WI17, 3A_G-WI05, 3A_G-WI08</t>
  </si>
  <si>
    <t>3A_G-WI11, 3A_G-WI15, 3A_G-WI16, 3A_G-WI09</t>
  </si>
  <si>
    <t>3A_G-WI04, 3A_G-WI21, 3A_G-WI13, 3A_G-WI01, 3A_G-WI06</t>
  </si>
  <si>
    <t>3A_G-WI07, 3A_G-WI12, 3A_G-WI10, 3A_G-WI04, 3A_G-WI21</t>
  </si>
  <si>
    <t>3A_G-WI13, 3A_G-WI01, 3A_G-WI06</t>
  </si>
  <si>
    <t>3A_G-WI12, 3A_G-WI18, 3A_G-WI10, 3A_G-WI04, 3A_G-WI20, 3A_G-WI21, 3A_G-WI13, 3A_G-WI01</t>
  </si>
  <si>
    <t>3A_G-WI06, 3A_G-WI07</t>
  </si>
  <si>
    <t>3A_G-WI15, 3A_G-WI07, 3A_G-WI14, 3A_G-WI22, 3A_G-WI06, 3A_G-WI09, 3A_G-WI16, 3A_G-WI11</t>
  </si>
  <si>
    <t>3A_G-WI06, 3A_G-WI11</t>
  </si>
  <si>
    <t>3A_G-WI16, 3A_G-WI08, 3A_G-WI22</t>
  </si>
  <si>
    <t>3A_G-WI09, 3A_G-WI17</t>
  </si>
  <si>
    <t>3A_G-WI07, 3A_G-WI14, 3A_G-WI05</t>
  </si>
  <si>
    <t>3A_G-WI07, 3A_G-WI08, 3A_G-WI06</t>
  </si>
  <si>
    <t>3A_G-WI16, 3A_G-WI15, 3A_G-WI05, 3A_G-WI11, 3A_G-WI14, 3A_G-WI09</t>
  </si>
  <si>
    <t>3A_G-WI17, 3A_G-WI22, 3A_G-WI12</t>
  </si>
  <si>
    <t>3A_G-WI18, 3A_G-WI10, 3A_G-WI04, 3A_G-WI20, 3A_G-WI21</t>
  </si>
  <si>
    <t>3A_G-WI13, 3A_G-WI01, 3A_G-WI08, 3A_G-WI06, 3A_G-WI07, 3A_G-WI18, 3A_G-WI04, 3A_G-WI20, 3A_G-WI21, 3A_G-WI10, 3A_G-WI11, 3A_G-WI09</t>
  </si>
  <si>
    <t>3A_G-WI15, 3A_G-WI07</t>
  </si>
  <si>
    <t>3A_G-WI20, 3A_G-WI08, 3A_G-WI16, 3A_G-WI05, 3A_G-WI18, 3A_G-WI04, 3A_G-WI21, 3A_G-WI13, 3A_G-WI09</t>
  </si>
  <si>
    <t>3A_G-WI08, 3A_G-WI16, 3A_G-WI10, 3A_G-WI11, 3A_G-WI22</t>
  </si>
  <si>
    <t>3A_G-WI05, 3A_G-WI17, 3A_G-WI18, 3A_G-WI21, 3A_G-WI01, 3A_G-WI06, 3A_G-WI04, 3A_G-WI13, 3A_G-WI12</t>
  </si>
  <si>
    <t>3A_G-WI09, 3A_G-WI20, 3A_G-WI17</t>
  </si>
  <si>
    <t>3A_G-WI21, 3A_G-WI01, 3A_G-WI06</t>
  </si>
  <si>
    <t>3A_G-WI12, 3A_G-WI09</t>
  </si>
  <si>
    <t>3A_G-WI07, 3A_G-WI09</t>
  </si>
  <si>
    <t>3A_G-WI01, 3A_G-WI20</t>
  </si>
  <si>
    <t>3A_G-WI07, 3A_G-WI04, 3A_G-WI18, 3A_G-WI13, 3A_G-WI20, 3A_G-WI01</t>
  </si>
  <si>
    <t>3A_G-WI06, 3A_G-WI11, 3A_G-WI18, 3A_G-WI07, 3A_G-WI12</t>
  </si>
  <si>
    <t>3A_G-WI14, 3A_G-WI22, 3A_G-WI21, 3A_G-WI08, 3A_G-WI16, 3A_G-WI10</t>
  </si>
  <si>
    <t>3A_G-WI04, 3A_G-WI13, 3A_G-WI09, 3A_G-WI20</t>
  </si>
  <si>
    <t>3A_G-WI01, 3A_G-WI16</t>
  </si>
  <si>
    <t>3A_G-WI21, 3A_G-WI08, 3A_G-WI10</t>
  </si>
  <si>
    <t>3A_G-WI15, 3A_G-WI21, 3A_G-WI05</t>
  </si>
  <si>
    <t>3A_G-WI06, 3A_G-WI11, 3A_G-WI18</t>
  </si>
  <si>
    <t>3A_G-WI10, 3A_G-WI21, 3A_G-WI08, 3A_G-WI12, 3A_G-WI22</t>
  </si>
  <si>
    <t>3A_G-WI05, 3A_G-WI07, 3A_G-WI15</t>
  </si>
  <si>
    <t>3A_G-WI17, 3A_G-WI10, 3A_G-WI07, 3A_G-WI21, 3A_G-WI05, 3A_G-WI14, 3A_G-WI08, 3A_G-WI12, 3A_G-WI22, 3A_G-WI15</t>
  </si>
  <si>
    <t>3A_G-WI07, 3A_G-WI04, 3A_G-WI21, 3A_G-WI05, 3A_G-WI14, 3A_G-WI08</t>
  </si>
  <si>
    <t>3A_G-WI06, 3A_G-WI12</t>
  </si>
  <si>
    <t>3A_G-WI22, 3A_G-WI18, 3A_G-WI12, 3A_G-WI15, 3A_G-WI20, 3A_G-WI17, 3A_G-WI10, 3A_G-WI11, 3A_G-WI13, 3A_G-WI06</t>
  </si>
  <si>
    <t>3A_G-WI09, 3A_G-WI18, 3A_G-WI11, 3A_G-WI13</t>
  </si>
  <si>
    <t>3A_G-WI22, 3A_G-WI12, 3A_G-WI15, 3A_G-WI20, 3A_G-WI17, 3A_G-WI10, 3A_G-WI18, 3A_G-WI11, 3A_G-WI09, 3A_G-WI13, 3A_G-WI06</t>
  </si>
  <si>
    <t>3A_G-WI17, 3A_G-WI10, 3A_G-WI18</t>
  </si>
  <si>
    <t>3A_G-WI15, 3A_G-WI09, 3A_G-WI13</t>
  </si>
  <si>
    <t>3A_G-WI22, 3A_G-WI11</t>
  </si>
  <si>
    <t>3A_G-WI12, 3A_G-WI20, 3A_G-WI06, 3A_G-WI09</t>
  </si>
  <si>
    <t>3A_G-WI13, 3A_G-WI18, 3A_G-WI01, 3A_G-WI17, 3A_G-WI10, 3A_G-WI15, 3A_G-WI16</t>
  </si>
  <si>
    <t>3A_G-WI18, 3A_G-WI13, 3A_G-WI01, 3A_G-WI17</t>
  </si>
  <si>
    <t>3A_G-WI21, 3A_G-WI18</t>
  </si>
  <si>
    <t>3A_G-WI18, 3A_G-WI17, 3A_G-WI07, 3A_G-WI10, 3A_G-WI13</t>
  </si>
  <si>
    <t>3A_G-WI05, 3A_G-WI14, 3A_G-WI08, 3A_G-WI10</t>
  </si>
  <si>
    <t>3A_G-WI01, 3A_G-WI09, 3A_G-WI07, 3A_G-WI17</t>
  </si>
  <si>
    <t>3A_G-WI20, 3A_G-WI13, 3A_G-WI18, 3A_G-WI21</t>
  </si>
  <si>
    <t>3A_G-WI05, 3A_G-WI14, 3A_G-WI08, 3A_G-WI12</t>
  </si>
  <si>
    <t>3A_G-WI01, 3A_G-WI10, 3A_G-WI06, 3A_G-WI07, 3A_G-WI17</t>
  </si>
  <si>
    <t>3A_G-WI09, 3A_G-WI04, 3A_G-WI11, 3A_G-WI08, 3A_G-WI12</t>
  </si>
  <si>
    <t>3.00.00 build 101</t>
  </si>
  <si>
    <t>Name</t>
  </si>
  <si>
    <t>Software version</t>
  </si>
  <si>
    <t>Developer mode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</si>
</sst>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87" formatCode="_-* #,##0.00_-;\-* #,##0.00_-;_-* &quot;-&quot;??_-;_-@_-"/>
    <numFmt numFmtId="188" formatCode="_-* #,##0_-;\-* #,##0_-;_-* &quot;-&quot;??_-;_-@_-"/>
    <numFmt numFmtId="189" formatCode="0.0000"/>
    <numFmt numFmtId="190" formatCode="0%;0%;&quot;&quot;"/>
    <numFmt numFmtId="191" formatCode="[$-F400]h:mm:ss\ AM/PM"/>
    <numFmt numFmtId="192" formatCode="d\.hh:mm:ss"/>
  </numFmts>
  <fonts count="16" x14ac:knownFonts="1">
    <font>
      <sz val="11"/>
      <color theme="1"/>
      <name val="Tahoma"/>
      <family val="2"/>
      <scheme val="minor"/>
    </font>
    <font>
      <b/>
      <sz val="24"/>
      <color theme="1"/>
      <name val="Tahoma"/>
      <family val="2"/>
      <scheme val="minor"/>
    </font>
    <font>
      <b/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b/>
      <sz val="11"/>
      <color theme="0"/>
      <name val="Tahoma"/>
      <family val="2"/>
      <scheme val="minor"/>
    </font>
    <font>
      <b/>
      <sz val="16"/>
      <color theme="1"/>
      <name val="Tahoma"/>
      <family val="2"/>
      <scheme val="minor"/>
    </font>
    <font>
      <sz val="8"/>
      <name val="Tahoma"/>
      <family val="2"/>
      <scheme val="minor"/>
    </font>
    <font>
      <sz val="11"/>
      <color rgb="FF000000"/>
      <name val="Calibri"/>
      <family val="2"/>
    </font>
    <font>
      <sz val="24"/>
      <color theme="1"/>
      <name val="Tahoma"/>
      <family val="2"/>
      <scheme val="minor"/>
    </font>
    <font>
      <u/>
      <sz val="11"/>
      <color theme="10"/>
      <name val="Tahoma"/>
      <family val="2"/>
      <scheme val="minor"/>
    </font>
    <font>
      <sz val="11"/>
      <color rgb="FF00B050"/>
      <name val="Tahoma"/>
      <family val="2"/>
      <scheme val="minor"/>
    </font>
    <font>
      <b/>
      <sz val="8"/>
      <color theme="0"/>
      <name val="Tahoma"/>
      <family val="2"/>
      <scheme val="minor"/>
    </font>
    <font>
      <sz val="8"/>
      <color theme="1"/>
      <name val="Tahoma"/>
      <family val="2"/>
      <scheme val="minor"/>
    </font>
    <font>
      <b/>
      <sz val="8"/>
      <color rgb="FFFF0000"/>
      <name val="Tahoma"/>
      <family val="2"/>
      <scheme val="minor"/>
    </font>
    <font>
      <sz val="11"/>
      <color rgb="FFFF0000"/>
      <name val="Tahoma"/>
      <family val="2"/>
      <scheme val="minor"/>
    </font>
    <font>
      <sz val="11"/>
      <name val="Tahoma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1"/>
        <bgColor theme="1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theme="1"/>
      </patternFill>
    </fill>
  </fills>
  <borders count="8">
    <border>
      <left/>
      <right/>
      <top/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/>
      <bottom/>
      <diagonal/>
    </border>
  </borders>
  <cellStyleXfs count="4">
    <xf numFmtId="0" fontId="0" fillId="0" borderId="0"/>
    <xf numFmtId="187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68">
    <xf numFmtId="0" fontId="0" fillId="0" borderId="0" xfId="0"/>
    <xf numFmtId="0" fontId="1" fillId="0" borderId="0" xfId="0" applyFont="1"/>
    <xf numFmtId="0" fontId="2" fillId="0" borderId="0" xfId="0" applyFont="1"/>
    <xf numFmtId="0" fontId="4" fillId="2" borderId="2" xfId="0" applyFont="1" applyFill="1" applyBorder="1"/>
    <xf numFmtId="0" fontId="4" fillId="2" borderId="3" xfId="0" applyFont="1" applyFill="1" applyBorder="1"/>
    <xf numFmtId="0" fontId="5" fillId="0" borderId="0" xfId="0" applyFont="1"/>
    <xf numFmtId="0" fontId="0" fillId="0" borderId="2" xfId="0" applyBorder="1"/>
    <xf numFmtId="0" fontId="0" fillId="3" borderId="0" xfId="0" applyFill="1" applyAlignment="1">
      <alignment horizontal="center"/>
    </xf>
    <xf numFmtId="9" fontId="0" fillId="3" borderId="0" xfId="0" applyNumberFormat="1" applyFill="1" applyAlignment="1">
      <alignment horizontal="center"/>
    </xf>
    <xf numFmtId="0" fontId="0" fillId="0" borderId="4" xfId="0" applyBorder="1"/>
    <xf numFmtId="0" fontId="4" fillId="2" borderId="5" xfId="0" applyFont="1" applyFill="1" applyBorder="1"/>
    <xf numFmtId="0" fontId="0" fillId="0" borderId="1" xfId="0" applyBorder="1"/>
    <xf numFmtId="0" fontId="0" fillId="3" borderId="0" xfId="0" applyFill="1"/>
    <xf numFmtId="0" fontId="4" fillId="0" borderId="0" xfId="0" applyFont="1"/>
    <xf numFmtId="188" fontId="0" fillId="0" borderId="0" xfId="1" applyNumberFormat="1" applyFont="1" applyFill="1" applyBorder="1"/>
    <xf numFmtId="0" fontId="0" fillId="3" borderId="0" xfId="0" applyFill="1" applyAlignment="1">
      <alignment horizontal="left"/>
    </xf>
    <xf numFmtId="187" fontId="0" fillId="0" borderId="0" xfId="1" applyFont="1"/>
    <xf numFmtId="187" fontId="0" fillId="0" borderId="0" xfId="0" applyNumberFormat="1"/>
    <xf numFmtId="9" fontId="0" fillId="0" borderId="0" xfId="2" applyFont="1"/>
    <xf numFmtId="9" fontId="0" fillId="0" borderId="0" xfId="0" applyNumberFormat="1"/>
    <xf numFmtId="0" fontId="0" fillId="0" borderId="6" xfId="0" applyBorder="1" applyAlignment="1">
      <alignment vertical="top"/>
    </xf>
    <xf numFmtId="0" fontId="0" fillId="0" borderId="6" xfId="0" applyBorder="1" applyAlignment="1">
      <alignment vertical="top" wrapText="1"/>
    </xf>
    <xf numFmtId="189" fontId="0" fillId="0" borderId="0" xfId="0" applyNumberFormat="1"/>
    <xf numFmtId="188" fontId="0" fillId="0" borderId="0" xfId="1" applyNumberFormat="1" applyFont="1"/>
    <xf numFmtId="0" fontId="0" fillId="4" borderId="0" xfId="0" applyFill="1"/>
    <xf numFmtId="0" fontId="0" fillId="0" borderId="0" xfId="0" applyAlignment="1">
      <alignment vertical="top" wrapText="1"/>
    </xf>
    <xf numFmtId="188" fontId="0" fillId="0" borderId="0" xfId="0" applyNumberFormat="1"/>
    <xf numFmtId="10" fontId="0" fillId="0" borderId="0" xfId="2" applyNumberFormat="1" applyFont="1"/>
    <xf numFmtId="0" fontId="0" fillId="0" borderId="0" xfId="0" applyAlignment="1">
      <alignment horizontal="right"/>
    </xf>
    <xf numFmtId="0" fontId="0" fillId="0" borderId="0" xfId="0" pivotButton="1"/>
    <xf numFmtId="0" fontId="0" fillId="0" borderId="0" xfId="0" applyAlignment="1">
      <alignment horizontal="left"/>
    </xf>
    <xf numFmtId="187" fontId="0" fillId="0" borderId="0" xfId="2" applyNumberFormat="1" applyFont="1"/>
    <xf numFmtId="190" fontId="0" fillId="0" borderId="0" xfId="0" applyNumberFormat="1"/>
    <xf numFmtId="49" fontId="0" fillId="0" borderId="0" xfId="0" applyNumberFormat="1" applyAlignment="1">
      <alignment horizontal="left"/>
    </xf>
    <xf numFmtId="0" fontId="0" fillId="5" borderId="0" xfId="0" applyFill="1"/>
    <xf numFmtId="49" fontId="1" fillId="0" borderId="0" xfId="0" applyNumberFormat="1" applyFont="1"/>
    <xf numFmtId="49" fontId="0" fillId="0" borderId="0" xfId="0" applyNumberFormat="1"/>
    <xf numFmtId="0" fontId="0" fillId="6" borderId="0" xfId="0" applyFill="1"/>
    <xf numFmtId="187" fontId="0" fillId="5" borderId="0" xfId="1" applyFont="1" applyFill="1"/>
    <xf numFmtId="187" fontId="0" fillId="5" borderId="0" xfId="0" applyNumberFormat="1" applyFill="1"/>
    <xf numFmtId="10" fontId="0" fillId="5" borderId="0" xfId="2" applyNumberFormat="1" applyFont="1" applyFill="1"/>
    <xf numFmtId="0" fontId="0" fillId="0" borderId="0" xfId="0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6" xfId="0" applyBorder="1" applyAlignment="1">
      <alignment horizontal="left" vertical="top" wrapText="1"/>
    </xf>
    <xf numFmtId="0" fontId="8" fillId="0" borderId="0" xfId="0" applyFont="1"/>
    <xf numFmtId="0" fontId="0" fillId="3" borderId="3" xfId="0" applyFill="1" applyBorder="1" applyAlignment="1">
      <alignment horizontal="left"/>
    </xf>
    <xf numFmtId="2" fontId="0" fillId="0" borderId="0" xfId="0" applyNumberFormat="1"/>
    <xf numFmtId="2" fontId="0" fillId="4" borderId="0" xfId="0" applyNumberFormat="1" applyFill="1"/>
    <xf numFmtId="188" fontId="0" fillId="4" borderId="0" xfId="0" applyNumberFormat="1" applyFill="1"/>
    <xf numFmtId="0" fontId="9" fillId="3" borderId="0" xfId="3" applyFill="1" applyAlignment="1">
      <alignment horizontal="left"/>
    </xf>
    <xf numFmtId="14" fontId="0" fillId="0" borderId="0" xfId="0" applyNumberFormat="1"/>
    <xf numFmtId="191" fontId="0" fillId="0" borderId="0" xfId="0" applyNumberFormat="1"/>
    <xf numFmtId="22" fontId="0" fillId="0" borderId="0" xfId="0" applyNumberFormat="1"/>
    <xf numFmtId="192" fontId="0" fillId="0" borderId="0" xfId="0" applyNumberFormat="1"/>
    <xf numFmtId="9" fontId="0" fillId="3" borderId="0" xfId="2" applyFont="1" applyFill="1"/>
    <xf numFmtId="14" fontId="0" fillId="3" borderId="0" xfId="0" applyNumberFormat="1" applyFill="1"/>
    <xf numFmtId="0" fontId="0" fillId="0" borderId="0" xfId="1" applyNumberFormat="1" applyFont="1"/>
    <xf numFmtId="0" fontId="4" fillId="2" borderId="0" xfId="0" applyFont="1" applyFill="1"/>
    <xf numFmtId="188" fontId="10" fillId="0" borderId="0" xfId="1" applyNumberFormat="1" applyFont="1"/>
    <xf numFmtId="0" fontId="11" fillId="2" borderId="0" xfId="0" applyFont="1" applyFill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2" fillId="0" borderId="0" xfId="0" applyFont="1"/>
    <xf numFmtId="0" fontId="12" fillId="0" borderId="2" xfId="0" applyFont="1" applyBorder="1"/>
    <xf numFmtId="0" fontId="13" fillId="7" borderId="7" xfId="0" applyFont="1" applyFill="1" applyBorder="1" applyAlignment="1">
      <alignment vertical="top" wrapText="1"/>
    </xf>
    <xf numFmtId="0" fontId="0" fillId="0" borderId="0" xfId="0" applyAlignment="1">
      <alignment horizontal="center"/>
    </xf>
    <xf numFmtId="49" fontId="14" fillId="0" borderId="0" xfId="0" applyNumberFormat="1" applyFont="1" applyAlignment="1">
      <alignment horizontal="left"/>
    </xf>
    <xf numFmtId="49" fontId="15" fillId="0" borderId="0" xfId="0" applyNumberFormat="1" applyFont="1" applyAlignment="1">
      <alignment horizontal="left"/>
    </xf>
    <xf numFmtId="0" fontId="0" fillId="0" borderId="0" xfId="0" applyNumberFormat="1"/>
  </cellXfs>
  <cellStyles count="4">
    <cellStyle name="Comma" xfId="1" builtinId="3"/>
    <cellStyle name="Hyperlink" xfId="3" builtinId="8"/>
    <cellStyle name="Normal" xfId="0" builtinId="0"/>
    <cellStyle name="Percent" xfId="2" builtinId="5"/>
  </cellStyles>
  <dxfs count="104">
    <dxf>
      <alignment horizontal="left" vertical="bottom" textRotation="0" wrapText="0" indent="0" justifyLastLine="0" shrinkToFit="0" readingOrder="0"/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numFmt numFmtId="0" formatCode="General"/>
    </dxf>
    <dxf>
      <numFmt numFmtId="0" formatCode="General"/>
    </dxf>
    <dxf>
      <numFmt numFmtId="0" formatCode="General"/>
    </dxf>
    <dxf>
      <numFmt numFmtId="193" formatCode="dd/mm/yyyy"/>
    </dxf>
    <dxf>
      <numFmt numFmtId="192" formatCode="d\.hh:mm:ss"/>
    </dxf>
    <dxf>
      <numFmt numFmtId="194" formatCode="dd/mm/yyyy\ hh:mm"/>
    </dxf>
    <dxf>
      <numFmt numFmtId="191" formatCode="[$-F400]h:mm:ss\ AM/PM"/>
    </dxf>
    <dxf>
      <numFmt numFmtId="0" formatCode="General"/>
    </dxf>
    <dxf>
      <numFmt numFmtId="191" formatCode="[$-F400]h:mm:ss\ AM/PM"/>
    </dxf>
    <dxf>
      <numFmt numFmtId="193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8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family val="2"/>
        <scheme val="minor"/>
      </font>
      <numFmt numFmtId="187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family val="2"/>
        <scheme val="minor"/>
      </font>
    </dxf>
    <dxf>
      <numFmt numFmtId="189" formatCode="0.00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general" vertical="top" textRotation="0" wrapText="1" indent="0" justifyLastLine="0" shrinkToFit="0" readingOrder="0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8" formatCode="_-* #,##0_-;\-* #,##0_-;_-* &quot;-&quot;??_-;_-@_-"/>
    </dxf>
    <dxf>
      <numFmt numFmtId="188" formatCode="_-* #,##0_-;\-* #,##0_-;_-* &quot;-&quot;??_-;_-@_-"/>
    </dxf>
    <dxf>
      <numFmt numFmtId="187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93" formatCode="dd/mm/yyyy"/>
    </dxf>
    <dxf>
      <font>
        <strike val="0"/>
        <outline val="0"/>
        <shadow val="0"/>
        <u val="none"/>
        <vertAlign val="baseline"/>
        <sz val="8"/>
        <color theme="1"/>
        <name val="Tahoma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</border>
    </dxf>
    <dxf>
      <font>
        <strike val="0"/>
        <outline val="0"/>
        <shadow val="0"/>
        <u val="none"/>
        <vertAlign val="baseline"/>
        <sz val="8"/>
        <color theme="1"/>
        <name val="Tahoma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minor"/>
      </font>
      <numFmt numFmtId="0" formatCode="General"/>
      <border diagonalUp="0" diagonalDown="0" outline="0">
        <left/>
        <right/>
        <top style="thin">
          <color theme="1"/>
        </top>
        <bottom/>
      </border>
    </dxf>
    <dxf>
      <border outline="0">
        <left style="thin">
          <color theme="1"/>
        </left>
        <top style="thin">
          <color theme="1"/>
        </top>
      </border>
    </dxf>
    <dxf>
      <font>
        <strike val="0"/>
        <outline val="0"/>
        <shadow val="0"/>
        <u val="none"/>
        <vertAlign val="baseline"/>
        <sz val="8"/>
        <color theme="1"/>
        <name val="Tahoma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Tahoma"/>
        <family val="2"/>
        <scheme val="minor"/>
      </font>
      <fill>
        <patternFill patternType="solid">
          <fgColor theme="1"/>
          <bgColor theme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</dxf>
    <dxf>
      <border outline="0"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ill>
        <patternFill patternType="solid">
          <fgColor indexed="64"/>
          <bgColor theme="7" tint="0.79998168889431442"/>
        </patternFill>
      </fill>
      <alignment horizontal="left" vertical="bottom" textRotation="0" wrapText="0" indent="0" justifyLastLine="0" shrinkToFit="0" readingOrder="0"/>
    </dxf>
    <dxf>
      <numFmt numFmtId="188" formatCode="_-* #,##0_-;\-* #,##0_-;_-* &quot;-&quot;??_-;_-@_-"/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bgColor auto="1"/>
        </patternFill>
      </fill>
    </dxf>
    <dxf>
      <border outline="0">
        <left style="thin">
          <color theme="1"/>
        </left>
        <top style="thin">
          <color theme="1"/>
        </top>
      </border>
    </dxf>
    <dxf>
      <fill>
        <patternFill patternType="none"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theme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solid">
          <fgColor indexed="64"/>
          <bgColor theme="0" tint="-0.499984740745262"/>
        </patternFill>
      </fill>
    </dxf>
    <dxf>
      <fill>
        <patternFill patternType="solid">
          <fgColor indexed="64"/>
          <bgColor theme="7" tint="0.79998168889431442"/>
        </patternFill>
      </fill>
    </dxf>
    <dxf>
      <numFmt numFmtId="30" formatCode="@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numFmt numFmtId="0" formatCode="General"/>
    </dxf>
    <dxf>
      <numFmt numFmtId="13" formatCode="0%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border outline="0">
        <left style="thin">
          <color theme="1"/>
        </left>
      </border>
    </dxf>
    <dxf>
      <fill>
        <patternFill patternType="solid">
          <fgColor indexed="64"/>
          <bgColor theme="7" tint="0.79998168889431442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149247085526333E-2"/>
          <c:y val="4.6330876919464838E-2"/>
          <c:w val="0.89167074286125736"/>
          <c:h val="0.9355585483796976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WaxCellUtilization!$U$7</c:f>
              <c:strCache>
                <c:ptCount val="1"/>
                <c:pt idx="0">
                  <c:v>Utilization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WaxCellUtilization!$R$8:$R$26</c:f>
              <c:strCache>
                <c:ptCount val="19"/>
                <c:pt idx="0">
                  <c:v>3A_G-WI01</c:v>
                </c:pt>
                <c:pt idx="1">
                  <c:v>3A_G-WI04</c:v>
                </c:pt>
                <c:pt idx="2">
                  <c:v>3A_G-WI05</c:v>
                </c:pt>
                <c:pt idx="3">
                  <c:v>3A_G-WI06</c:v>
                </c:pt>
                <c:pt idx="4">
                  <c:v>3A_G-WI07</c:v>
                </c:pt>
                <c:pt idx="5">
                  <c:v>3A_G-WI08</c:v>
                </c:pt>
                <c:pt idx="6">
                  <c:v>3A_G-WI09</c:v>
                </c:pt>
                <c:pt idx="7">
                  <c:v>3A_G-WI10</c:v>
                </c:pt>
                <c:pt idx="8">
                  <c:v>3A_G-WI11</c:v>
                </c:pt>
                <c:pt idx="9">
                  <c:v>3A_G-WI12</c:v>
                </c:pt>
                <c:pt idx="10">
                  <c:v>3A_G-WI13</c:v>
                </c:pt>
                <c:pt idx="11">
                  <c:v>3A_G-WI14</c:v>
                </c:pt>
                <c:pt idx="12">
                  <c:v>3A_G-WI15</c:v>
                </c:pt>
                <c:pt idx="13">
                  <c:v>3A_G-WI16</c:v>
                </c:pt>
                <c:pt idx="14">
                  <c:v>3A_G-WI17</c:v>
                </c:pt>
                <c:pt idx="15">
                  <c:v>3A_G-WI18</c:v>
                </c:pt>
                <c:pt idx="16">
                  <c:v>3A_G-WI20</c:v>
                </c:pt>
                <c:pt idx="17">
                  <c:v>3A_G-WI21</c:v>
                </c:pt>
                <c:pt idx="18">
                  <c:v>3A_G-WI22</c:v>
                </c:pt>
              </c:strCache>
            </c:strRef>
          </c:cat>
          <c:val>
            <c:numRef>
              <c:f>WaxCellUtilization!$U$8:$U$26</c:f>
              <c:numCache>
                <c:formatCode>0.00%</c:formatCode>
                <c:ptCount val="19"/>
                <c:pt idx="0">
                  <c:v>1.0095502957908669</c:v>
                </c:pt>
                <c:pt idx="1">
                  <c:v>1.0079465188708243</c:v>
                </c:pt>
                <c:pt idx="2">
                  <c:v>1.0722733584888127</c:v>
                </c:pt>
                <c:pt idx="3">
                  <c:v>1.0048877716748168</c:v>
                </c:pt>
                <c:pt idx="4">
                  <c:v>1.0035708842126616</c:v>
                </c:pt>
                <c:pt idx="5">
                  <c:v>1.0797810704363173</c:v>
                </c:pt>
                <c:pt idx="6">
                  <c:v>1.0070051508199631</c:v>
                </c:pt>
                <c:pt idx="7">
                  <c:v>1.0079100687121096</c:v>
                </c:pt>
                <c:pt idx="8">
                  <c:v>1.0200979850385594</c:v>
                </c:pt>
                <c:pt idx="9">
                  <c:v>1.0755431916632283</c:v>
                </c:pt>
                <c:pt idx="10">
                  <c:v>1.0437300549604767</c:v>
                </c:pt>
                <c:pt idx="11">
                  <c:v>1.0735197461150285</c:v>
                </c:pt>
                <c:pt idx="12">
                  <c:v>1.069843955973341</c:v>
                </c:pt>
                <c:pt idx="13">
                  <c:v>1.0640230605905783</c:v>
                </c:pt>
                <c:pt idx="14">
                  <c:v>1.0040970587438809</c:v>
                </c:pt>
                <c:pt idx="15">
                  <c:v>1.0438124621039133</c:v>
                </c:pt>
                <c:pt idx="16">
                  <c:v>1.04664841542888</c:v>
                </c:pt>
                <c:pt idx="17">
                  <c:v>1.0425083942426514</c:v>
                </c:pt>
                <c:pt idx="18">
                  <c:v>1.0147523618960455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85-423C-B405-7FFBE40D40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610820032"/>
        <c:axId val="2023864416"/>
      </c:barChart>
      <c:scatterChart>
        <c:scatterStyle val="lineMarker"/>
        <c:varyColors val="0"/>
        <c:ser>
          <c:idx val="1"/>
          <c:order val="1"/>
          <c:tx>
            <c:strRef>
              <c:f>Background!$A$4</c:f>
              <c:strCache>
                <c:ptCount val="1"/>
                <c:pt idx="0">
                  <c:v>100 percent Utilization line</c:v>
                </c:pt>
              </c:strCache>
            </c:strRef>
          </c:tx>
          <c:spPr>
            <a:ln w="31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Background!$B$4:$B$5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Background!$C$4:$C$5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285-423C-B405-7FFBE40D40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3639632"/>
        <c:axId val="2023844864"/>
      </c:scatterChart>
      <c:catAx>
        <c:axId val="610820032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h-TH"/>
          </a:p>
        </c:txPr>
        <c:crossAx val="2023864416"/>
        <c:crosses val="autoZero"/>
        <c:auto val="1"/>
        <c:lblAlgn val="ctr"/>
        <c:lblOffset val="100"/>
        <c:noMultiLvlLbl val="0"/>
      </c:catAx>
      <c:valAx>
        <c:axId val="2023864416"/>
        <c:scaling>
          <c:orientation val="minMax"/>
          <c:min val="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h-TH"/>
          </a:p>
        </c:txPr>
        <c:crossAx val="610820032"/>
        <c:crosses val="autoZero"/>
        <c:crossBetween val="between"/>
      </c:valAx>
      <c:valAx>
        <c:axId val="2023844864"/>
        <c:scaling>
          <c:orientation val="minMax"/>
          <c:max val="1"/>
        </c:scaling>
        <c:delete val="1"/>
        <c:axPos val="l"/>
        <c:numFmt formatCode="General" sourceLinked="1"/>
        <c:majorTickMark val="out"/>
        <c:minorTickMark val="none"/>
        <c:tickLblPos val="nextTo"/>
        <c:crossAx val="2023639632"/>
        <c:crosses val="autoZero"/>
        <c:crossBetween val="midCat"/>
      </c:valAx>
      <c:valAx>
        <c:axId val="20236396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23844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th-TH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Contribution by</a:t>
            </a:r>
            <a:r>
              <a:rPr lang="en-US" baseline="0"/>
              <a:t> Production hour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h-TH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PreAllocation!$E$20</c:f>
              <c:strCache>
                <c:ptCount val="1"/>
                <c:pt idx="0">
                  <c:v>Contribution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PreAllocation!$B$21:$B$26</c:f>
              <c:strCache>
                <c:ptCount val="6"/>
                <c:pt idx="0">
                  <c:v>NW</c:v>
                </c:pt>
                <c:pt idx="1">
                  <c:v>WS</c:v>
                </c:pt>
                <c:pt idx="2">
                  <c:v>NWF</c:v>
                </c:pt>
                <c:pt idx="3">
                  <c:v>WSF</c:v>
                </c:pt>
                <c:pt idx="4">
                  <c:v>WSZ</c:v>
                </c:pt>
                <c:pt idx="5">
                  <c:v>NWZ</c:v>
                </c:pt>
              </c:strCache>
            </c:strRef>
          </c:cat>
          <c:val>
            <c:numRef>
              <c:f>PreAllocation!$E$21:$E$26</c:f>
              <c:numCache>
                <c:formatCode>0%</c:formatCode>
                <c:ptCount val="6"/>
                <c:pt idx="0">
                  <c:v>0.67195591645674757</c:v>
                </c:pt>
                <c:pt idx="1">
                  <c:v>0.26895283008994503</c:v>
                </c:pt>
                <c:pt idx="2">
                  <c:v>4.6302463235837477E-2</c:v>
                </c:pt>
                <c:pt idx="3">
                  <c:v>1.1596262052324596E-2</c:v>
                </c:pt>
                <c:pt idx="4">
                  <c:v>6.3151486577162595E-4</c:v>
                </c:pt>
                <c:pt idx="5">
                  <c:v>5.6101329937377064E-4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25-4FBA-9C2F-26897BEAE9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51758768"/>
        <c:axId val="68160592"/>
      </c:barChart>
      <c:catAx>
        <c:axId val="5175876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h-TH"/>
          </a:p>
        </c:txPr>
        <c:crossAx val="68160592"/>
        <c:crosses val="autoZero"/>
        <c:auto val="1"/>
        <c:lblAlgn val="ctr"/>
        <c:lblOffset val="100"/>
        <c:noMultiLvlLbl val="0"/>
      </c:catAx>
      <c:valAx>
        <c:axId val="68160592"/>
        <c:scaling>
          <c:orientation val="minMax"/>
          <c:max val="1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h-TH"/>
          </a:p>
        </c:txPr>
        <c:crossAx val="51758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th-TH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[FE Assigned Line Generator.xlsm]PIVOT_AllocationMix!PIVOT_AllocationMix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h-TH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h-TH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h-TH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h-TH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h-TH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h-TH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h-TH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h-TH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h-TH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h-TH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h-TH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h-TH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h-TH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PIVOT_AllocationMix!$M$3:$M$5</c:f>
              <c:strCache>
                <c:ptCount val="1"/>
                <c:pt idx="0">
                  <c:v>0 - 0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PIVOT_AllocationMix!$L$6:$L$25</c:f>
              <c:strCache>
                <c:ptCount val="19"/>
                <c:pt idx="0">
                  <c:v>3A_G-WI01</c:v>
                </c:pt>
                <c:pt idx="1">
                  <c:v>3A_G-WI04</c:v>
                </c:pt>
                <c:pt idx="2">
                  <c:v>3A_G-WI05</c:v>
                </c:pt>
                <c:pt idx="3">
                  <c:v>3A_G-WI06</c:v>
                </c:pt>
                <c:pt idx="4">
                  <c:v>3A_G-WI07</c:v>
                </c:pt>
                <c:pt idx="5">
                  <c:v>3A_G-WI08</c:v>
                </c:pt>
                <c:pt idx="6">
                  <c:v>3A_G-WI09</c:v>
                </c:pt>
                <c:pt idx="7">
                  <c:v>3A_G-WI10</c:v>
                </c:pt>
                <c:pt idx="8">
                  <c:v>3A_G-WI11</c:v>
                </c:pt>
                <c:pt idx="9">
                  <c:v>3A_G-WI12</c:v>
                </c:pt>
                <c:pt idx="10">
                  <c:v>3A_G-WI13</c:v>
                </c:pt>
                <c:pt idx="11">
                  <c:v>3A_G-WI14</c:v>
                </c:pt>
                <c:pt idx="12">
                  <c:v>3A_G-WI15</c:v>
                </c:pt>
                <c:pt idx="13">
                  <c:v>3A_G-WI16</c:v>
                </c:pt>
                <c:pt idx="14">
                  <c:v>3A_G-WI17</c:v>
                </c:pt>
                <c:pt idx="15">
                  <c:v>3A_G-WI18</c:v>
                </c:pt>
                <c:pt idx="16">
                  <c:v>3A_G-WI20</c:v>
                </c:pt>
                <c:pt idx="17">
                  <c:v>3A_G-WI21</c:v>
                </c:pt>
                <c:pt idx="18">
                  <c:v>3A_G-WI22</c:v>
                </c:pt>
              </c:strCache>
            </c:strRef>
          </c:cat>
          <c:val>
            <c:numRef>
              <c:f>PIVOT_AllocationMix!$M$6:$M$25</c:f>
              <c:numCache>
                <c:formatCode>0%;0%;""</c:formatCode>
                <c:ptCount val="19"/>
                <c:pt idx="0">
                  <c:v>0.92454777290408752</c:v>
                </c:pt>
                <c:pt idx="1">
                  <c:v>0.92042590537386793</c:v>
                </c:pt>
                <c:pt idx="2">
                  <c:v>0.92859863925103514</c:v>
                </c:pt>
                <c:pt idx="3">
                  <c:v>0.93425230833857953</c:v>
                </c:pt>
                <c:pt idx="4">
                  <c:v>0.92854147903649165</c:v>
                </c:pt>
                <c:pt idx="5">
                  <c:v>0.92715842937819348</c:v>
                </c:pt>
                <c:pt idx="6">
                  <c:v>0.91978870240081179</c:v>
                </c:pt>
                <c:pt idx="7">
                  <c:v>0.92865043810779491</c:v>
                </c:pt>
                <c:pt idx="8">
                  <c:v>0.88607272344688848</c:v>
                </c:pt>
                <c:pt idx="9">
                  <c:v>0.88889011327067191</c:v>
                </c:pt>
                <c:pt idx="10">
                  <c:v>0.92517505864519478</c:v>
                </c:pt>
                <c:pt idx="11">
                  <c:v>0.93092100563909386</c:v>
                </c:pt>
                <c:pt idx="12">
                  <c:v>0.94087809313143533</c:v>
                </c:pt>
                <c:pt idx="13">
                  <c:v>0.93467336945641899</c:v>
                </c:pt>
                <c:pt idx="14">
                  <c:v>0.88692139187712526</c:v>
                </c:pt>
                <c:pt idx="15">
                  <c:v>0.93891985086297158</c:v>
                </c:pt>
                <c:pt idx="16">
                  <c:v>0.92712230585549205</c:v>
                </c:pt>
                <c:pt idx="17">
                  <c:v>0.93540314726224971</c:v>
                </c:pt>
                <c:pt idx="18">
                  <c:v>0.89312262310118629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B3-46FB-885F-D4D157304330}"/>
            </c:ext>
          </c:extLst>
        </c:ser>
        <c:ser>
          <c:idx val="1"/>
          <c:order val="1"/>
          <c:tx>
            <c:strRef>
              <c:f>PIVOT_AllocationMix!$N$3:$N$5</c:f>
              <c:strCache>
                <c:ptCount val="1"/>
                <c:pt idx="0">
                  <c:v>0 - 1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PIVOT_AllocationMix!$L$6:$L$25</c:f>
              <c:strCache>
                <c:ptCount val="19"/>
                <c:pt idx="0">
                  <c:v>3A_G-WI01</c:v>
                </c:pt>
                <c:pt idx="1">
                  <c:v>3A_G-WI04</c:v>
                </c:pt>
                <c:pt idx="2">
                  <c:v>3A_G-WI05</c:v>
                </c:pt>
                <c:pt idx="3">
                  <c:v>3A_G-WI06</c:v>
                </c:pt>
                <c:pt idx="4">
                  <c:v>3A_G-WI07</c:v>
                </c:pt>
                <c:pt idx="5">
                  <c:v>3A_G-WI08</c:v>
                </c:pt>
                <c:pt idx="6">
                  <c:v>3A_G-WI09</c:v>
                </c:pt>
                <c:pt idx="7">
                  <c:v>3A_G-WI10</c:v>
                </c:pt>
                <c:pt idx="8">
                  <c:v>3A_G-WI11</c:v>
                </c:pt>
                <c:pt idx="9">
                  <c:v>3A_G-WI12</c:v>
                </c:pt>
                <c:pt idx="10">
                  <c:v>3A_G-WI13</c:v>
                </c:pt>
                <c:pt idx="11">
                  <c:v>3A_G-WI14</c:v>
                </c:pt>
                <c:pt idx="12">
                  <c:v>3A_G-WI15</c:v>
                </c:pt>
                <c:pt idx="13">
                  <c:v>3A_G-WI16</c:v>
                </c:pt>
                <c:pt idx="14">
                  <c:v>3A_G-WI17</c:v>
                </c:pt>
                <c:pt idx="15">
                  <c:v>3A_G-WI18</c:v>
                </c:pt>
                <c:pt idx="16">
                  <c:v>3A_G-WI20</c:v>
                </c:pt>
                <c:pt idx="17">
                  <c:v>3A_G-WI21</c:v>
                </c:pt>
                <c:pt idx="18">
                  <c:v>3A_G-WI22</c:v>
                </c:pt>
              </c:strCache>
            </c:strRef>
          </c:cat>
          <c:val>
            <c:numRef>
              <c:f>PIVOT_AllocationMix!$N$6:$N$25</c:f>
              <c:numCache>
                <c:formatCode>0%;0%;""</c:formatCode>
                <c:ptCount val="19"/>
                <c:pt idx="0">
                  <c:v>2.516058760273408E-2</c:v>
                </c:pt>
                <c:pt idx="1">
                  <c:v>2.5200621442760807E-2</c:v>
                </c:pt>
                <c:pt idx="2">
                  <c:v>2.3688808880237815E-2</c:v>
                </c:pt>
                <c:pt idx="3">
                  <c:v>1.9660144656965708E-2</c:v>
                </c:pt>
                <c:pt idx="4">
                  <c:v>2.5310497799604963E-2</c:v>
                </c:pt>
                <c:pt idx="5">
                  <c:v>2.3524100720110085E-2</c:v>
                </c:pt>
                <c:pt idx="6">
                  <c:v>2.5224179475079468E-2</c:v>
                </c:pt>
                <c:pt idx="7">
                  <c:v>2.5201532800509702E-2</c:v>
                </c:pt>
                <c:pt idx="8">
                  <c:v>2.4900430183333877E-2</c:v>
                </c:pt>
                <c:pt idx="9">
                  <c:v>2.0992703018241299E-2</c:v>
                </c:pt>
                <c:pt idx="10">
                  <c:v>2.4336636217277552E-2</c:v>
                </c:pt>
                <c:pt idx="11">
                  <c:v>2.1032271541895058E-2</c:v>
                </c:pt>
                <c:pt idx="12">
                  <c:v>1.5828400964327281E-2</c:v>
                </c:pt>
                <c:pt idx="13">
                  <c:v>1.5914992570752271E-2</c:v>
                </c:pt>
                <c:pt idx="14">
                  <c:v>1.6864822934141783E-2</c:v>
                </c:pt>
                <c:pt idx="15">
                  <c:v>1.6223143255327734E-2</c:v>
                </c:pt>
                <c:pt idx="16">
                  <c:v>1.6179185727300052E-2</c:v>
                </c:pt>
                <c:pt idx="17">
                  <c:v>1.6243436693581807E-2</c:v>
                </c:pt>
                <c:pt idx="18">
                  <c:v>1.6687735589762446E-2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CD3-4D1E-B0D6-62B92F664612}"/>
            </c:ext>
          </c:extLst>
        </c:ser>
        <c:ser>
          <c:idx val="2"/>
          <c:order val="2"/>
          <c:tx>
            <c:strRef>
              <c:f>PIVOT_AllocationMix!$P$3:$P$5</c:f>
              <c:strCache>
                <c:ptCount val="1"/>
                <c:pt idx="0">
                  <c:v>1 - 0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PIVOT_AllocationMix!$L$6:$L$25</c:f>
              <c:strCache>
                <c:ptCount val="19"/>
                <c:pt idx="0">
                  <c:v>3A_G-WI01</c:v>
                </c:pt>
                <c:pt idx="1">
                  <c:v>3A_G-WI04</c:v>
                </c:pt>
                <c:pt idx="2">
                  <c:v>3A_G-WI05</c:v>
                </c:pt>
                <c:pt idx="3">
                  <c:v>3A_G-WI06</c:v>
                </c:pt>
                <c:pt idx="4">
                  <c:v>3A_G-WI07</c:v>
                </c:pt>
                <c:pt idx="5">
                  <c:v>3A_G-WI08</c:v>
                </c:pt>
                <c:pt idx="6">
                  <c:v>3A_G-WI09</c:v>
                </c:pt>
                <c:pt idx="7">
                  <c:v>3A_G-WI10</c:v>
                </c:pt>
                <c:pt idx="8">
                  <c:v>3A_G-WI11</c:v>
                </c:pt>
                <c:pt idx="9">
                  <c:v>3A_G-WI12</c:v>
                </c:pt>
                <c:pt idx="10">
                  <c:v>3A_G-WI13</c:v>
                </c:pt>
                <c:pt idx="11">
                  <c:v>3A_G-WI14</c:v>
                </c:pt>
                <c:pt idx="12">
                  <c:v>3A_G-WI15</c:v>
                </c:pt>
                <c:pt idx="13">
                  <c:v>3A_G-WI16</c:v>
                </c:pt>
                <c:pt idx="14">
                  <c:v>3A_G-WI17</c:v>
                </c:pt>
                <c:pt idx="15">
                  <c:v>3A_G-WI18</c:v>
                </c:pt>
                <c:pt idx="16">
                  <c:v>3A_G-WI20</c:v>
                </c:pt>
                <c:pt idx="17">
                  <c:v>3A_G-WI21</c:v>
                </c:pt>
                <c:pt idx="18">
                  <c:v>3A_G-WI22</c:v>
                </c:pt>
              </c:strCache>
            </c:strRef>
          </c:cat>
          <c:val>
            <c:numRef>
              <c:f>PIVOT_AllocationMix!$P$6:$P$25</c:f>
              <c:numCache>
                <c:formatCode>0%;0%;""</c:formatCode>
                <c:ptCount val="19"/>
                <c:pt idx="0">
                  <c:v>5.0291639493178393E-2</c:v>
                </c:pt>
                <c:pt idx="1">
                  <c:v>5.437347318337122E-2</c:v>
                </c:pt>
                <c:pt idx="2">
                  <c:v>4.7712551868726999E-2</c:v>
                </c:pt>
                <c:pt idx="3">
                  <c:v>4.608754700445486E-2</c:v>
                </c:pt>
                <c:pt idx="4">
                  <c:v>4.614802316390345E-2</c:v>
                </c:pt>
                <c:pt idx="5">
                  <c:v>4.9317469901696435E-2</c:v>
                </c:pt>
                <c:pt idx="6">
                  <c:v>5.4987118124108732E-2</c:v>
                </c:pt>
                <c:pt idx="7">
                  <c:v>4.6148029091695401E-2</c:v>
                </c:pt>
                <c:pt idx="8">
                  <c:v>8.9026846369777674E-2</c:v>
                </c:pt>
                <c:pt idx="9">
                  <c:v>9.0117183711086776E-2</c:v>
                </c:pt>
                <c:pt idx="10">
                  <c:v>5.0488305137527591E-2</c:v>
                </c:pt>
                <c:pt idx="11">
                  <c:v>4.8046722819011137E-2</c:v>
                </c:pt>
                <c:pt idx="12">
                  <c:v>4.3293505904237382E-2</c:v>
                </c:pt>
                <c:pt idx="13">
                  <c:v>4.9411637972828805E-2</c:v>
                </c:pt>
                <c:pt idx="14">
                  <c:v>9.6213785188733025E-2</c:v>
                </c:pt>
                <c:pt idx="15">
                  <c:v>4.4857005881700725E-2</c:v>
                </c:pt>
                <c:pt idx="16">
                  <c:v>5.6698508417207957E-2</c:v>
                </c:pt>
                <c:pt idx="17">
                  <c:v>4.8353416044168498E-2</c:v>
                </c:pt>
                <c:pt idx="18">
                  <c:v>9.0189641309051286E-2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D3-4D1E-B0D6-62B92F6646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06234655"/>
        <c:axId val="808620047"/>
      </c:barChart>
      <c:catAx>
        <c:axId val="806234655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h-TH"/>
          </a:p>
        </c:txPr>
        <c:crossAx val="808620047"/>
        <c:crosses val="autoZero"/>
        <c:auto val="1"/>
        <c:lblAlgn val="ctr"/>
        <c:lblOffset val="100"/>
        <c:noMultiLvlLbl val="0"/>
      </c:catAx>
      <c:valAx>
        <c:axId val="808620047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h-TH"/>
          </a:p>
        </c:txPr>
        <c:crossAx val="8062346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0990940970028161E-2"/>
          <c:y val="1.7977526676101592E-2"/>
          <c:w val="0.16367896480324529"/>
          <c:h val="3.509617163936397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h-TH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th-TH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609600</xdr:colOff>
          <xdr:row>66</xdr:row>
          <xdr:rowOff>161925</xdr:rowOff>
        </xdr:from>
        <xdr:to>
          <xdr:col>1</xdr:col>
          <xdr:colOff>2809875</xdr:colOff>
          <xdr:row>68</xdr:row>
          <xdr:rowOff>133350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1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Calibri"/>
                </a:rPr>
                <a:t>Refresh Calendar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121920</xdr:colOff>
      <xdr:row>0</xdr:row>
      <xdr:rowOff>156210</xdr:rowOff>
    </xdr:from>
    <xdr:to>
      <xdr:col>11</xdr:col>
      <xdr:colOff>621030</xdr:colOff>
      <xdr:row>5</xdr:row>
      <xdr:rowOff>34290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4798695" y="156210"/>
          <a:ext cx="4956810" cy="782955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Waiting</a:t>
          </a:r>
          <a:r>
            <a:rPr lang="en-US" sz="2000" baseline="0"/>
            <a:t> to confirm logic for scatter item(s)</a:t>
          </a:r>
          <a:endParaRPr lang="th-TH" sz="20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52385</xdr:rowOff>
    </xdr:from>
    <xdr:to>
      <xdr:col>13</xdr:col>
      <xdr:colOff>552451</xdr:colOff>
      <xdr:row>41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90487</xdr:rowOff>
    </xdr:from>
    <xdr:to>
      <xdr:col>5</xdr:col>
      <xdr:colOff>104775</xdr:colOff>
      <xdr:row>18</xdr:row>
      <xdr:rowOff>28574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2</xdr:row>
          <xdr:rowOff>171450</xdr:rowOff>
        </xdr:from>
        <xdr:to>
          <xdr:col>7</xdr:col>
          <xdr:colOff>180975</xdr:colOff>
          <xdr:row>6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7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466725</xdr:colOff>
          <xdr:row>2</xdr:row>
          <xdr:rowOff>171450</xdr:rowOff>
        </xdr:from>
        <xdr:to>
          <xdr:col>8</xdr:col>
          <xdr:colOff>1571625</xdr:colOff>
          <xdr:row>6</xdr:row>
          <xdr:rowOff>47625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7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Calibri"/>
                </a:rPr>
                <a:t>Allocation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33337</xdr:rowOff>
    </xdr:from>
    <xdr:to>
      <xdr:col>9</xdr:col>
      <xdr:colOff>276224</xdr:colOff>
      <xdr:row>35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809625</xdr:colOff>
          <xdr:row>0</xdr:row>
          <xdr:rowOff>228600</xdr:rowOff>
        </xdr:from>
        <xdr:to>
          <xdr:col>8</xdr:col>
          <xdr:colOff>0</xdr:colOff>
          <xdr:row>5</xdr:row>
          <xdr:rowOff>133350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A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Calibri"/>
                </a:rPr>
                <a:t>Force Unallocated Production Orders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485775</xdr:colOff>
          <xdr:row>7</xdr:row>
          <xdr:rowOff>123825</xdr:rowOff>
        </xdr:from>
        <xdr:to>
          <xdr:col>13</xdr:col>
          <xdr:colOff>438150</xdr:colOff>
          <xdr:row>10</xdr:row>
          <xdr:rowOff>57150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A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Calibri"/>
                </a:rPr>
                <a:t>temp_Manual Allocation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1123950</xdr:colOff>
          <xdr:row>1</xdr:row>
          <xdr:rowOff>123825</xdr:rowOff>
        </xdr:from>
        <xdr:to>
          <xdr:col>1</xdr:col>
          <xdr:colOff>2228850</xdr:colOff>
          <xdr:row>3</xdr:row>
          <xdr:rowOff>95250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B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Calibri"/>
                </a:rPr>
                <a:t>Publish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1</xdr:row>
          <xdr:rowOff>152400</xdr:rowOff>
        </xdr:from>
        <xdr:to>
          <xdr:col>0</xdr:col>
          <xdr:colOff>1504950</xdr:colOff>
          <xdr:row>3</xdr:row>
          <xdr:rowOff>104775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B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Calibri"/>
                </a:rPr>
                <a:t>Refresh Preview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attapon Srisukhadej" refreshedDate="45020.710388541665" createdVersion="6" refreshedVersion="8" minRefreshableVersion="3" recordCount="4339" xr:uid="{4A0A1052-8130-4EFE-8A96-E5D34E11AA9C}">
  <cacheSource type="worksheet">
    <worksheetSource name="ProductionOrders_Display"/>
  </cacheSource>
  <cacheFields count="12">
    <cacheField name="InventSiteId" numFmtId="0">
      <sharedItems/>
    </cacheField>
    <cacheField name="ItemId" numFmtId="0">
      <sharedItems/>
    </cacheField>
    <cacheField name="QtySched" numFmtId="0">
      <sharedItems containsSemiMixedTypes="0" containsString="0" containsNumber="1" containsInteger="1" minValue="30" maxValue="2700"/>
    </cacheField>
    <cacheField name="ProdId" numFmtId="0">
      <sharedItems/>
    </cacheField>
    <cacheField name="Category" numFmtId="0">
      <sharedItems/>
    </cacheField>
    <cacheField name="MaximumWaxCellAllocation" numFmtId="0">
      <sharedItems containsSemiMixedTypes="0" containsString="0" containsNumber="1" containsInteger="1" minValue="1" maxValue="71"/>
    </cacheField>
    <cacheField name="ProductionHour" numFmtId="0">
      <sharedItems containsSemiMixedTypes="0" containsString="0" containsNumber="1" minValue="5.3029658502694269E-2" maxValue="1.6953850054291044"/>
    </cacheField>
    <cacheField name="TargetWaxCell" numFmtId="0">
      <sharedItems containsBlank="1" count="86">
        <s v="3A_G-WI01"/>
        <s v="3A_G-WI04"/>
        <s v="3A_G-WI05"/>
        <s v="3A_G-WI06"/>
        <s v="3A_G-WI07"/>
        <s v="3A_G-WI08"/>
        <s v="3A_G-WI09"/>
        <s v="3A_G-WI10"/>
        <s v="3A_G-WI11"/>
        <s v="3A_G-WI12"/>
        <s v="3A_G-WI13"/>
        <s v="3A_G-WI14"/>
        <s v="3A_G-WI15"/>
        <s v="3A_G-WI16"/>
        <s v="3A_G-WI17"/>
        <s v="3A_G-WI18"/>
        <s v="3A_G-WI20"/>
        <s v="3A_G-WI21"/>
        <s v="3A_G-WI22"/>
        <m u="1"/>
        <s v="Cell 36" u="1"/>
        <s v="Cell 37" u="1"/>
        <s v="Cell 1" u="1"/>
        <s v="Cell 4" u="1"/>
        <s v="3A_G-WI37" u="1"/>
        <s v="3A_G-WI36" u="1"/>
        <s v="3A_G-WI35" u="1"/>
        <s v="3A_G-WI03" u="1"/>
        <s v="Cell 7" u="1"/>
        <s v="3A_G-WI34" u="1"/>
        <s v="3A_G-WI02" u="1"/>
        <s v="Cell 20" u="1"/>
        <s v="3A_G-WI33" u="1"/>
        <s v="Cell 21" u="1"/>
        <s v="Cell 22" u="1"/>
        <s v="3A_G-WI32" u="1"/>
        <s v="Cell 23" u="1"/>
        <s v="Cell 24" u="1"/>
        <s v="3A_G-WI31" u="1"/>
        <s v="Cell 25" u="1"/>
        <s v="3A_G-WI30" u="1"/>
        <s v="Cell 26" u="1"/>
        <s v="Cell 27" u="1"/>
        <s v="Cell 28" u="1"/>
        <s v="Cell 29" u="1"/>
        <s v="Cell 3" u="1"/>
        <s v="3A_G-WI19" u="1"/>
        <s v="3A_G-WI49" u="1"/>
        <s v="Cell 6" u="1"/>
        <s v="Cell 10" u="1"/>
        <s v="Cell 11" u="1"/>
        <s v="Cell 12" u="1"/>
        <s v="Cell 13" u="1"/>
        <s v="Cell 14" u="1"/>
        <s v="3A_G-WI43" u="1"/>
        <s v="Cell 15" u="1"/>
        <s v="Cell 16" u="1"/>
        <s v="Cell 17" u="1"/>
        <s v="Cell 9" u="1"/>
        <s v="Cell 18" u="1"/>
        <s v="Cell 19" u="1"/>
        <s v="Cell 2" u="1"/>
        <s v="3A_G-WI29" u="1"/>
        <s v="3A_G-WI28" u="1"/>
        <s v="Cell 5" u="1"/>
        <s v="3A_G-WI27" u="1"/>
        <s v="3A_G-WI26" u="1"/>
        <s v="Cell 01" u="1"/>
        <s v="Cell 02" u="1"/>
        <s v="3A_G-WI25" u="1"/>
        <s v="Cell 03" u="1"/>
        <s v="Cell 04" u="1"/>
        <s v="3A_G-WI24" u="1"/>
        <s v="Cell 05" u="1"/>
        <s v="3A_G-WI23" u="1"/>
        <s v="Cell 06" u="1"/>
        <s v="Cell 07" u="1"/>
        <s v="Cell 8" u="1"/>
        <s v="Cell 08" u="1"/>
        <s v="Cell 09" u="1"/>
        <s v="Cell 30" u="1"/>
        <s v="Cell 31" u="1"/>
        <s v="Cell 32" u="1"/>
        <s v="Cell 33" u="1"/>
        <s v="Cell 34" u="1"/>
        <s v="Cell 35" u="1"/>
      </sharedItems>
    </cacheField>
    <cacheField name="IsLongRoute" numFmtId="0">
      <sharedItems containsSemiMixedTypes="0" containsString="0" containsNumber="1" containsInteger="1" minValue="0" maxValue="1" count="2">
        <n v="1"/>
        <n v="0"/>
      </sharedItems>
    </cacheField>
    <cacheField name="GMQty" numFmtId="0">
      <sharedItems containsSemiMixedTypes="0" containsString="0" containsNumber="1" containsInteger="1" minValue="0" maxValue="31050"/>
    </cacheField>
    <cacheField name="IsSparePart" numFmtId="0">
      <sharedItems containsSemiMixedTypes="0" containsString="0" containsNumber="1" containsInteger="1" minValue="0" maxValue="1" count="2">
        <n v="0"/>
        <n v="1"/>
      </sharedItems>
    </cacheField>
    <cacheField name="PriorWkLin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339">
  <r>
    <s v="PPT1_BOI04"/>
    <s v="S1CS03859-WS"/>
    <n v="1200"/>
    <s v="207197309"/>
    <s v="WSF"/>
    <n v="6"/>
    <n v="0.85933398355858981"/>
    <x v="0"/>
    <x v="0"/>
    <n v="1200"/>
    <x v="0"/>
    <m/>
  </r>
  <r>
    <s v="PPT1_BOI04"/>
    <s v="S1CS03859-WS"/>
    <n v="1200"/>
    <s v="207201525"/>
    <s v="WSF"/>
    <n v="6"/>
    <n v="0.85933398355858981"/>
    <x v="1"/>
    <x v="0"/>
    <n v="1200"/>
    <x v="0"/>
    <m/>
  </r>
  <r>
    <s v="PPT1_BOI04"/>
    <s v="S1CS03859-WS"/>
    <n v="1200"/>
    <s v="207197891"/>
    <s v="WSF"/>
    <n v="6"/>
    <n v="0.85933398355858981"/>
    <x v="2"/>
    <x v="0"/>
    <n v="1200"/>
    <x v="0"/>
    <m/>
  </r>
  <r>
    <s v="PPT1_BOI04"/>
    <s v="S1CS03859-WS"/>
    <n v="1200"/>
    <s v="207201561"/>
    <s v="WSF"/>
    <n v="6"/>
    <n v="0.85933398355858981"/>
    <x v="3"/>
    <x v="0"/>
    <n v="1200"/>
    <x v="0"/>
    <m/>
  </r>
  <r>
    <s v="PPT1_BOI04"/>
    <s v="S1CS03859-WS"/>
    <n v="1200"/>
    <s v="207201538"/>
    <s v="WSF"/>
    <n v="6"/>
    <n v="0.85933398355858981"/>
    <x v="4"/>
    <x v="0"/>
    <n v="1200"/>
    <x v="0"/>
    <m/>
  </r>
  <r>
    <s v="PPT1_BOI04"/>
    <s v="S1CS03859-WS"/>
    <n v="1200"/>
    <s v="207197340"/>
    <s v="WSF"/>
    <n v="6"/>
    <n v="0.85933398355858981"/>
    <x v="5"/>
    <x v="0"/>
    <n v="1200"/>
    <x v="0"/>
    <m/>
  </r>
  <r>
    <s v="PPT1_BOI04"/>
    <s v="S1CS03859-WS"/>
    <n v="1200"/>
    <s v="207198854"/>
    <s v="WSF"/>
    <n v="6"/>
    <n v="0.85933398355858981"/>
    <x v="0"/>
    <x v="0"/>
    <n v="1200"/>
    <x v="0"/>
    <m/>
  </r>
  <r>
    <s v="PPT1_BOI04"/>
    <s v="S1CS03859-WS"/>
    <n v="1200"/>
    <s v="207198468"/>
    <s v="WSF"/>
    <n v="6"/>
    <n v="0.85933398355858981"/>
    <x v="1"/>
    <x v="0"/>
    <n v="1200"/>
    <x v="0"/>
    <m/>
  </r>
  <r>
    <s v="PPT1_BOI04"/>
    <s v="S1CS03859-WS"/>
    <n v="1200"/>
    <s v="207197843"/>
    <s v="WSF"/>
    <n v="6"/>
    <n v="0.85933398355858981"/>
    <x v="2"/>
    <x v="0"/>
    <n v="1200"/>
    <x v="0"/>
    <m/>
  </r>
  <r>
    <s v="PPT1_BOI04"/>
    <s v="S1CS03859-WS"/>
    <n v="1200"/>
    <s v="207197962"/>
    <s v="WSF"/>
    <n v="6"/>
    <n v="0.85933398355858981"/>
    <x v="3"/>
    <x v="0"/>
    <n v="1200"/>
    <x v="0"/>
    <m/>
  </r>
  <r>
    <s v="PPT1_BOI04"/>
    <s v="S1CS03859-WS"/>
    <n v="1200"/>
    <s v="207198047"/>
    <s v="WSF"/>
    <n v="6"/>
    <n v="0.85933398355858981"/>
    <x v="4"/>
    <x v="0"/>
    <n v="1200"/>
    <x v="0"/>
    <m/>
  </r>
  <r>
    <s v="PPT1_BOI04"/>
    <s v="S1CS03859-WS"/>
    <n v="1200"/>
    <s v="207198371"/>
    <s v="WSF"/>
    <n v="6"/>
    <n v="0.85933398355858981"/>
    <x v="5"/>
    <x v="0"/>
    <n v="1200"/>
    <x v="0"/>
    <m/>
  </r>
  <r>
    <s v="PPT1_BOI04"/>
    <s v="S1CS03859-WS"/>
    <n v="1200"/>
    <s v="207198304"/>
    <s v="WSF"/>
    <n v="6"/>
    <n v="0.85933398355858981"/>
    <x v="0"/>
    <x v="0"/>
    <n v="1200"/>
    <x v="0"/>
    <m/>
  </r>
  <r>
    <s v="PPT1_BOI04"/>
    <s v="S1CS03859-WS"/>
    <n v="1200"/>
    <s v="207198150"/>
    <s v="WSF"/>
    <n v="6"/>
    <n v="0.85933398355858981"/>
    <x v="1"/>
    <x v="0"/>
    <n v="1200"/>
    <x v="0"/>
    <m/>
  </r>
  <r>
    <s v="PPT1_BOI04"/>
    <s v="S1CS03859-WS"/>
    <n v="1200"/>
    <s v="207198241"/>
    <s v="WSF"/>
    <n v="6"/>
    <n v="0.85933398355858981"/>
    <x v="2"/>
    <x v="0"/>
    <n v="1200"/>
    <x v="0"/>
    <m/>
  </r>
  <r>
    <s v="PPT1_BOI04"/>
    <s v="S1CS03859-WS"/>
    <n v="1200"/>
    <s v="207197453"/>
    <s v="WSF"/>
    <n v="6"/>
    <n v="0.85933398355858981"/>
    <x v="3"/>
    <x v="0"/>
    <n v="1200"/>
    <x v="0"/>
    <m/>
  </r>
  <r>
    <s v="PPT1_BOI04"/>
    <s v="S1CS03859-WS"/>
    <n v="1200"/>
    <s v="207197489"/>
    <s v="WSF"/>
    <n v="6"/>
    <n v="0.85933398355858981"/>
    <x v="4"/>
    <x v="0"/>
    <n v="1200"/>
    <x v="0"/>
    <m/>
  </r>
  <r>
    <s v="PPT1_BOI04"/>
    <s v="S1CS03859-WS"/>
    <n v="1200"/>
    <s v="207197374"/>
    <s v="WSF"/>
    <n v="6"/>
    <n v="0.85933398355858981"/>
    <x v="5"/>
    <x v="0"/>
    <n v="1200"/>
    <x v="0"/>
    <m/>
  </r>
  <r>
    <s v="PPT1_BOI04"/>
    <s v="S1CS03859-WS"/>
    <n v="1200"/>
    <s v="207197405"/>
    <s v="WSF"/>
    <n v="6"/>
    <n v="0.85933398355858981"/>
    <x v="0"/>
    <x v="0"/>
    <n v="1200"/>
    <x v="0"/>
    <m/>
  </r>
  <r>
    <s v="PPT1_BOI04"/>
    <s v="S1CS03859-WS"/>
    <n v="1200"/>
    <s v="207197542"/>
    <s v="WSF"/>
    <n v="6"/>
    <n v="0.85933398355858981"/>
    <x v="1"/>
    <x v="0"/>
    <n v="1200"/>
    <x v="0"/>
    <m/>
  </r>
  <r>
    <s v="PPT1_BOI04"/>
    <s v="S1CS03859-WS"/>
    <n v="1200"/>
    <s v="207198933"/>
    <s v="WSF"/>
    <n v="6"/>
    <n v="0.85933398355858981"/>
    <x v="2"/>
    <x v="0"/>
    <n v="1200"/>
    <x v="0"/>
    <m/>
  </r>
  <r>
    <s v="PPT1_BOI04"/>
    <s v="S1CS03859-WS"/>
    <n v="1200"/>
    <s v="207197697"/>
    <s v="WSF"/>
    <n v="6"/>
    <n v="0.85933398355858981"/>
    <x v="3"/>
    <x v="0"/>
    <n v="1200"/>
    <x v="0"/>
    <m/>
  </r>
  <r>
    <s v="PPT1_BOI04"/>
    <s v="S1CS03859-WS"/>
    <n v="1200"/>
    <s v="207197579"/>
    <s v="WSF"/>
    <n v="6"/>
    <n v="0.85933398355858981"/>
    <x v="4"/>
    <x v="0"/>
    <n v="1200"/>
    <x v="0"/>
    <m/>
  </r>
  <r>
    <s v="PPT1_BOI04"/>
    <s v="S1CS03859-WS"/>
    <n v="1200"/>
    <s v="207197596"/>
    <s v="WSF"/>
    <n v="6"/>
    <n v="0.85933398355858981"/>
    <x v="5"/>
    <x v="0"/>
    <n v="1200"/>
    <x v="0"/>
    <m/>
  </r>
  <r>
    <s v="PPT1_BOI04"/>
    <s v="S1CS04236-WS"/>
    <n v="540"/>
    <s v="207197350"/>
    <s v="WSF"/>
    <n v="15"/>
    <n v="0.55423435689196476"/>
    <x v="6"/>
    <x v="0"/>
    <n v="540"/>
    <x v="0"/>
    <m/>
  </r>
  <r>
    <s v="PPT1_BOI04"/>
    <s v="S1CS03859-WS"/>
    <n v="400"/>
    <s v="207197762"/>
    <s v="WSF"/>
    <n v="6"/>
    <n v="0.2864446611861966"/>
    <x v="0"/>
    <x v="0"/>
    <n v="400"/>
    <x v="0"/>
    <m/>
  </r>
  <r>
    <s v="PPT1_BOI04"/>
    <s v="S1CS03206-WS"/>
    <n v="2700"/>
    <s v="207198640"/>
    <s v="NWF"/>
    <n v="9"/>
    <n v="1.1968908226114021"/>
    <x v="7"/>
    <x v="0"/>
    <n v="0"/>
    <x v="0"/>
    <m/>
  </r>
  <r>
    <s v="PPT1_BOI04"/>
    <s v="S1CS03206-WS"/>
    <n v="900"/>
    <s v="207198996"/>
    <s v="NWF"/>
    <n v="9"/>
    <n v="0.398963607537134"/>
    <x v="8"/>
    <x v="0"/>
    <n v="0"/>
    <x v="0"/>
    <m/>
  </r>
  <r>
    <s v="PPT1_BOI04"/>
    <s v="S1CS03206-WS"/>
    <n v="2700"/>
    <s v="207200849"/>
    <s v="NWF"/>
    <n v="9"/>
    <n v="1.1968908226114021"/>
    <x v="9"/>
    <x v="0"/>
    <n v="0"/>
    <x v="0"/>
    <m/>
  </r>
  <r>
    <s v="PPT1_BOI04"/>
    <s v="S1CS03206-WS"/>
    <n v="2700"/>
    <s v="207198753"/>
    <s v="NWF"/>
    <n v="9"/>
    <n v="1.1968908226114021"/>
    <x v="10"/>
    <x v="0"/>
    <n v="0"/>
    <x v="0"/>
    <m/>
  </r>
  <r>
    <s v="PPT1_BOI04"/>
    <s v="S1CS03206-WS"/>
    <n v="2700"/>
    <s v="207200867"/>
    <s v="NWF"/>
    <n v="9"/>
    <n v="1.1968908226114021"/>
    <x v="11"/>
    <x v="0"/>
    <n v="0"/>
    <x v="0"/>
    <m/>
  </r>
  <r>
    <s v="PPT1_BOI04"/>
    <s v="S1CS03544-WS"/>
    <n v="750"/>
    <s v="207198930"/>
    <s v="NWF"/>
    <n v="27"/>
    <n v="0.20405588113590656"/>
    <x v="12"/>
    <x v="0"/>
    <n v="0"/>
    <x v="0"/>
    <m/>
  </r>
  <r>
    <s v="PPT1_BOI04"/>
    <s v="S1CS03544-WS"/>
    <n v="750"/>
    <s v="207201681"/>
    <s v="NWF"/>
    <n v="27"/>
    <n v="0.20405588113590656"/>
    <x v="13"/>
    <x v="0"/>
    <n v="0"/>
    <x v="0"/>
    <m/>
  </r>
  <r>
    <s v="PPT1_BOI04"/>
    <s v="S1CS03544-WS"/>
    <n v="750"/>
    <s v="207198878"/>
    <s v="NWF"/>
    <n v="27"/>
    <n v="0.20405588113590656"/>
    <x v="14"/>
    <x v="0"/>
    <n v="0"/>
    <x v="0"/>
    <m/>
  </r>
  <r>
    <s v="PPT1_BOI04"/>
    <s v="S1CS03544-WS"/>
    <n v="750"/>
    <s v="207201657"/>
    <s v="NWF"/>
    <n v="27"/>
    <n v="0.20405588113590656"/>
    <x v="15"/>
    <x v="0"/>
    <n v="0"/>
    <x v="0"/>
    <m/>
  </r>
  <r>
    <s v="PPT1_BOI04"/>
    <s v="S1CS03544-WS"/>
    <n v="250"/>
    <s v="207201872"/>
    <s v="NWF"/>
    <n v="27"/>
    <n v="6.8018627045302177E-2"/>
    <x v="16"/>
    <x v="0"/>
    <n v="0"/>
    <x v="0"/>
    <m/>
  </r>
  <r>
    <s v="PPT1_BOI04"/>
    <s v="S1CS03544-WS"/>
    <n v="750"/>
    <s v="207201680"/>
    <s v="NWF"/>
    <n v="27"/>
    <n v="0.20405588113590656"/>
    <x v="17"/>
    <x v="0"/>
    <n v="0"/>
    <x v="0"/>
    <m/>
  </r>
  <r>
    <s v="PPT1_BOI04"/>
    <s v="S1CS03544-WS"/>
    <n v="250"/>
    <s v="207201658"/>
    <s v="NWF"/>
    <n v="27"/>
    <n v="6.8018627045302177E-2"/>
    <x v="18"/>
    <x v="0"/>
    <n v="0"/>
    <x v="0"/>
    <m/>
  </r>
  <r>
    <s v="PPT1_BOI04"/>
    <s v="S1CS03544-WS"/>
    <n v="750"/>
    <s v="207197375"/>
    <s v="NWF"/>
    <n v="27"/>
    <n v="0.20405588113590656"/>
    <x v="16"/>
    <x v="0"/>
    <n v="0"/>
    <x v="0"/>
    <m/>
  </r>
  <r>
    <s v="PPT1_BOI04"/>
    <s v="S1CS03544-WS"/>
    <n v="750"/>
    <s v="207197406"/>
    <s v="NWF"/>
    <n v="27"/>
    <n v="0.20405588113590656"/>
    <x v="18"/>
    <x v="0"/>
    <n v="0"/>
    <x v="0"/>
    <m/>
  </r>
  <r>
    <s v="PPT1_BOI04"/>
    <s v="S1CS03544-WS"/>
    <n v="500"/>
    <s v="207197341"/>
    <s v="NWF"/>
    <n v="27"/>
    <n v="0.13603725409060435"/>
    <x v="12"/>
    <x v="0"/>
    <n v="0"/>
    <x v="0"/>
    <m/>
  </r>
  <r>
    <s v="PPT1_BOI04"/>
    <s v="S1CS03544-WS"/>
    <n v="750"/>
    <s v="207198441"/>
    <s v="NWF"/>
    <n v="27"/>
    <n v="0.20405588113590656"/>
    <x v="13"/>
    <x v="0"/>
    <n v="0"/>
    <x v="0"/>
    <m/>
  </r>
  <r>
    <s v="PPT1_BOI04"/>
    <s v="S1CS03544-WS"/>
    <n v="750"/>
    <s v="207197312"/>
    <s v="NWF"/>
    <n v="27"/>
    <n v="0.20405588113590656"/>
    <x v="14"/>
    <x v="0"/>
    <n v="0"/>
    <x v="0"/>
    <m/>
  </r>
  <r>
    <s v="PPT1_BOI04"/>
    <s v="S1CS03544-WS"/>
    <n v="750"/>
    <s v="207201636"/>
    <s v="NWF"/>
    <n v="27"/>
    <n v="0.20405588113590656"/>
    <x v="15"/>
    <x v="0"/>
    <n v="0"/>
    <x v="0"/>
    <m/>
  </r>
  <r>
    <s v="PPT1_BOI04"/>
    <s v="S1CS03856-WS"/>
    <n v="1050"/>
    <s v="207197927"/>
    <s v="NWF"/>
    <n v="71"/>
    <n v="0.70963172224455284"/>
    <x v="17"/>
    <x v="0"/>
    <n v="0"/>
    <x v="0"/>
    <m/>
  </r>
  <r>
    <s v="PPT1_BOI04"/>
    <s v="S1CS03856-WS"/>
    <n v="350"/>
    <s v="207198254"/>
    <s v="NWF"/>
    <n v="71"/>
    <n v="0.23654390741485096"/>
    <x v="16"/>
    <x v="0"/>
    <n v="0"/>
    <x v="0"/>
    <m/>
  </r>
  <r>
    <s v="PPT1_BOI04"/>
    <s v="S1CS03856-WS"/>
    <n v="1050"/>
    <s v="207197908"/>
    <s v="NWF"/>
    <n v="71"/>
    <n v="0.70963172224455284"/>
    <x v="18"/>
    <x v="0"/>
    <n v="0"/>
    <x v="0"/>
    <m/>
  </r>
  <r>
    <s v="PPT1_BOI04"/>
    <s v="S1CS03856-WS"/>
    <n v="1050"/>
    <s v="207200971"/>
    <s v="NWF"/>
    <n v="71"/>
    <n v="0.70963172224455284"/>
    <x v="12"/>
    <x v="0"/>
    <n v="0"/>
    <x v="0"/>
    <m/>
  </r>
  <r>
    <s v="PPT1_BOI04"/>
    <s v="S1CS03856-WS"/>
    <n v="1050"/>
    <s v="207200940"/>
    <s v="NWF"/>
    <n v="71"/>
    <n v="0.70963172224455284"/>
    <x v="8"/>
    <x v="0"/>
    <n v="0"/>
    <x v="0"/>
    <m/>
  </r>
  <r>
    <s v="PPT1_BOI04"/>
    <s v="S1CS03856-WS"/>
    <n v="1050"/>
    <s v="207200942"/>
    <s v="NWF"/>
    <n v="71"/>
    <n v="0.70963172224455284"/>
    <x v="13"/>
    <x v="0"/>
    <n v="0"/>
    <x v="0"/>
    <m/>
  </r>
  <r>
    <s v="PPT1_BOI04"/>
    <s v="S1CS03856-WS"/>
    <n v="1050"/>
    <s v="207200938"/>
    <s v="NWF"/>
    <n v="71"/>
    <n v="0.70963172224455284"/>
    <x v="14"/>
    <x v="0"/>
    <n v="0"/>
    <x v="0"/>
    <m/>
  </r>
  <r>
    <s v="PPT1_BOI04"/>
    <s v="S1CS03856-WS"/>
    <n v="350"/>
    <s v="207197936"/>
    <s v="NWF"/>
    <n v="71"/>
    <n v="0.23654390741485096"/>
    <x v="15"/>
    <x v="0"/>
    <n v="0"/>
    <x v="0"/>
    <m/>
  </r>
  <r>
    <s v="PPT1_BOI04"/>
    <s v="S1CS03856-WS"/>
    <n v="1050"/>
    <s v="207200944"/>
    <s v="NWF"/>
    <n v="71"/>
    <n v="0.70963172224455284"/>
    <x v="16"/>
    <x v="0"/>
    <n v="0"/>
    <x v="0"/>
    <m/>
  </r>
  <r>
    <s v="PPT1_BOI04"/>
    <s v="S1CS03856-WS"/>
    <n v="1050"/>
    <s v="207197691"/>
    <s v="NWF"/>
    <n v="71"/>
    <n v="0.70963172224455284"/>
    <x v="6"/>
    <x v="0"/>
    <n v="0"/>
    <x v="0"/>
    <m/>
  </r>
  <r>
    <s v="PPT1_BOI04"/>
    <s v="S1CS03856-WS"/>
    <n v="1050"/>
    <s v="207197878"/>
    <s v="NWF"/>
    <n v="71"/>
    <n v="0.70963172224455284"/>
    <x v="15"/>
    <x v="0"/>
    <n v="0"/>
    <x v="0"/>
    <m/>
  </r>
  <r>
    <s v="PPT1_BOI04"/>
    <s v="S1CS03856-WS"/>
    <n v="1050"/>
    <s v="207197724"/>
    <s v="NWF"/>
    <n v="71"/>
    <n v="0.70963172224455284"/>
    <x v="17"/>
    <x v="0"/>
    <n v="0"/>
    <x v="0"/>
    <m/>
  </r>
  <r>
    <s v="PPT1_BOI04"/>
    <s v="S1CS03856-WS"/>
    <n v="1050"/>
    <s v="207200946"/>
    <s v="NWF"/>
    <n v="71"/>
    <n v="0.70963172224455284"/>
    <x v="18"/>
    <x v="0"/>
    <n v="0"/>
    <x v="0"/>
    <m/>
  </r>
  <r>
    <s v="PPT1_BOI04"/>
    <s v="S1CS03856-WS"/>
    <n v="1050"/>
    <s v="207197859"/>
    <s v="NWF"/>
    <n v="71"/>
    <n v="0.70963172224455284"/>
    <x v="12"/>
    <x v="0"/>
    <n v="0"/>
    <x v="0"/>
    <m/>
  </r>
  <r>
    <s v="PPT1_BOI04"/>
    <s v="S1CS03856-WS"/>
    <n v="1050"/>
    <s v="207197746"/>
    <s v="NWF"/>
    <n v="71"/>
    <n v="0.70963172224455284"/>
    <x v="8"/>
    <x v="0"/>
    <n v="0"/>
    <x v="0"/>
    <m/>
  </r>
  <r>
    <s v="PPT1_BOI04"/>
    <s v="S1CS03856-WS"/>
    <n v="1050"/>
    <s v="207197568"/>
    <s v="NWF"/>
    <n v="71"/>
    <n v="0.70963172224455284"/>
    <x v="13"/>
    <x v="0"/>
    <n v="0"/>
    <x v="0"/>
    <m/>
  </r>
  <r>
    <s v="PPT1_BOI04"/>
    <s v="S1CS03856-WS"/>
    <n v="1050"/>
    <s v="207197673"/>
    <s v="NWF"/>
    <n v="71"/>
    <n v="0.70963172224455284"/>
    <x v="14"/>
    <x v="0"/>
    <n v="0"/>
    <x v="0"/>
    <m/>
  </r>
  <r>
    <s v="PPT1_BOI04"/>
    <s v="S1CS03993-WS"/>
    <n v="300"/>
    <s v="207201110"/>
    <s v="NWF"/>
    <n v="4"/>
    <n v="0.1636056616397886"/>
    <x v="7"/>
    <x v="0"/>
    <n v="0"/>
    <x v="0"/>
    <m/>
  </r>
  <r>
    <s v="PPT1_BOI04"/>
    <s v="S1CS03993-WS"/>
    <n v="900"/>
    <s v="207201118"/>
    <s v="NWF"/>
    <n v="4"/>
    <n v="0.49081698491936576"/>
    <x v="9"/>
    <x v="0"/>
    <n v="0"/>
    <x v="0"/>
    <m/>
  </r>
  <r>
    <s v="PPT1_BOI04"/>
    <s v="S1CS03993-WS"/>
    <n v="900"/>
    <s v="207201114"/>
    <s v="NWF"/>
    <n v="4"/>
    <n v="0.49081698491936576"/>
    <x v="10"/>
    <x v="0"/>
    <n v="0"/>
    <x v="0"/>
    <m/>
  </r>
  <r>
    <s v="PPT1_BOI04"/>
    <s v="S1CS03993-WS"/>
    <n v="900"/>
    <s v="207208132"/>
    <s v="NWF"/>
    <n v="4"/>
    <n v="0.49081698491936576"/>
    <x v="11"/>
    <x v="0"/>
    <n v="0"/>
    <x v="0"/>
    <m/>
  </r>
  <r>
    <s v="PPT1_BOI04"/>
    <s v="S1CS03993-WS"/>
    <n v="900"/>
    <s v="207201107"/>
    <s v="NWF"/>
    <n v="4"/>
    <n v="0.49081698491936576"/>
    <x v="7"/>
    <x v="0"/>
    <n v="0"/>
    <x v="0"/>
    <m/>
  </r>
  <r>
    <s v="PPT1_BOI04"/>
    <s v="S1CS03993-WS"/>
    <n v="900"/>
    <s v="207201095"/>
    <s v="NWF"/>
    <n v="4"/>
    <n v="0.49081698491936576"/>
    <x v="9"/>
    <x v="0"/>
    <n v="0"/>
    <x v="0"/>
    <m/>
  </r>
  <r>
    <s v="PPT1_BOI04"/>
    <s v="S1CS03993-WS"/>
    <n v="300"/>
    <s v="207208130"/>
    <s v="NWF"/>
    <n v="4"/>
    <n v="0.1636056616397886"/>
    <x v="10"/>
    <x v="0"/>
    <n v="0"/>
    <x v="0"/>
    <m/>
  </r>
  <r>
    <s v="PPT1_BOI04"/>
    <s v="S1CS03993-WS"/>
    <n v="300"/>
    <s v="207197528"/>
    <s v="NWF"/>
    <n v="4"/>
    <n v="0.1636056616397886"/>
    <x v="11"/>
    <x v="0"/>
    <n v="0"/>
    <x v="0"/>
    <m/>
  </r>
  <r>
    <s v="PPT1_BOI04"/>
    <s v="S1CS03993-WS"/>
    <n v="900"/>
    <s v="207197509"/>
    <s v="NWF"/>
    <n v="4"/>
    <n v="0.49081698491936576"/>
    <x v="7"/>
    <x v="0"/>
    <n v="0"/>
    <x v="0"/>
    <m/>
  </r>
  <r>
    <s v="PPT1_BOI04"/>
    <s v="S1CS03993-WS"/>
    <n v="900"/>
    <s v="207197514"/>
    <s v="NWF"/>
    <n v="4"/>
    <n v="0.49081698491936576"/>
    <x v="10"/>
    <x v="0"/>
    <n v="0"/>
    <x v="0"/>
    <m/>
  </r>
  <r>
    <s v="PPT1_BOI04"/>
    <s v="S1CS03993-WS"/>
    <n v="900"/>
    <s v="207201112"/>
    <s v="NWF"/>
    <n v="4"/>
    <n v="0.49081698491936576"/>
    <x v="11"/>
    <x v="0"/>
    <n v="0"/>
    <x v="0"/>
    <m/>
  </r>
  <r>
    <s v="PPT1_BOI04"/>
    <s v="S1CS03993-WS"/>
    <n v="900"/>
    <s v="207208131"/>
    <s v="NWF"/>
    <n v="4"/>
    <n v="0.49081698491936576"/>
    <x v="9"/>
    <x v="0"/>
    <n v="0"/>
    <x v="0"/>
    <m/>
  </r>
  <r>
    <s v="PPT1_BOI04"/>
    <s v="S1CS04394-WS"/>
    <n v="280"/>
    <s v="207199004"/>
    <s v="NWF"/>
    <n v="15"/>
    <n v="0.27072459042688996"/>
    <x v="16"/>
    <x v="0"/>
    <n v="0"/>
    <x v="0"/>
    <m/>
  </r>
  <r>
    <s v="PPT1_BOI04"/>
    <s v="S1CS04394-WS"/>
    <n v="420"/>
    <s v="207197570"/>
    <s v="NWF"/>
    <n v="15"/>
    <n v="0.4060868856403349"/>
    <x v="6"/>
    <x v="0"/>
    <n v="0"/>
    <x v="0"/>
    <m/>
  </r>
  <r>
    <s v="PPT1_BOI04"/>
    <s v="S1CS04394-WS"/>
    <n v="420"/>
    <s v="207197688"/>
    <s v="NWF"/>
    <n v="15"/>
    <n v="0.4060868856403349"/>
    <x v="15"/>
    <x v="0"/>
    <n v="0"/>
    <x v="0"/>
    <m/>
  </r>
  <r>
    <s v="PPT1_BOI04"/>
    <s v="S1CS04394-WS"/>
    <n v="420"/>
    <s v="207197722"/>
    <s v="NWF"/>
    <n v="15"/>
    <n v="0.4060868856403349"/>
    <x v="16"/>
    <x v="0"/>
    <n v="0"/>
    <x v="0"/>
    <m/>
  </r>
  <r>
    <s v="PPT1_BOI04"/>
    <s v="S1CS04394-WS"/>
    <n v="420"/>
    <s v="207197672"/>
    <s v="NWF"/>
    <n v="15"/>
    <n v="0.4060868856403349"/>
    <x v="17"/>
    <x v="0"/>
    <n v="0"/>
    <x v="0"/>
    <m/>
  </r>
  <r>
    <s v="PPT1_BOI04"/>
    <s v="S1CS04394-WS"/>
    <n v="420"/>
    <s v="207197744"/>
    <s v="NWF"/>
    <n v="15"/>
    <n v="0.4060868856403349"/>
    <x v="6"/>
    <x v="0"/>
    <n v="0"/>
    <x v="0"/>
    <m/>
  </r>
  <r>
    <s v="PPT1_BOI04"/>
    <s v="S1CS04394-WS"/>
    <n v="420"/>
    <s v="207197882"/>
    <s v="NWF"/>
    <n v="15"/>
    <n v="0.4060868856403349"/>
    <x v="18"/>
    <x v="0"/>
    <n v="0"/>
    <x v="0"/>
    <m/>
  </r>
  <r>
    <s v="PPT1_BOI04"/>
    <s v="S1CS04394-WS"/>
    <n v="420"/>
    <s v="207198953"/>
    <s v="NWF"/>
    <n v="15"/>
    <n v="0.4060868856403349"/>
    <x v="12"/>
    <x v="0"/>
    <n v="0"/>
    <x v="0"/>
    <m/>
  </r>
  <r>
    <s v="PPT1_BOI04"/>
    <s v="S1CS04394-WS"/>
    <n v="420"/>
    <s v="207201026"/>
    <s v="NWF"/>
    <n v="15"/>
    <n v="0.4060868856403349"/>
    <x v="15"/>
    <x v="0"/>
    <n v="0"/>
    <x v="0"/>
    <m/>
  </r>
  <r>
    <s v="PPT1_BOI04"/>
    <s v="S1CS04394-WS"/>
    <n v="420"/>
    <s v="207201028"/>
    <s v="NWF"/>
    <n v="15"/>
    <n v="0.4060868856403349"/>
    <x v="8"/>
    <x v="0"/>
    <n v="0"/>
    <x v="0"/>
    <m/>
  </r>
  <r>
    <s v="PPT1_BOI04"/>
    <s v="S1CS04394-WS"/>
    <n v="140"/>
    <s v="207199006"/>
    <s v="NWF"/>
    <n v="15"/>
    <n v="0.13536229521344498"/>
    <x v="13"/>
    <x v="0"/>
    <n v="0"/>
    <x v="0"/>
    <m/>
  </r>
  <r>
    <s v="PPT1_BOI04"/>
    <s v="S1CS04394-WS"/>
    <n v="420"/>
    <s v="207197861"/>
    <s v="NWF"/>
    <n v="15"/>
    <n v="0.4060868856403349"/>
    <x v="14"/>
    <x v="0"/>
    <n v="0"/>
    <x v="0"/>
    <m/>
  </r>
  <r>
    <s v="PPT1_BOI04"/>
    <s v="S1CS04394-WS"/>
    <n v="420"/>
    <s v="207198321"/>
    <s v="NWF"/>
    <n v="15"/>
    <n v="0.4060868856403349"/>
    <x v="16"/>
    <x v="0"/>
    <n v="0"/>
    <x v="0"/>
    <m/>
  </r>
  <r>
    <s v="PPT1_BOI04"/>
    <s v="S1CS04394-WS"/>
    <n v="420"/>
    <s v="207200985"/>
    <s v="NWF"/>
    <n v="15"/>
    <n v="0.4060868856403349"/>
    <x v="13"/>
    <x v="0"/>
    <n v="0"/>
    <x v="0"/>
    <m/>
  </r>
  <r>
    <s v="PPT1_BOI04"/>
    <s v="S1CS04394-WS"/>
    <n v="420"/>
    <s v="207201030"/>
    <s v="NWF"/>
    <n v="15"/>
    <n v="0.4060868856403349"/>
    <x v="17"/>
    <x v="0"/>
    <n v="0"/>
    <x v="0"/>
    <m/>
  </r>
  <r>
    <s v="PPT1_BOI04"/>
    <s v="S1CS04394-WS"/>
    <n v="420"/>
    <s v="207200979"/>
    <s v="NWF"/>
    <n v="15"/>
    <n v="0.4060868856403349"/>
    <x v="6"/>
    <x v="0"/>
    <n v="0"/>
    <x v="0"/>
    <m/>
  </r>
  <r>
    <s v="PPT1_BOI04"/>
    <s v="S1CS04394-WS"/>
    <n v="420"/>
    <s v="207198247"/>
    <s v="NWF"/>
    <n v="15"/>
    <n v="0.4060868856403349"/>
    <x v="18"/>
    <x v="0"/>
    <n v="0"/>
    <x v="0"/>
    <m/>
  </r>
  <r>
    <s v="PPT1_BOI04"/>
    <s v="S1CS04394-WS"/>
    <n v="420"/>
    <s v="207197932"/>
    <s v="NWF"/>
    <n v="15"/>
    <n v="0.4060868856403349"/>
    <x v="12"/>
    <x v="0"/>
    <n v="0"/>
    <x v="0"/>
    <m/>
  </r>
  <r>
    <s v="PPT1_BOI04"/>
    <s v="S1CS04394-WS"/>
    <n v="420"/>
    <s v="207197912"/>
    <s v="NWF"/>
    <n v="15"/>
    <n v="0.4060868856403349"/>
    <x v="15"/>
    <x v="0"/>
    <n v="0"/>
    <x v="0"/>
    <m/>
  </r>
  <r>
    <s v="PPT1_BOI04"/>
    <s v="S1CS04394-WS"/>
    <n v="420"/>
    <s v="207198650"/>
    <s v="NWF"/>
    <n v="15"/>
    <n v="0.4060868856403349"/>
    <x v="8"/>
    <x v="0"/>
    <n v="0"/>
    <x v="0"/>
    <m/>
  </r>
  <r>
    <s v="PPT1_BOI04"/>
    <s v="S1CS04394-WS"/>
    <n v="420"/>
    <s v="207201020"/>
    <s v="NWF"/>
    <n v="15"/>
    <n v="0.4060868856403349"/>
    <x v="14"/>
    <x v="0"/>
    <n v="0"/>
    <x v="0"/>
    <m/>
  </r>
  <r>
    <s v="PPT1_BOI04"/>
    <s v="S1CS04394-WS"/>
    <n v="420"/>
    <s v="207201022"/>
    <s v="NWF"/>
    <n v="15"/>
    <n v="0.4060868856403349"/>
    <x v="16"/>
    <x v="0"/>
    <n v="0"/>
    <x v="0"/>
    <m/>
  </r>
  <r>
    <s v="PPT1_BOI04"/>
    <s v="S1CS04394-WS"/>
    <n v="420"/>
    <s v="207198654"/>
    <s v="NWF"/>
    <n v="15"/>
    <n v="0.4060868856403349"/>
    <x v="7"/>
    <x v="0"/>
    <n v="0"/>
    <x v="0"/>
    <m/>
  </r>
  <r>
    <s v="PPT1_BOI04"/>
    <s v="S1CS04394-WS"/>
    <n v="420"/>
    <s v="207198687"/>
    <s v="NWF"/>
    <n v="15"/>
    <n v="0.4060868856403349"/>
    <x v="10"/>
    <x v="0"/>
    <n v="0"/>
    <x v="0"/>
    <m/>
  </r>
  <r>
    <s v="PPT1_BOI04"/>
    <s v="S1CS04394-WS"/>
    <n v="420"/>
    <s v="207198423"/>
    <s v="NWF"/>
    <n v="15"/>
    <n v="0.4060868856403349"/>
    <x v="11"/>
    <x v="0"/>
    <n v="0"/>
    <x v="0"/>
    <m/>
  </r>
  <r>
    <s v="PPT1_BOI04"/>
    <s v="S1CS04394-WS"/>
    <n v="420"/>
    <s v="207201057"/>
    <s v="NWF"/>
    <n v="15"/>
    <n v="0.4060868856403349"/>
    <x v="13"/>
    <x v="0"/>
    <n v="0"/>
    <x v="0"/>
    <m/>
  </r>
  <r>
    <s v="PPT1_BOI04"/>
    <s v="S1CS04394-WS"/>
    <n v="420"/>
    <s v="207200997"/>
    <s v="NWF"/>
    <n v="15"/>
    <n v="0.4060868856403349"/>
    <x v="17"/>
    <x v="0"/>
    <n v="0"/>
    <x v="0"/>
    <m/>
  </r>
  <r>
    <s v="PPT1_BOI04"/>
    <s v="S1CS04394-WS"/>
    <n v="420"/>
    <s v="207201083"/>
    <s v="NWF"/>
    <n v="15"/>
    <n v="0.4060868856403349"/>
    <x v="6"/>
    <x v="0"/>
    <n v="0"/>
    <x v="0"/>
    <m/>
  </r>
  <r>
    <s v="PPT1_BOI04"/>
    <s v="S1CS04394-WS"/>
    <n v="420"/>
    <s v="207201061"/>
    <s v="NWF"/>
    <n v="15"/>
    <n v="0.4060868856403349"/>
    <x v="18"/>
    <x v="0"/>
    <n v="0"/>
    <x v="0"/>
    <m/>
  </r>
  <r>
    <s v="PPT1_BOI04"/>
    <s v="S1CS04394-WS"/>
    <n v="420"/>
    <s v="207198603"/>
    <s v="NWF"/>
    <n v="15"/>
    <n v="0.4060868856403349"/>
    <x v="12"/>
    <x v="0"/>
    <n v="0"/>
    <x v="0"/>
    <m/>
  </r>
  <r>
    <s v="PPT1_BOI04"/>
    <s v="S1CS04394-WS"/>
    <n v="420"/>
    <s v="207198599"/>
    <s v="NWF"/>
    <n v="15"/>
    <n v="0.4060868856403349"/>
    <x v="15"/>
    <x v="0"/>
    <n v="0"/>
    <x v="0"/>
    <m/>
  </r>
  <r>
    <s v="PPT1_BOI04"/>
    <s v="S1CS04394-WS"/>
    <n v="420"/>
    <s v="207201062"/>
    <s v="NWF"/>
    <n v="15"/>
    <n v="0.4060868856403349"/>
    <x v="8"/>
    <x v="0"/>
    <n v="0"/>
    <x v="0"/>
    <m/>
  </r>
  <r>
    <s v="PPT1_BOI04"/>
    <s v="S1CS04394-WS"/>
    <n v="420"/>
    <s v="207198394"/>
    <s v="NWF"/>
    <n v="15"/>
    <n v="0.4060868856403349"/>
    <x v="14"/>
    <x v="0"/>
    <n v="0"/>
    <x v="0"/>
    <m/>
  </r>
  <r>
    <s v="PPT1_BOI04"/>
    <s v="S1CS04394-WS"/>
    <n v="420"/>
    <s v="207198999"/>
    <s v="NWF"/>
    <n v="15"/>
    <n v="0.4060868856403349"/>
    <x v="9"/>
    <x v="0"/>
    <n v="0"/>
    <x v="0"/>
    <m/>
  </r>
  <r>
    <s v="PPT1_BOI04"/>
    <s v="S1CS04394-WS"/>
    <n v="420"/>
    <s v="207201053"/>
    <s v="NWF"/>
    <n v="15"/>
    <n v="0.4060868856403349"/>
    <x v="16"/>
    <x v="0"/>
    <n v="0"/>
    <x v="0"/>
    <m/>
  </r>
  <r>
    <s v="PPT1_BOI04"/>
    <s v="S1CS04394-WS"/>
    <n v="420"/>
    <s v="207200999"/>
    <s v="NWF"/>
    <n v="15"/>
    <n v="0.4060868856403349"/>
    <x v="7"/>
    <x v="0"/>
    <n v="0"/>
    <x v="0"/>
    <m/>
  </r>
  <r>
    <s v="PPT1_BOI04"/>
    <s v="S1CS04394-WS"/>
    <n v="420"/>
    <s v="207198343"/>
    <s v="NWF"/>
    <n v="15"/>
    <n v="0.4060868856403349"/>
    <x v="10"/>
    <x v="0"/>
    <n v="0"/>
    <x v="0"/>
    <m/>
  </r>
  <r>
    <s v="PPT1_BOI04"/>
    <s v="S1CS04394-WS"/>
    <n v="420"/>
    <s v="207200977"/>
    <s v="NWF"/>
    <n v="15"/>
    <n v="0.4060868856403349"/>
    <x v="11"/>
    <x v="0"/>
    <n v="0"/>
    <x v="0"/>
    <m/>
  </r>
  <r>
    <s v="PPT1_BOI04"/>
    <s v="S1CS04394-WS"/>
    <n v="420"/>
    <s v="207201055"/>
    <s v="NWF"/>
    <n v="15"/>
    <n v="0.4060868856403349"/>
    <x v="13"/>
    <x v="0"/>
    <n v="0"/>
    <x v="0"/>
    <m/>
  </r>
  <r>
    <s v="PPT1_BOI04"/>
    <s v="S1CS04394-WS"/>
    <n v="420"/>
    <s v="207197836"/>
    <s v="NWF"/>
    <n v="15"/>
    <n v="0.4060868856403349"/>
    <x v="17"/>
    <x v="0"/>
    <n v="0"/>
    <x v="0"/>
    <m/>
  </r>
  <r>
    <s v="PPT1_BOI04"/>
    <s v="S1CS04394-WS"/>
    <n v="420"/>
    <s v="207198285"/>
    <s v="NWF"/>
    <n v="15"/>
    <n v="0.4060868856403349"/>
    <x v="6"/>
    <x v="0"/>
    <n v="0"/>
    <x v="0"/>
    <m/>
  </r>
  <r>
    <s v="PPT1_BOI04"/>
    <s v="S1CS04395-WS"/>
    <n v="1080"/>
    <s v="207199384"/>
    <s v="NWF"/>
    <n v="37"/>
    <n v="0.30185528044233273"/>
    <x v="18"/>
    <x v="0"/>
    <n v="0"/>
    <x v="0"/>
    <m/>
  </r>
  <r>
    <s v="PPT1_BOI04"/>
    <s v="S1CS04395-WS"/>
    <n v="1080"/>
    <s v="207197624"/>
    <s v="NWF"/>
    <n v="37"/>
    <n v="0.30185528044233273"/>
    <x v="12"/>
    <x v="0"/>
    <n v="0"/>
    <x v="0"/>
    <m/>
  </r>
  <r>
    <s v="PPT1_BOI04"/>
    <s v="S1CS04395-WS"/>
    <n v="1080"/>
    <s v="207197753"/>
    <s v="NWF"/>
    <n v="37"/>
    <n v="0.30185528044233273"/>
    <x v="15"/>
    <x v="0"/>
    <n v="0"/>
    <x v="0"/>
    <m/>
  </r>
  <r>
    <s v="PPT1_BOI04"/>
    <s v="S1CS04395-WS"/>
    <n v="1080"/>
    <s v="207197617"/>
    <s v="NWF"/>
    <n v="37"/>
    <n v="0.30185528044233273"/>
    <x v="8"/>
    <x v="0"/>
    <n v="0"/>
    <x v="0"/>
    <m/>
  </r>
  <r>
    <s v="PPT1_BOI04"/>
    <s v="S1CS04395-WS"/>
    <n v="1080"/>
    <s v="207197620"/>
    <s v="NWF"/>
    <n v="37"/>
    <n v="0.30185528044233273"/>
    <x v="14"/>
    <x v="0"/>
    <n v="0"/>
    <x v="0"/>
    <m/>
  </r>
  <r>
    <s v="PPT1_BOI04"/>
    <s v="S1CS04395-WS"/>
    <n v="1080"/>
    <s v="207199436"/>
    <s v="NWF"/>
    <n v="37"/>
    <n v="0.30185528044233273"/>
    <x v="9"/>
    <x v="0"/>
    <n v="0"/>
    <x v="0"/>
    <m/>
  </r>
  <r>
    <s v="PPT1_BOI04"/>
    <s v="S1CS04395-WS"/>
    <n v="1080"/>
    <s v="207199430"/>
    <s v="NWF"/>
    <n v="37"/>
    <n v="0.30185528044233273"/>
    <x v="16"/>
    <x v="0"/>
    <n v="0"/>
    <x v="0"/>
    <m/>
  </r>
  <r>
    <s v="PPT1_BOI04"/>
    <s v="S1CS04395-WS"/>
    <n v="1080"/>
    <s v="207197769"/>
    <s v="NWF"/>
    <n v="37"/>
    <n v="0.30185528044233273"/>
    <x v="7"/>
    <x v="0"/>
    <n v="0"/>
    <x v="0"/>
    <m/>
  </r>
  <r>
    <s v="PPT1_BOI04"/>
    <s v="S1CS04395-WS"/>
    <n v="1080"/>
    <s v="207197773"/>
    <s v="NWF"/>
    <n v="37"/>
    <n v="0.30185528044233273"/>
    <x v="10"/>
    <x v="0"/>
    <n v="0"/>
    <x v="0"/>
    <m/>
  </r>
  <r>
    <s v="PPT1_BOI04"/>
    <s v="S1CS04395-WS"/>
    <n v="1080"/>
    <s v="207201399"/>
    <s v="NWF"/>
    <n v="37"/>
    <n v="0.30185528044233273"/>
    <x v="11"/>
    <x v="0"/>
    <n v="0"/>
    <x v="0"/>
    <m/>
  </r>
  <r>
    <s v="PPT1_BOI04"/>
    <s v="S1CS04395-WS"/>
    <n v="1080"/>
    <s v="207201398"/>
    <s v="NWF"/>
    <n v="37"/>
    <n v="0.30185528044233273"/>
    <x v="13"/>
    <x v="0"/>
    <n v="0"/>
    <x v="0"/>
    <m/>
  </r>
  <r>
    <s v="PPT1_BOI04"/>
    <s v="S1CS04395-WS"/>
    <n v="1080"/>
    <s v="207197824"/>
    <s v="NWF"/>
    <n v="37"/>
    <n v="0.30185528044233273"/>
    <x v="18"/>
    <x v="0"/>
    <n v="0"/>
    <x v="0"/>
    <m/>
  </r>
  <r>
    <s v="PPT1_BOI04"/>
    <s v="S1CS04395-WS"/>
    <n v="1080"/>
    <s v="207197821"/>
    <s v="NWF"/>
    <n v="37"/>
    <n v="0.30185528044233273"/>
    <x v="17"/>
    <x v="0"/>
    <n v="0"/>
    <x v="0"/>
    <m/>
  </r>
  <r>
    <s v="PPT1_BOI04"/>
    <s v="S1CS04395-WS"/>
    <n v="1080"/>
    <s v="207201396"/>
    <s v="NWF"/>
    <n v="37"/>
    <n v="0.30185528044233273"/>
    <x v="12"/>
    <x v="0"/>
    <n v="0"/>
    <x v="0"/>
    <m/>
  </r>
  <r>
    <s v="PPT1_BOI04"/>
    <s v="S1CS04395-WS"/>
    <n v="1080"/>
    <s v="207197793"/>
    <s v="NWF"/>
    <n v="37"/>
    <n v="0.30185528044233273"/>
    <x v="15"/>
    <x v="0"/>
    <n v="0"/>
    <x v="0"/>
    <m/>
  </r>
  <r>
    <s v="PPT1_BOI04"/>
    <s v="S1CS04395-WS"/>
    <n v="1080"/>
    <s v="207197794"/>
    <s v="NWF"/>
    <n v="37"/>
    <n v="0.30185528044233273"/>
    <x v="6"/>
    <x v="0"/>
    <n v="0"/>
    <x v="0"/>
    <m/>
  </r>
  <r>
    <s v="PPT1_BOI04"/>
    <s v="S1CS04395-WS"/>
    <n v="1080"/>
    <s v="207197788"/>
    <s v="NWF"/>
    <n v="37"/>
    <n v="0.30185528044233273"/>
    <x v="8"/>
    <x v="0"/>
    <n v="0"/>
    <x v="0"/>
    <m/>
  </r>
  <r>
    <s v="PPT1_BOI04"/>
    <s v="S1CS04395-WS"/>
    <n v="1080"/>
    <s v="207197817"/>
    <s v="NWF"/>
    <n v="37"/>
    <n v="0.30185528044233273"/>
    <x v="14"/>
    <x v="0"/>
    <n v="0"/>
    <x v="0"/>
    <m/>
  </r>
  <r>
    <s v="PPT1_BOI04"/>
    <s v="S1CS04395-WS"/>
    <n v="1080"/>
    <s v="207199380"/>
    <s v="NWF"/>
    <n v="37"/>
    <n v="0.30185528044233273"/>
    <x v="9"/>
    <x v="0"/>
    <n v="0"/>
    <x v="0"/>
    <m/>
  </r>
  <r>
    <s v="PPT1_BOI04"/>
    <s v="S1CS04395-WS"/>
    <n v="1080"/>
    <s v="207199353"/>
    <s v="NWF"/>
    <n v="37"/>
    <n v="0.30185528044233273"/>
    <x v="16"/>
    <x v="0"/>
    <n v="0"/>
    <x v="0"/>
    <m/>
  </r>
  <r>
    <s v="PPT1_BOI04"/>
    <s v="S1CS04395-WS"/>
    <n v="1080"/>
    <s v="207197776"/>
    <s v="NWF"/>
    <n v="37"/>
    <n v="0.30185528044233273"/>
    <x v="1"/>
    <x v="0"/>
    <n v="0"/>
    <x v="0"/>
    <m/>
  </r>
  <r>
    <s v="PPT1_BOI04"/>
    <s v="S1CS04395-WS"/>
    <n v="1080"/>
    <s v="207199275"/>
    <s v="NWF"/>
    <n v="37"/>
    <n v="0.30185528044233273"/>
    <x v="2"/>
    <x v="0"/>
    <n v="0"/>
    <x v="0"/>
    <m/>
  </r>
  <r>
    <s v="PPT1_BOI04"/>
    <s v="S1CS04395-WS"/>
    <n v="1080"/>
    <s v="207197873"/>
    <s v="NWF"/>
    <n v="37"/>
    <n v="0.30185528044233273"/>
    <x v="3"/>
    <x v="0"/>
    <n v="0"/>
    <x v="0"/>
    <m/>
  </r>
  <r>
    <s v="PPT1_BOI04"/>
    <s v="S1CS04395-WS"/>
    <n v="1080"/>
    <s v="207197837"/>
    <s v="NWF"/>
    <n v="37"/>
    <n v="0.30185528044233273"/>
    <x v="4"/>
    <x v="0"/>
    <n v="0"/>
    <x v="0"/>
    <m/>
  </r>
  <r>
    <s v="PPT1_BOI04"/>
    <s v="S1CS04395-WS"/>
    <n v="360"/>
    <s v="207198155"/>
    <s v="NWF"/>
    <n v="37"/>
    <n v="0.10061842681411091"/>
    <x v="5"/>
    <x v="0"/>
    <n v="0"/>
    <x v="0"/>
    <m/>
  </r>
  <r>
    <s v="PPT1_BOI04"/>
    <s v="S1CS04395-WS"/>
    <n v="1080"/>
    <s v="207197869"/>
    <s v="NWF"/>
    <n v="37"/>
    <n v="0.30185528044233273"/>
    <x v="7"/>
    <x v="0"/>
    <n v="0"/>
    <x v="0"/>
    <m/>
  </r>
  <r>
    <s v="PPT1_BOI04"/>
    <s v="S1CS04395-WS"/>
    <n v="1080"/>
    <s v="207199377"/>
    <s v="NWF"/>
    <n v="37"/>
    <n v="0.30185528044233273"/>
    <x v="10"/>
    <x v="0"/>
    <n v="0"/>
    <x v="0"/>
    <m/>
  </r>
  <r>
    <s v="PPT1_BOI04"/>
    <s v="S1CS05611-WS"/>
    <n v="255"/>
    <s v="207199316"/>
    <s v="NWF"/>
    <n v="2"/>
    <n v="0.20079487563960791"/>
    <x v="11"/>
    <x v="0"/>
    <n v="0"/>
    <x v="0"/>
    <m/>
  </r>
  <r>
    <s v="PPT1_BOI04"/>
    <s v="S1CS05611-WS"/>
    <n v="255"/>
    <s v="207199267"/>
    <s v="NWF"/>
    <n v="2"/>
    <n v="0.20079487563960791"/>
    <x v="13"/>
    <x v="0"/>
    <n v="0"/>
    <x v="0"/>
    <m/>
  </r>
  <r>
    <s v="PPT1_BOI04"/>
    <s v="S1CS05611-WS"/>
    <n v="255"/>
    <s v="207198956"/>
    <s v="NWF"/>
    <n v="2"/>
    <n v="0.20079487563960791"/>
    <x v="11"/>
    <x v="0"/>
    <n v="0"/>
    <x v="0"/>
    <m/>
  </r>
  <r>
    <s v="PPT1_BOI04"/>
    <s v="S1CS05611-WS"/>
    <n v="85"/>
    <s v="207199378"/>
    <s v="NWF"/>
    <n v="2"/>
    <n v="6.6931625213202645E-2"/>
    <x v="13"/>
    <x v="0"/>
    <n v="0"/>
    <x v="0"/>
    <m/>
  </r>
  <r>
    <s v="PPT1_BOI04"/>
    <s v="S1CS05611-WS"/>
    <n v="255"/>
    <s v="207199072"/>
    <s v="NWF"/>
    <n v="2"/>
    <n v="0.20079487563960791"/>
    <x v="13"/>
    <x v="0"/>
    <n v="0"/>
    <x v="0"/>
    <m/>
  </r>
  <r>
    <s v="PPT1_BOI04"/>
    <s v="S1CS05613-WS"/>
    <n v="480"/>
    <s v="207198081"/>
    <s v="NWF"/>
    <n v="3"/>
    <n v="0.47705358342169235"/>
    <x v="18"/>
    <x v="0"/>
    <n v="0"/>
    <x v="0"/>
    <m/>
  </r>
  <r>
    <s v="PPT1_BOI04"/>
    <s v="S1CS05613-WS"/>
    <n v="480"/>
    <s v="207197926"/>
    <s v="NWF"/>
    <n v="3"/>
    <n v="0.47705358342169235"/>
    <x v="5"/>
    <x v="0"/>
    <n v="0"/>
    <x v="0"/>
    <m/>
  </r>
  <r>
    <s v="PPT1_BOI04"/>
    <s v="S1CS05613-WS"/>
    <n v="160"/>
    <s v="207198021"/>
    <s v="NWF"/>
    <n v="3"/>
    <n v="0.1590178611405641"/>
    <x v="17"/>
    <x v="0"/>
    <n v="0"/>
    <x v="0"/>
    <m/>
  </r>
  <r>
    <s v="PPT1_BOI04"/>
    <s v="S1CS05614-WS"/>
    <n v="200"/>
    <s v="207198216"/>
    <s v="NWF"/>
    <n v="3"/>
    <n v="0.15828483920367536"/>
    <x v="12"/>
    <x v="0"/>
    <n v="0"/>
    <x v="0"/>
    <m/>
  </r>
  <r>
    <s v="PPT1_BOI04"/>
    <s v="S1CS06209-WS"/>
    <n v="150"/>
    <s v="207197781"/>
    <s v="NWF"/>
    <n v="18"/>
    <n v="0.20473771732740642"/>
    <x v="15"/>
    <x v="0"/>
    <n v="0"/>
    <x v="0"/>
    <m/>
  </r>
  <r>
    <s v="PPT1_BOI04"/>
    <s v="S1CS06209-WS"/>
    <n v="300"/>
    <s v="207197797"/>
    <s v="NWF"/>
    <n v="18"/>
    <n v="0.40947543465481284"/>
    <x v="6"/>
    <x v="0"/>
    <n v="0"/>
    <x v="0"/>
    <m/>
  </r>
  <r>
    <s v="PPT1_BOI04"/>
    <s v="S1CS06209-WS"/>
    <n v="450"/>
    <s v="207201064"/>
    <s v="NWF"/>
    <n v="18"/>
    <n v="0.61421315198221926"/>
    <x v="8"/>
    <x v="0"/>
    <n v="0"/>
    <x v="0"/>
    <m/>
  </r>
  <r>
    <s v="PPT1_BOI04"/>
    <s v="S1CS06209-WS"/>
    <n v="450"/>
    <s v="207201066"/>
    <s v="NWF"/>
    <n v="18"/>
    <n v="0.61421315198221926"/>
    <x v="14"/>
    <x v="0"/>
    <n v="0"/>
    <x v="0"/>
    <m/>
  </r>
  <r>
    <s v="PPT1_BOI04"/>
    <s v="S1CS06209-WS"/>
    <n v="450"/>
    <s v="207201078"/>
    <s v="NWF"/>
    <n v="18"/>
    <n v="0.61421315198221926"/>
    <x v="9"/>
    <x v="0"/>
    <n v="0"/>
    <x v="0"/>
    <m/>
  </r>
  <r>
    <s v="PPT1_BOI04"/>
    <s v="S1CS06209-WS"/>
    <n v="450"/>
    <s v="207201047"/>
    <s v="NWF"/>
    <n v="18"/>
    <n v="0.61421315198221926"/>
    <x v="17"/>
    <x v="0"/>
    <n v="0"/>
    <x v="0"/>
    <m/>
  </r>
  <r>
    <s v="PPT1_BOI04"/>
    <s v="S1CS06209-WS"/>
    <n v="450"/>
    <s v="207201049"/>
    <s v="NWF"/>
    <n v="18"/>
    <n v="0.61421315198221926"/>
    <x v="16"/>
    <x v="0"/>
    <n v="0"/>
    <x v="0"/>
    <m/>
  </r>
  <r>
    <s v="PPT1_BOI04"/>
    <s v="S1CS06209-WS"/>
    <n v="450"/>
    <s v="207201081"/>
    <s v="NWF"/>
    <n v="18"/>
    <n v="0.61421315198221926"/>
    <x v="0"/>
    <x v="0"/>
    <n v="0"/>
    <x v="0"/>
    <m/>
  </r>
  <r>
    <s v="PPT1_BOI04"/>
    <s v="S1CS06209-WS"/>
    <n v="450"/>
    <s v="207201032"/>
    <s v="NWF"/>
    <n v="18"/>
    <n v="0.61421315198221926"/>
    <x v="1"/>
    <x v="0"/>
    <n v="0"/>
    <x v="0"/>
    <m/>
  </r>
  <r>
    <s v="PPT1_BOI04"/>
    <s v="S1CS06209-WS"/>
    <n v="300"/>
    <s v="207201003"/>
    <s v="NWF"/>
    <n v="18"/>
    <n v="0.40947543465481284"/>
    <x v="2"/>
    <x v="0"/>
    <n v="0"/>
    <x v="0"/>
    <m/>
  </r>
  <r>
    <s v="PPT1_BOI04"/>
    <s v="S1CS06209-WS"/>
    <n v="450"/>
    <s v="207201005"/>
    <s v="NWF"/>
    <n v="18"/>
    <n v="0.61421315198221926"/>
    <x v="3"/>
    <x v="0"/>
    <n v="0"/>
    <x v="0"/>
    <m/>
  </r>
  <r>
    <s v="PPT1_BOI04"/>
    <s v="S1CS06209-WS"/>
    <n v="450"/>
    <s v="207201018"/>
    <s v="NWF"/>
    <n v="18"/>
    <n v="0.61421315198221926"/>
    <x v="4"/>
    <x v="0"/>
    <n v="0"/>
    <x v="0"/>
    <m/>
  </r>
  <r>
    <s v="PPT1_BOI04"/>
    <s v="S1CS06209-WS"/>
    <n v="450"/>
    <s v="207200968"/>
    <s v="NWF"/>
    <n v="18"/>
    <n v="0.61421315198221926"/>
    <x v="12"/>
    <x v="0"/>
    <n v="0"/>
    <x v="0"/>
    <m/>
  </r>
  <r>
    <s v="PPT1_BOI04"/>
    <s v="S1CS06209-WS"/>
    <n v="450"/>
    <s v="207200956"/>
    <s v="NWF"/>
    <n v="18"/>
    <n v="0.61421315198221926"/>
    <x v="7"/>
    <x v="0"/>
    <n v="0"/>
    <x v="0"/>
    <m/>
  </r>
  <r>
    <s v="PPT1_BOI04"/>
    <s v="S1CS06209-WS"/>
    <n v="150"/>
    <s v="207201001"/>
    <s v="NWF"/>
    <n v="18"/>
    <n v="0.20473771732740642"/>
    <x v="10"/>
    <x v="0"/>
    <n v="0"/>
    <x v="0"/>
    <m/>
  </r>
  <r>
    <s v="PPT1_BOI04"/>
    <s v="S1CS06209-WS"/>
    <n v="450"/>
    <s v="207201035"/>
    <s v="NWF"/>
    <n v="18"/>
    <n v="0.61421315198221926"/>
    <x v="15"/>
    <x v="0"/>
    <n v="0"/>
    <x v="0"/>
    <m/>
  </r>
  <r>
    <s v="PPT1_BOI04"/>
    <s v="S1CS06210-WS"/>
    <n v="1140"/>
    <s v="207201405"/>
    <s v="NWF"/>
    <n v="20"/>
    <n v="0.99068667704631197"/>
    <x v="11"/>
    <x v="0"/>
    <n v="0"/>
    <x v="0"/>
    <m/>
  </r>
  <r>
    <s v="PPT1_BOI04"/>
    <s v="S1CS06210-WS"/>
    <n v="1140"/>
    <s v="207201407"/>
    <s v="NWF"/>
    <n v="20"/>
    <n v="0.99068667704631197"/>
    <x v="13"/>
    <x v="0"/>
    <n v="0"/>
    <x v="0"/>
    <m/>
  </r>
  <r>
    <s v="PPT1_BOI04"/>
    <s v="S1CS06210-WS"/>
    <n v="1140"/>
    <s v="207201409"/>
    <s v="NWF"/>
    <n v="20"/>
    <n v="0.99068667704631197"/>
    <x v="10"/>
    <x v="0"/>
    <n v="0"/>
    <x v="0"/>
    <m/>
  </r>
  <r>
    <s v="PPT1_BOI04"/>
    <s v="S1CS06210-WS"/>
    <n v="380"/>
    <s v="207201411"/>
    <s v="NWF"/>
    <n v="20"/>
    <n v="0.33022889234877068"/>
    <x v="18"/>
    <x v="0"/>
    <n v="0"/>
    <x v="0"/>
    <m/>
  </r>
  <r>
    <s v="PPT1_BOI04"/>
    <s v="S1CS06210-WS"/>
    <n v="380"/>
    <s v="207201403"/>
    <s v="NWF"/>
    <n v="20"/>
    <n v="0.33022889234877068"/>
    <x v="6"/>
    <x v="0"/>
    <n v="0"/>
    <x v="0"/>
    <m/>
  </r>
  <r>
    <s v="PPT1_BOI04"/>
    <s v="S1CS06210-WS"/>
    <n v="1140"/>
    <s v="207201404"/>
    <s v="NWF"/>
    <n v="20"/>
    <n v="0.99068667704631197"/>
    <x v="5"/>
    <x v="0"/>
    <n v="0"/>
    <x v="0"/>
    <m/>
  </r>
  <r>
    <s v="PPT1_BOI04"/>
    <s v="S1CS06210-WS"/>
    <n v="760"/>
    <s v="207201401"/>
    <s v="NWF"/>
    <n v="20"/>
    <n v="0.66045778469754135"/>
    <x v="2"/>
    <x v="0"/>
    <n v="0"/>
    <x v="0"/>
    <m/>
  </r>
  <r>
    <s v="PPT1_BOI04"/>
    <s v="S1CS06342-WS"/>
    <n v="250"/>
    <s v="207199542"/>
    <s v="NWF"/>
    <n v="4"/>
    <n v="0.26764391238898383"/>
    <x v="8"/>
    <x v="0"/>
    <n v="0"/>
    <x v="0"/>
    <m/>
  </r>
  <r>
    <s v="PPT1_BOI04"/>
    <s v="S1CS06342-WS"/>
    <n v="750"/>
    <s v="207198859"/>
    <s v="NWF"/>
    <n v="4"/>
    <n v="0.80293173716695154"/>
    <x v="14"/>
    <x v="0"/>
    <n v="0"/>
    <x v="0"/>
    <m/>
  </r>
  <r>
    <s v="PPT1_BOI04"/>
    <s v="S1CS06342-WS"/>
    <n v="750"/>
    <s v="207198919"/>
    <s v="NWF"/>
    <n v="4"/>
    <n v="0.80293173716695154"/>
    <x v="9"/>
    <x v="0"/>
    <n v="0"/>
    <x v="0"/>
    <m/>
  </r>
  <r>
    <s v="PPT1_BOI04"/>
    <s v="S1CS06342-WS"/>
    <n v="750"/>
    <s v="207198979"/>
    <s v="NWF"/>
    <n v="4"/>
    <n v="0.80293173716695154"/>
    <x v="18"/>
    <x v="0"/>
    <n v="0"/>
    <x v="0"/>
    <m/>
  </r>
  <r>
    <s v="PPT1_BOI04"/>
    <s v="S1CS06342-WS"/>
    <n v="750"/>
    <s v="207198984"/>
    <s v="NWF"/>
    <n v="4"/>
    <n v="0.80293173716695154"/>
    <x v="8"/>
    <x v="0"/>
    <n v="0"/>
    <x v="0"/>
    <m/>
  </r>
  <r>
    <s v="PPT1_BOI04"/>
    <s v="S1CS06342-WS"/>
    <n v="750"/>
    <s v="207199168"/>
    <s v="NWF"/>
    <n v="4"/>
    <n v="0.80293173716695154"/>
    <x v="14"/>
    <x v="0"/>
    <n v="0"/>
    <x v="0"/>
    <m/>
  </r>
  <r>
    <s v="PPT1_BOI04"/>
    <s v="S1CS06342-WS"/>
    <n v="750"/>
    <s v="207201671"/>
    <s v="NWF"/>
    <n v="4"/>
    <n v="0.80293173716695154"/>
    <x v="9"/>
    <x v="0"/>
    <n v="0"/>
    <x v="0"/>
    <m/>
  </r>
  <r>
    <s v="PPT1_BOI04"/>
    <s v="S1CS06342-WS"/>
    <n v="750"/>
    <s v="207201668"/>
    <s v="NWF"/>
    <n v="4"/>
    <n v="0.80293173716695154"/>
    <x v="18"/>
    <x v="0"/>
    <n v="0"/>
    <x v="0"/>
    <m/>
  </r>
  <r>
    <s v="PPT1_BOI04"/>
    <s v="S1CS06342-WS"/>
    <n v="750"/>
    <s v="207198313"/>
    <s v="NWF"/>
    <n v="4"/>
    <n v="0.80293173716695154"/>
    <x v="8"/>
    <x v="0"/>
    <n v="0"/>
    <x v="0"/>
    <m/>
  </r>
  <r>
    <s v="PPT1_BOI04"/>
    <s v="S1CS06342-WS"/>
    <n v="750"/>
    <s v="207198362"/>
    <s v="NWF"/>
    <n v="4"/>
    <n v="0.80293173716695154"/>
    <x v="14"/>
    <x v="0"/>
    <n v="0"/>
    <x v="0"/>
    <m/>
  </r>
  <r>
    <s v="PPT1_BOI04"/>
    <s v="S1CS06342-WS"/>
    <n v="750"/>
    <s v="207198272"/>
    <s v="NWF"/>
    <n v="4"/>
    <n v="0.80293173716695154"/>
    <x v="9"/>
    <x v="0"/>
    <n v="0"/>
    <x v="0"/>
    <m/>
  </r>
  <r>
    <s v="PPT1_BOI04"/>
    <s v="S1CS06342-WS"/>
    <n v="750"/>
    <s v="207201624"/>
    <s v="NWF"/>
    <n v="4"/>
    <n v="0.80293173716695154"/>
    <x v="18"/>
    <x v="0"/>
    <n v="0"/>
    <x v="0"/>
    <m/>
  </r>
  <r>
    <s v="PPT1_BOI04"/>
    <s v="S1CS06342-WS"/>
    <n v="750"/>
    <s v="207201622"/>
    <s v="NWF"/>
    <n v="4"/>
    <n v="0.80293173716695154"/>
    <x v="8"/>
    <x v="0"/>
    <n v="0"/>
    <x v="0"/>
    <m/>
  </r>
  <r>
    <s v="PPT1_BOI04"/>
    <s v="S1CS06342-WS"/>
    <n v="750"/>
    <s v="207198686"/>
    <s v="NWF"/>
    <n v="4"/>
    <n v="0.80293173716695154"/>
    <x v="14"/>
    <x v="0"/>
    <n v="0"/>
    <x v="0"/>
    <m/>
  </r>
  <r>
    <s v="PPT1_BOI04"/>
    <s v="S1CS06342-WS"/>
    <n v="750"/>
    <s v="207198799"/>
    <s v="NWF"/>
    <n v="4"/>
    <n v="0.80293173716695154"/>
    <x v="9"/>
    <x v="0"/>
    <n v="0"/>
    <x v="0"/>
    <m/>
  </r>
  <r>
    <s v="PPT1_BOI04"/>
    <s v="S1CS06342-WS"/>
    <n v="750"/>
    <s v="207198634"/>
    <s v="NWF"/>
    <n v="4"/>
    <n v="0.80293173716695154"/>
    <x v="18"/>
    <x v="0"/>
    <n v="0"/>
    <x v="0"/>
    <m/>
  </r>
  <r>
    <s v="PPT1_BOI04"/>
    <s v="S1CS06342-WS"/>
    <n v="750"/>
    <s v="207198570"/>
    <s v="NWF"/>
    <n v="4"/>
    <n v="0.80293173716695154"/>
    <x v="8"/>
    <x v="0"/>
    <n v="0"/>
    <x v="0"/>
    <m/>
  </r>
  <r>
    <s v="PPT1_BOI04"/>
    <s v="S1CS06342-WS"/>
    <n v="750"/>
    <s v="207198629"/>
    <s v="NWF"/>
    <n v="4"/>
    <n v="0.80293173716695154"/>
    <x v="14"/>
    <x v="0"/>
    <n v="0"/>
    <x v="0"/>
    <m/>
  </r>
  <r>
    <s v="PPT1_BOI04"/>
    <s v="S1CS06342-WS"/>
    <n v="750"/>
    <s v="207201654"/>
    <s v="NWF"/>
    <n v="4"/>
    <n v="0.80293173716695154"/>
    <x v="9"/>
    <x v="0"/>
    <n v="0"/>
    <x v="0"/>
    <m/>
  </r>
  <r>
    <s v="PPT1_BOI04"/>
    <s v="S1CS06342-WS"/>
    <n v="250"/>
    <s v="207202001"/>
    <s v="NWF"/>
    <n v="4"/>
    <n v="0.26764391238898383"/>
    <x v="18"/>
    <x v="0"/>
    <n v="0"/>
    <x v="0"/>
    <m/>
  </r>
  <r>
    <s v="PPT1_BOI04"/>
    <s v="S1CS06342-WS"/>
    <n v="750"/>
    <s v="207201642"/>
    <s v="NWF"/>
    <n v="4"/>
    <n v="0.80293173716695154"/>
    <x v="8"/>
    <x v="0"/>
    <n v="0"/>
    <x v="0"/>
    <m/>
  </r>
  <r>
    <s v="PPT1_BOI04"/>
    <s v="S1CS06342-WS"/>
    <n v="750"/>
    <s v="207201721"/>
    <s v="NWF"/>
    <n v="4"/>
    <n v="0.80293173716695154"/>
    <x v="18"/>
    <x v="0"/>
    <n v="0"/>
    <x v="0"/>
    <m/>
  </r>
  <r>
    <s v="PPT1_BOI04"/>
    <s v="S1CS06342-WS"/>
    <n v="750"/>
    <s v="207201637"/>
    <s v="NWF"/>
    <n v="4"/>
    <n v="0.80293173716695154"/>
    <x v="14"/>
    <x v="0"/>
    <n v="0"/>
    <x v="0"/>
    <m/>
  </r>
  <r>
    <s v="PPT1_BOI04"/>
    <s v="S1CS06342-WS"/>
    <n v="750"/>
    <s v="207201725"/>
    <s v="NWF"/>
    <n v="4"/>
    <n v="0.80293173716695154"/>
    <x v="9"/>
    <x v="0"/>
    <n v="0"/>
    <x v="0"/>
    <m/>
  </r>
  <r>
    <s v="PPT1_BOI04"/>
    <s v="S1CS06584-WS"/>
    <n v="200"/>
    <s v="207198506"/>
    <s v="NWF"/>
    <n v="2"/>
    <n v="0.41567799718570975"/>
    <x v="17"/>
    <x v="0"/>
    <n v="0"/>
    <x v="0"/>
    <m/>
  </r>
  <r>
    <s v="PPT1_BOI04"/>
    <s v="S1CS06584-WS"/>
    <n v="600"/>
    <s v="207198315"/>
    <s v="NWF"/>
    <n v="2"/>
    <n v="1.2470339915571294"/>
    <x v="16"/>
    <x v="0"/>
    <n v="0"/>
    <x v="0"/>
    <m/>
  </r>
  <r>
    <s v="PPT1_BOI04"/>
    <s v="S1CS06585-WS"/>
    <n v="640"/>
    <s v="207198576"/>
    <s v="NWF"/>
    <n v="2"/>
    <n v="0.86913713610987331"/>
    <x v="6"/>
    <x v="0"/>
    <n v="0"/>
    <x v="0"/>
    <m/>
  </r>
  <r>
    <s v="PPT1_BOI04"/>
    <s v="S1CS06585-WS"/>
    <n v="320"/>
    <s v="207198678"/>
    <s v="NWF"/>
    <n v="2"/>
    <n v="0.43456856805493665"/>
    <x v="0"/>
    <x v="0"/>
    <n v="0"/>
    <x v="0"/>
    <m/>
  </r>
  <r>
    <s v="PPT1_BOI04"/>
    <s v="S1CS07289-WS"/>
    <n v="400"/>
    <s v="207199583"/>
    <s v="NWF"/>
    <n v="3"/>
    <n v="0.79831761666603029"/>
    <x v="1"/>
    <x v="0"/>
    <n v="0"/>
    <x v="0"/>
    <m/>
  </r>
  <r>
    <s v="PPT1_BOI04"/>
    <s v="S1CS07021-WS"/>
    <n v="600"/>
    <s v="207197942"/>
    <s v="NW"/>
    <n v="40"/>
    <n v="0.7958941979071823"/>
    <x v="0"/>
    <x v="1"/>
    <n v="0"/>
    <x v="1"/>
    <m/>
  </r>
  <r>
    <s v="PPT1_BOI04"/>
    <s v="S1CS07021-WS"/>
    <n v="600"/>
    <s v="207198025"/>
    <s v="NW"/>
    <n v="40"/>
    <n v="0.7958941979071823"/>
    <x v="1"/>
    <x v="1"/>
    <n v="0"/>
    <x v="1"/>
    <m/>
  </r>
  <r>
    <s v="PPT1_BOI04"/>
    <s v="S1CS07021-WS"/>
    <n v="600"/>
    <s v="207198053"/>
    <s v="NW"/>
    <n v="40"/>
    <n v="0.7958941979071823"/>
    <x v="2"/>
    <x v="1"/>
    <n v="0"/>
    <x v="1"/>
    <m/>
  </r>
  <r>
    <s v="PPT1_BOI04"/>
    <s v="S1CS07021-WS"/>
    <n v="600"/>
    <s v="207198080"/>
    <s v="NW"/>
    <n v="40"/>
    <n v="0.7958941979071823"/>
    <x v="3"/>
    <x v="1"/>
    <n v="0"/>
    <x v="1"/>
    <m/>
  </r>
  <r>
    <s v="PPT1_BOI04"/>
    <s v="S1CS07021-WS"/>
    <n v="600"/>
    <s v="207198019"/>
    <s v="NW"/>
    <n v="40"/>
    <n v="0.7958941979071823"/>
    <x v="4"/>
    <x v="1"/>
    <n v="0"/>
    <x v="1"/>
    <m/>
  </r>
  <r>
    <s v="PPT1_BOI04"/>
    <s v="S1CS07021-WS"/>
    <n v="600"/>
    <s v="207197979"/>
    <s v="NW"/>
    <n v="40"/>
    <n v="0.7958941979071823"/>
    <x v="5"/>
    <x v="1"/>
    <n v="0"/>
    <x v="1"/>
    <m/>
  </r>
  <r>
    <s v="PPT1_BOI04"/>
    <s v="S1CS07021-WS"/>
    <n v="600"/>
    <s v="207197986"/>
    <s v="NW"/>
    <n v="40"/>
    <n v="0.7958941979071823"/>
    <x v="6"/>
    <x v="1"/>
    <n v="0"/>
    <x v="1"/>
    <m/>
  </r>
  <r>
    <s v="PPT1_BOI04"/>
    <s v="S1CS07021-WS"/>
    <n v="600"/>
    <s v="207198012"/>
    <s v="NW"/>
    <n v="40"/>
    <n v="0.7958941979071823"/>
    <x v="7"/>
    <x v="1"/>
    <n v="0"/>
    <x v="1"/>
    <m/>
  </r>
  <r>
    <s v="PPT1_BOI04"/>
    <s v="S1CS07021-WS"/>
    <n v="600"/>
    <s v="207198350"/>
    <s v="NW"/>
    <n v="40"/>
    <n v="0.7958941979071823"/>
    <x v="8"/>
    <x v="1"/>
    <n v="0"/>
    <x v="1"/>
    <m/>
  </r>
  <r>
    <s v="PPT1_BOI04"/>
    <s v="S1CS07021-WS"/>
    <n v="600"/>
    <s v="207198353"/>
    <s v="NW"/>
    <n v="40"/>
    <n v="0.7958941979071823"/>
    <x v="9"/>
    <x v="1"/>
    <n v="0"/>
    <x v="1"/>
    <m/>
  </r>
  <r>
    <s v="PPT1_BOI04"/>
    <s v="S1CS07021-WS"/>
    <n v="600"/>
    <s v="207198373"/>
    <s v="NW"/>
    <n v="40"/>
    <n v="0.7958941979071823"/>
    <x v="10"/>
    <x v="1"/>
    <n v="0"/>
    <x v="1"/>
    <m/>
  </r>
  <r>
    <s v="PPT1_BOI04"/>
    <s v="S1CS07021-WS"/>
    <n v="200"/>
    <s v="207198152"/>
    <s v="NW"/>
    <n v="40"/>
    <n v="0.2652980659690608"/>
    <x v="11"/>
    <x v="1"/>
    <n v="0"/>
    <x v="1"/>
    <m/>
  </r>
  <r>
    <s v="PPT1_BOI04"/>
    <s v="S1CS07021-WS"/>
    <n v="600"/>
    <s v="207198085"/>
    <s v="NW"/>
    <n v="40"/>
    <n v="0.7958941979071823"/>
    <x v="12"/>
    <x v="1"/>
    <n v="0"/>
    <x v="1"/>
    <m/>
  </r>
  <r>
    <s v="PPT1_BOI04"/>
    <s v="S1CS07021-WS"/>
    <n v="600"/>
    <s v="207198111"/>
    <s v="NW"/>
    <n v="40"/>
    <n v="0.7958941979071823"/>
    <x v="13"/>
    <x v="1"/>
    <n v="0"/>
    <x v="1"/>
    <m/>
  </r>
  <r>
    <s v="PPT1_BOI04"/>
    <s v="S1CS07021-WS"/>
    <n v="600"/>
    <s v="207198116"/>
    <s v="NW"/>
    <n v="40"/>
    <n v="0.7958941979071823"/>
    <x v="14"/>
    <x v="1"/>
    <n v="0"/>
    <x v="1"/>
    <m/>
  </r>
  <r>
    <s v="PPT1_BOI04"/>
    <s v="S1CS07021-WS"/>
    <n v="600"/>
    <s v="207201318"/>
    <s v="NW"/>
    <n v="40"/>
    <n v="0.7958941979071823"/>
    <x v="15"/>
    <x v="1"/>
    <n v="0"/>
    <x v="1"/>
    <m/>
  </r>
  <r>
    <s v="PPT1_BOI04"/>
    <s v="S1CS07021-WS"/>
    <n v="600"/>
    <s v="207201319"/>
    <s v="NW"/>
    <n v="40"/>
    <n v="0.7958941979071823"/>
    <x v="16"/>
    <x v="1"/>
    <n v="0"/>
    <x v="1"/>
    <m/>
  </r>
  <r>
    <s v="PPT1_BOI04"/>
    <s v="S1CS07021-WS"/>
    <n v="600"/>
    <s v="207201320"/>
    <s v="NW"/>
    <n v="40"/>
    <n v="0.7958941979071823"/>
    <x v="17"/>
    <x v="1"/>
    <n v="0"/>
    <x v="1"/>
    <m/>
  </r>
  <r>
    <s v="PPT1_BOI04"/>
    <s v="S1CS07021-WS"/>
    <n v="600"/>
    <s v="207197734"/>
    <s v="NW"/>
    <n v="40"/>
    <n v="0.7958941979071823"/>
    <x v="18"/>
    <x v="1"/>
    <n v="0"/>
    <x v="1"/>
    <m/>
  </r>
  <r>
    <s v="PPT1_BOI04"/>
    <s v="S1CS07021-WS"/>
    <n v="600"/>
    <s v="207197660"/>
    <s v="NW"/>
    <n v="40"/>
    <n v="0.7958941979071823"/>
    <x v="11"/>
    <x v="1"/>
    <n v="0"/>
    <x v="1"/>
    <m/>
  </r>
  <r>
    <s v="PPT1_BOI04"/>
    <s v="S1CS07021-WS"/>
    <n v="600"/>
    <s v="207197750"/>
    <s v="NW"/>
    <n v="40"/>
    <n v="0.7958941979071823"/>
    <x v="0"/>
    <x v="1"/>
    <n v="0"/>
    <x v="1"/>
    <m/>
  </r>
  <r>
    <s v="PPT1_BOI04"/>
    <s v="S1CS07021-WS"/>
    <n v="600"/>
    <s v="207197917"/>
    <s v="NW"/>
    <n v="40"/>
    <n v="0.7958941979071823"/>
    <x v="1"/>
    <x v="1"/>
    <n v="0"/>
    <x v="1"/>
    <m/>
  </r>
  <r>
    <s v="PPT1_BOI04"/>
    <s v="S1CS07021-WS"/>
    <n v="600"/>
    <s v="207197945"/>
    <s v="NW"/>
    <n v="40"/>
    <n v="0.7958941979071823"/>
    <x v="2"/>
    <x v="1"/>
    <n v="0"/>
    <x v="1"/>
    <m/>
  </r>
  <r>
    <s v="PPT1_BOI04"/>
    <s v="S1CS07021-WS"/>
    <n v="600"/>
    <s v="207197960"/>
    <s v="NW"/>
    <n v="40"/>
    <n v="0.7958941979071823"/>
    <x v="3"/>
    <x v="1"/>
    <n v="0"/>
    <x v="1"/>
    <m/>
  </r>
  <r>
    <s v="PPT1_BOI04"/>
    <s v="S1CS07021-WS"/>
    <n v="600"/>
    <s v="207197965"/>
    <s v="NW"/>
    <n v="40"/>
    <n v="0.7958941979071823"/>
    <x v="4"/>
    <x v="1"/>
    <n v="0"/>
    <x v="1"/>
    <m/>
  </r>
  <r>
    <s v="PPT1_BOI04"/>
    <s v="S1CS07021-WS"/>
    <n v="600"/>
    <s v="207197925"/>
    <s v="NW"/>
    <n v="40"/>
    <n v="0.7958941979071823"/>
    <x v="5"/>
    <x v="1"/>
    <n v="0"/>
    <x v="1"/>
    <m/>
  </r>
  <r>
    <s v="PPT1_BOI04"/>
    <s v="S1CS07021-WS"/>
    <n v="600"/>
    <s v="207201321"/>
    <s v="NW"/>
    <n v="40"/>
    <n v="0.7958941979071823"/>
    <x v="6"/>
    <x v="1"/>
    <n v="0"/>
    <x v="1"/>
    <m/>
  </r>
  <r>
    <s v="PPT1_BOI04"/>
    <s v="S1CS07021-WS"/>
    <n v="600"/>
    <s v="207197729"/>
    <s v="NW"/>
    <n v="40"/>
    <n v="0.7958941979071823"/>
    <x v="7"/>
    <x v="1"/>
    <n v="0"/>
    <x v="1"/>
    <m/>
  </r>
  <r>
    <s v="PPT1_BOI04"/>
    <s v="S1CS07021-WS"/>
    <n v="600"/>
    <s v="207201324"/>
    <s v="NW"/>
    <n v="40"/>
    <n v="0.7958941979071823"/>
    <x v="8"/>
    <x v="1"/>
    <n v="0"/>
    <x v="1"/>
    <m/>
  </r>
  <r>
    <s v="PPT1_BOI04"/>
    <s v="S1CS07021-WS"/>
    <n v="400"/>
    <s v="207198404"/>
    <s v="NW"/>
    <n v="40"/>
    <n v="0.53059613193812161"/>
    <x v="9"/>
    <x v="1"/>
    <n v="0"/>
    <x v="1"/>
    <m/>
  </r>
  <r>
    <s v="PPT1_BOI04"/>
    <s v="S1CS07021-WS"/>
    <n v="600"/>
    <s v="207197577"/>
    <s v="NW"/>
    <n v="40"/>
    <n v="0.7958941979071823"/>
    <x v="10"/>
    <x v="1"/>
    <n v="0"/>
    <x v="1"/>
    <m/>
  </r>
  <r>
    <s v="PPT1_BOI04"/>
    <s v="S1CS07021-WS"/>
    <n v="600"/>
    <s v="207197564"/>
    <s v="NW"/>
    <n v="40"/>
    <n v="0.7958941979071823"/>
    <x v="12"/>
    <x v="1"/>
    <n v="0"/>
    <x v="1"/>
    <m/>
  </r>
  <r>
    <s v="PPT1_BOI04"/>
    <s v="S1CS07021-WS"/>
    <n v="600"/>
    <s v="207197677"/>
    <s v="NW"/>
    <n v="40"/>
    <n v="0.7958941979071823"/>
    <x v="13"/>
    <x v="1"/>
    <n v="0"/>
    <x v="1"/>
    <m/>
  </r>
  <r>
    <s v="PPT1_BOI04"/>
    <s v="S1CS07021-WS"/>
    <n v="600"/>
    <s v="207197610"/>
    <s v="NW"/>
    <n v="40"/>
    <n v="0.7958941979071823"/>
    <x v="14"/>
    <x v="1"/>
    <n v="0"/>
    <x v="1"/>
    <m/>
  </r>
  <r>
    <s v="PPT1_BOI04"/>
    <s v="S1CS07021-WS"/>
    <n v="600"/>
    <s v="207197607"/>
    <s v="NW"/>
    <n v="40"/>
    <n v="0.7958941979071823"/>
    <x v="15"/>
    <x v="1"/>
    <n v="0"/>
    <x v="1"/>
    <m/>
  </r>
  <r>
    <s v="PPT1_BOI04"/>
    <s v="S1CS07021-WS"/>
    <n v="600"/>
    <s v="207197561"/>
    <s v="NW"/>
    <n v="40"/>
    <n v="0.7958941979071823"/>
    <x v="16"/>
    <x v="1"/>
    <n v="0"/>
    <x v="1"/>
    <m/>
  </r>
  <r>
    <s v="PPT1_BOI04"/>
    <s v="S1CS07021-WS"/>
    <n v="600"/>
    <s v="207197684"/>
    <s v="NW"/>
    <n v="40"/>
    <n v="0.7958941979071823"/>
    <x v="17"/>
    <x v="1"/>
    <n v="0"/>
    <x v="1"/>
    <m/>
  </r>
  <r>
    <s v="PPT1_BOI04"/>
    <s v="S1CS07021-WS"/>
    <n v="600"/>
    <s v="207197681"/>
    <s v="NW"/>
    <n v="40"/>
    <n v="0.7958941979071823"/>
    <x v="18"/>
    <x v="1"/>
    <n v="0"/>
    <x v="1"/>
    <m/>
  </r>
  <r>
    <s v="PPT1_BOI04"/>
    <s v="S1CS07021-WS"/>
    <n v="200"/>
    <s v="207201470"/>
    <s v="NW"/>
    <n v="40"/>
    <n v="0.2652980659690608"/>
    <x v="11"/>
    <x v="1"/>
    <n v="0"/>
    <x v="1"/>
    <m/>
  </r>
  <r>
    <s v="PPT1_BOI04"/>
    <s v="S1CS07021-WS"/>
    <n v="600"/>
    <s v="207197555"/>
    <s v="NW"/>
    <n v="40"/>
    <n v="0.7958941979071823"/>
    <x v="9"/>
    <x v="1"/>
    <n v="0"/>
    <x v="1"/>
    <m/>
  </r>
  <r>
    <s v="PPT1_BOI04"/>
    <s v="S1CS07021-WS"/>
    <n v="600"/>
    <s v="207197550"/>
    <s v="NW"/>
    <n v="40"/>
    <n v="0.7958941979071823"/>
    <x v="11"/>
    <x v="1"/>
    <n v="0"/>
    <x v="1"/>
    <m/>
  </r>
  <r>
    <s v="PPT1_BOI04"/>
    <s v="S1CS07021-WS"/>
    <n v="600"/>
    <s v="207197650"/>
    <s v="NW"/>
    <n v="40"/>
    <n v="0.7958941979071823"/>
    <x v="0"/>
    <x v="1"/>
    <n v="0"/>
    <x v="1"/>
    <m/>
  </r>
  <r>
    <s v="PPT1_BOI04"/>
    <s v="S1CS07021-WS"/>
    <n v="600"/>
    <s v="207201326"/>
    <s v="NW"/>
    <n v="40"/>
    <n v="0.7958941979071823"/>
    <x v="1"/>
    <x v="1"/>
    <n v="0"/>
    <x v="1"/>
    <m/>
  </r>
  <r>
    <s v="PPT1_BOI04"/>
    <s v="S1CS07021-WS"/>
    <n v="600"/>
    <s v="207197713"/>
    <s v="NW"/>
    <n v="40"/>
    <n v="0.7958941979071823"/>
    <x v="2"/>
    <x v="1"/>
    <n v="0"/>
    <x v="1"/>
    <m/>
  </r>
  <r>
    <s v="PPT1_BOI04"/>
    <s v="S1CS07021-WS"/>
    <n v="200"/>
    <s v="207197715"/>
    <s v="NW"/>
    <n v="40"/>
    <n v="0.2652980659690608"/>
    <x v="3"/>
    <x v="1"/>
    <n v="0"/>
    <x v="1"/>
    <m/>
  </r>
  <r>
    <s v="PPT1_BOI04"/>
    <s v="S1CS07021-WS"/>
    <n v="600"/>
    <s v="207197582"/>
    <s v="NW"/>
    <n v="40"/>
    <n v="0.7958941979071823"/>
    <x v="4"/>
    <x v="1"/>
    <n v="0"/>
    <x v="1"/>
    <m/>
  </r>
  <r>
    <s v="PPT1_BOI04"/>
    <s v="S1CS07021-WS"/>
    <n v="600"/>
    <s v="207201328"/>
    <s v="NW"/>
    <n v="40"/>
    <n v="0.7958941979071823"/>
    <x v="5"/>
    <x v="1"/>
    <n v="0"/>
    <x v="1"/>
    <m/>
  </r>
  <r>
    <s v="PPT1_BOI04"/>
    <s v="S1CS07021-WS"/>
    <n v="600"/>
    <s v="207201333"/>
    <s v="NW"/>
    <n v="40"/>
    <n v="0.7958941979071823"/>
    <x v="6"/>
    <x v="1"/>
    <n v="0"/>
    <x v="1"/>
    <m/>
  </r>
  <r>
    <s v="PPT1_BOI04"/>
    <s v="S1CS07021-WS"/>
    <n v="600"/>
    <s v="207197709"/>
    <s v="NW"/>
    <n v="40"/>
    <n v="0.7958941979071823"/>
    <x v="7"/>
    <x v="1"/>
    <n v="0"/>
    <x v="1"/>
    <m/>
  </r>
  <r>
    <s v="PPT1_BOI04"/>
    <s v="S1CS07021-WS"/>
    <n v="600"/>
    <s v="207197655"/>
    <s v="NW"/>
    <n v="40"/>
    <n v="0.7958941979071823"/>
    <x v="8"/>
    <x v="1"/>
    <n v="0"/>
    <x v="1"/>
    <m/>
  </r>
  <r>
    <s v="PPT1_BOI04"/>
    <s v="S1CS07021-WS"/>
    <n v="600"/>
    <s v="207201331"/>
    <s v="NW"/>
    <n v="40"/>
    <n v="0.7958941979071823"/>
    <x v="10"/>
    <x v="1"/>
    <n v="0"/>
    <x v="1"/>
    <m/>
  </r>
  <r>
    <s v="PPT1_BOI04"/>
    <s v="S1CS03061-WS"/>
    <n v="450"/>
    <s v="207198952"/>
    <s v="WS"/>
    <n v="3"/>
    <n v="0.40709542430926898"/>
    <x v="7"/>
    <x v="1"/>
    <n v="31050"/>
    <x v="0"/>
    <m/>
  </r>
  <r>
    <s v="PPT1_BOI04"/>
    <s v="S1CS03061-WS"/>
    <n v="450"/>
    <s v="207201963"/>
    <s v="WS"/>
    <n v="3"/>
    <n v="0.40709542430926898"/>
    <x v="8"/>
    <x v="1"/>
    <n v="31050"/>
    <x v="0"/>
    <m/>
  </r>
  <r>
    <s v="PPT1_BOI04"/>
    <s v="S1CS03061-WS"/>
    <n v="450"/>
    <s v="207199034"/>
    <s v="WS"/>
    <n v="3"/>
    <n v="0.40709542430926898"/>
    <x v="9"/>
    <x v="1"/>
    <n v="31050"/>
    <x v="0"/>
    <m/>
  </r>
  <r>
    <s v="PPT1_BOI04"/>
    <s v="S1CS03061-WS"/>
    <n v="450"/>
    <s v="207199116"/>
    <s v="WS"/>
    <n v="3"/>
    <n v="0.40709542430926898"/>
    <x v="7"/>
    <x v="1"/>
    <n v="31050"/>
    <x v="0"/>
    <m/>
  </r>
  <r>
    <s v="PPT1_BOI04"/>
    <s v="S1CS03061-WS"/>
    <n v="450"/>
    <s v="207201966"/>
    <s v="WS"/>
    <n v="3"/>
    <n v="0.40709542430926898"/>
    <x v="8"/>
    <x v="1"/>
    <n v="31050"/>
    <x v="0"/>
    <m/>
  </r>
  <r>
    <s v="PPT1_BOI04"/>
    <s v="S1CS06288-WS"/>
    <n v="540"/>
    <s v="207201547"/>
    <s v="WS"/>
    <n v="10"/>
    <n v="0.90337157029917836"/>
    <x v="10"/>
    <x v="1"/>
    <n v="24840"/>
    <x v="0"/>
    <m/>
  </r>
  <r>
    <s v="PPT1_BOI04"/>
    <s v="S1CS06288-WS"/>
    <n v="540"/>
    <s v="207201513"/>
    <s v="WS"/>
    <n v="10"/>
    <n v="0.90337157029917836"/>
    <x v="11"/>
    <x v="1"/>
    <n v="24840"/>
    <x v="0"/>
    <m/>
  </r>
  <r>
    <s v="PPT1_BOI04"/>
    <s v="S1CS06288-WS"/>
    <n v="540"/>
    <s v="207201507"/>
    <s v="WS"/>
    <n v="10"/>
    <n v="0.90337157029917836"/>
    <x v="12"/>
    <x v="1"/>
    <n v="24840"/>
    <x v="0"/>
    <m/>
  </r>
  <r>
    <s v="PPT1_BOI04"/>
    <s v="S1CS06288-WS"/>
    <n v="540"/>
    <s v="207201503"/>
    <s v="WS"/>
    <n v="10"/>
    <n v="0.90337157029917836"/>
    <x v="13"/>
    <x v="1"/>
    <n v="24840"/>
    <x v="0"/>
    <m/>
  </r>
  <r>
    <s v="PPT1_BOI04"/>
    <s v="S1CS06288-WS"/>
    <n v="540"/>
    <s v="207201552"/>
    <s v="WS"/>
    <n v="10"/>
    <n v="0.90337157029917836"/>
    <x v="14"/>
    <x v="1"/>
    <n v="24840"/>
    <x v="0"/>
    <m/>
  </r>
  <r>
    <s v="PPT1_BOI04"/>
    <s v="S1CS06288-WS"/>
    <n v="540"/>
    <s v="207201586"/>
    <s v="WS"/>
    <n v="10"/>
    <n v="0.90337157029917836"/>
    <x v="15"/>
    <x v="1"/>
    <n v="24840"/>
    <x v="0"/>
    <m/>
  </r>
  <r>
    <s v="PPT1_BOI04"/>
    <s v="S1CS06288-WS"/>
    <n v="540"/>
    <s v="207201556"/>
    <s v="WS"/>
    <n v="10"/>
    <n v="0.90337157029917836"/>
    <x v="16"/>
    <x v="1"/>
    <n v="24840"/>
    <x v="0"/>
    <m/>
  </r>
  <r>
    <s v="PPT1_BOI04"/>
    <s v="S1CS03066-WS"/>
    <n v="300"/>
    <s v="207200830"/>
    <s v="WS"/>
    <n v="7"/>
    <n v="0.4705522410891847"/>
    <x v="17"/>
    <x v="1"/>
    <n v="24600"/>
    <x v="0"/>
    <m/>
  </r>
  <r>
    <s v="PPT1_BOI04"/>
    <s v="S1CS03066-WS"/>
    <n v="300"/>
    <s v="207200839"/>
    <s v="WS"/>
    <n v="7"/>
    <n v="0.4705522410891847"/>
    <x v="18"/>
    <x v="1"/>
    <n v="24600"/>
    <x v="0"/>
    <m/>
  </r>
  <r>
    <s v="PPT1_BOI04"/>
    <s v="S1CS03066-WS"/>
    <n v="300"/>
    <s v="207200842"/>
    <s v="WS"/>
    <n v="7"/>
    <n v="0.4705522410891847"/>
    <x v="6"/>
    <x v="1"/>
    <n v="24600"/>
    <x v="0"/>
    <m/>
  </r>
  <r>
    <s v="PPT1_BOI04"/>
    <s v="S1CS03066-WS"/>
    <n v="300"/>
    <s v="207200837"/>
    <s v="WS"/>
    <n v="7"/>
    <n v="0.4705522410891847"/>
    <x v="1"/>
    <x v="1"/>
    <n v="24600"/>
    <x v="0"/>
    <m/>
  </r>
  <r>
    <s v="PPT1_BOI04"/>
    <s v="S1CS03066-WS"/>
    <n v="300"/>
    <s v="207200831"/>
    <s v="WS"/>
    <n v="7"/>
    <n v="0.4705522410891847"/>
    <x v="2"/>
    <x v="1"/>
    <n v="24600"/>
    <x v="0"/>
    <m/>
  </r>
  <r>
    <s v="PPT1_BOI04"/>
    <s v="S1CS03066-WS"/>
    <n v="300"/>
    <s v="207200832"/>
    <s v="WS"/>
    <n v="7"/>
    <n v="0.4705522410891847"/>
    <x v="3"/>
    <x v="1"/>
    <n v="24600"/>
    <x v="0"/>
    <m/>
  </r>
  <r>
    <s v="PPT1_BOI04"/>
    <s v="S1CS03066-WS"/>
    <n v="300"/>
    <s v="207200833"/>
    <s v="WS"/>
    <n v="7"/>
    <n v="0.4705522410891847"/>
    <x v="4"/>
    <x v="1"/>
    <n v="24600"/>
    <x v="0"/>
    <m/>
  </r>
  <r>
    <s v="PPT1_BOI04"/>
    <s v="S1CS03066-WS"/>
    <n v="300"/>
    <s v="207200825"/>
    <s v="WS"/>
    <n v="7"/>
    <n v="0.4705522410891847"/>
    <x v="17"/>
    <x v="1"/>
    <n v="24600"/>
    <x v="0"/>
    <m/>
  </r>
  <r>
    <s v="PPT1_BOI04"/>
    <s v="S1CS03066-WS"/>
    <n v="300"/>
    <s v="207200845"/>
    <s v="WS"/>
    <n v="7"/>
    <n v="0.4705522410891847"/>
    <x v="18"/>
    <x v="1"/>
    <n v="24600"/>
    <x v="0"/>
    <m/>
  </r>
  <r>
    <s v="PPT1_BOI04"/>
    <s v="S1CS03066-WS"/>
    <n v="300"/>
    <s v="207200824"/>
    <s v="WS"/>
    <n v="7"/>
    <n v="0.4705522410891847"/>
    <x v="6"/>
    <x v="1"/>
    <n v="24600"/>
    <x v="0"/>
    <m/>
  </r>
  <r>
    <s v="PPT1_BOI04"/>
    <s v="S1CS03921-WS"/>
    <n v="300"/>
    <s v="207198761"/>
    <s v="WS"/>
    <n v="7"/>
    <n v="0.25677180471828021"/>
    <x v="5"/>
    <x v="1"/>
    <n v="23100"/>
    <x v="0"/>
    <m/>
  </r>
  <r>
    <s v="PPT1_BOI04"/>
    <s v="S1CS03921-WS"/>
    <n v="300"/>
    <s v="207198819"/>
    <s v="WS"/>
    <n v="7"/>
    <n v="0.25677180471828021"/>
    <x v="0"/>
    <x v="1"/>
    <n v="23100"/>
    <x v="0"/>
    <m/>
  </r>
  <r>
    <s v="PPT1_BOI04"/>
    <s v="S1CS03921-WS"/>
    <n v="300"/>
    <s v="207198763"/>
    <s v="WS"/>
    <n v="7"/>
    <n v="0.25677180471828021"/>
    <x v="10"/>
    <x v="1"/>
    <n v="23100"/>
    <x v="0"/>
    <m/>
  </r>
  <r>
    <s v="PPT1_BOI04"/>
    <s v="S1CS03921-WS"/>
    <n v="300"/>
    <s v="207208087"/>
    <s v="WS"/>
    <n v="7"/>
    <n v="0.25677180471828021"/>
    <x v="11"/>
    <x v="1"/>
    <n v="23100"/>
    <x v="0"/>
    <m/>
  </r>
  <r>
    <s v="PPT1_BOI04"/>
    <s v="S1CS03921-WS"/>
    <n v="300"/>
    <s v="207198758"/>
    <s v="WS"/>
    <n v="7"/>
    <n v="0.25677180471828021"/>
    <x v="12"/>
    <x v="1"/>
    <n v="23100"/>
    <x v="0"/>
    <m/>
  </r>
  <r>
    <s v="PPT1_BOI04"/>
    <s v="S1CS03921-WS"/>
    <n v="300"/>
    <s v="207198691"/>
    <s v="WS"/>
    <n v="7"/>
    <n v="0.25677180471828021"/>
    <x v="13"/>
    <x v="1"/>
    <n v="23100"/>
    <x v="0"/>
    <m/>
  </r>
  <r>
    <s v="PPT1_BOI04"/>
    <s v="S1CS03921-WS"/>
    <n v="300"/>
    <s v="207199177"/>
    <s v="WS"/>
    <n v="7"/>
    <n v="0.25677180471828021"/>
    <x v="14"/>
    <x v="1"/>
    <n v="23100"/>
    <x v="0"/>
    <m/>
  </r>
  <r>
    <s v="PPT1_BOI04"/>
    <s v="S1CS03921-WS"/>
    <n v="300"/>
    <s v="207198693"/>
    <s v="WS"/>
    <n v="7"/>
    <n v="0.25677180471828021"/>
    <x v="5"/>
    <x v="1"/>
    <n v="23100"/>
    <x v="0"/>
    <m/>
  </r>
  <r>
    <s v="PPT1_BOI04"/>
    <s v="S1CS03921-WS"/>
    <n v="300"/>
    <s v="207198694"/>
    <s v="WS"/>
    <n v="7"/>
    <n v="0.25677180471828021"/>
    <x v="0"/>
    <x v="1"/>
    <n v="23100"/>
    <x v="0"/>
    <m/>
  </r>
  <r>
    <s v="PPT1_BOI04"/>
    <s v="S1CS03921-WS"/>
    <n v="300"/>
    <s v="207201224"/>
    <s v="WS"/>
    <n v="7"/>
    <n v="0.25677180471828021"/>
    <x v="10"/>
    <x v="1"/>
    <n v="23100"/>
    <x v="0"/>
    <m/>
  </r>
  <r>
    <s v="PPT1_BOI04"/>
    <s v="S1CS03921-WS"/>
    <n v="300"/>
    <s v="207208092"/>
    <s v="WS"/>
    <n v="7"/>
    <n v="0.25677180471828021"/>
    <x v="11"/>
    <x v="1"/>
    <n v="23100"/>
    <x v="0"/>
    <m/>
  </r>
  <r>
    <s v="PPT1_BOI04"/>
    <s v="S1CS03921-WS"/>
    <n v="300"/>
    <s v="207201226"/>
    <s v="WS"/>
    <n v="7"/>
    <n v="0.25677180471828021"/>
    <x v="12"/>
    <x v="1"/>
    <n v="23100"/>
    <x v="0"/>
    <m/>
  </r>
  <r>
    <s v="PPT1_BOI04"/>
    <s v="S1CS03921-WS"/>
    <n v="300"/>
    <s v="207208094"/>
    <s v="WS"/>
    <n v="7"/>
    <n v="0.25677180471828021"/>
    <x v="13"/>
    <x v="1"/>
    <n v="23100"/>
    <x v="0"/>
    <m/>
  </r>
  <r>
    <s v="PPT1_BOI04"/>
    <s v="S1CS03921-WS"/>
    <n v="300"/>
    <s v="207208093"/>
    <s v="WS"/>
    <n v="7"/>
    <n v="0.25677180471828021"/>
    <x v="14"/>
    <x v="1"/>
    <n v="23100"/>
    <x v="0"/>
    <m/>
  </r>
  <r>
    <s v="PPT1_BOI04"/>
    <s v="S1CS03921-WS"/>
    <n v="300"/>
    <s v="207201217"/>
    <s v="WS"/>
    <n v="7"/>
    <n v="0.25677180471828021"/>
    <x v="5"/>
    <x v="1"/>
    <n v="23100"/>
    <x v="0"/>
    <m/>
  </r>
  <r>
    <s v="PPT1_BOI04"/>
    <s v="S1CS03921-WS"/>
    <n v="300"/>
    <s v="207201215"/>
    <s v="WS"/>
    <n v="7"/>
    <n v="0.25677180471828021"/>
    <x v="0"/>
    <x v="1"/>
    <n v="23100"/>
    <x v="0"/>
    <m/>
  </r>
  <r>
    <s v="PPT1_BOI04"/>
    <s v="S1CS03921-WS"/>
    <n v="300"/>
    <s v="207208090"/>
    <s v="WS"/>
    <n v="7"/>
    <n v="0.25677180471828021"/>
    <x v="10"/>
    <x v="1"/>
    <n v="23100"/>
    <x v="0"/>
    <m/>
  </r>
  <r>
    <s v="PPT1_BOI04"/>
    <s v="S1CS03921-WS"/>
    <n v="300"/>
    <s v="207201222"/>
    <s v="WS"/>
    <n v="7"/>
    <n v="0.25677180471828021"/>
    <x v="11"/>
    <x v="1"/>
    <n v="23100"/>
    <x v="0"/>
    <m/>
  </r>
  <r>
    <s v="PPT1_BOI04"/>
    <s v="S1CS03921-WS"/>
    <n v="300"/>
    <s v="207208091"/>
    <s v="WS"/>
    <n v="7"/>
    <n v="0.25677180471828021"/>
    <x v="12"/>
    <x v="1"/>
    <n v="23100"/>
    <x v="0"/>
    <m/>
  </r>
  <r>
    <s v="PPT1_BOI04"/>
    <s v="S1CS03921-WS"/>
    <n v="300"/>
    <s v="207208095"/>
    <s v="WS"/>
    <n v="7"/>
    <n v="0.25677180471828021"/>
    <x v="13"/>
    <x v="1"/>
    <n v="23100"/>
    <x v="0"/>
    <m/>
  </r>
  <r>
    <s v="PPT1_BOI04"/>
    <s v="S1CS03921-WS"/>
    <n v="300"/>
    <s v="207201246"/>
    <s v="WS"/>
    <n v="7"/>
    <n v="0.25677180471828021"/>
    <x v="14"/>
    <x v="1"/>
    <n v="23100"/>
    <x v="0"/>
    <m/>
  </r>
  <r>
    <s v="PPT1_BOI04"/>
    <s v="S1CS03921-WS"/>
    <n v="300"/>
    <s v="207201244"/>
    <s v="WS"/>
    <n v="7"/>
    <n v="0.25677180471828021"/>
    <x v="5"/>
    <x v="1"/>
    <n v="23100"/>
    <x v="0"/>
    <m/>
  </r>
  <r>
    <s v="PPT1_BOI04"/>
    <s v="S1CS03921-WS"/>
    <n v="300"/>
    <s v="207201247"/>
    <s v="WS"/>
    <n v="7"/>
    <n v="0.25677180471828021"/>
    <x v="0"/>
    <x v="1"/>
    <n v="23100"/>
    <x v="0"/>
    <m/>
  </r>
  <r>
    <s v="PPT1_BOI04"/>
    <s v="S1CS03921-WS"/>
    <n v="300"/>
    <s v="207201249"/>
    <s v="WS"/>
    <n v="7"/>
    <n v="0.25677180471828021"/>
    <x v="10"/>
    <x v="1"/>
    <n v="23100"/>
    <x v="0"/>
    <m/>
  </r>
  <r>
    <s v="PPT1_BOI04"/>
    <s v="S1CS03921-WS"/>
    <n v="300"/>
    <s v="207208097"/>
    <s v="WS"/>
    <n v="7"/>
    <n v="0.25677180471828021"/>
    <x v="11"/>
    <x v="1"/>
    <n v="23100"/>
    <x v="0"/>
    <m/>
  </r>
  <r>
    <s v="PPT1_BOI04"/>
    <s v="S1CS03921-WS"/>
    <n v="300"/>
    <s v="207201238"/>
    <s v="WS"/>
    <n v="7"/>
    <n v="0.25677180471828021"/>
    <x v="12"/>
    <x v="1"/>
    <n v="23100"/>
    <x v="0"/>
    <m/>
  </r>
  <r>
    <s v="PPT1_BOI04"/>
    <s v="S1CS03921-WS"/>
    <n v="300"/>
    <s v="207208096"/>
    <s v="WS"/>
    <n v="7"/>
    <n v="0.25677180471828021"/>
    <x v="13"/>
    <x v="1"/>
    <n v="23100"/>
    <x v="0"/>
    <m/>
  </r>
  <r>
    <s v="PPT1_BOI04"/>
    <s v="S1CS03921-WS"/>
    <n v="300"/>
    <s v="207201240"/>
    <s v="WS"/>
    <n v="7"/>
    <n v="0.25677180471828021"/>
    <x v="14"/>
    <x v="1"/>
    <n v="23100"/>
    <x v="0"/>
    <m/>
  </r>
  <r>
    <s v="PPT1_BOI04"/>
    <s v="S1CS03921-WS"/>
    <n v="300"/>
    <s v="207199209"/>
    <s v="WS"/>
    <n v="7"/>
    <n v="0.25677180471828021"/>
    <x v="5"/>
    <x v="1"/>
    <n v="23100"/>
    <x v="0"/>
    <m/>
  </r>
  <r>
    <s v="PPT1_BOI04"/>
    <s v="S1CS03921-WS"/>
    <n v="300"/>
    <s v="207201242"/>
    <s v="WS"/>
    <n v="7"/>
    <n v="0.25677180471828021"/>
    <x v="0"/>
    <x v="1"/>
    <n v="23100"/>
    <x v="0"/>
    <m/>
  </r>
  <r>
    <s v="PPT1_BOI04"/>
    <s v="S1CS03921-WS"/>
    <n v="300"/>
    <s v="207201214"/>
    <s v="WS"/>
    <n v="7"/>
    <n v="0.25677180471828021"/>
    <x v="10"/>
    <x v="1"/>
    <n v="23100"/>
    <x v="0"/>
    <m/>
  </r>
  <r>
    <s v="PPT1_BOI04"/>
    <s v="S1CS03921-WS"/>
    <n v="300"/>
    <s v="207201148"/>
    <s v="WS"/>
    <n v="7"/>
    <n v="0.25677180471828021"/>
    <x v="11"/>
    <x v="1"/>
    <n v="23100"/>
    <x v="0"/>
    <m/>
  </r>
  <r>
    <s v="PPT1_BOI04"/>
    <s v="S1CS03921-WS"/>
    <n v="300"/>
    <s v="207201150"/>
    <s v="WS"/>
    <n v="7"/>
    <n v="0.25677180471828021"/>
    <x v="12"/>
    <x v="1"/>
    <n v="23100"/>
    <x v="0"/>
    <m/>
  </r>
  <r>
    <s v="PPT1_BOI04"/>
    <s v="S1CS03921-WS"/>
    <n v="300"/>
    <s v="207201146"/>
    <s v="WS"/>
    <n v="7"/>
    <n v="0.25677180471828021"/>
    <x v="13"/>
    <x v="1"/>
    <n v="23100"/>
    <x v="0"/>
    <m/>
  </r>
  <r>
    <s v="PPT1_BOI04"/>
    <s v="S1CS03921-WS"/>
    <n v="300"/>
    <s v="207201199"/>
    <s v="WS"/>
    <n v="7"/>
    <n v="0.25677180471828021"/>
    <x v="14"/>
    <x v="1"/>
    <n v="23100"/>
    <x v="0"/>
    <m/>
  </r>
  <r>
    <s v="PPT1_BOI04"/>
    <s v="S1CS03921-WS"/>
    <n v="300"/>
    <s v="207201197"/>
    <s v="WS"/>
    <n v="7"/>
    <n v="0.25677180471828021"/>
    <x v="5"/>
    <x v="1"/>
    <n v="23100"/>
    <x v="0"/>
    <m/>
  </r>
  <r>
    <s v="PPT1_BOI04"/>
    <s v="S1CS03921-WS"/>
    <n v="300"/>
    <s v="207201183"/>
    <s v="WS"/>
    <n v="7"/>
    <n v="0.25677180471828021"/>
    <x v="0"/>
    <x v="1"/>
    <n v="23100"/>
    <x v="0"/>
    <m/>
  </r>
  <r>
    <s v="PPT1_BOI04"/>
    <s v="S1CS03921-WS"/>
    <n v="300"/>
    <s v="207201185"/>
    <s v="WS"/>
    <n v="7"/>
    <n v="0.25677180471828021"/>
    <x v="10"/>
    <x v="1"/>
    <n v="23100"/>
    <x v="0"/>
    <m/>
  </r>
  <r>
    <s v="PPT1_BOI04"/>
    <s v="S1CS03921-WS"/>
    <n v="300"/>
    <s v="207208088"/>
    <s v="WS"/>
    <n v="7"/>
    <n v="0.25677180471828021"/>
    <x v="11"/>
    <x v="1"/>
    <n v="23100"/>
    <x v="0"/>
    <m/>
  </r>
  <r>
    <s v="PPT1_BOI04"/>
    <s v="S1CS03921-WS"/>
    <n v="300"/>
    <s v="207201152"/>
    <s v="WS"/>
    <n v="7"/>
    <n v="0.25677180471828021"/>
    <x v="12"/>
    <x v="1"/>
    <n v="23100"/>
    <x v="0"/>
    <m/>
  </r>
  <r>
    <s v="PPT1_BOI04"/>
    <s v="S1CS03921-WS"/>
    <n v="300"/>
    <s v="207197636"/>
    <s v="WS"/>
    <n v="7"/>
    <n v="0.25677180471828021"/>
    <x v="13"/>
    <x v="1"/>
    <n v="23100"/>
    <x v="0"/>
    <m/>
  </r>
  <r>
    <s v="PPT1_BOI04"/>
    <s v="S1CS03921-WS"/>
    <n v="300"/>
    <s v="207199237"/>
    <s v="WS"/>
    <n v="7"/>
    <n v="0.25677180471828021"/>
    <x v="14"/>
    <x v="1"/>
    <n v="23100"/>
    <x v="0"/>
    <m/>
  </r>
  <r>
    <s v="PPT1_BOI04"/>
    <s v="S1CS03921-WS"/>
    <n v="300"/>
    <s v="207208089"/>
    <s v="WS"/>
    <n v="7"/>
    <n v="0.25677180471828021"/>
    <x v="5"/>
    <x v="1"/>
    <n v="23100"/>
    <x v="0"/>
    <m/>
  </r>
  <r>
    <s v="PPT1_BOI04"/>
    <s v="S1CS03921-WS"/>
    <n v="300"/>
    <s v="207201210"/>
    <s v="WS"/>
    <n v="7"/>
    <n v="0.25677180471828021"/>
    <x v="0"/>
    <x v="1"/>
    <n v="23100"/>
    <x v="0"/>
    <m/>
  </r>
  <r>
    <s v="PPT1_BOI04"/>
    <s v="S1CS03921-WS"/>
    <n v="300"/>
    <s v="207199213"/>
    <s v="WS"/>
    <n v="7"/>
    <n v="0.25677180471828021"/>
    <x v="10"/>
    <x v="1"/>
    <n v="23100"/>
    <x v="0"/>
    <m/>
  </r>
  <r>
    <s v="PPT1_BOI04"/>
    <s v="S1CS03921-WS"/>
    <n v="300"/>
    <s v="207201212"/>
    <s v="WS"/>
    <n v="7"/>
    <n v="0.25677180471828021"/>
    <x v="11"/>
    <x v="1"/>
    <n v="23100"/>
    <x v="0"/>
    <m/>
  </r>
  <r>
    <s v="PPT1_BOI04"/>
    <s v="S1CS03921-WS"/>
    <n v="300"/>
    <s v="207201201"/>
    <s v="WS"/>
    <n v="7"/>
    <n v="0.25677180471828021"/>
    <x v="12"/>
    <x v="1"/>
    <n v="23100"/>
    <x v="0"/>
    <m/>
  </r>
  <r>
    <s v="PPT1_BOI04"/>
    <s v="S1CS03921-WS"/>
    <n v="300"/>
    <s v="207197634"/>
    <s v="WS"/>
    <n v="7"/>
    <n v="0.25677180471828021"/>
    <x v="13"/>
    <x v="1"/>
    <n v="23100"/>
    <x v="0"/>
    <m/>
  </r>
  <r>
    <s v="PPT1_BOI04"/>
    <s v="S1CS03921-WS"/>
    <n v="300"/>
    <s v="207201123"/>
    <s v="WS"/>
    <n v="7"/>
    <n v="0.25677180471828021"/>
    <x v="14"/>
    <x v="1"/>
    <n v="23100"/>
    <x v="0"/>
    <m/>
  </r>
  <r>
    <s v="PPT1_BOI04"/>
    <s v="S1CS03921-WS"/>
    <n v="300"/>
    <s v="207201121"/>
    <s v="WS"/>
    <n v="7"/>
    <n v="0.25677180471828021"/>
    <x v="5"/>
    <x v="1"/>
    <n v="23100"/>
    <x v="0"/>
    <m/>
  </r>
  <r>
    <s v="PPT1_BOI04"/>
    <s v="S1CS03921-WS"/>
    <n v="300"/>
    <s v="207201203"/>
    <s v="WS"/>
    <n v="7"/>
    <n v="0.25677180471828021"/>
    <x v="0"/>
    <x v="1"/>
    <n v="23100"/>
    <x v="0"/>
    <m/>
  </r>
  <r>
    <s v="PPT1_BOI04"/>
    <s v="S1CS03921-WS"/>
    <n v="300"/>
    <s v="207201290"/>
    <s v="WS"/>
    <n v="7"/>
    <n v="0.25677180471828021"/>
    <x v="10"/>
    <x v="1"/>
    <n v="23100"/>
    <x v="0"/>
    <m/>
  </r>
  <r>
    <s v="PPT1_BOI04"/>
    <s v="S1CS03921-WS"/>
    <n v="300"/>
    <s v="207201288"/>
    <s v="WS"/>
    <n v="7"/>
    <n v="0.25677180471828021"/>
    <x v="11"/>
    <x v="1"/>
    <n v="23100"/>
    <x v="0"/>
    <m/>
  </r>
  <r>
    <s v="PPT1_BOI04"/>
    <s v="S1CS03921-WS"/>
    <n v="300"/>
    <s v="207201296"/>
    <s v="WS"/>
    <n v="7"/>
    <n v="0.25677180471828021"/>
    <x v="12"/>
    <x v="1"/>
    <n v="23100"/>
    <x v="0"/>
    <m/>
  </r>
  <r>
    <s v="PPT1_BOI04"/>
    <s v="S1CS03921-WS"/>
    <n v="300"/>
    <s v="207201292"/>
    <s v="WS"/>
    <n v="7"/>
    <n v="0.25677180471828021"/>
    <x v="13"/>
    <x v="1"/>
    <n v="23100"/>
    <x v="0"/>
    <m/>
  </r>
  <r>
    <s v="PPT1_BOI04"/>
    <s v="S1CS03921-WS"/>
    <n v="300"/>
    <s v="207201276"/>
    <s v="WS"/>
    <n v="7"/>
    <n v="0.25677180471828021"/>
    <x v="14"/>
    <x v="1"/>
    <n v="23100"/>
    <x v="0"/>
    <m/>
  </r>
  <r>
    <s v="PPT1_BOI04"/>
    <s v="S1CS03921-WS"/>
    <n v="300"/>
    <s v="207201275"/>
    <s v="WS"/>
    <n v="7"/>
    <n v="0.25677180471828021"/>
    <x v="5"/>
    <x v="1"/>
    <n v="23100"/>
    <x v="0"/>
    <m/>
  </r>
  <r>
    <s v="PPT1_BOI04"/>
    <s v="S1CS03921-WS"/>
    <n v="300"/>
    <s v="207201125"/>
    <s v="WS"/>
    <n v="7"/>
    <n v="0.25677180471828021"/>
    <x v="0"/>
    <x v="1"/>
    <n v="23100"/>
    <x v="0"/>
    <m/>
  </r>
  <r>
    <s v="PPT1_BOI04"/>
    <s v="S1CS03921-WS"/>
    <n v="300"/>
    <s v="207208099"/>
    <s v="WS"/>
    <n v="7"/>
    <n v="0.25677180471828021"/>
    <x v="10"/>
    <x v="1"/>
    <n v="23100"/>
    <x v="0"/>
    <m/>
  </r>
  <r>
    <s v="PPT1_BOI04"/>
    <s v="S1CS03921-WS"/>
    <n v="300"/>
    <s v="207199185"/>
    <s v="WS"/>
    <n v="7"/>
    <n v="0.25677180471828021"/>
    <x v="11"/>
    <x v="1"/>
    <n v="23100"/>
    <x v="0"/>
    <m/>
  </r>
  <r>
    <s v="PPT1_BOI04"/>
    <s v="S1CS03921-WS"/>
    <n v="300"/>
    <s v="207201317"/>
    <s v="WS"/>
    <n v="7"/>
    <n v="0.25677180471828021"/>
    <x v="12"/>
    <x v="1"/>
    <n v="23100"/>
    <x v="0"/>
    <m/>
  </r>
  <r>
    <s v="PPT1_BOI04"/>
    <s v="S1CS03921-WS"/>
    <n v="300"/>
    <s v="207199181"/>
    <s v="WS"/>
    <n v="7"/>
    <n v="0.25677180471828021"/>
    <x v="13"/>
    <x v="1"/>
    <n v="23100"/>
    <x v="0"/>
    <m/>
  </r>
  <r>
    <s v="PPT1_BOI04"/>
    <s v="S1CS03921-WS"/>
    <n v="300"/>
    <s v="207201302"/>
    <s v="WS"/>
    <n v="7"/>
    <n v="0.25677180471828021"/>
    <x v="14"/>
    <x v="1"/>
    <n v="23100"/>
    <x v="0"/>
    <m/>
  </r>
  <r>
    <s v="PPT1_BOI04"/>
    <s v="S1CS03921-WS"/>
    <n v="300"/>
    <s v="207201298"/>
    <s v="WS"/>
    <n v="7"/>
    <n v="0.25677180471828021"/>
    <x v="5"/>
    <x v="1"/>
    <n v="23100"/>
    <x v="0"/>
    <m/>
  </r>
  <r>
    <s v="PPT1_BOI04"/>
    <s v="S1CS03921-WS"/>
    <n v="300"/>
    <s v="207201306"/>
    <s v="WS"/>
    <n v="7"/>
    <n v="0.25677180471828021"/>
    <x v="0"/>
    <x v="1"/>
    <n v="23100"/>
    <x v="0"/>
    <m/>
  </r>
  <r>
    <s v="PPT1_BOI04"/>
    <s v="S1CS03921-WS"/>
    <n v="300"/>
    <s v="207201304"/>
    <s v="WS"/>
    <n v="7"/>
    <n v="0.25677180471828021"/>
    <x v="10"/>
    <x v="1"/>
    <n v="23100"/>
    <x v="0"/>
    <m/>
  </r>
  <r>
    <s v="PPT1_BOI04"/>
    <s v="S1CS03921-WS"/>
    <n v="300"/>
    <s v="207201255"/>
    <s v="WS"/>
    <n v="7"/>
    <n v="0.25677180471828021"/>
    <x v="11"/>
    <x v="1"/>
    <n v="23100"/>
    <x v="0"/>
    <m/>
  </r>
  <r>
    <s v="PPT1_BOI04"/>
    <s v="S1CS03921-WS"/>
    <n v="300"/>
    <s v="207201267"/>
    <s v="WS"/>
    <n v="7"/>
    <n v="0.25677180471828021"/>
    <x v="12"/>
    <x v="1"/>
    <n v="23100"/>
    <x v="0"/>
    <m/>
  </r>
  <r>
    <s v="PPT1_BOI04"/>
    <s v="S1CS03921-WS"/>
    <n v="300"/>
    <s v="207201253"/>
    <s v="WS"/>
    <n v="7"/>
    <n v="0.25677180471828021"/>
    <x v="13"/>
    <x v="1"/>
    <n v="23100"/>
    <x v="0"/>
    <m/>
  </r>
  <r>
    <s v="PPT1_BOI04"/>
    <s v="S1CS03921-WS"/>
    <n v="300"/>
    <s v="207208098"/>
    <s v="WS"/>
    <n v="7"/>
    <n v="0.25677180471828021"/>
    <x v="14"/>
    <x v="1"/>
    <n v="23100"/>
    <x v="0"/>
    <m/>
  </r>
  <r>
    <s v="PPT1_BOI04"/>
    <s v="S1CS03921-WS"/>
    <n v="300"/>
    <s v="207201251"/>
    <s v="WS"/>
    <n v="7"/>
    <n v="0.25677180471828021"/>
    <x v="5"/>
    <x v="1"/>
    <n v="23100"/>
    <x v="0"/>
    <m/>
  </r>
  <r>
    <s v="PPT1_BOI04"/>
    <s v="S1CS03921-WS"/>
    <n v="300"/>
    <s v="207201269"/>
    <s v="WS"/>
    <n v="7"/>
    <n v="0.25677180471828021"/>
    <x v="0"/>
    <x v="1"/>
    <n v="23100"/>
    <x v="0"/>
    <m/>
  </r>
  <r>
    <s v="PPT1_BOI04"/>
    <s v="S1CS03921-WS"/>
    <n v="300"/>
    <s v="207201271"/>
    <s v="WS"/>
    <n v="7"/>
    <n v="0.25677180471828021"/>
    <x v="10"/>
    <x v="1"/>
    <n v="23100"/>
    <x v="0"/>
    <m/>
  </r>
  <r>
    <s v="PPT1_BOI04"/>
    <s v="S1CS03921-WS"/>
    <n v="300"/>
    <s v="207201273"/>
    <s v="WS"/>
    <n v="7"/>
    <n v="0.25677180471828021"/>
    <x v="11"/>
    <x v="1"/>
    <n v="23100"/>
    <x v="0"/>
    <m/>
  </r>
  <r>
    <s v="PPT1_BOI04"/>
    <s v="S1CS04056-WS"/>
    <n v="225"/>
    <s v="207201557"/>
    <s v="WS"/>
    <n v="2"/>
    <n v="0.32947146174061692"/>
    <x v="15"/>
    <x v="1"/>
    <n v="21600"/>
    <x v="0"/>
    <m/>
  </r>
  <r>
    <s v="PPT1_BOI04"/>
    <s v="S1CS04056-WS"/>
    <n v="225"/>
    <s v="207201596"/>
    <s v="WS"/>
    <n v="2"/>
    <n v="0.32947146174061692"/>
    <x v="16"/>
    <x v="1"/>
    <n v="21600"/>
    <x v="0"/>
    <m/>
  </r>
  <r>
    <s v="PPT1_BOI04"/>
    <s v="S1CS04056-WS"/>
    <n v="225"/>
    <s v="207201541"/>
    <s v="WS"/>
    <n v="2"/>
    <n v="0.32947146174061692"/>
    <x v="15"/>
    <x v="1"/>
    <n v="21600"/>
    <x v="0"/>
    <m/>
  </r>
  <r>
    <s v="PPT1_BOI04"/>
    <s v="S1CS04056-WS"/>
    <n v="225"/>
    <s v="207201543"/>
    <s v="WS"/>
    <n v="2"/>
    <n v="0.32947146174061692"/>
    <x v="16"/>
    <x v="1"/>
    <n v="21600"/>
    <x v="0"/>
    <m/>
  </r>
  <r>
    <s v="PPT1_BOI04"/>
    <s v="S1CS04056-WS"/>
    <n v="225"/>
    <s v="207201593"/>
    <s v="WS"/>
    <n v="2"/>
    <n v="0.32947146174061692"/>
    <x v="15"/>
    <x v="1"/>
    <n v="21600"/>
    <x v="0"/>
    <m/>
  </r>
  <r>
    <s v="PPT1_BOI04"/>
    <s v="S1CS04056-WS"/>
    <n v="225"/>
    <s v="207201589"/>
    <s v="WS"/>
    <n v="2"/>
    <n v="0.32947146174061692"/>
    <x v="16"/>
    <x v="1"/>
    <n v="21600"/>
    <x v="0"/>
    <m/>
  </r>
  <r>
    <s v="PPT1_BOI04"/>
    <s v="S1CS04056-WS"/>
    <n v="225"/>
    <s v="207197522"/>
    <s v="WS"/>
    <n v="2"/>
    <n v="0.32947146174061692"/>
    <x v="15"/>
    <x v="1"/>
    <n v="21600"/>
    <x v="0"/>
    <m/>
  </r>
  <r>
    <s v="PPT1_BOI04"/>
    <s v="S1CS04056-WS"/>
    <n v="225"/>
    <s v="207201592"/>
    <s v="WS"/>
    <n v="2"/>
    <n v="0.32947146174061692"/>
    <x v="16"/>
    <x v="1"/>
    <n v="21600"/>
    <x v="0"/>
    <m/>
  </r>
  <r>
    <s v="PPT1_BOI04"/>
    <s v="S1CS04056-WS"/>
    <n v="225"/>
    <s v="207197436"/>
    <s v="WS"/>
    <n v="2"/>
    <n v="0.32947146174061692"/>
    <x v="15"/>
    <x v="1"/>
    <n v="21600"/>
    <x v="0"/>
    <m/>
  </r>
  <r>
    <s v="PPT1_BOI04"/>
    <s v="S1CS04056-WS"/>
    <n v="225"/>
    <s v="207201521"/>
    <s v="WS"/>
    <n v="2"/>
    <n v="0.32947146174061692"/>
    <x v="16"/>
    <x v="1"/>
    <n v="21600"/>
    <x v="0"/>
    <m/>
  </r>
  <r>
    <s v="PPT1_BOI04"/>
    <s v="S1CS05702-WS"/>
    <n v="240"/>
    <s v="207201225"/>
    <s v="WS"/>
    <n v="2"/>
    <n v="0.30971631894416812"/>
    <x v="1"/>
    <x v="1"/>
    <n v="21120"/>
    <x v="0"/>
    <m/>
  </r>
  <r>
    <s v="PPT1_BOI04"/>
    <s v="S1CS05702-WS"/>
    <n v="240"/>
    <s v="207201200"/>
    <s v="WS"/>
    <n v="2"/>
    <n v="0.30971631894416812"/>
    <x v="2"/>
    <x v="1"/>
    <n v="21120"/>
    <x v="0"/>
    <m/>
  </r>
  <r>
    <s v="PPT1_BOI04"/>
    <s v="S1CS05702-WS"/>
    <n v="240"/>
    <s v="207201237"/>
    <s v="WS"/>
    <n v="2"/>
    <n v="0.30971631894416812"/>
    <x v="1"/>
    <x v="1"/>
    <n v="21120"/>
    <x v="0"/>
    <m/>
  </r>
  <r>
    <s v="PPT1_BOI04"/>
    <s v="S1CS05702-WS"/>
    <n v="240"/>
    <s v="207201198"/>
    <s v="WS"/>
    <n v="2"/>
    <n v="0.30971631894416812"/>
    <x v="2"/>
    <x v="1"/>
    <n v="21120"/>
    <x v="0"/>
    <m/>
  </r>
  <r>
    <s v="PPT1_BOI04"/>
    <s v="S1CS03061-WS"/>
    <n v="300"/>
    <s v="207199180"/>
    <s v="WS"/>
    <n v="3"/>
    <n v="0.27139694953951266"/>
    <x v="9"/>
    <x v="1"/>
    <n v="20700"/>
    <x v="0"/>
    <m/>
  </r>
  <r>
    <s v="PPT1_BOI04"/>
    <s v="S1CS06184-WS"/>
    <n v="150"/>
    <s v="207197492"/>
    <s v="WS"/>
    <n v="4"/>
    <n v="0.45129132910560227"/>
    <x v="3"/>
    <x v="1"/>
    <n v="20400"/>
    <x v="0"/>
    <m/>
  </r>
  <r>
    <s v="PPT1_BOI04"/>
    <s v="S1CS03053-WS"/>
    <n v="300"/>
    <s v="207201628"/>
    <s v="WS"/>
    <n v="3"/>
    <n v="0.30957475098644327"/>
    <x v="4"/>
    <x v="1"/>
    <n v="19200"/>
    <x v="0"/>
    <m/>
  </r>
  <r>
    <s v="PPT1_BOI04"/>
    <s v="S1CS03053-WS"/>
    <n v="300"/>
    <s v="207201629"/>
    <s v="WS"/>
    <n v="3"/>
    <n v="0.30957475098644327"/>
    <x v="4"/>
    <x v="1"/>
    <n v="19200"/>
    <x v="0"/>
    <m/>
  </r>
  <r>
    <s v="PPT1_BOI04"/>
    <s v="S1CS03053-WS"/>
    <n v="300"/>
    <s v="207201663"/>
    <s v="WS"/>
    <n v="3"/>
    <n v="0.30957475098644327"/>
    <x v="17"/>
    <x v="1"/>
    <n v="19200"/>
    <x v="0"/>
    <m/>
  </r>
  <r>
    <s v="PPT1_BOI04"/>
    <s v="S1CS00737-WS"/>
    <n v="240"/>
    <s v="207201312"/>
    <s v="WS"/>
    <n v="2"/>
    <n v="0.42564641282117643"/>
    <x v="18"/>
    <x v="1"/>
    <n v="18720"/>
    <x v="0"/>
    <m/>
  </r>
  <r>
    <s v="PPT1_BOI04"/>
    <s v="S1CS00737-WS"/>
    <n v="240"/>
    <s v="207201285"/>
    <s v="WS"/>
    <n v="2"/>
    <n v="0.42564641282117643"/>
    <x v="6"/>
    <x v="1"/>
    <n v="18720"/>
    <x v="0"/>
    <m/>
  </r>
  <r>
    <s v="PPT1_BOI04"/>
    <s v="S1CS00737-WS"/>
    <n v="240"/>
    <s v="207201425"/>
    <s v="WS"/>
    <n v="2"/>
    <n v="0.42564641282117643"/>
    <x v="18"/>
    <x v="1"/>
    <n v="18720"/>
    <x v="0"/>
    <m/>
  </r>
  <r>
    <s v="PPT1_BOI04"/>
    <s v="S1CS00737-WS"/>
    <n v="240"/>
    <s v="207201309"/>
    <s v="WS"/>
    <n v="2"/>
    <n v="0.42564641282117643"/>
    <x v="6"/>
    <x v="1"/>
    <n v="18720"/>
    <x v="0"/>
    <m/>
  </r>
  <r>
    <s v="PPT1_BOI04"/>
    <s v="S1CS05081-WS"/>
    <n v="300"/>
    <s v="207201390"/>
    <s v="WS"/>
    <n v="4"/>
    <n v="0.56387801477131871"/>
    <x v="3"/>
    <x v="1"/>
    <n v="18000"/>
    <x v="0"/>
    <m/>
  </r>
  <r>
    <s v="PPT1_BOI04"/>
    <s v="S1CS05081-WS"/>
    <n v="300"/>
    <s v="207201394"/>
    <s v="WS"/>
    <n v="4"/>
    <n v="0.56387801477131871"/>
    <x v="9"/>
    <x v="1"/>
    <n v="18000"/>
    <x v="0"/>
    <m/>
  </r>
  <r>
    <s v="PPT1_BOI04"/>
    <s v="S1CS05081-WS"/>
    <n v="300"/>
    <s v="207201392"/>
    <s v="WS"/>
    <n v="4"/>
    <n v="0.56387801477131871"/>
    <x v="7"/>
    <x v="1"/>
    <n v="18000"/>
    <x v="0"/>
    <m/>
  </r>
  <r>
    <s v="PPT1_BOI04"/>
    <s v="S1CS00703-WS"/>
    <n v="300"/>
    <s v="207202123"/>
    <s v="WS"/>
    <n v="3"/>
    <n v="0.18177039994249636"/>
    <x v="8"/>
    <x v="1"/>
    <n v="17700"/>
    <x v="0"/>
    <m/>
  </r>
  <r>
    <s v="PPT1_BOI04"/>
    <s v="S1CS00703-WS"/>
    <n v="300"/>
    <s v="207202128"/>
    <s v="WS"/>
    <n v="3"/>
    <n v="0.18177039994249636"/>
    <x v="3"/>
    <x v="1"/>
    <n v="17700"/>
    <x v="0"/>
    <m/>
  </r>
  <r>
    <s v="PPT1_BOI04"/>
    <s v="S1CS00703-WS"/>
    <n v="300"/>
    <s v="207202134"/>
    <s v="WS"/>
    <n v="3"/>
    <n v="0.18177039994249636"/>
    <x v="4"/>
    <x v="1"/>
    <n v="17700"/>
    <x v="0"/>
    <m/>
  </r>
  <r>
    <s v="PPT1_BOI04"/>
    <s v="S1CS00703-WS"/>
    <n v="300"/>
    <s v="207202127"/>
    <s v="WS"/>
    <n v="3"/>
    <n v="0.18177039994249636"/>
    <x v="8"/>
    <x v="1"/>
    <n v="17700"/>
    <x v="0"/>
    <m/>
  </r>
  <r>
    <s v="PPT1_BOI04"/>
    <s v="S1CS00703-WS"/>
    <n v="300"/>
    <s v="207202124"/>
    <s v="WS"/>
    <n v="3"/>
    <n v="0.18177039994249636"/>
    <x v="3"/>
    <x v="1"/>
    <n v="17700"/>
    <x v="0"/>
    <m/>
  </r>
  <r>
    <s v="PPT1_BOI04"/>
    <s v="S1CS00703-WS"/>
    <n v="300"/>
    <s v="207202126"/>
    <s v="WS"/>
    <n v="3"/>
    <n v="0.18177039994249636"/>
    <x v="4"/>
    <x v="1"/>
    <n v="17700"/>
    <x v="0"/>
    <m/>
  </r>
  <r>
    <s v="PPT1_BOI04"/>
    <s v="S1CS00704-WS"/>
    <n v="300"/>
    <s v="207200813"/>
    <s v="WS"/>
    <n v="2"/>
    <n v="0.21191015889084638"/>
    <x v="17"/>
    <x v="1"/>
    <n v="17700"/>
    <x v="0"/>
    <m/>
  </r>
  <r>
    <s v="PPT1_BOI04"/>
    <s v="S1CS00704-WS"/>
    <n v="300"/>
    <s v="207200805"/>
    <s v="WS"/>
    <n v="2"/>
    <n v="0.21191015889084638"/>
    <x v="9"/>
    <x v="1"/>
    <n v="17700"/>
    <x v="0"/>
    <m/>
  </r>
  <r>
    <s v="PPT1_BOI04"/>
    <s v="S1CS00704-WS"/>
    <n v="300"/>
    <s v="207200812"/>
    <s v="WS"/>
    <n v="2"/>
    <n v="0.21191015889084638"/>
    <x v="17"/>
    <x v="1"/>
    <n v="17700"/>
    <x v="0"/>
    <m/>
  </r>
  <r>
    <s v="PPT1_BOI04"/>
    <s v="S1CS00704-WS"/>
    <n v="300"/>
    <s v="207200804"/>
    <s v="WS"/>
    <n v="2"/>
    <n v="0.21191015889084638"/>
    <x v="9"/>
    <x v="1"/>
    <n v="17700"/>
    <x v="0"/>
    <m/>
  </r>
  <r>
    <s v="PPT1_BOI04"/>
    <s v="S1CS00704-WS"/>
    <n v="300"/>
    <s v="207200811"/>
    <s v="WS"/>
    <n v="2"/>
    <n v="0.21191015889084638"/>
    <x v="17"/>
    <x v="1"/>
    <n v="17700"/>
    <x v="0"/>
    <m/>
  </r>
  <r>
    <s v="PPT1_BOI04"/>
    <s v="S1CS00704-WS"/>
    <n v="300"/>
    <s v="207200802"/>
    <s v="WS"/>
    <n v="2"/>
    <n v="0.21191015889084638"/>
    <x v="9"/>
    <x v="1"/>
    <n v="17700"/>
    <x v="0"/>
    <m/>
  </r>
  <r>
    <s v="PPT1_BOI04"/>
    <s v="S1CS07164-WS"/>
    <n v="720"/>
    <s v="207202096"/>
    <s v="WS"/>
    <n v="3"/>
    <n v="1.5908862607053169"/>
    <x v="1"/>
    <x v="1"/>
    <n v="17280"/>
    <x v="0"/>
    <m/>
  </r>
  <r>
    <s v="PPT1_BOI04"/>
    <s v="S1CS07164-WS"/>
    <n v="720"/>
    <s v="207202104"/>
    <s v="WS"/>
    <n v="3"/>
    <n v="1.5908862607053169"/>
    <x v="2"/>
    <x v="1"/>
    <n v="17280"/>
    <x v="0"/>
    <m/>
  </r>
  <r>
    <s v="PPT1_BOI04"/>
    <s v="S1CS07164-WS"/>
    <n v="720"/>
    <s v="207208187"/>
    <s v="WS"/>
    <n v="3"/>
    <n v="1.5908862607053169"/>
    <x v="7"/>
    <x v="1"/>
    <n v="17280"/>
    <x v="0"/>
    <m/>
  </r>
  <r>
    <s v="PPT1_BOI04"/>
    <s v="S1CS07164-WS"/>
    <n v="720"/>
    <s v="207208188"/>
    <s v="WS"/>
    <n v="3"/>
    <n v="1.5908862607053169"/>
    <x v="1"/>
    <x v="1"/>
    <n v="17280"/>
    <x v="0"/>
    <m/>
  </r>
  <r>
    <s v="PPT1_BOI04"/>
    <s v="S1CS07164-WS"/>
    <n v="720"/>
    <s v="207208189"/>
    <s v="WS"/>
    <n v="3"/>
    <n v="1.5908862607053169"/>
    <x v="2"/>
    <x v="1"/>
    <n v="17280"/>
    <x v="0"/>
    <m/>
  </r>
  <r>
    <s v="PPT1_BOI04"/>
    <s v="S1CS07164-WS"/>
    <n v="720"/>
    <s v="207202108"/>
    <s v="WS"/>
    <n v="3"/>
    <n v="1.5908862607053169"/>
    <x v="7"/>
    <x v="1"/>
    <n v="17280"/>
    <x v="0"/>
    <m/>
  </r>
  <r>
    <s v="PPT1_BOI04"/>
    <s v="S1CS07164-WS"/>
    <n v="720"/>
    <s v="207199884"/>
    <s v="WS"/>
    <n v="3"/>
    <n v="1.5908862607053169"/>
    <x v="1"/>
    <x v="1"/>
    <n v="17280"/>
    <x v="0"/>
    <m/>
  </r>
  <r>
    <s v="PPT1_BOI04"/>
    <s v="S1CS06288-WS"/>
    <n v="360"/>
    <s v="207201572"/>
    <s v="WS"/>
    <n v="10"/>
    <n v="0.6022477135327855"/>
    <x v="18"/>
    <x v="1"/>
    <n v="16560"/>
    <x v="0"/>
    <m/>
  </r>
  <r>
    <s v="PPT1_BOI04"/>
    <s v="S1CS07163-WS"/>
    <n v="360"/>
    <s v="207208184"/>
    <s v="WS"/>
    <n v="5"/>
    <n v="0.60873804701116396"/>
    <x v="6"/>
    <x v="1"/>
    <n v="15480"/>
    <x v="0"/>
    <m/>
  </r>
  <r>
    <s v="PPT1_BOI04"/>
    <s v="S1CS07163-WS"/>
    <n v="360"/>
    <s v="207208185"/>
    <s v="WS"/>
    <n v="5"/>
    <n v="0.60873804701116396"/>
    <x v="8"/>
    <x v="1"/>
    <n v="15480"/>
    <x v="0"/>
    <m/>
  </r>
  <r>
    <s v="PPT1_BOI04"/>
    <s v="S1CS07163-WS"/>
    <n v="360"/>
    <s v="207201954"/>
    <s v="WS"/>
    <n v="5"/>
    <n v="0.60873804701116396"/>
    <x v="6"/>
    <x v="1"/>
    <n v="15480"/>
    <x v="0"/>
    <m/>
  </r>
  <r>
    <s v="PPT1_BOI04"/>
    <s v="S1CS07163-WS"/>
    <n v="360"/>
    <s v="207208183"/>
    <s v="WS"/>
    <n v="5"/>
    <n v="0.60873804701116396"/>
    <x v="3"/>
    <x v="1"/>
    <n v="15480"/>
    <x v="0"/>
    <m/>
  </r>
  <r>
    <s v="PPT1_BOI04"/>
    <s v="S1CS07163-WS"/>
    <n v="360"/>
    <s v="207208180"/>
    <s v="WS"/>
    <n v="5"/>
    <n v="0.60873804701116396"/>
    <x v="4"/>
    <x v="1"/>
    <n v="15480"/>
    <x v="0"/>
    <m/>
  </r>
  <r>
    <s v="PPT1_BOI04"/>
    <s v="S1CS07163-WS"/>
    <n v="360"/>
    <s v="207208182"/>
    <s v="WS"/>
    <n v="5"/>
    <n v="0.60873804701116396"/>
    <x v="18"/>
    <x v="1"/>
    <n v="15480"/>
    <x v="0"/>
    <m/>
  </r>
  <r>
    <s v="PPT1_BOI04"/>
    <s v="S1CS07163-WS"/>
    <n v="360"/>
    <s v="207201986"/>
    <s v="WS"/>
    <n v="5"/>
    <n v="0.60873804701116396"/>
    <x v="8"/>
    <x v="1"/>
    <n v="15480"/>
    <x v="0"/>
    <m/>
  </r>
  <r>
    <s v="PPT1_BOI04"/>
    <s v="S1CS07163-WS"/>
    <n v="360"/>
    <s v="207201981"/>
    <s v="WS"/>
    <n v="5"/>
    <n v="0.60873804701116396"/>
    <x v="6"/>
    <x v="1"/>
    <n v="15480"/>
    <x v="0"/>
    <m/>
  </r>
  <r>
    <s v="PPT1_BOI04"/>
    <s v="S1CS07163-WS"/>
    <n v="360"/>
    <s v="207199417"/>
    <s v="WS"/>
    <n v="5"/>
    <n v="0.60873804701116396"/>
    <x v="3"/>
    <x v="1"/>
    <n v="15480"/>
    <x v="0"/>
    <m/>
  </r>
  <r>
    <s v="PPT1_BOI04"/>
    <s v="S1CS07163-WS"/>
    <n v="360"/>
    <s v="207202000"/>
    <s v="WS"/>
    <n v="5"/>
    <n v="0.60873804701116396"/>
    <x v="4"/>
    <x v="1"/>
    <n v="15480"/>
    <x v="0"/>
    <m/>
  </r>
  <r>
    <s v="PPT1_BOI04"/>
    <s v="S1CS07163-WS"/>
    <n v="360"/>
    <s v="207201971"/>
    <s v="WS"/>
    <n v="5"/>
    <n v="0.60873804701116396"/>
    <x v="18"/>
    <x v="1"/>
    <n v="15480"/>
    <x v="0"/>
    <m/>
  </r>
  <r>
    <s v="PPT1_BOI04"/>
    <s v="S1CS03921-WS"/>
    <n v="200"/>
    <s v="207201362"/>
    <s v="WS"/>
    <n v="7"/>
    <n v="0.17118120314552013"/>
    <x v="12"/>
    <x v="1"/>
    <n v="15400"/>
    <x v="0"/>
    <m/>
  </r>
  <r>
    <s v="PPT1_BOI04"/>
    <s v="S1CS06396-WS"/>
    <n v="225"/>
    <s v="207202151"/>
    <s v="WS"/>
    <n v="4"/>
    <n v="0.49145271987798683"/>
    <x v="2"/>
    <x v="1"/>
    <n v="14625"/>
    <x v="0"/>
    <m/>
  </r>
  <r>
    <s v="PPT1_BOI04"/>
    <s v="S1CS06396-WS"/>
    <n v="225"/>
    <s v="207202147"/>
    <s v="WS"/>
    <n v="4"/>
    <n v="0.49145271987798683"/>
    <x v="7"/>
    <x v="1"/>
    <n v="14625"/>
    <x v="0"/>
    <m/>
  </r>
  <r>
    <s v="PPT1_BOI04"/>
    <s v="S1CS06396-WS"/>
    <n v="225"/>
    <s v="207202152"/>
    <s v="WS"/>
    <n v="4"/>
    <n v="0.49145271987798683"/>
    <x v="2"/>
    <x v="1"/>
    <n v="14625"/>
    <x v="0"/>
    <m/>
  </r>
  <r>
    <s v="PPT1_BOI04"/>
    <s v="S1CS06396-WS"/>
    <n v="225"/>
    <s v="207199681"/>
    <s v="WS"/>
    <n v="4"/>
    <n v="0.49145271987798683"/>
    <x v="17"/>
    <x v="1"/>
    <n v="14625"/>
    <x v="0"/>
    <m/>
  </r>
  <r>
    <s v="PPT1_BOI04"/>
    <s v="S1CS06396-WS"/>
    <n v="225"/>
    <s v="207200344"/>
    <s v="WS"/>
    <n v="4"/>
    <n v="0.49145271987798683"/>
    <x v="9"/>
    <x v="1"/>
    <n v="14625"/>
    <x v="0"/>
    <m/>
  </r>
  <r>
    <s v="PPT1_BOI04"/>
    <s v="S1CS06396-WS"/>
    <n v="225"/>
    <s v="207202153"/>
    <s v="WS"/>
    <n v="4"/>
    <n v="0.49145271987798683"/>
    <x v="7"/>
    <x v="1"/>
    <n v="14625"/>
    <x v="0"/>
    <m/>
  </r>
  <r>
    <s v="PPT1_BOI04"/>
    <s v="S1CS04056-WS"/>
    <n v="150"/>
    <s v="207197790"/>
    <s v="WS"/>
    <n v="2"/>
    <n v="0.21964764116041127"/>
    <x v="15"/>
    <x v="1"/>
    <n v="14400"/>
    <x v="0"/>
    <m/>
  </r>
  <r>
    <s v="PPT1_BOI04"/>
    <s v="S1CS04056-WS"/>
    <n v="150"/>
    <s v="207201545"/>
    <s v="WS"/>
    <n v="2"/>
    <n v="0.21964764116041127"/>
    <x v="16"/>
    <x v="1"/>
    <n v="14400"/>
    <x v="0"/>
    <m/>
  </r>
  <r>
    <s v="PPT1_BOI04"/>
    <s v="S1CS04056-WS"/>
    <n v="150"/>
    <s v="207197563"/>
    <s v="WS"/>
    <n v="2"/>
    <n v="0.21964764116041127"/>
    <x v="15"/>
    <x v="1"/>
    <n v="14400"/>
    <x v="0"/>
    <m/>
  </r>
  <r>
    <s v="PPT1_BOI04"/>
    <s v="S1CS03049-WS"/>
    <n v="450"/>
    <s v="207197424"/>
    <s v="WS"/>
    <n v="3"/>
    <n v="0.57081252756477785"/>
    <x v="1"/>
    <x v="1"/>
    <n v="13950"/>
    <x v="0"/>
    <m/>
  </r>
  <r>
    <s v="PPT1_BOI04"/>
    <s v="S1CS06185-WS"/>
    <n v="100"/>
    <s v="207197644"/>
    <s v="WS"/>
    <n v="4"/>
    <n v="0.30086088607040151"/>
    <x v="8"/>
    <x v="1"/>
    <n v="13600"/>
    <x v="0"/>
    <m/>
  </r>
  <r>
    <s v="PPT1_BOI04"/>
    <s v="S1CS00035-WS"/>
    <n v="360"/>
    <s v="207202281"/>
    <s v="WS"/>
    <n v="4"/>
    <n v="0.59841595404611614"/>
    <x v="6"/>
    <x v="1"/>
    <n v="12960"/>
    <x v="0"/>
    <m/>
  </r>
  <r>
    <s v="PPT1_BOI04"/>
    <s v="S1CS00035-WS"/>
    <n v="360"/>
    <s v="207202270"/>
    <s v="WS"/>
    <n v="4"/>
    <n v="0.59841595404611614"/>
    <x v="3"/>
    <x v="1"/>
    <n v="12960"/>
    <x v="0"/>
    <m/>
  </r>
  <r>
    <s v="PPT1_BOI04"/>
    <s v="S1CS00035-WS"/>
    <n v="360"/>
    <s v="207202280"/>
    <s v="WS"/>
    <n v="4"/>
    <n v="0.59841595404611614"/>
    <x v="4"/>
    <x v="1"/>
    <n v="12960"/>
    <x v="0"/>
    <m/>
  </r>
  <r>
    <s v="PPT1_BOI04"/>
    <s v="S1CS00035-WS"/>
    <n v="360"/>
    <s v="207202294"/>
    <s v="WS"/>
    <n v="4"/>
    <n v="0.59841595404611614"/>
    <x v="18"/>
    <x v="1"/>
    <n v="12960"/>
    <x v="0"/>
    <m/>
  </r>
  <r>
    <s v="PPT1_BOI04"/>
    <s v="S1CS00035-WS"/>
    <n v="360"/>
    <s v="207202271"/>
    <s v="WS"/>
    <n v="4"/>
    <n v="0.59841595404611614"/>
    <x v="6"/>
    <x v="1"/>
    <n v="12960"/>
    <x v="0"/>
    <m/>
  </r>
  <r>
    <s v="PPT1_BOI04"/>
    <s v="S1CS00035-WS"/>
    <n v="360"/>
    <s v="207202272"/>
    <s v="WS"/>
    <n v="4"/>
    <n v="0.59841595404611614"/>
    <x v="3"/>
    <x v="1"/>
    <n v="12960"/>
    <x v="0"/>
    <m/>
  </r>
  <r>
    <s v="PPT1_BOI04"/>
    <s v="S1CS06172-WS"/>
    <n v="450"/>
    <s v="207197642"/>
    <s v="WS"/>
    <n v="2"/>
    <n v="0.81803033932818836"/>
    <x v="2"/>
    <x v="1"/>
    <n v="12150"/>
    <x v="0"/>
    <m/>
  </r>
  <r>
    <s v="PPT1_BOI04"/>
    <s v="S1CS06172-WS"/>
    <n v="450"/>
    <s v="207197546"/>
    <s v="WS"/>
    <n v="2"/>
    <n v="0.81803033932818836"/>
    <x v="17"/>
    <x v="1"/>
    <n v="12150"/>
    <x v="0"/>
    <m/>
  </r>
  <r>
    <s v="PPT1_BOI04"/>
    <s v="S1CS06173-WS"/>
    <n v="450"/>
    <s v="207197815"/>
    <s v="WS"/>
    <n v="1"/>
    <n v="0.57464028776978415"/>
    <x v="1"/>
    <x v="1"/>
    <n v="12150"/>
    <x v="0"/>
    <m/>
  </r>
  <r>
    <s v="PPT1_BOI04"/>
    <s v="S1CS06173-WS"/>
    <n v="450"/>
    <s v="207197902"/>
    <s v="WS"/>
    <n v="1"/>
    <n v="0.57464028776978415"/>
    <x v="1"/>
    <x v="1"/>
    <n v="12150"/>
    <x v="0"/>
    <m/>
  </r>
  <r>
    <s v="PPT1_BOI04"/>
    <s v="S1CS00703-WS"/>
    <n v="200"/>
    <s v="207202135"/>
    <s v="WS"/>
    <n v="3"/>
    <n v="0.1211802666283309"/>
    <x v="8"/>
    <x v="1"/>
    <n v="11800"/>
    <x v="0"/>
    <m/>
  </r>
  <r>
    <s v="PPT1_BOI04"/>
    <s v="S1CS00704-WS"/>
    <n v="200"/>
    <s v="207200803"/>
    <s v="WS"/>
    <n v="2"/>
    <n v="0.14127343926056427"/>
    <x v="9"/>
    <x v="1"/>
    <n v="11800"/>
    <x v="0"/>
    <m/>
  </r>
  <r>
    <s v="PPT1_BOI04"/>
    <s v="S1CS05072-WS"/>
    <n v="225"/>
    <s v="207200450"/>
    <s v="WS"/>
    <n v="3"/>
    <n v="0.42062184985409856"/>
    <x v="7"/>
    <x v="1"/>
    <n v="11700"/>
    <x v="0"/>
    <m/>
  </r>
  <r>
    <s v="PPT1_BOI04"/>
    <s v="S1CS05072-WS"/>
    <n v="225"/>
    <s v="207197413"/>
    <s v="WS"/>
    <n v="3"/>
    <n v="0.42062184985409856"/>
    <x v="4"/>
    <x v="1"/>
    <n v="11700"/>
    <x v="0"/>
    <m/>
  </r>
  <r>
    <s v="PPT1_BOI04"/>
    <s v="S1CS05072-WS"/>
    <n v="225"/>
    <s v="207200362"/>
    <s v="WS"/>
    <n v="3"/>
    <n v="0.42062184985409856"/>
    <x v="18"/>
    <x v="1"/>
    <n v="11700"/>
    <x v="0"/>
    <m/>
  </r>
  <r>
    <s v="PPT1_BOI04"/>
    <s v="S1CS05072-WS"/>
    <n v="225"/>
    <s v="207200343"/>
    <s v="WS"/>
    <n v="3"/>
    <n v="0.42062184985409856"/>
    <x v="7"/>
    <x v="1"/>
    <n v="11700"/>
    <x v="0"/>
    <m/>
  </r>
  <r>
    <s v="PPT1_BOI04"/>
    <s v="S1CS05072-WS"/>
    <n v="225"/>
    <s v="207200419"/>
    <s v="WS"/>
    <n v="3"/>
    <n v="0.42062184985409856"/>
    <x v="4"/>
    <x v="1"/>
    <n v="11700"/>
    <x v="0"/>
    <m/>
  </r>
  <r>
    <s v="PPT1_BOI04"/>
    <s v="S1CS05072-WS"/>
    <n v="225"/>
    <s v="207200476"/>
    <s v="WS"/>
    <n v="3"/>
    <n v="0.42062184985409856"/>
    <x v="18"/>
    <x v="1"/>
    <n v="11700"/>
    <x v="0"/>
    <m/>
  </r>
  <r>
    <s v="PPT1_BOI04"/>
    <s v="S1CS03342-WS"/>
    <n v="360"/>
    <s v="207200965"/>
    <s v="WS"/>
    <n v="2"/>
    <n v="0.45592088634257316"/>
    <x v="16"/>
    <x v="1"/>
    <n v="11160"/>
    <x v="0"/>
    <m/>
  </r>
  <r>
    <s v="PPT1_BOI04"/>
    <s v="S1CS03342-WS"/>
    <n v="360"/>
    <s v="207200988"/>
    <s v="WS"/>
    <n v="2"/>
    <n v="0.45592088634257316"/>
    <x v="2"/>
    <x v="1"/>
    <n v="11160"/>
    <x v="0"/>
    <m/>
  </r>
  <r>
    <s v="PPT1_BOI04"/>
    <s v="S1CS03342-WS"/>
    <n v="360"/>
    <s v="207200880"/>
    <s v="WS"/>
    <n v="2"/>
    <n v="0.45592088634257316"/>
    <x v="16"/>
    <x v="1"/>
    <n v="11160"/>
    <x v="0"/>
    <m/>
  </r>
  <r>
    <s v="PPT1_BOI04"/>
    <s v="S1CS03342-WS"/>
    <n v="360"/>
    <s v="207200878"/>
    <s v="WS"/>
    <n v="2"/>
    <n v="0.45592088634257316"/>
    <x v="2"/>
    <x v="1"/>
    <n v="11160"/>
    <x v="0"/>
    <m/>
  </r>
  <r>
    <s v="PPT1_BOI04"/>
    <s v="S1CS03342-WS"/>
    <n v="360"/>
    <s v="207200877"/>
    <s v="WS"/>
    <n v="2"/>
    <n v="0.45592088634257316"/>
    <x v="16"/>
    <x v="1"/>
    <n v="11160"/>
    <x v="0"/>
    <m/>
  </r>
  <r>
    <s v="PPT1_BOI04"/>
    <s v="S1CS03342-WS"/>
    <n v="360"/>
    <s v="207197255"/>
    <s v="WS"/>
    <n v="2"/>
    <n v="0.45592088634257316"/>
    <x v="2"/>
    <x v="1"/>
    <n v="11160"/>
    <x v="0"/>
    <m/>
  </r>
  <r>
    <s v="PPT1_BOI04"/>
    <s v="S1CS06403-WS"/>
    <n v="180"/>
    <s v="207201645"/>
    <s v="WS"/>
    <n v="2"/>
    <n v="0.18746054373281745"/>
    <x v="17"/>
    <x v="1"/>
    <n v="10440"/>
    <x v="0"/>
    <m/>
  </r>
  <r>
    <s v="PPT1_BOI04"/>
    <s v="S1CS06403-WS"/>
    <n v="180"/>
    <s v="207201638"/>
    <s v="WS"/>
    <n v="2"/>
    <n v="0.18746054373281745"/>
    <x v="9"/>
    <x v="1"/>
    <n v="10440"/>
    <x v="0"/>
    <m/>
  </r>
  <r>
    <s v="PPT1_BOI04"/>
    <s v="S1CS06403-WS"/>
    <n v="180"/>
    <s v="207201502"/>
    <s v="WS"/>
    <n v="2"/>
    <n v="0.18746054373281745"/>
    <x v="17"/>
    <x v="1"/>
    <n v="10440"/>
    <x v="0"/>
    <m/>
  </r>
  <r>
    <s v="PPT1_BOI04"/>
    <s v="S1CS06403-WS"/>
    <n v="180"/>
    <s v="207198408"/>
    <s v="WS"/>
    <n v="2"/>
    <n v="0.18746054373281745"/>
    <x v="9"/>
    <x v="1"/>
    <n v="10440"/>
    <x v="0"/>
    <m/>
  </r>
  <r>
    <s v="PPT1_BOI04"/>
    <s v="S1CS06403-WS"/>
    <n v="180"/>
    <s v="207202030"/>
    <s v="WS"/>
    <n v="2"/>
    <n v="0.18746054373281745"/>
    <x v="17"/>
    <x v="1"/>
    <n v="10440"/>
    <x v="0"/>
    <m/>
  </r>
  <r>
    <s v="PPT1_BOI04"/>
    <s v="S1CS06403-WS"/>
    <n v="180"/>
    <s v="207198459"/>
    <s v="WS"/>
    <n v="2"/>
    <n v="0.18746054373281745"/>
    <x v="9"/>
    <x v="1"/>
    <n v="10440"/>
    <x v="0"/>
    <m/>
  </r>
  <r>
    <s v="PPT1_BOI04"/>
    <s v="S1CS06403-WS"/>
    <n v="180"/>
    <s v="207201548"/>
    <s v="WS"/>
    <n v="2"/>
    <n v="0.18746054373281745"/>
    <x v="17"/>
    <x v="1"/>
    <n v="10440"/>
    <x v="0"/>
    <m/>
  </r>
  <r>
    <s v="PPT1_BOI04"/>
    <s v="S1CS06403-WS"/>
    <n v="180"/>
    <s v="207201551"/>
    <s v="WS"/>
    <n v="2"/>
    <n v="0.18746054373281745"/>
    <x v="9"/>
    <x v="1"/>
    <n v="10440"/>
    <x v="0"/>
    <m/>
  </r>
  <r>
    <s v="PPT1_BOI04"/>
    <s v="S1CS06403-WS"/>
    <n v="180"/>
    <s v="207201536"/>
    <s v="WS"/>
    <n v="2"/>
    <n v="0.18746054373281745"/>
    <x v="17"/>
    <x v="1"/>
    <n v="10440"/>
    <x v="0"/>
    <m/>
  </r>
  <r>
    <s v="PPT1_BOI04"/>
    <s v="S1CS06403-WS"/>
    <n v="180"/>
    <s v="207201505"/>
    <s v="WS"/>
    <n v="2"/>
    <n v="0.18746054373281745"/>
    <x v="9"/>
    <x v="1"/>
    <n v="10440"/>
    <x v="0"/>
    <m/>
  </r>
  <r>
    <s v="PPT1_BOI04"/>
    <s v="S1CS06403-WS"/>
    <n v="180"/>
    <s v="207201533"/>
    <s v="WS"/>
    <n v="2"/>
    <n v="0.18746054373281745"/>
    <x v="17"/>
    <x v="1"/>
    <n v="10440"/>
    <x v="0"/>
    <m/>
  </r>
  <r>
    <s v="PPT1_BOI04"/>
    <s v="S1CS06403-WS"/>
    <n v="180"/>
    <s v="207201641"/>
    <s v="WS"/>
    <n v="2"/>
    <n v="0.18746054373281745"/>
    <x v="9"/>
    <x v="1"/>
    <n v="10440"/>
    <x v="0"/>
    <m/>
  </r>
  <r>
    <s v="PPT1_BOI04"/>
    <s v="S1CS06403-WS"/>
    <n v="180"/>
    <s v="207201643"/>
    <s v="WS"/>
    <n v="2"/>
    <n v="0.18746054373281745"/>
    <x v="17"/>
    <x v="1"/>
    <n v="10440"/>
    <x v="0"/>
    <m/>
  </r>
  <r>
    <s v="PPT1_BOI04"/>
    <s v="S1CS03061-WS"/>
    <n v="150"/>
    <s v="207201992"/>
    <s v="WS"/>
    <n v="3"/>
    <n v="0.13569847476975633"/>
    <x v="8"/>
    <x v="1"/>
    <n v="10350"/>
    <x v="0"/>
    <m/>
  </r>
  <r>
    <s v="PPT1_BOI04"/>
    <s v="S1CS07163-WS"/>
    <n v="240"/>
    <s v="207208181"/>
    <s v="WS"/>
    <n v="5"/>
    <n v="0.40582536467410935"/>
    <x v="6"/>
    <x v="1"/>
    <n v="10320"/>
    <x v="0"/>
    <m/>
  </r>
  <r>
    <s v="PPT1_BOI04"/>
    <s v="S1CS07163-WS"/>
    <n v="240"/>
    <s v="207202065"/>
    <s v="WS"/>
    <n v="5"/>
    <n v="0.40582536467410935"/>
    <x v="3"/>
    <x v="1"/>
    <n v="10320"/>
    <x v="0"/>
    <m/>
  </r>
  <r>
    <s v="PPT1_BOI04"/>
    <s v="S1CS07163-WS"/>
    <n v="240"/>
    <s v="207199467"/>
    <s v="WS"/>
    <n v="5"/>
    <n v="0.40582536467410935"/>
    <x v="8"/>
    <x v="1"/>
    <n v="10320"/>
    <x v="0"/>
    <m/>
  </r>
  <r>
    <s v="PPT1_BOI04"/>
    <s v="S1CS05705-WS"/>
    <n v="390"/>
    <s v="207197785"/>
    <s v="WS"/>
    <n v="5"/>
    <n v="0.30422219021210706"/>
    <x v="15"/>
    <x v="1"/>
    <n v="9750"/>
    <x v="0"/>
    <m/>
  </r>
  <r>
    <s v="PPT1_BOI04"/>
    <s v="S1CS06396-WS"/>
    <n v="150"/>
    <s v="207202148"/>
    <s v="WS"/>
    <n v="4"/>
    <n v="0.32763514658532455"/>
    <x v="7"/>
    <x v="1"/>
    <n v="9750"/>
    <x v="0"/>
    <m/>
  </r>
  <r>
    <s v="PPT1_BOI04"/>
    <s v="S1CS00306-WS"/>
    <n v="600"/>
    <s v="207197300"/>
    <s v="WS"/>
    <n v="5"/>
    <n v="0.40156841945921878"/>
    <x v="1"/>
    <x v="1"/>
    <n v="9600"/>
    <x v="0"/>
    <m/>
  </r>
  <r>
    <s v="PPT1_BOI04"/>
    <s v="S1CS00306-WS"/>
    <n v="600"/>
    <s v="207197279"/>
    <s v="WS"/>
    <n v="5"/>
    <n v="0.40156841945921878"/>
    <x v="6"/>
    <x v="1"/>
    <n v="9600"/>
    <x v="0"/>
    <m/>
  </r>
  <r>
    <s v="PPT1_BOI04"/>
    <s v="S1CS00306-WS"/>
    <n v="600"/>
    <s v="207197285"/>
    <s v="WS"/>
    <n v="5"/>
    <n v="0.40156841945921878"/>
    <x v="3"/>
    <x v="1"/>
    <n v="9600"/>
    <x v="0"/>
    <m/>
  </r>
  <r>
    <s v="PPT1_BOI04"/>
    <s v="S1CS00306-WS"/>
    <n v="600"/>
    <s v="207197328"/>
    <s v="WS"/>
    <n v="5"/>
    <n v="0.40156841945921878"/>
    <x v="4"/>
    <x v="1"/>
    <n v="9600"/>
    <x v="0"/>
    <m/>
  </r>
  <r>
    <s v="PPT1_BOI04"/>
    <s v="S1CS00306-WS"/>
    <n v="600"/>
    <s v="207197360"/>
    <s v="WS"/>
    <n v="5"/>
    <n v="0.40156841945921878"/>
    <x v="18"/>
    <x v="1"/>
    <n v="9600"/>
    <x v="0"/>
    <m/>
  </r>
  <r>
    <s v="PPT1_BOI04"/>
    <s v="S1CS00306-WS"/>
    <n v="600"/>
    <s v="207197333"/>
    <s v="WS"/>
    <n v="5"/>
    <n v="0.40156841945921878"/>
    <x v="1"/>
    <x v="1"/>
    <n v="9600"/>
    <x v="0"/>
    <m/>
  </r>
  <r>
    <s v="PPT1_BOI04"/>
    <s v="S1CS00306-WS"/>
    <n v="600"/>
    <s v="207197409"/>
    <s v="WS"/>
    <n v="5"/>
    <n v="0.40156841945921878"/>
    <x v="6"/>
    <x v="1"/>
    <n v="9600"/>
    <x v="0"/>
    <m/>
  </r>
  <r>
    <s v="PPT1_BOI04"/>
    <s v="S1CS00306-WS"/>
    <n v="600"/>
    <s v="207197270"/>
    <s v="WS"/>
    <n v="5"/>
    <n v="0.40156841945921878"/>
    <x v="3"/>
    <x v="1"/>
    <n v="9600"/>
    <x v="0"/>
    <m/>
  </r>
  <r>
    <s v="PPT1_BOI04"/>
    <s v="S1CS00306-WS"/>
    <n v="600"/>
    <s v="207197264"/>
    <s v="WS"/>
    <n v="5"/>
    <n v="0.40156841945921878"/>
    <x v="4"/>
    <x v="1"/>
    <n v="9600"/>
    <x v="0"/>
    <m/>
  </r>
  <r>
    <s v="PPT1_BOI04"/>
    <s v="S1CS06374-WS"/>
    <n v="300"/>
    <s v="207200029"/>
    <s v="WS"/>
    <n v="4"/>
    <n v="0.56120098169353938"/>
    <x v="15"/>
    <x v="1"/>
    <n v="9600"/>
    <x v="0"/>
    <m/>
  </r>
  <r>
    <s v="PPT1_BOI04"/>
    <s v="S1CS06463-WS"/>
    <n v="225"/>
    <s v="207200245"/>
    <s v="WS"/>
    <n v="2"/>
    <n v="0.484480495123781"/>
    <x v="8"/>
    <x v="1"/>
    <n v="9450"/>
    <x v="0"/>
    <m/>
  </r>
  <r>
    <s v="PPT1_BOI04"/>
    <s v="S1CS06463-WS"/>
    <n v="225"/>
    <s v="207199291"/>
    <s v="WS"/>
    <n v="2"/>
    <n v="0.484480495123781"/>
    <x v="7"/>
    <x v="1"/>
    <n v="9450"/>
    <x v="0"/>
    <m/>
  </r>
  <r>
    <s v="PPT1_BOI04"/>
    <s v="S1CS06463-WS"/>
    <n v="225"/>
    <s v="207200295"/>
    <s v="WS"/>
    <n v="2"/>
    <n v="0.484480495123781"/>
    <x v="8"/>
    <x v="1"/>
    <n v="9450"/>
    <x v="0"/>
    <m/>
  </r>
  <r>
    <s v="PPT1_BOI04"/>
    <s v="S1CS06463-WS"/>
    <n v="225"/>
    <s v="207200212"/>
    <s v="WS"/>
    <n v="2"/>
    <n v="0.484480495123781"/>
    <x v="7"/>
    <x v="1"/>
    <n v="9450"/>
    <x v="0"/>
    <m/>
  </r>
  <r>
    <s v="PPT1_BOI04"/>
    <s v="S1CS06463-WS"/>
    <n v="225"/>
    <s v="207200337"/>
    <s v="WS"/>
    <n v="2"/>
    <n v="0.484480495123781"/>
    <x v="8"/>
    <x v="1"/>
    <n v="9450"/>
    <x v="0"/>
    <m/>
  </r>
  <r>
    <s v="PPT1_BOI04"/>
    <s v="S1CS06463-WS"/>
    <n v="225"/>
    <s v="207199357"/>
    <s v="WS"/>
    <n v="2"/>
    <n v="0.484480495123781"/>
    <x v="7"/>
    <x v="1"/>
    <n v="9450"/>
    <x v="0"/>
    <m/>
  </r>
  <r>
    <s v="PPT1_BOI04"/>
    <s v="S1CS06463-WS"/>
    <n v="225"/>
    <s v="207199413"/>
    <s v="WS"/>
    <n v="2"/>
    <n v="0.484480495123781"/>
    <x v="8"/>
    <x v="1"/>
    <n v="9450"/>
    <x v="0"/>
    <m/>
  </r>
  <r>
    <s v="PPT1_BOI04"/>
    <s v="S1CS04039-WS"/>
    <n v="300"/>
    <s v="207198328"/>
    <s v="WS"/>
    <n v="5"/>
    <n v="0.59483859174496401"/>
    <x v="18"/>
    <x v="1"/>
    <n v="9300"/>
    <x v="0"/>
    <m/>
  </r>
  <r>
    <s v="PPT1_BOI04"/>
    <s v="S1CS04039-WS"/>
    <n v="300"/>
    <s v="207198406"/>
    <s v="WS"/>
    <n v="5"/>
    <n v="0.59483859174496401"/>
    <x v="16"/>
    <x v="1"/>
    <n v="9300"/>
    <x v="0"/>
    <m/>
  </r>
  <r>
    <s v="PPT1_BOI04"/>
    <s v="S1CS04039-WS"/>
    <n v="300"/>
    <s v="207198474"/>
    <s v="WS"/>
    <n v="5"/>
    <n v="0.59483859174496401"/>
    <x v="1"/>
    <x v="1"/>
    <n v="9300"/>
    <x v="0"/>
    <m/>
  </r>
  <r>
    <s v="PPT1_BOI04"/>
    <s v="S1CS04039-WS"/>
    <n v="300"/>
    <s v="207201440"/>
    <s v="WS"/>
    <n v="5"/>
    <n v="0.59483859174496401"/>
    <x v="15"/>
    <x v="1"/>
    <n v="9300"/>
    <x v="0"/>
    <m/>
  </r>
  <r>
    <s v="PPT1_BOI04"/>
    <s v="S1CS05296-WS"/>
    <n v="450"/>
    <s v="207201829"/>
    <s v="WS"/>
    <n v="15"/>
    <n v="0.43645580324055944"/>
    <x v="2"/>
    <x v="1"/>
    <n v="9000"/>
    <x v="0"/>
    <m/>
  </r>
  <r>
    <s v="PPT1_BOI04"/>
    <s v="S1CS05296-WS"/>
    <n v="450"/>
    <s v="207200847"/>
    <s v="WS"/>
    <n v="15"/>
    <n v="0.43645580324055944"/>
    <x v="6"/>
    <x v="1"/>
    <n v="9000"/>
    <x v="0"/>
    <m/>
  </r>
  <r>
    <s v="PPT1_BOI04"/>
    <s v="S1CS05296-WS"/>
    <n v="450"/>
    <s v="207201867"/>
    <s v="WS"/>
    <n v="15"/>
    <n v="0.43645580324055944"/>
    <x v="18"/>
    <x v="1"/>
    <n v="9000"/>
    <x v="0"/>
    <m/>
  </r>
  <r>
    <s v="PPT1_BOI04"/>
    <s v="S1CS05296-WS"/>
    <n v="450"/>
    <s v="207200850"/>
    <s v="WS"/>
    <n v="15"/>
    <n v="0.43645580324055944"/>
    <x v="3"/>
    <x v="1"/>
    <n v="9000"/>
    <x v="0"/>
    <m/>
  </r>
  <r>
    <s v="PPT1_BOI04"/>
    <s v="S1CS05296-WS"/>
    <n v="450"/>
    <s v="207200853"/>
    <s v="WS"/>
    <n v="15"/>
    <n v="0.43645580324055944"/>
    <x v="4"/>
    <x v="1"/>
    <n v="9000"/>
    <x v="0"/>
    <m/>
  </r>
  <r>
    <s v="PPT1_BOI04"/>
    <s v="S1CS05296-WS"/>
    <n v="450"/>
    <s v="207200715"/>
    <s v="WS"/>
    <n v="15"/>
    <n v="0.43645580324055944"/>
    <x v="16"/>
    <x v="1"/>
    <n v="9000"/>
    <x v="0"/>
    <m/>
  </r>
  <r>
    <s v="PPT1_BOI04"/>
    <s v="S1CS05296-WS"/>
    <n v="450"/>
    <s v="207201831"/>
    <s v="WS"/>
    <n v="15"/>
    <n v="0.43645580324055944"/>
    <x v="2"/>
    <x v="1"/>
    <n v="9000"/>
    <x v="0"/>
    <m/>
  </r>
  <r>
    <s v="PPT1_BOI04"/>
    <s v="S1CS05296-WS"/>
    <n v="450"/>
    <s v="207201869"/>
    <s v="WS"/>
    <n v="15"/>
    <n v="0.43645580324055944"/>
    <x v="1"/>
    <x v="1"/>
    <n v="9000"/>
    <x v="0"/>
    <m/>
  </r>
  <r>
    <s v="PPT1_BOI04"/>
    <s v="S1CS05296-WS"/>
    <n v="450"/>
    <s v="207200855"/>
    <s v="WS"/>
    <n v="15"/>
    <n v="0.43645580324055944"/>
    <x v="15"/>
    <x v="1"/>
    <n v="9000"/>
    <x v="0"/>
    <m/>
  </r>
  <r>
    <s v="PPT1_BOI04"/>
    <s v="S1CS00738-WS"/>
    <n v="300"/>
    <s v="207201934"/>
    <s v="WS"/>
    <n v="45"/>
    <n v="0.54709517923362172"/>
    <x v="6"/>
    <x v="1"/>
    <n v="8700"/>
    <x v="0"/>
    <m/>
  </r>
  <r>
    <s v="PPT1_BOI04"/>
    <s v="S1CS00738-WS"/>
    <n v="300"/>
    <s v="207201932"/>
    <s v="WS"/>
    <n v="45"/>
    <n v="0.54709517923362172"/>
    <x v="18"/>
    <x v="1"/>
    <n v="8700"/>
    <x v="0"/>
    <m/>
  </r>
  <r>
    <s v="PPT1_BOI04"/>
    <s v="S1CS00738-WS"/>
    <n v="300"/>
    <s v="207201905"/>
    <s v="WS"/>
    <n v="45"/>
    <n v="0.54709517923362172"/>
    <x v="3"/>
    <x v="1"/>
    <n v="8700"/>
    <x v="0"/>
    <m/>
  </r>
  <r>
    <s v="PPT1_BOI04"/>
    <s v="S1CS00738-WS"/>
    <n v="300"/>
    <s v="207197215"/>
    <s v="WS"/>
    <n v="45"/>
    <n v="0.54709517923362172"/>
    <x v="4"/>
    <x v="1"/>
    <n v="8700"/>
    <x v="0"/>
    <m/>
  </r>
  <r>
    <s v="PPT1_BOI04"/>
    <s v="S1CS00738-WS"/>
    <n v="300"/>
    <s v="207201933"/>
    <s v="WS"/>
    <n v="45"/>
    <n v="0.54709517923362172"/>
    <x v="16"/>
    <x v="1"/>
    <n v="8700"/>
    <x v="0"/>
    <m/>
  </r>
  <r>
    <s v="PPT1_BOI04"/>
    <s v="S1CS00738-WS"/>
    <n v="300"/>
    <s v="207201904"/>
    <s v="WS"/>
    <n v="45"/>
    <n v="0.54709517923362172"/>
    <x v="2"/>
    <x v="1"/>
    <n v="8700"/>
    <x v="0"/>
    <m/>
  </r>
  <r>
    <s v="PPT1_BOI04"/>
    <s v="S1CS00738-WS"/>
    <n v="300"/>
    <s v="207197209"/>
    <s v="WS"/>
    <n v="45"/>
    <n v="0.54709517923362172"/>
    <x v="1"/>
    <x v="1"/>
    <n v="8700"/>
    <x v="0"/>
    <m/>
  </r>
  <r>
    <s v="PPT1_BOI04"/>
    <s v="S1CS06664-WS"/>
    <n v="180"/>
    <s v="207201918"/>
    <s v="WS"/>
    <n v="3"/>
    <n v="0.43767110175169904"/>
    <x v="15"/>
    <x v="1"/>
    <n v="8280"/>
    <x v="0"/>
    <m/>
  </r>
  <r>
    <s v="PPT1_BOI04"/>
    <s v="S1CS06664-WS"/>
    <n v="180"/>
    <s v="207201922"/>
    <s v="WS"/>
    <n v="3"/>
    <n v="0.43767110175169904"/>
    <x v="7"/>
    <x v="1"/>
    <n v="8280"/>
    <x v="0"/>
    <m/>
  </r>
  <r>
    <s v="PPT1_BOI04"/>
    <s v="S1CS06664-WS"/>
    <n v="180"/>
    <s v="207201956"/>
    <s v="WS"/>
    <n v="3"/>
    <n v="0.43767110175169904"/>
    <x v="6"/>
    <x v="1"/>
    <n v="8280"/>
    <x v="0"/>
    <m/>
  </r>
  <r>
    <s v="PPT1_BOI04"/>
    <s v="S1CS06664-WS"/>
    <n v="180"/>
    <s v="207201968"/>
    <s v="WS"/>
    <n v="3"/>
    <n v="0.43767110175169904"/>
    <x v="15"/>
    <x v="1"/>
    <n v="8280"/>
    <x v="0"/>
    <m/>
  </r>
  <r>
    <s v="PPT1_BOI04"/>
    <s v="S1CS06664-WS"/>
    <n v="180"/>
    <s v="207201953"/>
    <s v="WS"/>
    <n v="3"/>
    <n v="0.43767110175169904"/>
    <x v="7"/>
    <x v="1"/>
    <n v="8280"/>
    <x v="0"/>
    <m/>
  </r>
  <r>
    <s v="PPT1_BOI04"/>
    <s v="S1CS06893-WS"/>
    <n v="480"/>
    <s v="207197609"/>
    <s v="WS"/>
    <n v="3"/>
    <n v="1.3128233131291069"/>
    <x v="18"/>
    <x v="1"/>
    <n v="8160"/>
    <x v="0"/>
    <m/>
  </r>
  <r>
    <s v="PPT1_BOI04"/>
    <s v="S1CS06893-WS"/>
    <n v="480"/>
    <s v="207197625"/>
    <s v="WS"/>
    <n v="3"/>
    <n v="1.3128233131291069"/>
    <x v="3"/>
    <x v="1"/>
    <n v="8160"/>
    <x v="0"/>
    <m/>
  </r>
  <r>
    <s v="PPT1_BOI04"/>
    <s v="S1CS06893-WS"/>
    <n v="480"/>
    <s v="207197707"/>
    <s v="WS"/>
    <n v="3"/>
    <n v="1.3128233131291069"/>
    <x v="4"/>
    <x v="1"/>
    <n v="8160"/>
    <x v="0"/>
    <m/>
  </r>
  <r>
    <s v="PPT1_BOI04"/>
    <s v="S1CS06172-WS"/>
    <n v="300"/>
    <s v="207197698"/>
    <s v="WS"/>
    <n v="2"/>
    <n v="0.54535355955212561"/>
    <x v="2"/>
    <x v="1"/>
    <n v="8100"/>
    <x v="0"/>
    <m/>
  </r>
  <r>
    <s v="PPT1_BOI04"/>
    <s v="S1CS06173-WS"/>
    <n v="300"/>
    <s v="207198004"/>
    <s v="WS"/>
    <n v="1"/>
    <n v="0.38309352517985612"/>
    <x v="1"/>
    <x v="1"/>
    <n v="8100"/>
    <x v="0"/>
    <m/>
  </r>
  <r>
    <s v="PPT1_BOI04"/>
    <s v="S1CS05816-WS"/>
    <n v="180"/>
    <s v="207201270"/>
    <s v="WS"/>
    <n v="4"/>
    <n v="0.2184967850677321"/>
    <x v="16"/>
    <x v="1"/>
    <n v="7920"/>
    <x v="0"/>
    <m/>
  </r>
  <r>
    <s v="PPT1_BOI04"/>
    <s v="S1CS05816-WS"/>
    <n v="180"/>
    <s v="207201245"/>
    <s v="WS"/>
    <n v="4"/>
    <n v="0.2184967850677321"/>
    <x v="9"/>
    <x v="1"/>
    <n v="7920"/>
    <x v="0"/>
    <m/>
  </r>
  <r>
    <s v="PPT1_BOI04"/>
    <s v="S1CS05816-WS"/>
    <n v="180"/>
    <s v="207201173"/>
    <s v="WS"/>
    <n v="4"/>
    <n v="0.2184967850677321"/>
    <x v="8"/>
    <x v="1"/>
    <n v="7920"/>
    <x v="0"/>
    <m/>
  </r>
  <r>
    <s v="PPT1_BOI04"/>
    <s v="S1CS05816-WS"/>
    <n v="180"/>
    <s v="207201167"/>
    <s v="WS"/>
    <n v="4"/>
    <n v="0.2184967850677321"/>
    <x v="6"/>
    <x v="1"/>
    <n v="7920"/>
    <x v="0"/>
    <m/>
  </r>
  <r>
    <s v="PPT1_BOI04"/>
    <s v="S1CS05816-WS"/>
    <n v="180"/>
    <s v="207201155"/>
    <s v="WS"/>
    <n v="4"/>
    <n v="0.2184967850677321"/>
    <x v="16"/>
    <x v="1"/>
    <n v="7920"/>
    <x v="0"/>
    <m/>
  </r>
  <r>
    <s v="PPT1_BOI04"/>
    <s v="S1CS05816-WS"/>
    <n v="180"/>
    <s v="207201171"/>
    <s v="WS"/>
    <n v="4"/>
    <n v="0.2184967850677321"/>
    <x v="9"/>
    <x v="1"/>
    <n v="7920"/>
    <x v="0"/>
    <m/>
  </r>
  <r>
    <s v="PPT1_BOI04"/>
    <s v="S1CS05816-WS"/>
    <n v="180"/>
    <s v="207201216"/>
    <s v="WS"/>
    <n v="4"/>
    <n v="0.2184967850677321"/>
    <x v="8"/>
    <x v="1"/>
    <n v="7920"/>
    <x v="0"/>
    <m/>
  </r>
  <r>
    <s v="PPT1_BOI04"/>
    <s v="S1CS05816-WS"/>
    <n v="180"/>
    <s v="207201213"/>
    <s v="WS"/>
    <n v="4"/>
    <n v="0.2184967850677321"/>
    <x v="6"/>
    <x v="1"/>
    <n v="7920"/>
    <x v="0"/>
    <m/>
  </r>
  <r>
    <s v="PPT1_BOI04"/>
    <s v="S1CS05816-WS"/>
    <n v="180"/>
    <s v="207201239"/>
    <s v="WS"/>
    <n v="4"/>
    <n v="0.2184967850677321"/>
    <x v="16"/>
    <x v="1"/>
    <n v="7920"/>
    <x v="0"/>
    <m/>
  </r>
  <r>
    <s v="PPT1_BOI04"/>
    <s v="S1CS05816-WS"/>
    <n v="180"/>
    <s v="207201268"/>
    <s v="WS"/>
    <n v="4"/>
    <n v="0.2184967850677321"/>
    <x v="9"/>
    <x v="1"/>
    <n v="7920"/>
    <x v="0"/>
    <m/>
  </r>
  <r>
    <s v="PPT1_BOI04"/>
    <s v="S1CS05816-WS"/>
    <n v="180"/>
    <s v="207201241"/>
    <s v="WS"/>
    <n v="4"/>
    <n v="0.2184967850677321"/>
    <x v="8"/>
    <x v="1"/>
    <n v="7920"/>
    <x v="0"/>
    <m/>
  </r>
  <r>
    <s v="PPT1_BOI04"/>
    <s v="S1CS05816-WS"/>
    <n v="180"/>
    <s v="207201202"/>
    <s v="WS"/>
    <n v="4"/>
    <n v="0.2184967850677321"/>
    <x v="6"/>
    <x v="1"/>
    <n v="7920"/>
    <x v="0"/>
    <m/>
  </r>
  <r>
    <s v="PPT1_BOI04"/>
    <s v="S1CS05816-WS"/>
    <n v="180"/>
    <s v="207201179"/>
    <s v="WS"/>
    <n v="4"/>
    <n v="0.2184967850677321"/>
    <x v="16"/>
    <x v="1"/>
    <n v="7920"/>
    <x v="0"/>
    <m/>
  </r>
  <r>
    <s v="PPT1_BOI04"/>
    <s v="S1CS05816-WS"/>
    <n v="180"/>
    <s v="207201207"/>
    <s v="WS"/>
    <n v="4"/>
    <n v="0.2184967850677321"/>
    <x v="9"/>
    <x v="1"/>
    <n v="7920"/>
    <x v="0"/>
    <m/>
  </r>
  <r>
    <s v="PPT1_BOI04"/>
    <s v="S1CS05816-WS"/>
    <n v="180"/>
    <s v="207201211"/>
    <s v="WS"/>
    <n v="4"/>
    <n v="0.2184967850677321"/>
    <x v="8"/>
    <x v="1"/>
    <n v="7920"/>
    <x v="0"/>
    <m/>
  </r>
  <r>
    <s v="PPT1_BOI04"/>
    <s v="S1CS05816-WS"/>
    <n v="180"/>
    <s v="207201209"/>
    <s v="WS"/>
    <n v="4"/>
    <n v="0.2184967850677321"/>
    <x v="6"/>
    <x v="1"/>
    <n v="7920"/>
    <x v="0"/>
    <m/>
  </r>
  <r>
    <s v="PPT1_BOI04"/>
    <s v="S1CS05816-WS"/>
    <n v="180"/>
    <s v="207201272"/>
    <s v="WS"/>
    <n v="4"/>
    <n v="0.2184967850677321"/>
    <x v="16"/>
    <x v="1"/>
    <n v="7920"/>
    <x v="0"/>
    <m/>
  </r>
  <r>
    <s v="PPT1_BOI04"/>
    <s v="S1CS05816-WS"/>
    <n v="180"/>
    <s v="207201087"/>
    <s v="WS"/>
    <n v="4"/>
    <n v="0.2184967850677321"/>
    <x v="9"/>
    <x v="1"/>
    <n v="7920"/>
    <x v="0"/>
    <m/>
  </r>
  <r>
    <s v="PPT1_BOI04"/>
    <s v="S1CS05816-WS"/>
    <n v="180"/>
    <s v="207201089"/>
    <s v="WS"/>
    <n v="4"/>
    <n v="0.2184967850677321"/>
    <x v="8"/>
    <x v="1"/>
    <n v="7920"/>
    <x v="0"/>
    <m/>
  </r>
  <r>
    <s v="PPT1_BOI04"/>
    <s v="S1CS05816-WS"/>
    <n v="180"/>
    <s v="207201082"/>
    <s v="WS"/>
    <n v="4"/>
    <n v="0.2184967850677321"/>
    <x v="6"/>
    <x v="1"/>
    <n v="7920"/>
    <x v="0"/>
    <m/>
  </r>
  <r>
    <s v="PPT1_BOI04"/>
    <s v="S1CS05816-WS"/>
    <n v="180"/>
    <s v="207201079"/>
    <s v="WS"/>
    <n v="4"/>
    <n v="0.2184967850677321"/>
    <x v="16"/>
    <x v="1"/>
    <n v="7920"/>
    <x v="0"/>
    <m/>
  </r>
  <r>
    <s v="PPT1_BOI04"/>
    <s v="S1CS05816-WS"/>
    <n v="180"/>
    <s v="207201080"/>
    <s v="WS"/>
    <n v="4"/>
    <n v="0.2184967850677321"/>
    <x v="9"/>
    <x v="1"/>
    <n v="7920"/>
    <x v="0"/>
    <m/>
  </r>
  <r>
    <s v="PPT1_BOI04"/>
    <s v="S1CS05816-WS"/>
    <n v="180"/>
    <s v="207201094"/>
    <s v="WS"/>
    <n v="4"/>
    <n v="0.2184967850677321"/>
    <x v="8"/>
    <x v="1"/>
    <n v="7920"/>
    <x v="0"/>
    <m/>
  </r>
  <r>
    <s v="PPT1_BOI04"/>
    <s v="S1CS05816-WS"/>
    <n v="180"/>
    <s v="207201243"/>
    <s v="WS"/>
    <n v="4"/>
    <n v="0.2184967850677321"/>
    <x v="6"/>
    <x v="1"/>
    <n v="7920"/>
    <x v="0"/>
    <m/>
  </r>
  <r>
    <s v="PPT1_BOI04"/>
    <s v="S1CS05816-WS"/>
    <n v="180"/>
    <s v="207201139"/>
    <s v="WS"/>
    <n v="4"/>
    <n v="0.2184967850677321"/>
    <x v="16"/>
    <x v="1"/>
    <n v="7920"/>
    <x v="0"/>
    <m/>
  </r>
  <r>
    <s v="PPT1_BOI04"/>
    <s v="S1CS05816-WS"/>
    <n v="180"/>
    <s v="207201120"/>
    <s v="WS"/>
    <n v="4"/>
    <n v="0.2184967850677321"/>
    <x v="9"/>
    <x v="1"/>
    <n v="7920"/>
    <x v="0"/>
    <m/>
  </r>
  <r>
    <s v="PPT1_BOI04"/>
    <s v="S1CS05816-WS"/>
    <n v="180"/>
    <s v="207201124"/>
    <s v="WS"/>
    <n v="4"/>
    <n v="0.2184967850677321"/>
    <x v="8"/>
    <x v="1"/>
    <n v="7920"/>
    <x v="0"/>
    <m/>
  </r>
  <r>
    <s v="PPT1_BOI04"/>
    <s v="S1CS05816-WS"/>
    <n v="180"/>
    <s v="207201077"/>
    <s v="WS"/>
    <n v="4"/>
    <n v="0.2184967850677321"/>
    <x v="6"/>
    <x v="1"/>
    <n v="7920"/>
    <x v="0"/>
    <m/>
  </r>
  <r>
    <s v="PPT1_BOI04"/>
    <s v="S1CS05816-WS"/>
    <n v="180"/>
    <s v="207198815"/>
    <s v="WS"/>
    <n v="4"/>
    <n v="0.2184967850677321"/>
    <x v="16"/>
    <x v="1"/>
    <n v="7920"/>
    <x v="0"/>
    <m/>
  </r>
  <r>
    <s v="PPT1_BOI04"/>
    <s v="S1CS05816-WS"/>
    <n v="180"/>
    <s v="207199015"/>
    <s v="WS"/>
    <n v="4"/>
    <n v="0.2184967850677321"/>
    <x v="9"/>
    <x v="1"/>
    <n v="7920"/>
    <x v="0"/>
    <m/>
  </r>
  <r>
    <s v="PPT1_BOI04"/>
    <s v="S1CS05816-WS"/>
    <n v="180"/>
    <s v="207201299"/>
    <s v="WS"/>
    <n v="4"/>
    <n v="0.2184967850677321"/>
    <x v="8"/>
    <x v="1"/>
    <n v="7920"/>
    <x v="0"/>
    <m/>
  </r>
  <r>
    <s v="PPT1_BOI04"/>
    <s v="S1CS05816-WS"/>
    <n v="180"/>
    <s v="207201274"/>
    <s v="WS"/>
    <n v="4"/>
    <n v="0.2184967850677321"/>
    <x v="6"/>
    <x v="1"/>
    <n v="7920"/>
    <x v="0"/>
    <m/>
  </r>
  <r>
    <s v="PPT1_BOI04"/>
    <s v="S1CS05816-WS"/>
    <n v="180"/>
    <s v="207201287"/>
    <s v="WS"/>
    <n v="4"/>
    <n v="0.2184967850677321"/>
    <x v="16"/>
    <x v="1"/>
    <n v="7920"/>
    <x v="0"/>
    <m/>
  </r>
  <r>
    <s v="PPT1_BOI04"/>
    <s v="S1CS05816-WS"/>
    <n v="180"/>
    <s v="207199022"/>
    <s v="WS"/>
    <n v="4"/>
    <n v="0.2184967850677321"/>
    <x v="9"/>
    <x v="1"/>
    <n v="7920"/>
    <x v="0"/>
    <m/>
  </r>
  <r>
    <s v="PPT1_BOI04"/>
    <s v="S1CS05816-WS"/>
    <n v="180"/>
    <s v="207201048"/>
    <s v="WS"/>
    <n v="4"/>
    <n v="0.2184967850677321"/>
    <x v="8"/>
    <x v="1"/>
    <n v="7920"/>
    <x v="0"/>
    <m/>
  </r>
  <r>
    <s v="PPT1_BOI04"/>
    <s v="S1CS05816-WS"/>
    <n v="180"/>
    <s v="207201065"/>
    <s v="WS"/>
    <n v="4"/>
    <n v="0.2184967850677321"/>
    <x v="6"/>
    <x v="1"/>
    <n v="7920"/>
    <x v="0"/>
    <m/>
  </r>
  <r>
    <s v="PPT1_BOI04"/>
    <s v="S1CS05816-WS"/>
    <n v="180"/>
    <s v="207199064"/>
    <s v="WS"/>
    <n v="4"/>
    <n v="0.2184967850677321"/>
    <x v="16"/>
    <x v="1"/>
    <n v="7920"/>
    <x v="0"/>
    <m/>
  </r>
  <r>
    <s v="PPT1_BOI04"/>
    <s v="S1CS05816-WS"/>
    <n v="180"/>
    <s v="207199118"/>
    <s v="WS"/>
    <n v="4"/>
    <n v="0.2184967850677321"/>
    <x v="9"/>
    <x v="1"/>
    <n v="7920"/>
    <x v="0"/>
    <m/>
  </r>
  <r>
    <s v="PPT1_BOI04"/>
    <s v="S1CS00337-WS"/>
    <n v="300"/>
    <s v="207197858"/>
    <s v="WS"/>
    <n v="2"/>
    <n v="0.4746436195565239"/>
    <x v="18"/>
    <x v="1"/>
    <n v="7800"/>
    <x v="0"/>
    <m/>
  </r>
  <r>
    <s v="PPT1_BOI04"/>
    <s v="S1CS04837-WS"/>
    <n v="300"/>
    <s v="207201450"/>
    <s v="WS"/>
    <n v="6"/>
    <n v="0.36918783771307767"/>
    <x v="3"/>
    <x v="1"/>
    <n v="7800"/>
    <x v="0"/>
    <m/>
  </r>
  <r>
    <s v="PPT1_BOI04"/>
    <s v="S1CS04837-WS"/>
    <n v="300"/>
    <s v="207201456"/>
    <s v="WS"/>
    <n v="6"/>
    <n v="0.36918783771307767"/>
    <x v="4"/>
    <x v="1"/>
    <n v="7800"/>
    <x v="0"/>
    <m/>
  </r>
  <r>
    <s v="PPT1_BOI04"/>
    <s v="S1CS04837-WS"/>
    <n v="300"/>
    <s v="207201314"/>
    <s v="WS"/>
    <n v="6"/>
    <n v="0.36918783771307767"/>
    <x v="15"/>
    <x v="1"/>
    <n v="7800"/>
    <x v="0"/>
    <m/>
  </r>
  <r>
    <s v="PPT1_BOI04"/>
    <s v="S1CS04837-WS"/>
    <n v="300"/>
    <s v="207201352"/>
    <s v="WS"/>
    <n v="6"/>
    <n v="0.36918783771307767"/>
    <x v="2"/>
    <x v="1"/>
    <n v="7800"/>
    <x v="0"/>
    <m/>
  </r>
  <r>
    <s v="PPT1_BOI04"/>
    <s v="S1CS04837-WS"/>
    <n v="300"/>
    <s v="207201348"/>
    <s v="WS"/>
    <n v="6"/>
    <n v="0.36918783771307767"/>
    <x v="1"/>
    <x v="1"/>
    <n v="7800"/>
    <x v="0"/>
    <m/>
  </r>
  <r>
    <s v="PPT1_BOI04"/>
    <s v="S1CS04837-WS"/>
    <n v="300"/>
    <s v="207201378"/>
    <s v="WS"/>
    <n v="6"/>
    <n v="0.36918783771307767"/>
    <x v="17"/>
    <x v="1"/>
    <n v="7800"/>
    <x v="0"/>
    <m/>
  </r>
  <r>
    <s v="PPT1_BOI04"/>
    <s v="S1CS03921-WS"/>
    <n v="100"/>
    <s v="207198695"/>
    <s v="WS"/>
    <n v="7"/>
    <n v="8.5590601572760064E-2"/>
    <x v="13"/>
    <x v="1"/>
    <n v="7700"/>
    <x v="0"/>
    <m/>
  </r>
  <r>
    <s v="PPT1_BOI04"/>
    <s v="S1CS03921-WS"/>
    <n v="100"/>
    <s v="207208133"/>
    <s v="WS"/>
    <n v="7"/>
    <n v="8.5590601572760064E-2"/>
    <x v="14"/>
    <x v="1"/>
    <n v="7700"/>
    <x v="0"/>
    <m/>
  </r>
  <r>
    <s v="PPT1_BOI04"/>
    <s v="S1CS07381-WS"/>
    <n v="690"/>
    <s v="207199149"/>
    <s v="WS"/>
    <n v="4"/>
    <n v="1.1985982366416281"/>
    <x v="7"/>
    <x v="1"/>
    <n v="7590"/>
    <x v="0"/>
    <m/>
  </r>
  <r>
    <s v="PPT1_BOI04"/>
    <s v="S1CS07381-WS"/>
    <n v="690"/>
    <s v="207200306"/>
    <s v="WS"/>
    <n v="4"/>
    <n v="1.1985982366416281"/>
    <x v="18"/>
    <x v="1"/>
    <n v="7590"/>
    <x v="0"/>
    <m/>
  </r>
  <r>
    <s v="PPT1_BOI04"/>
    <s v="S1CS07381-WS"/>
    <n v="690"/>
    <s v="207200330"/>
    <s v="WS"/>
    <n v="4"/>
    <n v="1.1985982366416281"/>
    <x v="3"/>
    <x v="1"/>
    <n v="7590"/>
    <x v="0"/>
    <m/>
  </r>
  <r>
    <s v="PPT1_BOI04"/>
    <s v="S1CS07381-WS"/>
    <n v="690"/>
    <s v="207200336"/>
    <s v="WS"/>
    <n v="4"/>
    <n v="1.1985982366416281"/>
    <x v="4"/>
    <x v="1"/>
    <n v="7590"/>
    <x v="0"/>
    <m/>
  </r>
  <r>
    <s v="PPT1_BOI04"/>
    <s v="S1CS07381-WS"/>
    <n v="690"/>
    <s v="207200352"/>
    <s v="WS"/>
    <n v="4"/>
    <n v="1.1985982366416281"/>
    <x v="7"/>
    <x v="1"/>
    <n v="7590"/>
    <x v="0"/>
    <m/>
  </r>
  <r>
    <s v="PPT1_BOI04"/>
    <s v="S1CS07381-WS"/>
    <n v="690"/>
    <s v="207200304"/>
    <s v="WS"/>
    <n v="4"/>
    <n v="1.1985982366416281"/>
    <x v="18"/>
    <x v="1"/>
    <n v="7590"/>
    <x v="0"/>
    <m/>
  </r>
  <r>
    <s v="PPT1_BOI04"/>
    <s v="S1CS07381-WS"/>
    <n v="690"/>
    <s v="207200297"/>
    <s v="WS"/>
    <n v="4"/>
    <n v="1.1985982366416281"/>
    <x v="3"/>
    <x v="1"/>
    <n v="7590"/>
    <x v="0"/>
    <m/>
  </r>
  <r>
    <s v="PPT1_BOI04"/>
    <s v="S1CS07381-WS"/>
    <n v="690"/>
    <s v="207200299"/>
    <s v="WS"/>
    <n v="4"/>
    <n v="1.1985982366416281"/>
    <x v="4"/>
    <x v="1"/>
    <n v="7590"/>
    <x v="0"/>
    <m/>
  </r>
  <r>
    <s v="PPT1_BOI04"/>
    <s v="S1CS07381-WS"/>
    <n v="690"/>
    <s v="207200301"/>
    <s v="WS"/>
    <n v="4"/>
    <n v="1.1985982366416281"/>
    <x v="7"/>
    <x v="1"/>
    <n v="7590"/>
    <x v="0"/>
    <m/>
  </r>
  <r>
    <s v="PPT1_BOI04"/>
    <s v="S1CS03342-WS"/>
    <n v="240"/>
    <s v="207201286"/>
    <s v="WS"/>
    <n v="2"/>
    <n v="0.30394725756171542"/>
    <x v="2"/>
    <x v="1"/>
    <n v="7440"/>
    <x v="0"/>
    <m/>
  </r>
  <r>
    <s v="PPT1_BOI04"/>
    <s v="S1CS03342-WS"/>
    <n v="240"/>
    <s v="207200987"/>
    <s v="WS"/>
    <n v="2"/>
    <n v="0.30394725756171542"/>
    <x v="2"/>
    <x v="1"/>
    <n v="7440"/>
    <x v="0"/>
    <m/>
  </r>
  <r>
    <s v="PPT1_BOI04"/>
    <s v="S1CS04261-WS"/>
    <n v="90"/>
    <s v="207197412"/>
    <s v="WS"/>
    <n v="3"/>
    <n v="0.11297339908294857"/>
    <x v="15"/>
    <x v="1"/>
    <n v="7290"/>
    <x v="0"/>
    <m/>
  </r>
  <r>
    <s v="PPT1_BOI04"/>
    <s v="S1CS04261-WS"/>
    <n v="90"/>
    <s v="207197297"/>
    <s v="WS"/>
    <n v="3"/>
    <n v="0.11297339908294857"/>
    <x v="1"/>
    <x v="1"/>
    <n v="7290"/>
    <x v="0"/>
    <m/>
  </r>
  <r>
    <s v="PPT1_BOI04"/>
    <s v="S1CS04261-WS"/>
    <n v="90"/>
    <s v="207197332"/>
    <s v="WS"/>
    <n v="3"/>
    <n v="0.11297339908294857"/>
    <x v="17"/>
    <x v="1"/>
    <n v="7290"/>
    <x v="0"/>
    <m/>
  </r>
  <r>
    <s v="PPT1_BOI04"/>
    <s v="S1CS04261-WS"/>
    <n v="90"/>
    <s v="207197384"/>
    <s v="WS"/>
    <n v="3"/>
    <n v="0.11297339908294857"/>
    <x v="15"/>
    <x v="1"/>
    <n v="7290"/>
    <x v="0"/>
    <m/>
  </r>
  <r>
    <s v="PPT1_BOI04"/>
    <s v="S1CS04261-WS"/>
    <n v="90"/>
    <s v="207197447"/>
    <s v="WS"/>
    <n v="3"/>
    <n v="0.11297339908294857"/>
    <x v="1"/>
    <x v="1"/>
    <n v="7290"/>
    <x v="0"/>
    <m/>
  </r>
  <r>
    <s v="PPT1_BOI04"/>
    <s v="S1CS04261-WS"/>
    <n v="90"/>
    <s v="207197361"/>
    <s v="WS"/>
    <n v="3"/>
    <n v="0.11297339908294857"/>
    <x v="17"/>
    <x v="1"/>
    <n v="7290"/>
    <x v="0"/>
    <m/>
  </r>
  <r>
    <s v="PPT1_BOI04"/>
    <s v="S1CS04261-WS"/>
    <n v="90"/>
    <s v="207197261"/>
    <s v="WS"/>
    <n v="3"/>
    <n v="0.11297339908294857"/>
    <x v="15"/>
    <x v="1"/>
    <n v="7290"/>
    <x v="0"/>
    <m/>
  </r>
  <r>
    <s v="PPT1_BOI04"/>
    <s v="S1CS04261-WS"/>
    <n v="90"/>
    <s v="207197284"/>
    <s v="WS"/>
    <n v="3"/>
    <n v="0.11297339908294857"/>
    <x v="1"/>
    <x v="1"/>
    <n v="7290"/>
    <x v="0"/>
    <m/>
  </r>
  <r>
    <s v="PPT1_BOI04"/>
    <s v="S1CS04261-WS"/>
    <n v="90"/>
    <s v="207197302"/>
    <s v="WS"/>
    <n v="3"/>
    <n v="0.11297339908294857"/>
    <x v="17"/>
    <x v="1"/>
    <n v="7290"/>
    <x v="0"/>
    <m/>
  </r>
  <r>
    <s v="PPT1_BOI04"/>
    <s v="S1CS03916-WS"/>
    <n v="300"/>
    <s v="207200925"/>
    <s v="WS"/>
    <n v="6"/>
    <n v="0.20692922339549688"/>
    <x v="18"/>
    <x v="1"/>
    <n v="7200"/>
    <x v="0"/>
    <m/>
  </r>
  <r>
    <s v="PPT1_BOI04"/>
    <s v="S1CS03916-WS"/>
    <n v="300"/>
    <s v="207200926"/>
    <s v="WS"/>
    <n v="6"/>
    <n v="0.20692922339549688"/>
    <x v="3"/>
    <x v="1"/>
    <n v="7200"/>
    <x v="0"/>
    <m/>
  </r>
  <r>
    <s v="PPT1_BOI04"/>
    <s v="S1CS03916-WS"/>
    <n v="300"/>
    <s v="207200923"/>
    <s v="WS"/>
    <n v="6"/>
    <n v="0.20692922339549688"/>
    <x v="2"/>
    <x v="1"/>
    <n v="7200"/>
    <x v="0"/>
    <m/>
  </r>
  <r>
    <s v="PPT1_BOI04"/>
    <s v="S1CS03916-WS"/>
    <n v="300"/>
    <s v="207200920"/>
    <s v="WS"/>
    <n v="6"/>
    <n v="0.20692922339549688"/>
    <x v="4"/>
    <x v="1"/>
    <n v="7200"/>
    <x v="0"/>
    <m/>
  </r>
  <r>
    <s v="PPT1_BOI04"/>
    <s v="S1CS03916-WS"/>
    <n v="300"/>
    <s v="207200922"/>
    <s v="WS"/>
    <n v="6"/>
    <n v="0.20692922339549688"/>
    <x v="7"/>
    <x v="1"/>
    <n v="7200"/>
    <x v="0"/>
    <m/>
  </r>
  <r>
    <s v="PPT1_BOI04"/>
    <s v="S1CS03916-WS"/>
    <n v="300"/>
    <s v="207200918"/>
    <s v="WS"/>
    <n v="6"/>
    <n v="0.20692922339549688"/>
    <x v="18"/>
    <x v="1"/>
    <n v="7200"/>
    <x v="0"/>
    <m/>
  </r>
  <r>
    <s v="PPT1_BOI04"/>
    <s v="S1CS04056-WS"/>
    <n v="75"/>
    <s v="207201679"/>
    <s v="WS"/>
    <n v="2"/>
    <n v="0.10982382058020564"/>
    <x v="15"/>
    <x v="1"/>
    <n v="7200"/>
    <x v="0"/>
    <m/>
  </r>
  <r>
    <s v="PPT1_BOI04"/>
    <s v="S1CS05936-WS"/>
    <n v="300"/>
    <s v="207199310"/>
    <s v="WS"/>
    <n v="4"/>
    <n v="0.78166766028941526"/>
    <x v="3"/>
    <x v="1"/>
    <n v="7200"/>
    <x v="0"/>
    <m/>
  </r>
  <r>
    <s v="PPT1_BOI04"/>
    <s v="S1CS05936-WS"/>
    <n v="300"/>
    <s v="207199385"/>
    <s v="WS"/>
    <n v="4"/>
    <n v="0.78166766028941526"/>
    <x v="1"/>
    <x v="1"/>
    <n v="7200"/>
    <x v="0"/>
    <m/>
  </r>
  <r>
    <s v="PPT1_BOI04"/>
    <s v="S1CS05936-WS"/>
    <n v="300"/>
    <s v="207199354"/>
    <s v="WS"/>
    <n v="4"/>
    <n v="0.78166766028941526"/>
    <x v="2"/>
    <x v="1"/>
    <n v="7200"/>
    <x v="0"/>
    <m/>
  </r>
  <r>
    <s v="PPT1_BOI04"/>
    <s v="S1CS05702-WS"/>
    <n v="80"/>
    <s v="207201359"/>
    <s v="WS"/>
    <n v="2"/>
    <n v="0.10323877298138938"/>
    <x v="1"/>
    <x v="1"/>
    <n v="7040"/>
    <x v="0"/>
    <m/>
  </r>
  <r>
    <s v="PPT1_BOI04"/>
    <s v="S1CS04849-WS"/>
    <n v="195"/>
    <s v="207197501"/>
    <s v="WS"/>
    <n v="2"/>
    <n v="0.21549158978750951"/>
    <x v="4"/>
    <x v="1"/>
    <n v="7020"/>
    <x v="0"/>
    <m/>
  </r>
  <r>
    <s v="PPT1_BOI04"/>
    <s v="S1CS06403-WS"/>
    <n v="120"/>
    <s v="207198466"/>
    <s v="WS"/>
    <n v="2"/>
    <n v="0.1249736958218783"/>
    <x v="17"/>
    <x v="1"/>
    <n v="6960"/>
    <x v="0"/>
    <m/>
  </r>
  <r>
    <s v="PPT1_BOI04"/>
    <s v="S1CS04485-WS"/>
    <n v="300"/>
    <s v="207201281"/>
    <s v="WS"/>
    <n v="15"/>
    <n v="0.38411550845792203"/>
    <x v="7"/>
    <x v="1"/>
    <n v="6900"/>
    <x v="0"/>
    <m/>
  </r>
  <r>
    <s v="PPT1_BOI04"/>
    <s v="S1CS04485-WS"/>
    <n v="300"/>
    <s v="207201277"/>
    <s v="WS"/>
    <n v="15"/>
    <n v="0.38411550845792203"/>
    <x v="18"/>
    <x v="1"/>
    <n v="6900"/>
    <x v="0"/>
    <m/>
  </r>
  <r>
    <s v="PPT1_BOI04"/>
    <s v="S1CS04485-WS"/>
    <n v="300"/>
    <s v="207201385"/>
    <s v="WS"/>
    <n v="15"/>
    <n v="0.38411550845792203"/>
    <x v="15"/>
    <x v="1"/>
    <n v="6900"/>
    <x v="0"/>
    <m/>
  </r>
  <r>
    <s v="PPT1_BOI04"/>
    <s v="S1CS04485-WS"/>
    <n v="300"/>
    <s v="207201386"/>
    <s v="WS"/>
    <n v="15"/>
    <n v="0.38411550845792203"/>
    <x v="4"/>
    <x v="1"/>
    <n v="6900"/>
    <x v="0"/>
    <m/>
  </r>
  <r>
    <s v="PPT1_BOI04"/>
    <s v="S1CS04485-WS"/>
    <n v="300"/>
    <s v="207201076"/>
    <s v="WS"/>
    <n v="15"/>
    <n v="0.38411550845792203"/>
    <x v="3"/>
    <x v="1"/>
    <n v="6900"/>
    <x v="0"/>
    <m/>
  </r>
  <r>
    <s v="PPT1_BOI04"/>
    <s v="S1CS04485-WS"/>
    <n v="300"/>
    <s v="207201279"/>
    <s v="WS"/>
    <n v="15"/>
    <n v="0.38411550845792203"/>
    <x v="2"/>
    <x v="1"/>
    <n v="6900"/>
    <x v="0"/>
    <m/>
  </r>
  <r>
    <s v="PPT1_BOI04"/>
    <s v="S1CS04485-WS"/>
    <n v="300"/>
    <s v="207201278"/>
    <s v="WS"/>
    <n v="15"/>
    <n v="0.38411550845792203"/>
    <x v="17"/>
    <x v="1"/>
    <n v="6900"/>
    <x v="0"/>
    <m/>
  </r>
  <r>
    <s v="PPT1_BOI04"/>
    <s v="S1CS04485-WS"/>
    <n v="300"/>
    <s v="207200995"/>
    <s v="WS"/>
    <n v="15"/>
    <n v="0.38411550845792203"/>
    <x v="7"/>
    <x v="1"/>
    <n v="6900"/>
    <x v="0"/>
    <m/>
  </r>
  <r>
    <s v="PPT1_BOI04"/>
    <s v="S1CS04485-WS"/>
    <n v="300"/>
    <s v="207201099"/>
    <s v="WS"/>
    <n v="15"/>
    <n v="0.38411550845792203"/>
    <x v="5"/>
    <x v="1"/>
    <n v="6900"/>
    <x v="0"/>
    <m/>
  </r>
  <r>
    <s v="PPT1_BOI04"/>
    <s v="S1CS04485-WS"/>
    <n v="300"/>
    <s v="207201190"/>
    <s v="WS"/>
    <n v="15"/>
    <n v="0.38411550845792203"/>
    <x v="0"/>
    <x v="1"/>
    <n v="6900"/>
    <x v="0"/>
    <m/>
  </r>
  <r>
    <s v="PPT1_BOI04"/>
    <s v="S1CS04485-WS"/>
    <n v="300"/>
    <s v="207201189"/>
    <s v="WS"/>
    <n v="15"/>
    <n v="0.38411550845792203"/>
    <x v="18"/>
    <x v="1"/>
    <n v="6900"/>
    <x v="0"/>
    <m/>
  </r>
  <r>
    <s v="PPT1_BOI04"/>
    <s v="S1CS04993-WS"/>
    <n v="300"/>
    <s v="207197324"/>
    <s v="WS"/>
    <n v="7"/>
    <n v="0.21827743610141098"/>
    <x v="15"/>
    <x v="1"/>
    <n v="6900"/>
    <x v="0"/>
    <m/>
  </r>
  <r>
    <s v="PPT1_BOI04"/>
    <s v="S1CS04993-WS"/>
    <n v="300"/>
    <s v="207197347"/>
    <s v="WS"/>
    <n v="7"/>
    <n v="0.21827743610141098"/>
    <x v="4"/>
    <x v="1"/>
    <n v="6900"/>
    <x v="0"/>
    <m/>
  </r>
  <r>
    <s v="PPT1_BOI04"/>
    <s v="S1CS04993-WS"/>
    <n v="300"/>
    <s v="207197351"/>
    <s v="WS"/>
    <n v="7"/>
    <n v="0.21827743610141098"/>
    <x v="3"/>
    <x v="1"/>
    <n v="6900"/>
    <x v="0"/>
    <m/>
  </r>
  <r>
    <s v="PPT1_BOI04"/>
    <s v="S1CS04993-WS"/>
    <n v="300"/>
    <s v="207198454"/>
    <s v="WS"/>
    <n v="7"/>
    <n v="0.21827743610141098"/>
    <x v="2"/>
    <x v="1"/>
    <n v="6900"/>
    <x v="0"/>
    <m/>
  </r>
  <r>
    <s v="PPT1_BOI04"/>
    <s v="S1CS04993-WS"/>
    <n v="300"/>
    <s v="207198562"/>
    <s v="WS"/>
    <n v="7"/>
    <n v="0.21827743610141098"/>
    <x v="1"/>
    <x v="1"/>
    <n v="6900"/>
    <x v="0"/>
    <m/>
  </r>
  <r>
    <s v="PPT1_BOI04"/>
    <s v="S1CS04993-WS"/>
    <n v="300"/>
    <s v="207197318"/>
    <s v="WS"/>
    <n v="7"/>
    <n v="0.21827743610141098"/>
    <x v="13"/>
    <x v="1"/>
    <n v="6900"/>
    <x v="0"/>
    <m/>
  </r>
  <r>
    <s v="PPT1_BOI04"/>
    <s v="S1CS04993-WS"/>
    <n v="300"/>
    <s v="207198479"/>
    <s v="WS"/>
    <n v="7"/>
    <n v="0.21827743610141098"/>
    <x v="14"/>
    <x v="1"/>
    <n v="6900"/>
    <x v="0"/>
    <m/>
  </r>
  <r>
    <s v="PPT1_BOI04"/>
    <s v="S1CS04993-WS"/>
    <n v="300"/>
    <s v="207197321"/>
    <s v="WS"/>
    <n v="7"/>
    <n v="0.21827743610141098"/>
    <x v="15"/>
    <x v="1"/>
    <n v="6900"/>
    <x v="0"/>
    <m/>
  </r>
  <r>
    <s v="PPT1_BOI04"/>
    <s v="S1CS05100-WS"/>
    <n v="300"/>
    <s v="207198096"/>
    <s v="WS"/>
    <n v="2"/>
    <n v="0.36602279133228771"/>
    <x v="17"/>
    <x v="1"/>
    <n v="6900"/>
    <x v="0"/>
    <m/>
  </r>
  <r>
    <s v="PPT1_BOI04"/>
    <s v="S1CS06373-WS"/>
    <n v="300"/>
    <s v="207199410"/>
    <s v="WS"/>
    <n v="28"/>
    <n v="0.40863453815261053"/>
    <x v="7"/>
    <x v="1"/>
    <n v="6900"/>
    <x v="0"/>
    <m/>
  </r>
  <r>
    <s v="PPT1_BOI04"/>
    <s v="S1CS06183-WS"/>
    <n v="50"/>
    <s v="207200114"/>
    <s v="WS"/>
    <n v="4"/>
    <n v="0.15043044303520076"/>
    <x v="5"/>
    <x v="1"/>
    <n v="6800"/>
    <x v="0"/>
    <m/>
  </r>
  <r>
    <s v="PPT1_BOI04"/>
    <s v="S1CS00490-WS"/>
    <n v="450"/>
    <s v="207197741"/>
    <s v="WS"/>
    <n v="2"/>
    <n v="0.39867151532677314"/>
    <x v="0"/>
    <x v="1"/>
    <n v="6750"/>
    <x v="0"/>
    <m/>
  </r>
  <r>
    <s v="PPT1_BOI04"/>
    <s v="S1CS00490-WS"/>
    <n v="450"/>
    <s v="207197674"/>
    <s v="WS"/>
    <n v="2"/>
    <n v="0.39867151532677314"/>
    <x v="18"/>
    <x v="1"/>
    <n v="6750"/>
    <x v="0"/>
    <m/>
  </r>
  <r>
    <s v="PPT1_BOI04"/>
    <s v="S1CS00490-WS"/>
    <n v="450"/>
    <s v="207197721"/>
    <s v="WS"/>
    <n v="2"/>
    <n v="0.39867151532677314"/>
    <x v="0"/>
    <x v="1"/>
    <n v="6750"/>
    <x v="0"/>
    <m/>
  </r>
  <r>
    <s v="PPT1_BOI04"/>
    <s v="S1CS06518-WS"/>
    <n v="210"/>
    <s v="207202259"/>
    <s v="WS"/>
    <n v="3"/>
    <n v="0.48535547522217193"/>
    <x v="4"/>
    <x v="1"/>
    <n v="6510"/>
    <x v="0"/>
    <m/>
  </r>
  <r>
    <s v="PPT1_BOI04"/>
    <s v="S1CS06518-WS"/>
    <n v="210"/>
    <s v="207202256"/>
    <s v="WS"/>
    <n v="3"/>
    <n v="0.48535547522217193"/>
    <x v="3"/>
    <x v="1"/>
    <n v="6510"/>
    <x v="0"/>
    <m/>
  </r>
  <r>
    <s v="PPT1_BOI04"/>
    <s v="S1CS06518-WS"/>
    <n v="210"/>
    <s v="207202257"/>
    <s v="WS"/>
    <n v="3"/>
    <n v="0.48535547522217193"/>
    <x v="2"/>
    <x v="1"/>
    <n v="6510"/>
    <x v="0"/>
    <m/>
  </r>
  <r>
    <s v="PPT1_BOI04"/>
    <s v="S1CS06518-WS"/>
    <n v="210"/>
    <s v="207202255"/>
    <s v="WS"/>
    <n v="3"/>
    <n v="0.48535547522217193"/>
    <x v="4"/>
    <x v="1"/>
    <n v="6510"/>
    <x v="0"/>
    <m/>
  </r>
  <r>
    <s v="PPT1_BOI04"/>
    <s v="S1CS06518-WS"/>
    <n v="210"/>
    <s v="207202267"/>
    <s v="WS"/>
    <n v="3"/>
    <n v="0.48535547522217193"/>
    <x v="3"/>
    <x v="1"/>
    <n v="6510"/>
    <x v="0"/>
    <m/>
  </r>
  <r>
    <s v="PPT1_BOI04"/>
    <s v="S1CS06518-WS"/>
    <n v="210"/>
    <s v="207202268"/>
    <s v="WS"/>
    <n v="3"/>
    <n v="0.48535547522217193"/>
    <x v="2"/>
    <x v="1"/>
    <n v="6510"/>
    <x v="0"/>
    <m/>
  </r>
  <r>
    <s v="PPT1_BOI04"/>
    <s v="S1CS06518-WS"/>
    <n v="210"/>
    <s v="207202260"/>
    <s v="WS"/>
    <n v="3"/>
    <n v="0.48535547522217193"/>
    <x v="4"/>
    <x v="1"/>
    <n v="6510"/>
    <x v="0"/>
    <m/>
  </r>
  <r>
    <s v="PPT1_BOI04"/>
    <s v="S1CS06518-WS"/>
    <n v="210"/>
    <s v="207202266"/>
    <s v="WS"/>
    <n v="3"/>
    <n v="0.48535547522217193"/>
    <x v="3"/>
    <x v="1"/>
    <n v="6510"/>
    <x v="0"/>
    <m/>
  </r>
  <r>
    <s v="PPT1_BOI04"/>
    <s v="S1CS06518-WS"/>
    <n v="210"/>
    <s v="207198921"/>
    <s v="WS"/>
    <n v="3"/>
    <n v="0.48535547522217193"/>
    <x v="2"/>
    <x v="1"/>
    <n v="6510"/>
    <x v="0"/>
    <m/>
  </r>
  <r>
    <s v="PPT1_BOI04"/>
    <s v="S1CS06518-WS"/>
    <n v="210"/>
    <s v="207202277"/>
    <s v="WS"/>
    <n v="3"/>
    <n v="0.48535547522217193"/>
    <x v="4"/>
    <x v="1"/>
    <n v="6510"/>
    <x v="0"/>
    <m/>
  </r>
  <r>
    <s v="PPT1_BOI04"/>
    <s v="S1CS06518-WS"/>
    <n v="210"/>
    <s v="207202278"/>
    <s v="WS"/>
    <n v="3"/>
    <n v="0.48535547522217193"/>
    <x v="3"/>
    <x v="1"/>
    <n v="6510"/>
    <x v="0"/>
    <m/>
  </r>
  <r>
    <s v="PPT1_BOI04"/>
    <s v="S1CS06518-WS"/>
    <n v="210"/>
    <s v="207198804"/>
    <s v="WS"/>
    <n v="3"/>
    <n v="0.48535547522217193"/>
    <x v="2"/>
    <x v="1"/>
    <n v="6510"/>
    <x v="0"/>
    <m/>
  </r>
  <r>
    <s v="PPT1_BOI04"/>
    <s v="S1CS06518-WS"/>
    <n v="210"/>
    <s v="207202279"/>
    <s v="WS"/>
    <n v="3"/>
    <n v="0.48535547522217193"/>
    <x v="4"/>
    <x v="1"/>
    <n v="6510"/>
    <x v="0"/>
    <m/>
  </r>
  <r>
    <s v="PPT1_BOI04"/>
    <s v="S1CS06518-WS"/>
    <n v="210"/>
    <s v="207202269"/>
    <s v="WS"/>
    <n v="3"/>
    <n v="0.48535547522217193"/>
    <x v="3"/>
    <x v="1"/>
    <n v="6510"/>
    <x v="0"/>
    <m/>
  </r>
  <r>
    <s v="PPT1_BOI04"/>
    <s v="S1CS06518-WS"/>
    <n v="210"/>
    <s v="207202283"/>
    <s v="WS"/>
    <n v="3"/>
    <n v="0.48535547522217193"/>
    <x v="2"/>
    <x v="1"/>
    <n v="6510"/>
    <x v="0"/>
    <m/>
  </r>
  <r>
    <s v="PPT1_BOI04"/>
    <s v="S1CS06518-WS"/>
    <n v="210"/>
    <s v="207202282"/>
    <s v="WS"/>
    <n v="3"/>
    <n v="0.48535547522217193"/>
    <x v="4"/>
    <x v="1"/>
    <n v="6510"/>
    <x v="0"/>
    <m/>
  </r>
  <r>
    <s v="PPT1_BOI04"/>
    <s v="S1CS06519-WS"/>
    <n v="210"/>
    <s v="207201883"/>
    <s v="WS"/>
    <n v="3"/>
    <n v="0.45885889067842106"/>
    <x v="1"/>
    <x v="1"/>
    <n v="6510"/>
    <x v="0"/>
    <m/>
  </r>
  <r>
    <s v="PPT1_BOI04"/>
    <s v="S1CS06519-WS"/>
    <n v="210"/>
    <s v="207199543"/>
    <s v="WS"/>
    <n v="3"/>
    <n v="0.45885889067842106"/>
    <x v="13"/>
    <x v="1"/>
    <n v="6510"/>
    <x v="0"/>
    <m/>
  </r>
  <r>
    <s v="PPT1_BOI04"/>
    <s v="S1CS06519-WS"/>
    <n v="210"/>
    <s v="207201879"/>
    <s v="WS"/>
    <n v="3"/>
    <n v="0.45885889067842106"/>
    <x v="14"/>
    <x v="1"/>
    <n v="6510"/>
    <x v="0"/>
    <m/>
  </r>
  <r>
    <s v="PPT1_BOI04"/>
    <s v="S1CS06519-WS"/>
    <n v="210"/>
    <s v="207201857"/>
    <s v="WS"/>
    <n v="3"/>
    <n v="0.45885889067842106"/>
    <x v="1"/>
    <x v="1"/>
    <n v="6510"/>
    <x v="0"/>
    <m/>
  </r>
  <r>
    <s v="PPT1_BOI04"/>
    <s v="S1CS06519-WS"/>
    <n v="210"/>
    <s v="207199104"/>
    <s v="WS"/>
    <n v="3"/>
    <n v="0.45885889067842106"/>
    <x v="13"/>
    <x v="1"/>
    <n v="6510"/>
    <x v="0"/>
    <m/>
  </r>
  <r>
    <s v="PPT1_BOI04"/>
    <s v="S1CS06519-WS"/>
    <n v="210"/>
    <s v="207201845"/>
    <s v="WS"/>
    <n v="3"/>
    <n v="0.45885889067842106"/>
    <x v="14"/>
    <x v="1"/>
    <n v="6510"/>
    <x v="0"/>
    <m/>
  </r>
  <r>
    <s v="PPT1_BOI04"/>
    <s v="S1CS06519-WS"/>
    <n v="210"/>
    <s v="207201772"/>
    <s v="WS"/>
    <n v="3"/>
    <n v="0.45885889067842106"/>
    <x v="1"/>
    <x v="1"/>
    <n v="6510"/>
    <x v="0"/>
    <m/>
  </r>
  <r>
    <s v="PPT1_BOI04"/>
    <s v="S1CS06519-WS"/>
    <n v="210"/>
    <s v="207201794"/>
    <s v="WS"/>
    <n v="3"/>
    <n v="0.45885889067842106"/>
    <x v="13"/>
    <x v="1"/>
    <n v="6510"/>
    <x v="0"/>
    <m/>
  </r>
  <r>
    <s v="PPT1_BOI04"/>
    <s v="S1CS06519-WS"/>
    <n v="210"/>
    <s v="207201769"/>
    <s v="WS"/>
    <n v="3"/>
    <n v="0.45885889067842106"/>
    <x v="14"/>
    <x v="1"/>
    <n v="6510"/>
    <x v="0"/>
    <m/>
  </r>
  <r>
    <s v="PPT1_BOI04"/>
    <s v="S1CS06519-WS"/>
    <n v="210"/>
    <s v="207201822"/>
    <s v="WS"/>
    <n v="3"/>
    <n v="0.45885889067842106"/>
    <x v="1"/>
    <x v="1"/>
    <n v="6510"/>
    <x v="0"/>
    <m/>
  </r>
  <r>
    <s v="PPT1_BOI04"/>
    <s v="S1CS06519-WS"/>
    <n v="210"/>
    <s v="207201766"/>
    <s v="WS"/>
    <n v="3"/>
    <n v="0.45885889067842106"/>
    <x v="13"/>
    <x v="1"/>
    <n v="6510"/>
    <x v="0"/>
    <m/>
  </r>
  <r>
    <s v="PPT1_BOI04"/>
    <s v="S1CS06519-WS"/>
    <n v="210"/>
    <s v="207201816"/>
    <s v="WS"/>
    <n v="3"/>
    <n v="0.45885889067842106"/>
    <x v="14"/>
    <x v="1"/>
    <n v="6510"/>
    <x v="0"/>
    <m/>
  </r>
  <r>
    <s v="PPT1_BOI04"/>
    <s v="S1CS06519-WS"/>
    <n v="210"/>
    <s v="207201842"/>
    <s v="WS"/>
    <n v="3"/>
    <n v="0.45885889067842106"/>
    <x v="1"/>
    <x v="1"/>
    <n v="6510"/>
    <x v="0"/>
    <m/>
  </r>
  <r>
    <s v="PPT1_BOI04"/>
    <s v="S1CS06519-WS"/>
    <n v="210"/>
    <s v="207201844"/>
    <s v="WS"/>
    <n v="3"/>
    <n v="0.45885889067842106"/>
    <x v="13"/>
    <x v="1"/>
    <n v="6510"/>
    <x v="0"/>
    <m/>
  </r>
  <r>
    <s v="PPT1_BOI04"/>
    <s v="S1CS06519-WS"/>
    <n v="210"/>
    <s v="207201820"/>
    <s v="WS"/>
    <n v="3"/>
    <n v="0.45885889067842106"/>
    <x v="14"/>
    <x v="1"/>
    <n v="6510"/>
    <x v="0"/>
    <m/>
  </r>
  <r>
    <s v="PPT1_BOI04"/>
    <s v="S1CS06519-WS"/>
    <n v="210"/>
    <s v="207201818"/>
    <s v="WS"/>
    <n v="3"/>
    <n v="0.45885889067842106"/>
    <x v="1"/>
    <x v="1"/>
    <n v="6510"/>
    <x v="0"/>
    <m/>
  </r>
  <r>
    <s v="PPT1_BOI04"/>
    <s v="S1CS07171-WS"/>
    <n v="360"/>
    <s v="207200305"/>
    <s v="WS"/>
    <n v="7"/>
    <n v="0.65300483025823963"/>
    <x v="12"/>
    <x v="1"/>
    <n v="6480"/>
    <x v="0"/>
    <m/>
  </r>
  <r>
    <s v="PPT1_BOI04"/>
    <s v="S1CS03053-WS"/>
    <n v="100"/>
    <s v="207201710"/>
    <s v="WS"/>
    <n v="3"/>
    <n v="0.10319158366214776"/>
    <x v="17"/>
    <x v="1"/>
    <n v="6400"/>
    <x v="0"/>
    <m/>
  </r>
  <r>
    <s v="PPT1_BOI04"/>
    <s v="S1CS06464-WS"/>
    <n v="120"/>
    <s v="207199525"/>
    <s v="WS"/>
    <n v="2"/>
    <n v="0.190157356450356"/>
    <x v="5"/>
    <x v="1"/>
    <n v="6360"/>
    <x v="0"/>
    <m/>
  </r>
  <r>
    <s v="PPT1_BOI04"/>
    <s v="S1CS00474-WS"/>
    <n v="450"/>
    <s v="207200801"/>
    <s v="WS"/>
    <n v="9"/>
    <n v="0.52642387838994509"/>
    <x v="7"/>
    <x v="1"/>
    <n v="6300"/>
    <x v="0"/>
    <m/>
  </r>
  <r>
    <s v="PPT1_BOI04"/>
    <s v="S1CS00474-WS"/>
    <n v="450"/>
    <s v="207200820"/>
    <s v="WS"/>
    <n v="9"/>
    <n v="0.52642387838994509"/>
    <x v="18"/>
    <x v="1"/>
    <n v="6300"/>
    <x v="0"/>
    <m/>
  </r>
  <r>
    <s v="PPT1_BOI04"/>
    <s v="S1CS00474-WS"/>
    <n v="450"/>
    <s v="207200821"/>
    <s v="WS"/>
    <n v="9"/>
    <n v="0.52642387838994509"/>
    <x v="15"/>
    <x v="1"/>
    <n v="6300"/>
    <x v="0"/>
    <m/>
  </r>
  <r>
    <s v="PPT1_BOI04"/>
    <s v="S1CS00474-WS"/>
    <n v="450"/>
    <s v="207200817"/>
    <s v="WS"/>
    <n v="9"/>
    <n v="0.52642387838994509"/>
    <x v="12"/>
    <x v="1"/>
    <n v="6300"/>
    <x v="0"/>
    <m/>
  </r>
  <r>
    <s v="PPT1_BOI04"/>
    <s v="S1CS00474-WS"/>
    <n v="450"/>
    <s v="207200810"/>
    <s v="WS"/>
    <n v="9"/>
    <n v="0.52642387838994509"/>
    <x v="17"/>
    <x v="1"/>
    <n v="6300"/>
    <x v="0"/>
    <m/>
  </r>
  <r>
    <s v="PPT1_BOI04"/>
    <s v="S1CS00474-WS"/>
    <n v="450"/>
    <s v="207200814"/>
    <s v="WS"/>
    <n v="9"/>
    <n v="0.52642387838994509"/>
    <x v="7"/>
    <x v="1"/>
    <n v="6300"/>
    <x v="0"/>
    <m/>
  </r>
  <r>
    <s v="PPT1_BOI04"/>
    <s v="S1CS00474-WS"/>
    <n v="450"/>
    <s v="207197287"/>
    <s v="WS"/>
    <n v="9"/>
    <n v="0.52642387838994509"/>
    <x v="10"/>
    <x v="1"/>
    <n v="6300"/>
    <x v="0"/>
    <m/>
  </r>
  <r>
    <s v="PPT1_BOI04"/>
    <s v="S1CS00474-WS"/>
    <n v="450"/>
    <s v="207200818"/>
    <s v="WS"/>
    <n v="9"/>
    <n v="0.52642387838994509"/>
    <x v="11"/>
    <x v="1"/>
    <n v="6300"/>
    <x v="0"/>
    <m/>
  </r>
  <r>
    <s v="PPT1_BOI04"/>
    <s v="S1CS00474-WS"/>
    <n v="450"/>
    <s v="207200816"/>
    <s v="WS"/>
    <n v="9"/>
    <n v="0.52642387838994509"/>
    <x v="5"/>
    <x v="1"/>
    <n v="6300"/>
    <x v="0"/>
    <m/>
  </r>
  <r>
    <s v="PPT1_BOI04"/>
    <s v="S1CS00474-WS"/>
    <n v="450"/>
    <s v="207200815"/>
    <s v="WS"/>
    <n v="9"/>
    <n v="0.52642387838994509"/>
    <x v="18"/>
    <x v="1"/>
    <n v="6300"/>
    <x v="0"/>
    <m/>
  </r>
  <r>
    <s v="PPT1_BOI04"/>
    <s v="S1CS00474-WS"/>
    <n v="450"/>
    <s v="207197227"/>
    <s v="WS"/>
    <n v="9"/>
    <n v="0.52642387838994509"/>
    <x v="0"/>
    <x v="1"/>
    <n v="6300"/>
    <x v="0"/>
    <m/>
  </r>
  <r>
    <s v="PPT1_BOI04"/>
    <s v="S1CS00474-WS"/>
    <n v="450"/>
    <s v="207197253"/>
    <s v="WS"/>
    <n v="9"/>
    <n v="0.52642387838994509"/>
    <x v="15"/>
    <x v="1"/>
    <n v="6300"/>
    <x v="0"/>
    <m/>
  </r>
  <r>
    <s v="PPT1_BOI04"/>
    <s v="S1CS00474-WS"/>
    <n v="450"/>
    <s v="207200808"/>
    <s v="WS"/>
    <n v="9"/>
    <n v="0.52642387838994509"/>
    <x v="12"/>
    <x v="1"/>
    <n v="6300"/>
    <x v="0"/>
    <m/>
  </r>
  <r>
    <s v="PPT1_BOI04"/>
    <s v="S1CS00474-WS"/>
    <n v="450"/>
    <s v="207200809"/>
    <s v="WS"/>
    <n v="9"/>
    <n v="0.52642387838994509"/>
    <x v="17"/>
    <x v="1"/>
    <n v="6300"/>
    <x v="0"/>
    <m/>
  </r>
  <r>
    <s v="PPT1_BOI04"/>
    <s v="S1CS00474-WS"/>
    <n v="450"/>
    <s v="207200819"/>
    <s v="WS"/>
    <n v="9"/>
    <n v="0.52642387838994509"/>
    <x v="7"/>
    <x v="1"/>
    <n v="6300"/>
    <x v="0"/>
    <m/>
  </r>
  <r>
    <s v="PPT1_BOI04"/>
    <s v="S1CS00474-WS"/>
    <n v="450"/>
    <s v="207197247"/>
    <s v="WS"/>
    <n v="9"/>
    <n v="0.52642387838994509"/>
    <x v="10"/>
    <x v="1"/>
    <n v="6300"/>
    <x v="0"/>
    <m/>
  </r>
  <r>
    <s v="PPT1_BOI04"/>
    <s v="S1CS00474-WS"/>
    <n v="450"/>
    <s v="207200807"/>
    <s v="WS"/>
    <n v="9"/>
    <n v="0.52642387838994509"/>
    <x v="11"/>
    <x v="1"/>
    <n v="6300"/>
    <x v="0"/>
    <m/>
  </r>
  <r>
    <s v="PPT1_BOI04"/>
    <s v="S1CS00474-WS"/>
    <n v="450"/>
    <s v="207197250"/>
    <s v="WS"/>
    <n v="9"/>
    <n v="0.52642387838994509"/>
    <x v="5"/>
    <x v="1"/>
    <n v="6300"/>
    <x v="0"/>
    <m/>
  </r>
  <r>
    <s v="PPT1_BOI04"/>
    <s v="S1CS00474-WS"/>
    <n v="450"/>
    <s v="207197272"/>
    <s v="WS"/>
    <n v="9"/>
    <n v="0.52642387838994509"/>
    <x v="18"/>
    <x v="1"/>
    <n v="6300"/>
    <x v="0"/>
    <m/>
  </r>
  <r>
    <s v="PPT1_BOI04"/>
    <s v="S1CS00740-WS"/>
    <n v="450"/>
    <s v="207197464"/>
    <s v="WS"/>
    <n v="3"/>
    <n v="0.37965794310250145"/>
    <x v="8"/>
    <x v="1"/>
    <n v="6300"/>
    <x v="0"/>
    <m/>
  </r>
  <r>
    <s v="PPT1_BOI04"/>
    <s v="S1CS00737-WS"/>
    <n v="80"/>
    <s v="207201856"/>
    <s v="WS"/>
    <n v="2"/>
    <n v="0.14188213760705881"/>
    <x v="6"/>
    <x v="1"/>
    <n v="6240"/>
    <x v="0"/>
    <m/>
  </r>
  <r>
    <s v="PPT1_BOI04"/>
    <s v="S1CS04039-WS"/>
    <n v="200"/>
    <s v="207198849"/>
    <s v="WS"/>
    <n v="5"/>
    <n v="0.39655906116330936"/>
    <x v="0"/>
    <x v="1"/>
    <n v="6200"/>
    <x v="0"/>
    <m/>
  </r>
  <r>
    <s v="PPT1_BOI04"/>
    <s v="S1CS06462-WS"/>
    <n v="360"/>
    <s v="207201723"/>
    <s v="WS"/>
    <n v="3"/>
    <n v="0.57600158667195556"/>
    <x v="15"/>
    <x v="1"/>
    <n v="6120"/>
    <x v="0"/>
    <m/>
  </r>
  <r>
    <s v="PPT1_BOI04"/>
    <s v="S1CS06462-WS"/>
    <n v="360"/>
    <s v="207201672"/>
    <s v="WS"/>
    <n v="3"/>
    <n v="0.57600158667195556"/>
    <x v="16"/>
    <x v="1"/>
    <n v="6120"/>
    <x v="0"/>
    <m/>
  </r>
  <r>
    <s v="PPT1_BOI04"/>
    <s v="S1CS06462-WS"/>
    <n v="360"/>
    <s v="207201639"/>
    <s v="WS"/>
    <n v="3"/>
    <n v="0.57600158667195556"/>
    <x v="8"/>
    <x v="1"/>
    <n v="6120"/>
    <x v="0"/>
    <m/>
  </r>
  <r>
    <s v="PPT1_BOI04"/>
    <s v="S1CS06462-WS"/>
    <n v="360"/>
    <s v="207201626"/>
    <s v="WS"/>
    <n v="3"/>
    <n v="0.57600158667195556"/>
    <x v="15"/>
    <x v="1"/>
    <n v="6120"/>
    <x v="0"/>
    <m/>
  </r>
  <r>
    <s v="PPT1_BOI04"/>
    <s v="S1CS06462-WS"/>
    <n v="360"/>
    <s v="207201620"/>
    <s v="WS"/>
    <n v="3"/>
    <n v="0.57600158667195556"/>
    <x v="16"/>
    <x v="1"/>
    <n v="6120"/>
    <x v="0"/>
    <m/>
  </r>
  <r>
    <s v="PPT1_BOI04"/>
    <s v="S1CS06462-WS"/>
    <n v="360"/>
    <s v="207201640"/>
    <s v="WS"/>
    <n v="3"/>
    <n v="0.57600158667195556"/>
    <x v="8"/>
    <x v="1"/>
    <n v="6120"/>
    <x v="0"/>
    <m/>
  </r>
  <r>
    <s v="PPT1_BOI04"/>
    <s v="S1CS06462-WS"/>
    <n v="360"/>
    <s v="207201727"/>
    <s v="WS"/>
    <n v="3"/>
    <n v="0.57600158667195556"/>
    <x v="15"/>
    <x v="1"/>
    <n v="6120"/>
    <x v="0"/>
    <m/>
  </r>
  <r>
    <s v="PPT1_BOI04"/>
    <s v="S1CS06462-WS"/>
    <n v="360"/>
    <s v="207201669"/>
    <s v="WS"/>
    <n v="3"/>
    <n v="0.57600158667195556"/>
    <x v="16"/>
    <x v="1"/>
    <n v="6120"/>
    <x v="0"/>
    <m/>
  </r>
  <r>
    <s v="PPT1_BOI04"/>
    <s v="S1CS06462-WS"/>
    <n v="360"/>
    <s v="207201656"/>
    <s v="WS"/>
    <n v="3"/>
    <n v="0.57600158667195556"/>
    <x v="8"/>
    <x v="1"/>
    <n v="6120"/>
    <x v="0"/>
    <m/>
  </r>
  <r>
    <s v="PPT1_BOI04"/>
    <s v="S1CS05081-WS"/>
    <n v="100"/>
    <s v="207201388"/>
    <s v="WS"/>
    <n v="4"/>
    <n v="0.18795933825710623"/>
    <x v="12"/>
    <x v="1"/>
    <n v="6000"/>
    <x v="0"/>
    <m/>
  </r>
  <r>
    <s v="PPT1_BOI04"/>
    <s v="S1CS06856-WS"/>
    <n v="225"/>
    <s v="207200119"/>
    <s v="WS"/>
    <n v="2"/>
    <n v="0.50118200428933524"/>
    <x v="17"/>
    <x v="1"/>
    <n v="5850"/>
    <x v="0"/>
    <m/>
  </r>
  <r>
    <s v="PPT1_BOI04"/>
    <s v="S1CS06856-WS"/>
    <n v="225"/>
    <s v="207199965"/>
    <s v="WS"/>
    <n v="2"/>
    <n v="0.50118200428933524"/>
    <x v="9"/>
    <x v="1"/>
    <n v="5850"/>
    <x v="0"/>
    <m/>
  </r>
  <r>
    <s v="PPT1_BOI04"/>
    <s v="S1CS06856-WS"/>
    <n v="225"/>
    <s v="207200045"/>
    <s v="WS"/>
    <n v="2"/>
    <n v="0.50118200428933524"/>
    <x v="17"/>
    <x v="1"/>
    <n v="5850"/>
    <x v="0"/>
    <m/>
  </r>
  <r>
    <s v="PPT1_BOI04"/>
    <s v="S1CS06856-WS"/>
    <n v="225"/>
    <s v="207199831"/>
    <s v="WS"/>
    <n v="2"/>
    <n v="0.50118200428933524"/>
    <x v="9"/>
    <x v="1"/>
    <n v="5850"/>
    <x v="0"/>
    <m/>
  </r>
  <r>
    <s v="PPT1_BOI04"/>
    <s v="S1CS06856-WS"/>
    <n v="225"/>
    <s v="207200170"/>
    <s v="WS"/>
    <n v="2"/>
    <n v="0.50118200428933524"/>
    <x v="17"/>
    <x v="1"/>
    <n v="5850"/>
    <x v="0"/>
    <m/>
  </r>
  <r>
    <s v="PPT1_BOI04"/>
    <s v="S1CS00738-WS"/>
    <n v="200"/>
    <s v="207201906"/>
    <s v="WS"/>
    <n v="45"/>
    <n v="0.36473011948908118"/>
    <x v="7"/>
    <x v="1"/>
    <n v="5800"/>
    <x v="0"/>
    <m/>
  </r>
  <r>
    <s v="PPT1_BOI04"/>
    <s v="S1CS05073-WS"/>
    <n v="300"/>
    <s v="207198013"/>
    <s v="WS"/>
    <n v="17"/>
    <n v="0.239746110373668"/>
    <x v="10"/>
    <x v="1"/>
    <n v="5700"/>
    <x v="0"/>
    <m/>
  </r>
  <r>
    <s v="PPT1_BOI04"/>
    <s v="S1CS05074-WS"/>
    <n v="300"/>
    <s v="207198257"/>
    <s v="WS"/>
    <n v="11"/>
    <n v="0.239746110373668"/>
    <x v="11"/>
    <x v="1"/>
    <n v="5700"/>
    <x v="0"/>
    <m/>
  </r>
  <r>
    <s v="PPT1_BOI04"/>
    <s v="S1CS06720-60-WS"/>
    <n v="100"/>
    <s v="207198309"/>
    <s v="WS"/>
    <n v="2"/>
    <n v="0.1926008676613028"/>
    <x v="5"/>
    <x v="1"/>
    <n v="5600"/>
    <x v="0"/>
    <m/>
  </r>
  <r>
    <s v="PPT1_BOI04"/>
    <s v="S1CS04045-WS"/>
    <n v="120"/>
    <s v="207200285"/>
    <s v="WS"/>
    <n v="5"/>
    <n v="0.24927787021630618"/>
    <x v="18"/>
    <x v="1"/>
    <n v="5520"/>
    <x v="0"/>
    <m/>
  </r>
  <r>
    <s v="PPT1_BOI04"/>
    <s v="S1CS06664-WS"/>
    <n v="120"/>
    <s v="207202032"/>
    <s v="WS"/>
    <n v="3"/>
    <n v="0.29178073450113268"/>
    <x v="6"/>
    <x v="1"/>
    <n v="5520"/>
    <x v="0"/>
    <m/>
  </r>
  <r>
    <s v="PPT1_BOI04"/>
    <s v="S1CS05499-WS"/>
    <n v="300"/>
    <s v="207198488"/>
    <s v="WS"/>
    <n v="2"/>
    <n v="0.37815621689378648"/>
    <x v="0"/>
    <x v="1"/>
    <n v="5400"/>
    <x v="0"/>
    <m/>
  </r>
  <r>
    <s v="PPT1_BOI04"/>
    <s v="S1CS05499-WS"/>
    <n v="300"/>
    <s v="207198355"/>
    <s v="WS"/>
    <n v="2"/>
    <n v="0.37815621689378648"/>
    <x v="12"/>
    <x v="1"/>
    <n v="5400"/>
    <x v="0"/>
    <m/>
  </r>
  <r>
    <s v="PPT1_BOI04"/>
    <s v="S1CS05500-WS"/>
    <n v="300"/>
    <s v="207198528"/>
    <s v="WS"/>
    <n v="1"/>
    <n v="0.37815621689378648"/>
    <x v="5"/>
    <x v="1"/>
    <n v="5400"/>
    <x v="0"/>
    <m/>
  </r>
  <r>
    <s v="PPT1_BOI04"/>
    <s v="S1CS05500-WS"/>
    <n v="300"/>
    <s v="207198481"/>
    <s v="WS"/>
    <n v="1"/>
    <n v="0.37815621689378648"/>
    <x v="5"/>
    <x v="1"/>
    <n v="5400"/>
    <x v="0"/>
    <m/>
  </r>
  <r>
    <s v="PPT1_BOI04"/>
    <s v="S1CS03715-WS"/>
    <n v="330"/>
    <s v="207199243"/>
    <s v="WS"/>
    <n v="3"/>
    <n v="0.54264448551174516"/>
    <x v="10"/>
    <x v="1"/>
    <n v="5280"/>
    <x v="0"/>
    <m/>
  </r>
  <r>
    <s v="PPT1_BOI04"/>
    <s v="S1CS03715-WS"/>
    <n v="330"/>
    <s v="207199186"/>
    <s v="WS"/>
    <n v="3"/>
    <n v="0.54264448551174516"/>
    <x v="11"/>
    <x v="1"/>
    <n v="5280"/>
    <x v="0"/>
    <m/>
  </r>
  <r>
    <s v="PPT1_BOI04"/>
    <s v="S1CS03715-WS"/>
    <n v="330"/>
    <s v="207199076"/>
    <s v="WS"/>
    <n v="3"/>
    <n v="0.54264448551174516"/>
    <x v="7"/>
    <x v="1"/>
    <n v="5280"/>
    <x v="0"/>
    <m/>
  </r>
  <r>
    <s v="PPT1_BOI04"/>
    <s v="S1CS03715-WS"/>
    <n v="330"/>
    <s v="207199432"/>
    <s v="WS"/>
    <n v="3"/>
    <n v="0.54264448551174516"/>
    <x v="10"/>
    <x v="1"/>
    <n v="5280"/>
    <x v="0"/>
    <m/>
  </r>
  <r>
    <s v="PPT1_BOI04"/>
    <s v="S1CS03715-WS"/>
    <n v="330"/>
    <s v="207199276"/>
    <s v="WS"/>
    <n v="3"/>
    <n v="0.54264448551174516"/>
    <x v="11"/>
    <x v="1"/>
    <n v="5280"/>
    <x v="0"/>
    <m/>
  </r>
  <r>
    <s v="PPT1_BOI04"/>
    <s v="S1CS03715-WS"/>
    <n v="330"/>
    <s v="207199348"/>
    <s v="WS"/>
    <n v="3"/>
    <n v="0.54264448551174516"/>
    <x v="7"/>
    <x v="1"/>
    <n v="5280"/>
    <x v="0"/>
    <m/>
  </r>
  <r>
    <s v="PPT1_BOI04"/>
    <s v="S1CS03715-WS"/>
    <n v="330"/>
    <s v="207199381"/>
    <s v="WS"/>
    <n v="3"/>
    <n v="0.54264448551174516"/>
    <x v="10"/>
    <x v="1"/>
    <n v="5280"/>
    <x v="0"/>
    <m/>
  </r>
  <r>
    <s v="PPT1_BOI04"/>
    <s v="S1CS04837-WS"/>
    <n v="200"/>
    <s v="207201542"/>
    <s v="WS"/>
    <n v="6"/>
    <n v="0.24612522514205179"/>
    <x v="3"/>
    <x v="1"/>
    <n v="5200"/>
    <x v="0"/>
    <m/>
  </r>
  <r>
    <s v="PPT1_BOI04"/>
    <s v="S1CS03290-WS"/>
    <n v="360"/>
    <s v="207201127"/>
    <s v="WS"/>
    <n v="9"/>
    <n v="0.36954253406235904"/>
    <x v="0"/>
    <x v="1"/>
    <n v="5040"/>
    <x v="0"/>
    <m/>
  </r>
  <r>
    <s v="PPT1_BOI04"/>
    <s v="S1CS03290-WS"/>
    <n v="360"/>
    <s v="207201380"/>
    <s v="WS"/>
    <n v="9"/>
    <n v="0.36954253406235904"/>
    <x v="18"/>
    <x v="1"/>
    <n v="5040"/>
    <x v="0"/>
    <m/>
  </r>
  <r>
    <s v="PPT1_BOI04"/>
    <s v="S1CS03290-WS"/>
    <n v="360"/>
    <s v="207201046"/>
    <s v="WS"/>
    <n v="9"/>
    <n v="0.36954253406235904"/>
    <x v="6"/>
    <x v="1"/>
    <n v="5040"/>
    <x v="0"/>
    <m/>
  </r>
  <r>
    <s v="PPT1_BOI04"/>
    <s v="S1CS03290-WS"/>
    <n v="360"/>
    <s v="207201451"/>
    <s v="WS"/>
    <n v="9"/>
    <n v="0.36954253406235904"/>
    <x v="2"/>
    <x v="1"/>
    <n v="5040"/>
    <x v="0"/>
    <m/>
  </r>
  <r>
    <s v="PPT1_BOI04"/>
    <s v="S1CS03290-WS"/>
    <n v="360"/>
    <s v="207201038"/>
    <s v="WS"/>
    <n v="9"/>
    <n v="0.36954253406235904"/>
    <x v="12"/>
    <x v="1"/>
    <n v="5040"/>
    <x v="0"/>
    <m/>
  </r>
  <r>
    <s v="PPT1_BOI04"/>
    <s v="S1CS03290-WS"/>
    <n v="360"/>
    <s v="207201007"/>
    <s v="WS"/>
    <n v="9"/>
    <n v="0.36954253406235904"/>
    <x v="0"/>
    <x v="1"/>
    <n v="5040"/>
    <x v="0"/>
    <m/>
  </r>
  <r>
    <s v="PPT1_BOI04"/>
    <s v="S1CS03290-WS"/>
    <n v="360"/>
    <s v="207200935"/>
    <s v="WS"/>
    <n v="9"/>
    <n v="0.36954253406235904"/>
    <x v="18"/>
    <x v="1"/>
    <n v="5040"/>
    <x v="0"/>
    <m/>
  </r>
  <r>
    <s v="PPT1_BOI04"/>
    <s v="S1CS03290-WS"/>
    <n v="360"/>
    <s v="207201260"/>
    <s v="WS"/>
    <n v="9"/>
    <n v="0.36954253406235904"/>
    <x v="9"/>
    <x v="1"/>
    <n v="5040"/>
    <x v="0"/>
    <m/>
  </r>
  <r>
    <s v="PPT1_BOI04"/>
    <s v="S1CS03290-WS"/>
    <n v="360"/>
    <s v="207200931"/>
    <s v="WS"/>
    <n v="9"/>
    <n v="0.36954253406235904"/>
    <x v="13"/>
    <x v="1"/>
    <n v="5040"/>
    <x v="0"/>
    <m/>
  </r>
  <r>
    <s v="PPT1_BOI04"/>
    <s v="S1CS03290-WS"/>
    <n v="360"/>
    <s v="207200930"/>
    <s v="WS"/>
    <n v="9"/>
    <n v="0.36954253406235904"/>
    <x v="14"/>
    <x v="1"/>
    <n v="5040"/>
    <x v="0"/>
    <m/>
  </r>
  <r>
    <s v="PPT1_BOI04"/>
    <s v="S1CS03290-WS"/>
    <n v="360"/>
    <s v="207201234"/>
    <s v="WS"/>
    <n v="9"/>
    <n v="0.36954253406235904"/>
    <x v="6"/>
    <x v="1"/>
    <n v="5040"/>
    <x v="0"/>
    <m/>
  </r>
  <r>
    <s v="PPT1_BOI04"/>
    <s v="S1CS03290-WS"/>
    <n v="360"/>
    <s v="207201230"/>
    <s v="WS"/>
    <n v="9"/>
    <n v="0.36954253406235904"/>
    <x v="2"/>
    <x v="1"/>
    <n v="5040"/>
    <x v="0"/>
    <m/>
  </r>
  <r>
    <s v="PPT1_BOI04"/>
    <s v="S1CS03290-WS"/>
    <n v="360"/>
    <s v="207201196"/>
    <s v="WS"/>
    <n v="9"/>
    <n v="0.36954253406235904"/>
    <x v="15"/>
    <x v="1"/>
    <n v="5040"/>
    <x v="0"/>
    <m/>
  </r>
  <r>
    <s v="PPT1_BOI04"/>
    <s v="S1CS03290-WS"/>
    <n v="360"/>
    <s v="207200864"/>
    <s v="WS"/>
    <n v="9"/>
    <n v="0.36954253406235904"/>
    <x v="12"/>
    <x v="1"/>
    <n v="5040"/>
    <x v="0"/>
    <m/>
  </r>
  <r>
    <s v="PPT1_BOI04"/>
    <s v="S1CS03290-WS"/>
    <n v="360"/>
    <s v="207201132"/>
    <s v="WS"/>
    <n v="9"/>
    <n v="0.36954253406235904"/>
    <x v="0"/>
    <x v="1"/>
    <n v="5040"/>
    <x v="0"/>
    <m/>
  </r>
  <r>
    <s v="PPT1_BOI04"/>
    <s v="S1CS03290-WS"/>
    <n v="360"/>
    <s v="207201347"/>
    <s v="WS"/>
    <n v="9"/>
    <n v="0.36954253406235904"/>
    <x v="18"/>
    <x v="1"/>
    <n v="5040"/>
    <x v="0"/>
    <m/>
  </r>
  <r>
    <s v="PPT1_BOI04"/>
    <s v="S1CS03290-WS"/>
    <n v="360"/>
    <s v="207201161"/>
    <s v="WS"/>
    <n v="9"/>
    <n v="0.36954253406235904"/>
    <x v="9"/>
    <x v="1"/>
    <n v="5040"/>
    <x v="0"/>
    <m/>
  </r>
  <r>
    <s v="PPT1_BOI04"/>
    <s v="S1CS03290-WS"/>
    <n v="360"/>
    <s v="207201487"/>
    <s v="WS"/>
    <n v="9"/>
    <n v="0.36954253406235904"/>
    <x v="13"/>
    <x v="1"/>
    <n v="5040"/>
    <x v="0"/>
    <m/>
  </r>
  <r>
    <s v="PPT1_BOI04"/>
    <s v="S1CS03290-WS"/>
    <n v="360"/>
    <s v="207201012"/>
    <s v="WS"/>
    <n v="9"/>
    <n v="0.36954253406235904"/>
    <x v="14"/>
    <x v="1"/>
    <n v="5040"/>
    <x v="0"/>
    <m/>
  </r>
  <r>
    <s v="PPT1_BOI04"/>
    <s v="S1CS03290-WS"/>
    <n v="360"/>
    <s v="207200928"/>
    <s v="WS"/>
    <n v="9"/>
    <n v="0.36954253406235904"/>
    <x v="6"/>
    <x v="1"/>
    <n v="5040"/>
    <x v="0"/>
    <m/>
  </r>
  <r>
    <s v="PPT1_BOI04"/>
    <s v="S1CS03290-WS"/>
    <n v="360"/>
    <s v="207201158"/>
    <s v="WS"/>
    <n v="9"/>
    <n v="0.36954253406235904"/>
    <x v="2"/>
    <x v="1"/>
    <n v="5040"/>
    <x v="0"/>
    <m/>
  </r>
  <r>
    <s v="PPT1_BOI04"/>
    <s v="S1CS03290-WS"/>
    <n v="360"/>
    <s v="207200936"/>
    <s v="WS"/>
    <n v="9"/>
    <n v="0.36954253406235904"/>
    <x v="15"/>
    <x v="1"/>
    <n v="5040"/>
    <x v="0"/>
    <m/>
  </r>
  <r>
    <s v="PPT1_BOI04"/>
    <s v="S1CS03292-WS"/>
    <n v="360"/>
    <s v="207201647"/>
    <s v="WS"/>
    <n v="9"/>
    <n v="0.36954253406235904"/>
    <x v="3"/>
    <x v="1"/>
    <n v="5040"/>
    <x v="0"/>
    <m/>
  </r>
  <r>
    <s v="PPT1_BOI04"/>
    <s v="S1CS03292-WS"/>
    <n v="360"/>
    <s v="207201703"/>
    <s v="WS"/>
    <n v="9"/>
    <n v="0.36954253406235904"/>
    <x v="16"/>
    <x v="1"/>
    <n v="5040"/>
    <x v="0"/>
    <m/>
  </r>
  <r>
    <s v="PPT1_BOI04"/>
    <s v="S1CS03292-WS"/>
    <n v="360"/>
    <s v="207201735"/>
    <s v="WS"/>
    <n v="9"/>
    <n v="0.36954253406235904"/>
    <x v="4"/>
    <x v="1"/>
    <n v="5040"/>
    <x v="0"/>
    <m/>
  </r>
  <r>
    <s v="PPT1_BOI04"/>
    <s v="S1CS03292-WS"/>
    <n v="360"/>
    <s v="207201648"/>
    <s v="WS"/>
    <n v="9"/>
    <n v="0.36954253406235904"/>
    <x v="1"/>
    <x v="1"/>
    <n v="5040"/>
    <x v="0"/>
    <m/>
  </r>
  <r>
    <s v="PPT1_BOI04"/>
    <s v="S1CS03292-WS"/>
    <n v="360"/>
    <s v="207201733"/>
    <s v="WS"/>
    <n v="9"/>
    <n v="0.36954253406235904"/>
    <x v="11"/>
    <x v="1"/>
    <n v="5040"/>
    <x v="0"/>
    <m/>
  </r>
  <r>
    <s v="PPT1_BOI04"/>
    <s v="S1CS03292-WS"/>
    <n v="360"/>
    <s v="207201646"/>
    <s v="WS"/>
    <n v="9"/>
    <n v="0.36954253406235904"/>
    <x v="7"/>
    <x v="1"/>
    <n v="5040"/>
    <x v="0"/>
    <m/>
  </r>
  <r>
    <s v="PPT1_BOI04"/>
    <s v="S1CS03292-WS"/>
    <n v="360"/>
    <s v="207201699"/>
    <s v="WS"/>
    <n v="9"/>
    <n v="0.36954253406235904"/>
    <x v="5"/>
    <x v="1"/>
    <n v="5040"/>
    <x v="0"/>
    <m/>
  </r>
  <r>
    <s v="PPT1_BOI04"/>
    <s v="S1CS03292-WS"/>
    <n v="360"/>
    <s v="207201696"/>
    <s v="WS"/>
    <n v="9"/>
    <n v="0.36954253406235904"/>
    <x v="8"/>
    <x v="1"/>
    <n v="5040"/>
    <x v="0"/>
    <m/>
  </r>
  <r>
    <s v="PPT1_BOI04"/>
    <s v="S1CS03292-WS"/>
    <n v="360"/>
    <s v="207201729"/>
    <s v="WS"/>
    <n v="9"/>
    <n v="0.36954253406235904"/>
    <x v="17"/>
    <x v="1"/>
    <n v="5040"/>
    <x v="0"/>
    <m/>
  </r>
  <r>
    <s v="PPT1_BOI04"/>
    <s v="S1CS03292-WS"/>
    <n v="360"/>
    <s v="207201694"/>
    <s v="WS"/>
    <n v="9"/>
    <n v="0.36954253406235904"/>
    <x v="3"/>
    <x v="1"/>
    <n v="5040"/>
    <x v="0"/>
    <m/>
  </r>
  <r>
    <s v="PPT1_BOI04"/>
    <s v="S1CS03292-WS"/>
    <n v="360"/>
    <s v="207201731"/>
    <s v="WS"/>
    <n v="9"/>
    <n v="0.36954253406235904"/>
    <x v="16"/>
    <x v="1"/>
    <n v="5040"/>
    <x v="0"/>
    <m/>
  </r>
  <r>
    <s v="PPT1_BOI04"/>
    <s v="S1CS03292-WS"/>
    <n v="360"/>
    <s v="207201692"/>
    <s v="WS"/>
    <n v="9"/>
    <n v="0.36954253406235904"/>
    <x v="4"/>
    <x v="1"/>
    <n v="5040"/>
    <x v="0"/>
    <m/>
  </r>
  <r>
    <s v="PPT1_BOI04"/>
    <s v="S1CS03292-WS"/>
    <n v="360"/>
    <s v="207201792"/>
    <s v="WS"/>
    <n v="9"/>
    <n v="0.36954253406235904"/>
    <x v="1"/>
    <x v="1"/>
    <n v="5040"/>
    <x v="0"/>
    <m/>
  </r>
  <r>
    <s v="PPT1_BOI04"/>
    <s v="S1CS03292-WS"/>
    <n v="360"/>
    <s v="207201644"/>
    <s v="WS"/>
    <n v="9"/>
    <n v="0.36954253406235904"/>
    <x v="11"/>
    <x v="1"/>
    <n v="5040"/>
    <x v="0"/>
    <m/>
  </r>
  <r>
    <s v="PPT1_BOI04"/>
    <s v="S1CS03293-WS"/>
    <n v="360"/>
    <s v="207201888"/>
    <s v="WS"/>
    <n v="9"/>
    <n v="0.4090698786353833"/>
    <x v="12"/>
    <x v="1"/>
    <n v="5040"/>
    <x v="0"/>
    <m/>
  </r>
  <r>
    <s v="PPT1_BOI04"/>
    <s v="S1CS03293-WS"/>
    <n v="360"/>
    <s v="207201952"/>
    <s v="WS"/>
    <n v="9"/>
    <n v="0.4090698786353833"/>
    <x v="0"/>
    <x v="1"/>
    <n v="5040"/>
    <x v="0"/>
    <m/>
  </r>
  <r>
    <s v="PPT1_BOI04"/>
    <s v="S1CS03293-WS"/>
    <n v="360"/>
    <s v="207201843"/>
    <s v="WS"/>
    <n v="9"/>
    <n v="0.4090698786353833"/>
    <x v="18"/>
    <x v="1"/>
    <n v="5040"/>
    <x v="0"/>
    <m/>
  </r>
  <r>
    <s v="PPT1_BOI04"/>
    <s v="S1CS03293-WS"/>
    <n v="360"/>
    <s v="207201948"/>
    <s v="WS"/>
    <n v="9"/>
    <n v="0.4090698786353833"/>
    <x v="9"/>
    <x v="1"/>
    <n v="5040"/>
    <x v="0"/>
    <m/>
  </r>
  <r>
    <s v="PPT1_BOI04"/>
    <s v="S1CS03293-WS"/>
    <n v="360"/>
    <s v="207201886"/>
    <s v="WS"/>
    <n v="9"/>
    <n v="0.4090698786353833"/>
    <x v="7"/>
    <x v="1"/>
    <n v="5040"/>
    <x v="0"/>
    <m/>
  </r>
  <r>
    <s v="PPT1_BOI04"/>
    <s v="S1CS03293-WS"/>
    <n v="360"/>
    <s v="207201890"/>
    <s v="WS"/>
    <n v="9"/>
    <n v="0.4090698786353833"/>
    <x v="5"/>
    <x v="1"/>
    <n v="5040"/>
    <x v="0"/>
    <m/>
  </r>
  <r>
    <s v="PPT1_BOI04"/>
    <s v="S1CS03293-WS"/>
    <n v="360"/>
    <s v="207201839"/>
    <s v="WS"/>
    <n v="9"/>
    <n v="0.4090698786353833"/>
    <x v="13"/>
    <x v="1"/>
    <n v="5040"/>
    <x v="0"/>
    <m/>
  </r>
  <r>
    <s v="PPT1_BOI04"/>
    <s v="S1CS03293-WS"/>
    <n v="360"/>
    <s v="207201858"/>
    <s v="WS"/>
    <n v="9"/>
    <n v="0.4090698786353833"/>
    <x v="14"/>
    <x v="1"/>
    <n v="5040"/>
    <x v="0"/>
    <m/>
  </r>
  <r>
    <s v="PPT1_BOI04"/>
    <s v="S1CS03293-WS"/>
    <n v="360"/>
    <s v="207201910"/>
    <s v="WS"/>
    <n v="9"/>
    <n v="0.4090698786353833"/>
    <x v="10"/>
    <x v="1"/>
    <n v="5040"/>
    <x v="0"/>
    <m/>
  </r>
  <r>
    <s v="PPT1_BOI04"/>
    <s v="S1CS03293-WS"/>
    <n v="360"/>
    <s v="207201917"/>
    <s v="WS"/>
    <n v="9"/>
    <n v="0.4090698786353833"/>
    <x v="12"/>
    <x v="1"/>
    <n v="5040"/>
    <x v="0"/>
    <m/>
  </r>
  <r>
    <s v="PPT1_BOI04"/>
    <s v="S1CS03293-WS"/>
    <n v="360"/>
    <s v="207201912"/>
    <s v="WS"/>
    <n v="9"/>
    <n v="0.4090698786353833"/>
    <x v="0"/>
    <x v="1"/>
    <n v="5040"/>
    <x v="0"/>
    <m/>
  </r>
  <r>
    <s v="PPT1_BOI04"/>
    <s v="S1CS03293-WS"/>
    <n v="360"/>
    <s v="207201950"/>
    <s v="WS"/>
    <n v="9"/>
    <n v="0.4090698786353833"/>
    <x v="18"/>
    <x v="1"/>
    <n v="5040"/>
    <x v="0"/>
    <m/>
  </r>
  <r>
    <s v="PPT1_BOI04"/>
    <s v="S1CS03293-WS"/>
    <n v="360"/>
    <s v="207201915"/>
    <s v="WS"/>
    <n v="9"/>
    <n v="0.4090698786353833"/>
    <x v="9"/>
    <x v="1"/>
    <n v="5040"/>
    <x v="0"/>
    <m/>
  </r>
  <r>
    <s v="PPT1_BOI04"/>
    <s v="S1CS03293-WS"/>
    <n v="360"/>
    <s v="207201967"/>
    <s v="WS"/>
    <n v="9"/>
    <n v="0.4090698786353833"/>
    <x v="7"/>
    <x v="1"/>
    <n v="5040"/>
    <x v="0"/>
    <m/>
  </r>
  <r>
    <s v="PPT1_BOI04"/>
    <s v="S1CS03297-WS"/>
    <n v="360"/>
    <s v="207202207"/>
    <s v="WS"/>
    <n v="8"/>
    <n v="0.28709008933624824"/>
    <x v="6"/>
    <x v="1"/>
    <n v="5040"/>
    <x v="0"/>
    <m/>
  </r>
  <r>
    <s v="PPT1_BOI04"/>
    <s v="S1CS03297-WS"/>
    <n v="360"/>
    <s v="207202209"/>
    <s v="WS"/>
    <n v="8"/>
    <n v="0.28709008933624824"/>
    <x v="8"/>
    <x v="1"/>
    <n v="5040"/>
    <x v="0"/>
    <m/>
  </r>
  <r>
    <s v="PPT1_BOI04"/>
    <s v="S1CS03297-WS"/>
    <n v="360"/>
    <s v="207202193"/>
    <s v="WS"/>
    <n v="8"/>
    <n v="0.28709008933624824"/>
    <x v="17"/>
    <x v="1"/>
    <n v="5040"/>
    <x v="0"/>
    <m/>
  </r>
  <r>
    <s v="PPT1_BOI04"/>
    <s v="S1CS03297-WS"/>
    <n v="360"/>
    <s v="207202204"/>
    <s v="WS"/>
    <n v="8"/>
    <n v="0.28709008933624824"/>
    <x v="2"/>
    <x v="1"/>
    <n v="5040"/>
    <x v="0"/>
    <m/>
  </r>
  <r>
    <s v="PPT1_BOI04"/>
    <s v="S1CS03297-WS"/>
    <n v="360"/>
    <s v="207202194"/>
    <s v="WS"/>
    <n v="8"/>
    <n v="0.28709008933624824"/>
    <x v="15"/>
    <x v="1"/>
    <n v="5040"/>
    <x v="0"/>
    <m/>
  </r>
  <r>
    <s v="PPT1_BOI04"/>
    <s v="S1CS03297-WS"/>
    <n v="360"/>
    <s v="207202206"/>
    <s v="WS"/>
    <n v="8"/>
    <n v="0.28709008933624824"/>
    <x v="3"/>
    <x v="1"/>
    <n v="5040"/>
    <x v="0"/>
    <m/>
  </r>
  <r>
    <s v="PPT1_BOI04"/>
    <s v="S1CS03297-WS"/>
    <n v="360"/>
    <s v="207202190"/>
    <s v="WS"/>
    <n v="8"/>
    <n v="0.28709008933624824"/>
    <x v="16"/>
    <x v="1"/>
    <n v="5040"/>
    <x v="0"/>
    <m/>
  </r>
  <r>
    <s v="PPT1_BOI04"/>
    <s v="S1CS03297-WS"/>
    <n v="360"/>
    <s v="207202200"/>
    <s v="WS"/>
    <n v="8"/>
    <n v="0.28709008933624824"/>
    <x v="4"/>
    <x v="1"/>
    <n v="5040"/>
    <x v="0"/>
    <m/>
  </r>
  <r>
    <s v="PPT1_BOI04"/>
    <s v="S1CS03297-WS"/>
    <n v="360"/>
    <s v="207202201"/>
    <s v="WS"/>
    <n v="8"/>
    <n v="0.28709008933624824"/>
    <x v="6"/>
    <x v="1"/>
    <n v="5040"/>
    <x v="0"/>
    <m/>
  </r>
  <r>
    <s v="PPT1_BOI04"/>
    <s v="S1CS03297-WS"/>
    <n v="360"/>
    <s v="207202202"/>
    <s v="WS"/>
    <n v="8"/>
    <n v="0.28709008933624824"/>
    <x v="8"/>
    <x v="1"/>
    <n v="5040"/>
    <x v="0"/>
    <m/>
  </r>
  <r>
    <s v="PPT1_BOI04"/>
    <s v="S1CS03297-WS"/>
    <n v="360"/>
    <s v="207202203"/>
    <s v="WS"/>
    <n v="8"/>
    <n v="0.28709008933624824"/>
    <x v="17"/>
    <x v="1"/>
    <n v="5040"/>
    <x v="0"/>
    <m/>
  </r>
  <r>
    <s v="PPT1_BOI04"/>
    <s v="S1CS03297-WS"/>
    <n v="360"/>
    <s v="207202191"/>
    <s v="WS"/>
    <n v="8"/>
    <n v="0.28709008933624824"/>
    <x v="2"/>
    <x v="1"/>
    <n v="5040"/>
    <x v="0"/>
    <m/>
  </r>
  <r>
    <s v="PPT1_BOI04"/>
    <s v="S1CS03297-WS"/>
    <n v="360"/>
    <s v="207202208"/>
    <s v="WS"/>
    <n v="8"/>
    <n v="0.28709008933624824"/>
    <x v="15"/>
    <x v="1"/>
    <n v="5040"/>
    <x v="0"/>
    <m/>
  </r>
  <r>
    <s v="PPT1_BOI04"/>
    <s v="S1CS03297-WS"/>
    <n v="360"/>
    <s v="207202154"/>
    <s v="WS"/>
    <n v="8"/>
    <n v="0.28709008933624824"/>
    <x v="3"/>
    <x v="1"/>
    <n v="5040"/>
    <x v="0"/>
    <m/>
  </r>
  <r>
    <s v="PPT1_BOI04"/>
    <s v="S1CS03297-WS"/>
    <n v="360"/>
    <s v="207202205"/>
    <s v="WS"/>
    <n v="8"/>
    <n v="0.28709008933624824"/>
    <x v="16"/>
    <x v="1"/>
    <n v="5040"/>
    <x v="0"/>
    <m/>
  </r>
  <r>
    <s v="PPT1_BOI04"/>
    <s v="S1CS03297-WS"/>
    <n v="360"/>
    <s v="207202196"/>
    <s v="WS"/>
    <n v="8"/>
    <n v="0.28709008933624824"/>
    <x v="4"/>
    <x v="1"/>
    <n v="5040"/>
    <x v="0"/>
    <m/>
  </r>
  <r>
    <s v="PPT1_BOI04"/>
    <s v="S1CS03297-WS"/>
    <n v="360"/>
    <s v="207202192"/>
    <s v="WS"/>
    <n v="8"/>
    <n v="0.28709008933624824"/>
    <x v="6"/>
    <x v="1"/>
    <n v="5040"/>
    <x v="0"/>
    <m/>
  </r>
  <r>
    <s v="PPT1_BOI04"/>
    <s v="S1CS03297-WS"/>
    <n v="360"/>
    <s v="207202210"/>
    <s v="WS"/>
    <n v="8"/>
    <n v="0.28709008933624824"/>
    <x v="8"/>
    <x v="1"/>
    <n v="5040"/>
    <x v="0"/>
    <m/>
  </r>
  <r>
    <s v="PPT1_BOI04"/>
    <s v="S1CS03297-WS"/>
    <n v="360"/>
    <s v="207202197"/>
    <s v="WS"/>
    <n v="8"/>
    <n v="0.28709008933624824"/>
    <x v="17"/>
    <x v="1"/>
    <n v="5040"/>
    <x v="0"/>
    <m/>
  </r>
  <r>
    <s v="PPT1_BOI04"/>
    <s v="S1CS03297-WS"/>
    <n v="360"/>
    <s v="207202189"/>
    <s v="WS"/>
    <n v="8"/>
    <n v="0.28709008933624824"/>
    <x v="2"/>
    <x v="1"/>
    <n v="5040"/>
    <x v="0"/>
    <m/>
  </r>
  <r>
    <s v="PPT1_BOI04"/>
    <s v="S1CS03297-WS"/>
    <n v="360"/>
    <s v="207202199"/>
    <s v="WS"/>
    <n v="8"/>
    <n v="0.28709008933624824"/>
    <x v="15"/>
    <x v="1"/>
    <n v="5040"/>
    <x v="0"/>
    <m/>
  </r>
  <r>
    <s v="PPT1_BOI04"/>
    <s v="S1CS03297-WS"/>
    <n v="360"/>
    <s v="207202198"/>
    <s v="WS"/>
    <n v="8"/>
    <n v="0.28709008933624824"/>
    <x v="3"/>
    <x v="1"/>
    <n v="5040"/>
    <x v="0"/>
    <m/>
  </r>
  <r>
    <s v="PPT1_BOI04"/>
    <s v="S1CS03299-WS"/>
    <n v="360"/>
    <s v="207200932"/>
    <s v="WS"/>
    <n v="8"/>
    <n v="0.28709008933624824"/>
    <x v="1"/>
    <x v="1"/>
    <n v="5040"/>
    <x v="0"/>
    <m/>
  </r>
  <r>
    <s v="PPT1_BOI04"/>
    <s v="S1CS03299-WS"/>
    <n v="360"/>
    <s v="207200929"/>
    <s v="WS"/>
    <n v="8"/>
    <n v="0.28709008933624824"/>
    <x v="11"/>
    <x v="1"/>
    <n v="5040"/>
    <x v="0"/>
    <m/>
  </r>
  <r>
    <s v="PPT1_BOI04"/>
    <s v="S1CS03299-WS"/>
    <n v="360"/>
    <s v="207200957"/>
    <s v="WS"/>
    <n v="8"/>
    <n v="0.28709008933624824"/>
    <x v="5"/>
    <x v="1"/>
    <n v="5040"/>
    <x v="0"/>
    <m/>
  </r>
  <r>
    <s v="PPT1_BOI04"/>
    <s v="S1CS03299-WS"/>
    <n v="360"/>
    <s v="207200934"/>
    <s v="WS"/>
    <n v="8"/>
    <n v="0.28709008933624824"/>
    <x v="13"/>
    <x v="1"/>
    <n v="5040"/>
    <x v="0"/>
    <m/>
  </r>
  <r>
    <s v="PPT1_BOI04"/>
    <s v="S1CS03299-WS"/>
    <n v="360"/>
    <s v="207200862"/>
    <s v="WS"/>
    <n v="8"/>
    <n v="0.28709008933624824"/>
    <x v="14"/>
    <x v="1"/>
    <n v="5040"/>
    <x v="0"/>
    <m/>
  </r>
  <r>
    <s v="PPT1_BOI04"/>
    <s v="S1CS03299-WS"/>
    <n v="360"/>
    <s v="207200863"/>
    <s v="WS"/>
    <n v="8"/>
    <n v="0.28709008933624824"/>
    <x v="10"/>
    <x v="1"/>
    <n v="5040"/>
    <x v="0"/>
    <m/>
  </r>
  <r>
    <s v="PPT1_BOI04"/>
    <s v="S1CS03299-WS"/>
    <n v="360"/>
    <s v="207200861"/>
    <s v="WS"/>
    <n v="8"/>
    <n v="0.28709008933624824"/>
    <x v="1"/>
    <x v="1"/>
    <n v="5040"/>
    <x v="0"/>
    <m/>
  </r>
  <r>
    <s v="PPT1_BOI04"/>
    <s v="S1CS03299-WS"/>
    <n v="360"/>
    <s v="207201013"/>
    <s v="WS"/>
    <n v="8"/>
    <n v="0.28709008933624824"/>
    <x v="12"/>
    <x v="1"/>
    <n v="5040"/>
    <x v="0"/>
    <m/>
  </r>
  <r>
    <s v="PPT1_BOI04"/>
    <s v="S1CS03299-WS"/>
    <n v="360"/>
    <s v="207200835"/>
    <s v="WS"/>
    <n v="8"/>
    <n v="0.28709008933624824"/>
    <x v="0"/>
    <x v="1"/>
    <n v="5040"/>
    <x v="0"/>
    <m/>
  </r>
  <r>
    <s v="PPT1_BOI04"/>
    <s v="S1CS03299-WS"/>
    <n v="360"/>
    <s v="207200834"/>
    <s v="WS"/>
    <n v="8"/>
    <n v="0.28709008933624824"/>
    <x v="11"/>
    <x v="1"/>
    <n v="5040"/>
    <x v="0"/>
    <m/>
  </r>
  <r>
    <s v="PPT1_BOI04"/>
    <s v="S1CS03299-WS"/>
    <n v="360"/>
    <s v="207200860"/>
    <s v="WS"/>
    <n v="8"/>
    <n v="0.28709008933624824"/>
    <x v="5"/>
    <x v="1"/>
    <n v="5040"/>
    <x v="0"/>
    <m/>
  </r>
  <r>
    <s v="PPT1_BOI04"/>
    <s v="S1CS03299-WS"/>
    <n v="360"/>
    <s v="207201008"/>
    <s v="WS"/>
    <n v="8"/>
    <n v="0.28709008933624824"/>
    <x v="13"/>
    <x v="1"/>
    <n v="5040"/>
    <x v="0"/>
    <m/>
  </r>
  <r>
    <s v="PPT1_BOI04"/>
    <s v="S1CS03299-WS"/>
    <n v="360"/>
    <s v="207201039"/>
    <s v="WS"/>
    <n v="8"/>
    <n v="0.28709008933624824"/>
    <x v="14"/>
    <x v="1"/>
    <n v="5040"/>
    <x v="0"/>
    <m/>
  </r>
  <r>
    <s v="PPT1_BOI04"/>
    <s v="S1CS03299-WS"/>
    <n v="360"/>
    <s v="207201044"/>
    <s v="WS"/>
    <n v="8"/>
    <n v="0.28709008933624824"/>
    <x v="10"/>
    <x v="1"/>
    <n v="5040"/>
    <x v="0"/>
    <m/>
  </r>
  <r>
    <s v="PPT1_BOI04"/>
    <s v="S1CS03300-WS"/>
    <n v="360"/>
    <s v="207201935"/>
    <s v="WS"/>
    <n v="8"/>
    <n v="0.28709008933624824"/>
    <x v="18"/>
    <x v="1"/>
    <n v="5040"/>
    <x v="0"/>
    <m/>
  </r>
  <r>
    <s v="PPT1_BOI04"/>
    <s v="S1CS03300-WS"/>
    <n v="360"/>
    <s v="207201988"/>
    <s v="WS"/>
    <n v="8"/>
    <n v="0.28709008933624824"/>
    <x v="9"/>
    <x v="1"/>
    <n v="5040"/>
    <x v="0"/>
    <m/>
  </r>
  <r>
    <s v="PPT1_BOI04"/>
    <s v="S1CS03300-WS"/>
    <n v="360"/>
    <s v="207201989"/>
    <s v="WS"/>
    <n v="8"/>
    <n v="0.28709008933624824"/>
    <x v="7"/>
    <x v="1"/>
    <n v="5040"/>
    <x v="0"/>
    <m/>
  </r>
  <r>
    <s v="PPT1_BOI04"/>
    <s v="S1CS03300-WS"/>
    <n v="360"/>
    <s v="207201987"/>
    <s v="WS"/>
    <n v="8"/>
    <n v="0.28709008933624824"/>
    <x v="16"/>
    <x v="1"/>
    <n v="5040"/>
    <x v="0"/>
    <m/>
  </r>
  <r>
    <s v="PPT1_BOI04"/>
    <s v="S1CS03300-WS"/>
    <n v="360"/>
    <s v="207201961"/>
    <s v="WS"/>
    <n v="8"/>
    <n v="0.28709008933624824"/>
    <x v="4"/>
    <x v="1"/>
    <n v="5040"/>
    <x v="0"/>
    <m/>
  </r>
  <r>
    <s v="PPT1_BOI04"/>
    <s v="S1CS03300-WS"/>
    <n v="360"/>
    <s v="207201959"/>
    <s v="WS"/>
    <n v="8"/>
    <n v="0.28709008933624824"/>
    <x v="1"/>
    <x v="1"/>
    <n v="5040"/>
    <x v="0"/>
    <m/>
  </r>
  <r>
    <s v="PPT1_BOI04"/>
    <s v="S1CS03300-WS"/>
    <n v="360"/>
    <s v="207201957"/>
    <s v="WS"/>
    <n v="8"/>
    <n v="0.28709008933624824"/>
    <x v="12"/>
    <x v="1"/>
    <n v="5040"/>
    <x v="0"/>
    <m/>
  </r>
  <r>
    <s v="PPT1_BOI04"/>
    <s v="S1CS03300-WS"/>
    <n v="360"/>
    <s v="207201930"/>
    <s v="WS"/>
    <n v="8"/>
    <n v="0.28709008933624824"/>
    <x v="0"/>
    <x v="1"/>
    <n v="5040"/>
    <x v="0"/>
    <m/>
  </r>
  <r>
    <s v="PPT1_BOI04"/>
    <s v="S1CS03300-WS"/>
    <n v="360"/>
    <s v="207201928"/>
    <s v="WS"/>
    <n v="8"/>
    <n v="0.28709008933624824"/>
    <x v="18"/>
    <x v="1"/>
    <n v="5040"/>
    <x v="0"/>
    <m/>
  </r>
  <r>
    <s v="PPT1_BOI04"/>
    <s v="S1CS03300-WS"/>
    <n v="360"/>
    <s v="207201993"/>
    <s v="WS"/>
    <n v="8"/>
    <n v="0.28709008933624824"/>
    <x v="9"/>
    <x v="1"/>
    <n v="5040"/>
    <x v="0"/>
    <m/>
  </r>
  <r>
    <s v="PPT1_BOI04"/>
    <s v="S1CS03300-WS"/>
    <n v="360"/>
    <s v="207201965"/>
    <s v="WS"/>
    <n v="8"/>
    <n v="0.28709008933624824"/>
    <x v="7"/>
    <x v="1"/>
    <n v="5040"/>
    <x v="0"/>
    <m/>
  </r>
  <r>
    <s v="PPT1_BOI04"/>
    <s v="S1CS03300-WS"/>
    <n v="360"/>
    <s v="207201994"/>
    <s v="WS"/>
    <n v="8"/>
    <n v="0.28709008933624824"/>
    <x v="16"/>
    <x v="1"/>
    <n v="5040"/>
    <x v="0"/>
    <m/>
  </r>
  <r>
    <s v="PPT1_BOI04"/>
    <s v="S1CS03300-WS"/>
    <n v="360"/>
    <s v="207201990"/>
    <s v="WS"/>
    <n v="8"/>
    <n v="0.28709008933624824"/>
    <x v="4"/>
    <x v="1"/>
    <n v="5040"/>
    <x v="0"/>
    <m/>
  </r>
  <r>
    <s v="PPT1_BOI04"/>
    <s v="S1CS06396-WS"/>
    <n v="75"/>
    <s v="207202195"/>
    <s v="WS"/>
    <n v="4"/>
    <n v="0.16381757329266228"/>
    <x v="17"/>
    <x v="1"/>
    <n v="4875"/>
    <x v="0"/>
    <m/>
  </r>
  <r>
    <s v="PPT1_BOI04"/>
    <s v="S1CS04261-WS"/>
    <n v="60"/>
    <s v="207197469"/>
    <s v="WS"/>
    <n v="3"/>
    <n v="7.5315599388632373E-2"/>
    <x v="15"/>
    <x v="1"/>
    <n v="4860"/>
    <x v="0"/>
    <m/>
  </r>
  <r>
    <s v="PPT1_BOI04"/>
    <s v="S1CS03916-WS"/>
    <n v="200"/>
    <s v="207201051"/>
    <s v="WS"/>
    <n v="6"/>
    <n v="0.13795281559699793"/>
    <x v="11"/>
    <x v="1"/>
    <n v="4800"/>
    <x v="0"/>
    <m/>
  </r>
  <r>
    <s v="PPT1_BOI04"/>
    <s v="S1CS04260-WS"/>
    <n v="420"/>
    <s v="207198480"/>
    <s v="WS"/>
    <n v="5"/>
    <n v="0.3757147718765379"/>
    <x v="5"/>
    <x v="1"/>
    <n v="4620"/>
    <x v="0"/>
    <m/>
  </r>
  <r>
    <s v="PPT1_BOI04"/>
    <s v="S1CS04260-WS"/>
    <n v="420"/>
    <s v="207198486"/>
    <s v="WS"/>
    <n v="5"/>
    <n v="0.3757147718765379"/>
    <x v="13"/>
    <x v="1"/>
    <n v="4620"/>
    <x v="0"/>
    <m/>
  </r>
  <r>
    <s v="PPT1_BOI04"/>
    <s v="S1CS01156-WS"/>
    <n v="460"/>
    <s v="207197212"/>
    <s v="WS"/>
    <n v="4"/>
    <n v="0.67983109786388474"/>
    <x v="14"/>
    <x v="1"/>
    <n v="4600"/>
    <x v="0"/>
    <m/>
  </r>
  <r>
    <s v="PPT1_BOI04"/>
    <s v="S1CS04485-WS"/>
    <n v="200"/>
    <s v="207201187"/>
    <s v="WS"/>
    <n v="15"/>
    <n v="0.25607700563861469"/>
    <x v="10"/>
    <x v="1"/>
    <n v="4600"/>
    <x v="0"/>
    <m/>
  </r>
  <r>
    <s v="PPT1_BOI04"/>
    <s v="S1CS05100-WS"/>
    <n v="200"/>
    <s v="207198250"/>
    <s v="WS"/>
    <n v="2"/>
    <n v="0.24401519422152512"/>
    <x v="6"/>
    <x v="1"/>
    <n v="4600"/>
    <x v="0"/>
    <m/>
  </r>
  <r>
    <s v="PPT1_BOI04"/>
    <s v="S1CS03487-WS"/>
    <n v="255"/>
    <s v="207201377"/>
    <s v="WS"/>
    <n v="2"/>
    <n v="0.4155996884735203"/>
    <x v="8"/>
    <x v="1"/>
    <n v="4590"/>
    <x v="0"/>
    <m/>
  </r>
  <r>
    <s v="PPT1_BOI04"/>
    <s v="S1CS03487-WS"/>
    <n v="255"/>
    <s v="207201351"/>
    <s v="WS"/>
    <n v="2"/>
    <n v="0.4155996884735203"/>
    <x v="2"/>
    <x v="1"/>
    <n v="4590"/>
    <x v="0"/>
    <m/>
  </r>
  <r>
    <s v="PPT1_BOI04"/>
    <s v="S1CS03487-WS"/>
    <n v="255"/>
    <s v="207201383"/>
    <s v="WS"/>
    <n v="2"/>
    <n v="0.4155996884735203"/>
    <x v="8"/>
    <x v="1"/>
    <n v="4590"/>
    <x v="0"/>
    <m/>
  </r>
  <r>
    <s v="PPT1_BOI04"/>
    <s v="S1CS03487-WS"/>
    <n v="255"/>
    <s v="207201316"/>
    <s v="WS"/>
    <n v="2"/>
    <n v="0.4155996884735203"/>
    <x v="2"/>
    <x v="1"/>
    <n v="4590"/>
    <x v="0"/>
    <m/>
  </r>
  <r>
    <s v="PPT1_BOI04"/>
    <s v="S1CS03487-WS"/>
    <n v="255"/>
    <s v="207201517"/>
    <s v="WS"/>
    <n v="2"/>
    <n v="0.4155996884735203"/>
    <x v="8"/>
    <x v="1"/>
    <n v="4590"/>
    <x v="0"/>
    <m/>
  </r>
  <r>
    <s v="PPT1_BOI04"/>
    <s v="S1CS03487-WS"/>
    <n v="255"/>
    <s v="207201632"/>
    <s v="WS"/>
    <n v="2"/>
    <n v="0.4155996884735203"/>
    <x v="2"/>
    <x v="1"/>
    <n v="4590"/>
    <x v="0"/>
    <m/>
  </r>
  <r>
    <s v="PPT1_BOI04"/>
    <s v="S1CS03487-WS"/>
    <n v="255"/>
    <s v="207201519"/>
    <s v="WS"/>
    <n v="2"/>
    <n v="0.4155996884735203"/>
    <x v="8"/>
    <x v="1"/>
    <n v="4590"/>
    <x v="0"/>
    <m/>
  </r>
  <r>
    <s v="PPT1_BOI04"/>
    <s v="S1CS03487-WS"/>
    <n v="255"/>
    <s v="207201709"/>
    <s v="WS"/>
    <n v="2"/>
    <n v="0.4155996884735203"/>
    <x v="2"/>
    <x v="1"/>
    <n v="4590"/>
    <x v="0"/>
    <m/>
  </r>
  <r>
    <s v="PPT1_BOI04"/>
    <s v="S1CS03487-WS"/>
    <n v="255"/>
    <s v="207208156"/>
    <s v="WS"/>
    <n v="2"/>
    <n v="0.4155996884735203"/>
    <x v="8"/>
    <x v="1"/>
    <n v="4590"/>
    <x v="0"/>
    <m/>
  </r>
  <r>
    <s v="PPT1_BOI04"/>
    <s v="S1CS03487-WS"/>
    <n v="255"/>
    <s v="207201665"/>
    <s v="WS"/>
    <n v="2"/>
    <n v="0.4155996884735203"/>
    <x v="2"/>
    <x v="1"/>
    <n v="4590"/>
    <x v="0"/>
    <m/>
  </r>
  <r>
    <s v="PPT1_BOI04"/>
    <s v="S1CS03487-WS"/>
    <n v="255"/>
    <s v="207208159"/>
    <s v="WS"/>
    <n v="2"/>
    <n v="0.4155996884735203"/>
    <x v="8"/>
    <x v="1"/>
    <n v="4590"/>
    <x v="0"/>
    <m/>
  </r>
  <r>
    <s v="PPT1_BOI04"/>
    <s v="S1CS03487-WS"/>
    <n v="255"/>
    <s v="207201631"/>
    <s v="WS"/>
    <n v="2"/>
    <n v="0.4155996884735203"/>
    <x v="2"/>
    <x v="1"/>
    <n v="4590"/>
    <x v="0"/>
    <m/>
  </r>
  <r>
    <s v="PPT1_BOI04"/>
    <s v="S1CS03487-WS"/>
    <n v="255"/>
    <s v="207201546"/>
    <s v="WS"/>
    <n v="2"/>
    <n v="0.4155996884735203"/>
    <x v="8"/>
    <x v="1"/>
    <n v="4590"/>
    <x v="0"/>
    <m/>
  </r>
  <r>
    <s v="PPT1_BOI04"/>
    <s v="S1CS03487-WS"/>
    <n v="255"/>
    <s v="207201634"/>
    <s v="WS"/>
    <n v="2"/>
    <n v="0.4155996884735203"/>
    <x v="2"/>
    <x v="1"/>
    <n v="4590"/>
    <x v="0"/>
    <m/>
  </r>
  <r>
    <s v="PPT1_BOI04"/>
    <s v="S1CS03487-WS"/>
    <n v="255"/>
    <s v="207201454"/>
    <s v="WS"/>
    <n v="2"/>
    <n v="0.4155996884735203"/>
    <x v="8"/>
    <x v="1"/>
    <n v="4590"/>
    <x v="0"/>
    <m/>
  </r>
  <r>
    <s v="PPT1_BOI04"/>
    <s v="S1CS03487-WS"/>
    <n v="255"/>
    <s v="207201635"/>
    <s v="WS"/>
    <n v="2"/>
    <n v="0.4155996884735203"/>
    <x v="2"/>
    <x v="1"/>
    <n v="4590"/>
    <x v="0"/>
    <m/>
  </r>
  <r>
    <s v="PPT1_BOI04"/>
    <s v="S1CS03487-WS"/>
    <n v="255"/>
    <s v="207208157"/>
    <s v="WS"/>
    <n v="2"/>
    <n v="0.4155996884735203"/>
    <x v="8"/>
    <x v="1"/>
    <n v="4590"/>
    <x v="0"/>
    <m/>
  </r>
  <r>
    <s v="PPT1_BOI04"/>
    <s v="S1CS03487-WS"/>
    <n v="255"/>
    <s v="207201490"/>
    <s v="WS"/>
    <n v="2"/>
    <n v="0.4155996884735203"/>
    <x v="2"/>
    <x v="1"/>
    <n v="4590"/>
    <x v="0"/>
    <m/>
  </r>
  <r>
    <s v="PPT1_BOI04"/>
    <s v="S1CS03487-WS"/>
    <n v="255"/>
    <s v="207208158"/>
    <s v="WS"/>
    <n v="2"/>
    <n v="0.4155996884735203"/>
    <x v="8"/>
    <x v="1"/>
    <n v="4590"/>
    <x v="0"/>
    <m/>
  </r>
  <r>
    <s v="PPT1_BOI04"/>
    <s v="S1CS03487-WS"/>
    <n v="255"/>
    <s v="207201494"/>
    <s v="WS"/>
    <n v="2"/>
    <n v="0.4155996884735203"/>
    <x v="2"/>
    <x v="1"/>
    <n v="4590"/>
    <x v="0"/>
    <m/>
  </r>
  <r>
    <s v="PPT1_BOI04"/>
    <s v="S1CS03487-WS"/>
    <n v="255"/>
    <s v="207201520"/>
    <s v="WS"/>
    <n v="2"/>
    <n v="0.4155996884735203"/>
    <x v="8"/>
    <x v="1"/>
    <n v="4590"/>
    <x v="0"/>
    <m/>
  </r>
  <r>
    <s v="PPT1_BOI04"/>
    <s v="S1CS03487-WS"/>
    <n v="255"/>
    <s v="207201544"/>
    <s v="WS"/>
    <n v="2"/>
    <n v="0.4155996884735203"/>
    <x v="2"/>
    <x v="1"/>
    <n v="4590"/>
    <x v="0"/>
    <m/>
  </r>
  <r>
    <s v="PPT1_BOI04"/>
    <s v="S1CS03487-WS"/>
    <n v="255"/>
    <s v="207201522"/>
    <s v="WS"/>
    <n v="2"/>
    <n v="0.4155996884735203"/>
    <x v="8"/>
    <x v="1"/>
    <n v="4590"/>
    <x v="0"/>
    <m/>
  </r>
  <r>
    <s v="PPT1_BOI04"/>
    <s v="S1CS03487-WS"/>
    <n v="255"/>
    <s v="207201540"/>
    <s v="WS"/>
    <n v="2"/>
    <n v="0.4155996884735203"/>
    <x v="2"/>
    <x v="1"/>
    <n v="4590"/>
    <x v="0"/>
    <m/>
  </r>
  <r>
    <s v="PPT1_BOI04"/>
    <s v="S1CS03487-WS"/>
    <n v="255"/>
    <s v="207201595"/>
    <s v="WS"/>
    <n v="2"/>
    <n v="0.4155996884735203"/>
    <x v="8"/>
    <x v="1"/>
    <n v="4590"/>
    <x v="0"/>
    <m/>
  </r>
  <r>
    <s v="PPT1_BOI04"/>
    <s v="S1CS03487-WS"/>
    <n v="255"/>
    <s v="207208153"/>
    <s v="WS"/>
    <n v="2"/>
    <n v="0.4155996884735203"/>
    <x v="2"/>
    <x v="1"/>
    <n v="4590"/>
    <x v="0"/>
    <m/>
  </r>
  <r>
    <s v="PPT1_BOI04"/>
    <s v="S1CS03487-WS"/>
    <n v="255"/>
    <s v="207208154"/>
    <s v="WS"/>
    <n v="2"/>
    <n v="0.4155996884735203"/>
    <x v="8"/>
    <x v="1"/>
    <n v="4590"/>
    <x v="0"/>
    <m/>
  </r>
  <r>
    <s v="PPT1_BOI04"/>
    <s v="S1CS03487-WS"/>
    <n v="255"/>
    <s v="207201677"/>
    <s v="WS"/>
    <n v="2"/>
    <n v="0.4155996884735203"/>
    <x v="2"/>
    <x v="1"/>
    <n v="4590"/>
    <x v="0"/>
    <m/>
  </r>
  <r>
    <s v="PPT1_BOI04"/>
    <s v="S1CS03487-WS"/>
    <n v="255"/>
    <s v="207201588"/>
    <s v="WS"/>
    <n v="2"/>
    <n v="0.4155996884735203"/>
    <x v="8"/>
    <x v="1"/>
    <n v="4590"/>
    <x v="0"/>
    <m/>
  </r>
  <r>
    <s v="PPT1_BOI04"/>
    <s v="S1CS03487-WS"/>
    <n v="255"/>
    <s v="207201590"/>
    <s v="WS"/>
    <n v="2"/>
    <n v="0.4155996884735203"/>
    <x v="2"/>
    <x v="1"/>
    <n v="4590"/>
    <x v="0"/>
    <m/>
  </r>
  <r>
    <s v="PPT1_BOI04"/>
    <s v="S1CS03487-WS"/>
    <n v="255"/>
    <s v="207208155"/>
    <s v="WS"/>
    <n v="2"/>
    <n v="0.4155996884735203"/>
    <x v="8"/>
    <x v="1"/>
    <n v="4590"/>
    <x v="0"/>
    <m/>
  </r>
  <r>
    <s v="PPT1_BOI04"/>
    <s v="S1CS03487-WS"/>
    <n v="255"/>
    <s v="207201258"/>
    <s v="WS"/>
    <n v="2"/>
    <n v="0.4155996884735203"/>
    <x v="2"/>
    <x v="1"/>
    <n v="4590"/>
    <x v="0"/>
    <m/>
  </r>
  <r>
    <s v="PPT1_BOI04"/>
    <s v="S1CS03487-WS"/>
    <n v="255"/>
    <s v="207201591"/>
    <s v="WS"/>
    <n v="2"/>
    <n v="0.4155996884735203"/>
    <x v="8"/>
    <x v="1"/>
    <n v="4590"/>
    <x v="0"/>
    <m/>
  </r>
  <r>
    <s v="PPT1_BOI04"/>
    <s v="S1CS03487-WS"/>
    <n v="255"/>
    <s v="207201666"/>
    <s v="WS"/>
    <n v="2"/>
    <n v="0.4155996884735203"/>
    <x v="2"/>
    <x v="1"/>
    <n v="4590"/>
    <x v="0"/>
    <m/>
  </r>
  <r>
    <s v="PPT1_BOI04"/>
    <s v="S1CS03487-WS"/>
    <n v="255"/>
    <s v="207201678"/>
    <s v="WS"/>
    <n v="2"/>
    <n v="0.4155996884735203"/>
    <x v="8"/>
    <x v="1"/>
    <n v="4590"/>
    <x v="0"/>
    <m/>
  </r>
  <r>
    <s v="PPT1_BOI04"/>
    <s v="S1CS03487-WS"/>
    <n v="255"/>
    <s v="207208152"/>
    <s v="WS"/>
    <n v="2"/>
    <n v="0.4155996884735203"/>
    <x v="2"/>
    <x v="1"/>
    <n v="4590"/>
    <x v="0"/>
    <m/>
  </r>
  <r>
    <s v="PPT1_BOI04"/>
    <s v="S1CS06021-54-WS"/>
    <n v="120"/>
    <s v="207199534"/>
    <s v="WS"/>
    <n v="3"/>
    <n v="0.30791193145704626"/>
    <x v="3"/>
    <x v="1"/>
    <n v="4560"/>
    <x v="0"/>
    <m/>
  </r>
  <r>
    <s v="PPT1_BOI04"/>
    <s v="S1CS06673-WS"/>
    <n v="540"/>
    <s v="207197448"/>
    <s v="WS"/>
    <n v="2"/>
    <n v="1.0345530822852775"/>
    <x v="1"/>
    <x v="1"/>
    <n v="4320"/>
    <x v="0"/>
    <m/>
  </r>
  <r>
    <s v="PPT1_BOI04"/>
    <s v="S1CS06673-WS"/>
    <n v="540"/>
    <s v="207200508"/>
    <s v="WS"/>
    <n v="2"/>
    <n v="1.0345530822852775"/>
    <x v="12"/>
    <x v="1"/>
    <n v="4320"/>
    <x v="0"/>
    <m/>
  </r>
  <r>
    <s v="PPT1_BOI04"/>
    <s v="S1CS06673-WS"/>
    <n v="540"/>
    <s v="207198208"/>
    <s v="WS"/>
    <n v="2"/>
    <n v="1.0345530822852775"/>
    <x v="1"/>
    <x v="1"/>
    <n v="4320"/>
    <x v="0"/>
    <m/>
  </r>
  <r>
    <s v="PPT1_BOI04"/>
    <s v="S1CS06673-WS"/>
    <n v="540"/>
    <s v="207197893"/>
    <s v="WS"/>
    <n v="2"/>
    <n v="1.0345530822852775"/>
    <x v="12"/>
    <x v="1"/>
    <n v="4320"/>
    <x v="0"/>
    <m/>
  </r>
  <r>
    <s v="PPT1_BOI04"/>
    <s v="S1CS07171-WS"/>
    <n v="240"/>
    <s v="207200353"/>
    <s v="WS"/>
    <n v="7"/>
    <n v="0.43533655350549305"/>
    <x v="5"/>
    <x v="1"/>
    <n v="4320"/>
    <x v="0"/>
    <m/>
  </r>
  <r>
    <s v="PPT1_BOI04"/>
    <s v="S1CS05713-WS"/>
    <n v="60"/>
    <s v="207197982"/>
    <s v="WS"/>
    <n v="3"/>
    <n v="9.8488567662166446E-2"/>
    <x v="11"/>
    <x v="1"/>
    <n v="4200"/>
    <x v="0"/>
    <m/>
  </r>
  <r>
    <s v="PPT1_BOI04"/>
    <s v="S1CS07066-WS"/>
    <n v="300"/>
    <s v="207198920"/>
    <s v="WS"/>
    <n v="9"/>
    <n v="0.47357441560193481"/>
    <x v="14"/>
    <x v="1"/>
    <n v="4200"/>
    <x v="0"/>
    <m/>
  </r>
  <r>
    <s v="PPT1_BOI04"/>
    <s v="S1CS07066-WS"/>
    <n v="300"/>
    <s v="207199586"/>
    <s v="WS"/>
    <n v="9"/>
    <n v="0.47357441560193481"/>
    <x v="10"/>
    <x v="1"/>
    <n v="4200"/>
    <x v="0"/>
    <m/>
  </r>
  <r>
    <s v="PPT1_BOI04"/>
    <s v="S1CS07066-WS"/>
    <n v="300"/>
    <s v="207198925"/>
    <s v="WS"/>
    <n v="9"/>
    <n v="0.47357441560193481"/>
    <x v="13"/>
    <x v="1"/>
    <n v="4200"/>
    <x v="0"/>
    <m/>
  </r>
  <r>
    <s v="PPT1_BOI04"/>
    <s v="S1CS07066-WS"/>
    <n v="300"/>
    <s v="207199099"/>
    <s v="WS"/>
    <n v="9"/>
    <n v="0.47357441560193481"/>
    <x v="0"/>
    <x v="1"/>
    <n v="4200"/>
    <x v="0"/>
    <m/>
  </r>
  <r>
    <s v="PPT1_BOI04"/>
    <s v="S1CS07066-WS"/>
    <n v="300"/>
    <s v="207198985"/>
    <s v="WS"/>
    <n v="9"/>
    <n v="0.47357441560193481"/>
    <x v="18"/>
    <x v="1"/>
    <n v="4200"/>
    <x v="0"/>
    <m/>
  </r>
  <r>
    <s v="PPT1_BOI04"/>
    <s v="S1CS07066-WS"/>
    <n v="300"/>
    <s v="207199540"/>
    <s v="WS"/>
    <n v="9"/>
    <n v="0.47357441560193481"/>
    <x v="6"/>
    <x v="1"/>
    <n v="4200"/>
    <x v="0"/>
    <m/>
  </r>
  <r>
    <s v="PPT1_BOI04"/>
    <s v="S1CS07066-WS"/>
    <n v="300"/>
    <s v="207199819"/>
    <s v="WS"/>
    <n v="9"/>
    <n v="0.47357441560193481"/>
    <x v="9"/>
    <x v="1"/>
    <n v="4200"/>
    <x v="0"/>
    <m/>
  </r>
  <r>
    <s v="PPT1_BOI04"/>
    <s v="S1CS07066-WS"/>
    <n v="300"/>
    <s v="207200016"/>
    <s v="WS"/>
    <n v="9"/>
    <n v="0.47357441560193481"/>
    <x v="7"/>
    <x v="1"/>
    <n v="4200"/>
    <x v="0"/>
    <m/>
  </r>
  <r>
    <s v="PPT1_BOI04"/>
    <s v="S1CS07066-WS"/>
    <n v="300"/>
    <s v="207200052"/>
    <s v="WS"/>
    <n v="9"/>
    <n v="0.47357441560193481"/>
    <x v="17"/>
    <x v="1"/>
    <n v="4200"/>
    <x v="0"/>
    <m/>
  </r>
  <r>
    <s v="PPT1_BOI04"/>
    <s v="S1CS07066-WS"/>
    <n v="300"/>
    <s v="207199774"/>
    <s v="WS"/>
    <n v="9"/>
    <n v="0.47357441560193481"/>
    <x v="14"/>
    <x v="1"/>
    <n v="4200"/>
    <x v="0"/>
    <m/>
  </r>
  <r>
    <s v="PPT1_BOI04"/>
    <s v="S1CS07066-WS"/>
    <n v="300"/>
    <s v="207200097"/>
    <s v="WS"/>
    <n v="9"/>
    <n v="0.47357441560193481"/>
    <x v="10"/>
    <x v="1"/>
    <n v="4200"/>
    <x v="0"/>
    <m/>
  </r>
  <r>
    <s v="PPT1_BOI04"/>
    <s v="S1CS07066-WS"/>
    <n v="300"/>
    <s v="207199666"/>
    <s v="WS"/>
    <n v="9"/>
    <n v="0.47357441560193481"/>
    <x v="13"/>
    <x v="1"/>
    <n v="4200"/>
    <x v="0"/>
    <m/>
  </r>
  <r>
    <s v="PPT1_BOI04"/>
    <s v="S1CS07066-WS"/>
    <n v="300"/>
    <s v="207199768"/>
    <s v="WS"/>
    <n v="9"/>
    <n v="0.47357441560193481"/>
    <x v="0"/>
    <x v="1"/>
    <n v="4200"/>
    <x v="0"/>
    <m/>
  </r>
  <r>
    <s v="PPT1_BOI04"/>
    <s v="S1CS07066-WS"/>
    <n v="300"/>
    <s v="207208194"/>
    <s v="WS"/>
    <n v="9"/>
    <n v="0.47357441560193481"/>
    <x v="18"/>
    <x v="1"/>
    <n v="4200"/>
    <x v="0"/>
    <m/>
  </r>
  <r>
    <s v="PPT1_BOI04"/>
    <s v="S1CS07066-WS"/>
    <n v="300"/>
    <s v="207198857"/>
    <s v="WS"/>
    <n v="9"/>
    <n v="0.47357441560193481"/>
    <x v="6"/>
    <x v="1"/>
    <n v="4200"/>
    <x v="0"/>
    <m/>
  </r>
  <r>
    <s v="PPT1_BOI04"/>
    <s v="S1CS07066-WS"/>
    <n v="300"/>
    <s v="207208196"/>
    <s v="WS"/>
    <n v="9"/>
    <n v="0.47357441560193481"/>
    <x v="9"/>
    <x v="1"/>
    <n v="4200"/>
    <x v="0"/>
    <m/>
  </r>
  <r>
    <s v="PPT1_BOI04"/>
    <s v="S1CS07066-WS"/>
    <n v="300"/>
    <s v="207208195"/>
    <s v="WS"/>
    <n v="9"/>
    <n v="0.47357441560193481"/>
    <x v="7"/>
    <x v="1"/>
    <n v="4200"/>
    <x v="0"/>
    <m/>
  </r>
  <r>
    <s v="PPT1_BOI04"/>
    <s v="S1CS07066-WS"/>
    <n v="300"/>
    <s v="207208193"/>
    <s v="WS"/>
    <n v="9"/>
    <n v="0.47357441560193481"/>
    <x v="17"/>
    <x v="1"/>
    <n v="4200"/>
    <x v="0"/>
    <m/>
  </r>
  <r>
    <s v="PPT1_BOI04"/>
    <s v="S1CS07066-WS"/>
    <n v="300"/>
    <s v="207208191"/>
    <s v="WS"/>
    <n v="9"/>
    <n v="0.47357441560193481"/>
    <x v="14"/>
    <x v="1"/>
    <n v="4200"/>
    <x v="0"/>
    <m/>
  </r>
  <r>
    <s v="PPT1_BOI04"/>
    <s v="S1CS07066-WS"/>
    <n v="300"/>
    <s v="207208192"/>
    <s v="WS"/>
    <n v="9"/>
    <n v="0.47357441560193481"/>
    <x v="10"/>
    <x v="1"/>
    <n v="4200"/>
    <x v="0"/>
    <m/>
  </r>
  <r>
    <s v="PPT1_BOI04"/>
    <s v="S1CS07067-WS"/>
    <n v="300"/>
    <s v="207199322"/>
    <s v="WS"/>
    <n v="7"/>
    <n v="0.43624221748772446"/>
    <x v="3"/>
    <x v="1"/>
    <n v="4200"/>
    <x v="0"/>
    <m/>
  </r>
  <r>
    <s v="PPT1_BOI04"/>
    <s v="S1CS07067-WS"/>
    <n v="300"/>
    <s v="207208200"/>
    <s v="WS"/>
    <n v="7"/>
    <n v="0.43624221748772446"/>
    <x v="15"/>
    <x v="1"/>
    <n v="4200"/>
    <x v="0"/>
    <m/>
  </r>
  <r>
    <s v="PPT1_BOI04"/>
    <s v="S1CS07067-WS"/>
    <n v="300"/>
    <s v="207208201"/>
    <s v="WS"/>
    <n v="7"/>
    <n v="0.43624221748772446"/>
    <x v="16"/>
    <x v="1"/>
    <n v="4200"/>
    <x v="0"/>
    <m/>
  </r>
  <r>
    <s v="PPT1_BOI04"/>
    <s v="S1CS07067-WS"/>
    <n v="300"/>
    <s v="207208202"/>
    <s v="WS"/>
    <n v="7"/>
    <n v="0.43624221748772446"/>
    <x v="4"/>
    <x v="1"/>
    <n v="4200"/>
    <x v="0"/>
    <m/>
  </r>
  <r>
    <s v="PPT1_BOI04"/>
    <s v="S1CS07067-WS"/>
    <n v="300"/>
    <s v="207208198"/>
    <s v="WS"/>
    <n v="7"/>
    <n v="0.43624221748772446"/>
    <x v="11"/>
    <x v="1"/>
    <n v="4200"/>
    <x v="0"/>
    <m/>
  </r>
  <r>
    <s v="PPT1_BOI04"/>
    <s v="S1CS07067-WS"/>
    <n v="300"/>
    <s v="207208199"/>
    <s v="WS"/>
    <n v="7"/>
    <n v="0.43624221748772446"/>
    <x v="5"/>
    <x v="1"/>
    <n v="4200"/>
    <x v="0"/>
    <m/>
  </r>
  <r>
    <s v="PPT1_BOI04"/>
    <s v="S1CS07067-WS"/>
    <n v="300"/>
    <s v="207200106"/>
    <s v="WS"/>
    <n v="7"/>
    <n v="0.43624221748772446"/>
    <x v="3"/>
    <x v="1"/>
    <n v="4200"/>
    <x v="0"/>
    <m/>
  </r>
  <r>
    <s v="PPT1_BOI04"/>
    <s v="S1CS07067-WS"/>
    <n v="300"/>
    <s v="207199287"/>
    <s v="WS"/>
    <n v="7"/>
    <n v="0.43624221748772446"/>
    <x v="15"/>
    <x v="1"/>
    <n v="4200"/>
    <x v="0"/>
    <m/>
  </r>
  <r>
    <s v="PPT1_BOI04"/>
    <s v="S1CS07067-WS"/>
    <n v="300"/>
    <s v="207208203"/>
    <s v="WS"/>
    <n v="7"/>
    <n v="0.43624221748772446"/>
    <x v="16"/>
    <x v="1"/>
    <n v="4200"/>
    <x v="0"/>
    <m/>
  </r>
  <r>
    <s v="PPT1_BOI04"/>
    <s v="S1CS07067-WS"/>
    <n v="300"/>
    <s v="207200227"/>
    <s v="WS"/>
    <n v="7"/>
    <n v="0.43624221748772446"/>
    <x v="1"/>
    <x v="1"/>
    <n v="4200"/>
    <x v="0"/>
    <m/>
  </r>
  <r>
    <s v="PPT1_BOI04"/>
    <s v="S1CS07067-WS"/>
    <n v="300"/>
    <s v="207200142"/>
    <s v="WS"/>
    <n v="7"/>
    <n v="0.43624221748772446"/>
    <x v="4"/>
    <x v="1"/>
    <n v="4200"/>
    <x v="0"/>
    <m/>
  </r>
  <r>
    <s v="PPT1_BOI04"/>
    <s v="S1CS07067-WS"/>
    <n v="300"/>
    <s v="207200145"/>
    <s v="WS"/>
    <n v="7"/>
    <n v="0.43624221748772446"/>
    <x v="11"/>
    <x v="1"/>
    <n v="4200"/>
    <x v="0"/>
    <m/>
  </r>
  <r>
    <s v="PPT1_BOI04"/>
    <s v="S1CS07067-WS"/>
    <n v="300"/>
    <s v="207200181"/>
    <s v="WS"/>
    <n v="7"/>
    <n v="0.43624221748772446"/>
    <x v="5"/>
    <x v="1"/>
    <n v="4200"/>
    <x v="0"/>
    <m/>
  </r>
  <r>
    <s v="PPT1_BOI04"/>
    <s v="S1CS07067-WS"/>
    <n v="300"/>
    <s v="207198400"/>
    <s v="WS"/>
    <n v="7"/>
    <n v="0.43624221748772446"/>
    <x v="3"/>
    <x v="1"/>
    <n v="4200"/>
    <x v="0"/>
    <m/>
  </r>
  <r>
    <s v="PPT1_BOI04"/>
    <s v="S1CS07067-WS"/>
    <n v="300"/>
    <s v="207198370"/>
    <s v="WS"/>
    <n v="7"/>
    <n v="0.43624221748772446"/>
    <x v="15"/>
    <x v="1"/>
    <n v="4200"/>
    <x v="0"/>
    <m/>
  </r>
  <r>
    <s v="PPT1_BOI04"/>
    <s v="S1CS07067-WS"/>
    <n v="300"/>
    <s v="207198347"/>
    <s v="WS"/>
    <n v="7"/>
    <n v="0.43624221748772446"/>
    <x v="16"/>
    <x v="1"/>
    <n v="4200"/>
    <x v="0"/>
    <m/>
  </r>
  <r>
    <s v="PPT1_BOI04"/>
    <s v="S1CS07067-WS"/>
    <n v="300"/>
    <s v="207198435"/>
    <s v="WS"/>
    <n v="7"/>
    <n v="0.43624221748772446"/>
    <x v="1"/>
    <x v="1"/>
    <n v="4200"/>
    <x v="0"/>
    <m/>
  </r>
  <r>
    <s v="PPT1_BOI04"/>
    <s v="S1CS07067-WS"/>
    <n v="300"/>
    <s v="207199250"/>
    <s v="WS"/>
    <n v="7"/>
    <n v="0.43624221748772446"/>
    <x v="4"/>
    <x v="1"/>
    <n v="4200"/>
    <x v="0"/>
    <m/>
  </r>
  <r>
    <s v="PPT1_BOI04"/>
    <s v="S1CS07067-WS"/>
    <n v="300"/>
    <s v="207199193"/>
    <s v="WS"/>
    <n v="7"/>
    <n v="0.43624221748772446"/>
    <x v="11"/>
    <x v="1"/>
    <n v="4200"/>
    <x v="0"/>
    <m/>
  </r>
  <r>
    <s v="PPT1_BOI04"/>
    <s v="S1CS07067-WS"/>
    <n v="300"/>
    <s v="207198476"/>
    <s v="WS"/>
    <n v="7"/>
    <n v="0.43624221748772446"/>
    <x v="5"/>
    <x v="1"/>
    <n v="4200"/>
    <x v="0"/>
    <m/>
  </r>
  <r>
    <s v="PPT1_BOI04"/>
    <s v="S1CS05037-WS"/>
    <n v="200"/>
    <s v="207197911"/>
    <s v="WSZ"/>
    <n v="1"/>
    <n v="0.36487731503243398"/>
    <x v="12"/>
    <x v="1"/>
    <n v="4200"/>
    <x v="0"/>
    <m/>
  </r>
  <r>
    <s v="PPT1_BOI04"/>
    <s v="S1CS05098-WS"/>
    <n v="100"/>
    <s v="207201752"/>
    <s v="WSZ"/>
    <n v="3"/>
    <n v="0.147300008031364"/>
    <x v="13"/>
    <x v="1"/>
    <n v="4200"/>
    <x v="0"/>
    <m/>
  </r>
  <r>
    <s v="PPT1_BOI04"/>
    <s v="S1CS05098-WS"/>
    <n v="100"/>
    <s v="207197830"/>
    <s v="WSZ"/>
    <n v="3"/>
    <n v="0.147300008031364"/>
    <x v="0"/>
    <x v="1"/>
    <n v="4200"/>
    <x v="0"/>
    <m/>
  </r>
  <r>
    <s v="PPT1_BOI04"/>
    <s v="S1CS03714-WS"/>
    <n v="450"/>
    <s v="207197967"/>
    <s v="WS"/>
    <n v="2"/>
    <n v="0.55192769542749687"/>
    <x v="18"/>
    <x v="1"/>
    <n v="4050"/>
    <x v="0"/>
    <m/>
  </r>
  <r>
    <s v="PPT1_BOI04"/>
    <s v="S1CS03714-WS"/>
    <n v="450"/>
    <s v="207198322"/>
    <s v="WS"/>
    <n v="2"/>
    <n v="0.55192769542749687"/>
    <x v="6"/>
    <x v="1"/>
    <n v="4050"/>
    <x v="0"/>
    <m/>
  </r>
  <r>
    <s v="PPT1_BOI04"/>
    <s v="S1CS03714-WS"/>
    <n v="450"/>
    <s v="207198142"/>
    <s v="WS"/>
    <n v="2"/>
    <n v="0.55192769542749687"/>
    <x v="18"/>
    <x v="1"/>
    <n v="4050"/>
    <x v="0"/>
    <m/>
  </r>
  <r>
    <s v="PPT1_BOI04"/>
    <s v="S1CS03714-WS"/>
    <n v="450"/>
    <s v="207198194"/>
    <s v="WS"/>
    <n v="2"/>
    <n v="0.55192769542749687"/>
    <x v="6"/>
    <x v="1"/>
    <n v="4050"/>
    <x v="0"/>
    <m/>
  </r>
  <r>
    <s v="PPT1_BOI04"/>
    <s v="S1CS03714-WS"/>
    <n v="450"/>
    <s v="207198031"/>
    <s v="WS"/>
    <n v="2"/>
    <n v="0.55192769542749687"/>
    <x v="18"/>
    <x v="1"/>
    <n v="4050"/>
    <x v="0"/>
    <m/>
  </r>
  <r>
    <s v="PPT1_BOI04"/>
    <s v="S1CS06172-WS"/>
    <n v="150"/>
    <s v="207197758"/>
    <s v="WS"/>
    <n v="2"/>
    <n v="0.27267677977606281"/>
    <x v="17"/>
    <x v="1"/>
    <n v="4050"/>
    <x v="0"/>
    <m/>
  </r>
  <r>
    <s v="PPT1_BOI04"/>
    <s v="S1CS06173-WS"/>
    <n v="150"/>
    <s v="207197954"/>
    <s v="WS"/>
    <n v="1"/>
    <n v="0.19154676258992806"/>
    <x v="1"/>
    <x v="1"/>
    <n v="4050"/>
    <x v="0"/>
    <m/>
  </r>
  <r>
    <s v="PPT1_BOI04"/>
    <s v="S1CS05073-WS"/>
    <n v="200"/>
    <s v="207198083"/>
    <s v="WS"/>
    <n v="17"/>
    <n v="0.15983074024911201"/>
    <x v="9"/>
    <x v="1"/>
    <n v="3800"/>
    <x v="0"/>
    <m/>
  </r>
  <r>
    <s v="PPT1_BOI04"/>
    <s v="S1CS05074-WS"/>
    <n v="200"/>
    <s v="207198264"/>
    <s v="WS"/>
    <n v="11"/>
    <n v="0.15983074024911201"/>
    <x v="7"/>
    <x v="1"/>
    <n v="3800"/>
    <x v="0"/>
    <m/>
  </r>
  <r>
    <s v="PPT1_BOI04"/>
    <s v="S1CS04587-WS"/>
    <n v="600"/>
    <s v="207197499"/>
    <s v="WS"/>
    <n v="24"/>
    <n v="0.30229140765396917"/>
    <x v="12"/>
    <x v="1"/>
    <n v="3600"/>
    <x v="0"/>
    <m/>
  </r>
  <r>
    <s v="PPT1_BOI04"/>
    <s v="S1CS06614-WS"/>
    <n v="600"/>
    <s v="207199817"/>
    <s v="WS"/>
    <n v="8"/>
    <n v="0.48063755064402525"/>
    <x v="9"/>
    <x v="1"/>
    <n v="3600"/>
    <x v="0"/>
    <m/>
  </r>
  <r>
    <s v="PPT1_BOI04"/>
    <s v="S1CS06614-WS"/>
    <n v="600"/>
    <s v="207200054"/>
    <s v="WS"/>
    <n v="8"/>
    <n v="0.48063755064402525"/>
    <x v="7"/>
    <x v="1"/>
    <n v="3600"/>
    <x v="0"/>
    <m/>
  </r>
  <r>
    <s v="PPT1_BOI04"/>
    <s v="S1CS06614-WS"/>
    <n v="600"/>
    <s v="207200049"/>
    <s v="WS"/>
    <n v="8"/>
    <n v="0.48063755064402525"/>
    <x v="14"/>
    <x v="1"/>
    <n v="3600"/>
    <x v="0"/>
    <m/>
  </r>
  <r>
    <s v="PPT1_BOI04"/>
    <s v="S1CS06636-WS"/>
    <n v="720"/>
    <s v="207199757"/>
    <s v="WS"/>
    <n v="4"/>
    <n v="0.36538525184583109"/>
    <x v="10"/>
    <x v="1"/>
    <n v="3600"/>
    <x v="0"/>
    <m/>
  </r>
  <r>
    <s v="PPT1_BOI04"/>
    <s v="S1CS03715-WS"/>
    <n v="220"/>
    <s v="207199457"/>
    <s v="WS"/>
    <n v="3"/>
    <n v="0.36176299034116344"/>
    <x v="7"/>
    <x v="1"/>
    <n v="3520"/>
    <x v="0"/>
    <m/>
  </r>
  <r>
    <s v="PPT1_BOI04"/>
    <s v="S1CS06403-WS"/>
    <n v="60"/>
    <s v="207201758"/>
    <s v="WS"/>
    <n v="2"/>
    <n v="6.2486847910939149E-2"/>
    <x v="17"/>
    <x v="1"/>
    <n v="3480"/>
    <x v="0"/>
    <m/>
  </r>
  <r>
    <s v="PPT1_BOI04"/>
    <s v="S1CS06403-WS"/>
    <n v="60"/>
    <s v="207199173"/>
    <s v="WS"/>
    <n v="2"/>
    <n v="6.2486847910939149E-2"/>
    <x v="9"/>
    <x v="1"/>
    <n v="3480"/>
    <x v="0"/>
    <m/>
  </r>
  <r>
    <s v="PPT1_BOI04"/>
    <s v="S1CS03290-WS"/>
    <n v="240"/>
    <s v="207201354"/>
    <s v="WS"/>
    <n v="9"/>
    <n v="0.24636168937490602"/>
    <x v="13"/>
    <x v="1"/>
    <n v="3360"/>
    <x v="0"/>
    <m/>
  </r>
  <r>
    <s v="PPT1_BOI04"/>
    <s v="S1CS03299-WS"/>
    <n v="240"/>
    <s v="207201594"/>
    <s v="WS"/>
    <n v="8"/>
    <n v="0.19139339289083215"/>
    <x v="0"/>
    <x v="1"/>
    <n v="3360"/>
    <x v="0"/>
    <m/>
  </r>
  <r>
    <s v="PPT1_BOI04"/>
    <s v="S1CS03300-WS"/>
    <n v="240"/>
    <s v="207201991"/>
    <s v="WS"/>
    <n v="8"/>
    <n v="0.19139339289083215"/>
    <x v="16"/>
    <x v="1"/>
    <n v="3360"/>
    <x v="0"/>
    <m/>
  </r>
  <r>
    <s v="PPT1_BOI04"/>
    <s v="S1CS04613-WS"/>
    <n v="300"/>
    <s v="207201356"/>
    <s v="WS"/>
    <n v="3"/>
    <n v="0.40001525256798454"/>
    <x v="3"/>
    <x v="1"/>
    <n v="3300"/>
    <x v="0"/>
    <m/>
  </r>
  <r>
    <s v="PPT1_BOI04"/>
    <s v="S1CS04613-WS"/>
    <n v="300"/>
    <s v="207201160"/>
    <s v="WS"/>
    <n v="3"/>
    <n v="0.40001525256798454"/>
    <x v="15"/>
    <x v="1"/>
    <n v="3300"/>
    <x v="0"/>
    <m/>
  </r>
  <r>
    <s v="PPT1_BOI04"/>
    <s v="S1CS04613-WS"/>
    <n v="300"/>
    <s v="207201192"/>
    <s v="WS"/>
    <n v="3"/>
    <n v="0.40001525256798454"/>
    <x v="12"/>
    <x v="1"/>
    <n v="3300"/>
    <x v="0"/>
    <m/>
  </r>
  <r>
    <s v="PPT1_BOI04"/>
    <s v="S1CS04613-WS"/>
    <n v="300"/>
    <s v="207201489"/>
    <s v="WS"/>
    <n v="3"/>
    <n v="0.40001525256798454"/>
    <x v="3"/>
    <x v="1"/>
    <n v="3300"/>
    <x v="0"/>
    <m/>
  </r>
  <r>
    <s v="PPT1_BOI04"/>
    <s v="S1CS04613-WS"/>
    <n v="300"/>
    <s v="207201135"/>
    <s v="WS"/>
    <n v="3"/>
    <n v="0.40001525256798454"/>
    <x v="15"/>
    <x v="1"/>
    <n v="3300"/>
    <x v="0"/>
    <m/>
  </r>
  <r>
    <s v="PPT1_BOI04"/>
    <s v="S1CS04613-WS"/>
    <n v="300"/>
    <s v="207201315"/>
    <s v="WS"/>
    <n v="3"/>
    <n v="0.40001525256798454"/>
    <x v="12"/>
    <x v="1"/>
    <n v="3300"/>
    <x v="0"/>
    <m/>
  </r>
  <r>
    <s v="PPT1_BOI04"/>
    <s v="S1CS04613-WS"/>
    <n v="300"/>
    <s v="207201350"/>
    <s v="WS"/>
    <n v="3"/>
    <n v="0.40001525256798454"/>
    <x v="3"/>
    <x v="1"/>
    <n v="3300"/>
    <x v="0"/>
    <m/>
  </r>
  <r>
    <s v="PPT1_BOI04"/>
    <s v="S1CS04613-WS"/>
    <n v="300"/>
    <s v="207201382"/>
    <s v="WS"/>
    <n v="3"/>
    <n v="0.40001525256798454"/>
    <x v="15"/>
    <x v="1"/>
    <n v="3300"/>
    <x v="0"/>
    <m/>
  </r>
  <r>
    <s v="PPT1_BOI04"/>
    <s v="S1CS04613-WS"/>
    <n v="300"/>
    <s v="207201235"/>
    <s v="WS"/>
    <n v="3"/>
    <n v="0.40001525256798454"/>
    <x v="12"/>
    <x v="1"/>
    <n v="3300"/>
    <x v="0"/>
    <m/>
  </r>
  <r>
    <s v="PPT1_BOI04"/>
    <s v="S1CS04613-WS"/>
    <n v="300"/>
    <s v="207201493"/>
    <s v="WS"/>
    <n v="3"/>
    <n v="0.40001525256798454"/>
    <x v="3"/>
    <x v="1"/>
    <n v="3300"/>
    <x v="0"/>
    <m/>
  </r>
  <r>
    <s v="PPT1_BOI04"/>
    <s v="S1CS04613-WS"/>
    <n v="300"/>
    <s v="207201518"/>
    <s v="WS"/>
    <n v="3"/>
    <n v="0.40001525256798454"/>
    <x v="15"/>
    <x v="1"/>
    <n v="3300"/>
    <x v="0"/>
    <m/>
  </r>
  <r>
    <s v="PPT1_BOI04"/>
    <s v="S1CS04613-WS"/>
    <n v="300"/>
    <s v="207201455"/>
    <s v="WS"/>
    <n v="3"/>
    <n v="0.40001525256798454"/>
    <x v="12"/>
    <x v="1"/>
    <n v="3300"/>
    <x v="0"/>
    <m/>
  </r>
  <r>
    <s v="PPT1_BOI04"/>
    <s v="S1CS04613-WS"/>
    <n v="300"/>
    <s v="207201228"/>
    <s v="WS"/>
    <n v="3"/>
    <n v="0.40001525256798454"/>
    <x v="3"/>
    <x v="1"/>
    <n v="3300"/>
    <x v="0"/>
    <m/>
  </r>
  <r>
    <s v="PPT1_BOI04"/>
    <s v="S1CS05705-WS"/>
    <n v="130"/>
    <s v="207197829"/>
    <s v="WS"/>
    <n v="5"/>
    <n v="0.10140739673736901"/>
    <x v="4"/>
    <x v="1"/>
    <n v="3250"/>
    <x v="0"/>
    <m/>
  </r>
  <r>
    <s v="PPT1_BOI04"/>
    <s v="S1CS05705-WS"/>
    <n v="130"/>
    <s v="207197806"/>
    <s v="WS"/>
    <n v="5"/>
    <n v="0.10140739673736901"/>
    <x v="13"/>
    <x v="1"/>
    <n v="3250"/>
    <x v="0"/>
    <m/>
  </r>
  <r>
    <s v="PPT1_BOI04"/>
    <s v="S1CS04656-WS"/>
    <n v="540"/>
    <s v="207197784"/>
    <s v="WS"/>
    <n v="4"/>
    <n v="0.1835410904166894"/>
    <x v="0"/>
    <x v="1"/>
    <n v="3240"/>
    <x v="0"/>
    <m/>
  </r>
  <r>
    <s v="PPT1_BOI04"/>
    <s v="S1CS06374-WS"/>
    <n v="100"/>
    <s v="207200057"/>
    <s v="WS"/>
    <n v="4"/>
    <n v="0.18706699389784645"/>
    <x v="14"/>
    <x v="1"/>
    <n v="3200"/>
    <x v="0"/>
    <m/>
  </r>
  <r>
    <s v="PPT1_BOI04"/>
    <s v="S1CS06490-WS"/>
    <n v="400"/>
    <s v="207198414"/>
    <s v="WS"/>
    <n v="6"/>
    <n v="0.38734270421678663"/>
    <x v="10"/>
    <x v="1"/>
    <n v="3200"/>
    <x v="0"/>
    <m/>
  </r>
  <r>
    <s v="PPT1_BOI04"/>
    <s v="S1CS04039-WS"/>
    <n v="100"/>
    <s v="207201581"/>
    <s v="WS"/>
    <n v="5"/>
    <n v="0.19827953058165468"/>
    <x v="16"/>
    <x v="1"/>
    <n v="3100"/>
    <x v="0"/>
    <m/>
  </r>
  <r>
    <s v="PPT1_BOI04"/>
    <s v="S1CS06760-WS"/>
    <n v="160"/>
    <s v="207200199"/>
    <s v="WS"/>
    <n v="2"/>
    <n v="0.36460808363781005"/>
    <x v="17"/>
    <x v="1"/>
    <n v="3040"/>
    <x v="0"/>
    <m/>
  </r>
  <r>
    <s v="PPT1_BOI04"/>
    <s v="S1CS05870-WS"/>
    <n v="300"/>
    <s v="207198602"/>
    <s v="WS"/>
    <n v="6"/>
    <n v="0.42469295993560829"/>
    <x v="6"/>
    <x v="1"/>
    <n v="3000"/>
    <x v="0"/>
    <m/>
  </r>
  <r>
    <s v="PPT1_BOI04"/>
    <s v="S1CS05870-WS"/>
    <n v="300"/>
    <s v="207198598"/>
    <s v="WS"/>
    <n v="6"/>
    <n v="0.42469295993560829"/>
    <x v="11"/>
    <x v="1"/>
    <n v="3000"/>
    <x v="0"/>
    <m/>
  </r>
  <r>
    <s v="PPT1_BOI04"/>
    <s v="S1CS05870-WS"/>
    <n v="300"/>
    <s v="207198558"/>
    <s v="WS"/>
    <n v="6"/>
    <n v="0.42469295993560829"/>
    <x v="5"/>
    <x v="1"/>
    <n v="3000"/>
    <x v="0"/>
    <m/>
  </r>
  <r>
    <s v="PPT1_BOI04"/>
    <s v="S1CS05870-WS"/>
    <n v="300"/>
    <s v="207198564"/>
    <s v="WS"/>
    <n v="6"/>
    <n v="0.42469295993560829"/>
    <x v="4"/>
    <x v="1"/>
    <n v="3000"/>
    <x v="0"/>
    <m/>
  </r>
  <r>
    <s v="PPT1_BOI04"/>
    <s v="S1CS06913-52-WS"/>
    <n v="100"/>
    <s v="207198684"/>
    <s v="WS"/>
    <n v="2"/>
    <n v="0.22898502123854239"/>
    <x v="13"/>
    <x v="1"/>
    <n v="3000"/>
    <x v="0"/>
    <m/>
  </r>
  <r>
    <s v="PPT1_BOI04"/>
    <s v="S1CS07066-WS"/>
    <n v="200"/>
    <s v="207208190"/>
    <s v="WS"/>
    <n v="9"/>
    <n v="0.31571627706795657"/>
    <x v="0"/>
    <x v="1"/>
    <n v="2800"/>
    <x v="0"/>
    <m/>
  </r>
  <r>
    <s v="PPT1_BOI04"/>
    <s v="S1CS07067-WS"/>
    <n v="200"/>
    <s v="207208197"/>
    <s v="WS"/>
    <n v="7"/>
    <n v="0.29082814499181631"/>
    <x v="1"/>
    <x v="1"/>
    <n v="2800"/>
    <x v="0"/>
    <m/>
  </r>
  <r>
    <s v="PPT1_BOI04"/>
    <s v="S1CS05709-WS"/>
    <n v="75"/>
    <s v="207200031"/>
    <s v="WS"/>
    <n v="2"/>
    <n v="0.18483895881737175"/>
    <x v="14"/>
    <x v="1"/>
    <n v="2775"/>
    <x v="0"/>
    <m/>
  </r>
  <r>
    <s v="PPT1_BOI04"/>
    <s v="S1CS06427-WS"/>
    <n v="195"/>
    <s v="207202005"/>
    <s v="WS"/>
    <n v="3"/>
    <n v="0.37307203081843288"/>
    <x v="10"/>
    <x v="1"/>
    <n v="2730"/>
    <x v="0"/>
    <m/>
  </r>
  <r>
    <s v="PPT1_BOI04"/>
    <s v="S1CS06427-WS"/>
    <n v="195"/>
    <s v="207202006"/>
    <s v="WS"/>
    <n v="3"/>
    <n v="0.37307203081843288"/>
    <x v="9"/>
    <x v="1"/>
    <n v="2730"/>
    <x v="0"/>
    <m/>
  </r>
  <r>
    <s v="PPT1_BOI04"/>
    <s v="S1CS06427-WS"/>
    <n v="195"/>
    <s v="207202046"/>
    <s v="WS"/>
    <n v="3"/>
    <n v="0.37307203081843288"/>
    <x v="17"/>
    <x v="1"/>
    <n v="2730"/>
    <x v="0"/>
    <m/>
  </r>
  <r>
    <s v="PPT1_BOI04"/>
    <s v="S1CS06427-WS"/>
    <n v="195"/>
    <s v="207202053"/>
    <s v="WS"/>
    <n v="3"/>
    <n v="0.37307203081843288"/>
    <x v="10"/>
    <x v="1"/>
    <n v="2730"/>
    <x v="0"/>
    <m/>
  </r>
  <r>
    <s v="PPT1_BOI04"/>
    <s v="S1CS06427-WS"/>
    <n v="195"/>
    <s v="207202055"/>
    <s v="WS"/>
    <n v="3"/>
    <n v="0.37307203081843288"/>
    <x v="9"/>
    <x v="1"/>
    <n v="2730"/>
    <x v="0"/>
    <m/>
  </r>
  <r>
    <s v="PPT1_BOI04"/>
    <s v="S1CS06427-WS"/>
    <n v="195"/>
    <s v="207202051"/>
    <s v="WS"/>
    <n v="3"/>
    <n v="0.37307203081843288"/>
    <x v="17"/>
    <x v="1"/>
    <n v="2730"/>
    <x v="0"/>
    <m/>
  </r>
  <r>
    <s v="PPT1_BOI04"/>
    <s v="S1CS06427-WS"/>
    <n v="195"/>
    <s v="207202048"/>
    <s v="WS"/>
    <n v="3"/>
    <n v="0.37307203081843288"/>
    <x v="10"/>
    <x v="1"/>
    <n v="2730"/>
    <x v="0"/>
    <m/>
  </r>
  <r>
    <s v="PPT1_BOI04"/>
    <s v="S1CS06427-WS"/>
    <n v="195"/>
    <s v="207201940"/>
    <s v="WS"/>
    <n v="3"/>
    <n v="0.37307203081843288"/>
    <x v="9"/>
    <x v="1"/>
    <n v="2730"/>
    <x v="0"/>
    <m/>
  </r>
  <r>
    <s v="PPT1_BOI04"/>
    <s v="S1CS06427-WS"/>
    <n v="195"/>
    <s v="207202074"/>
    <s v="WS"/>
    <n v="3"/>
    <n v="0.37307203081843288"/>
    <x v="17"/>
    <x v="1"/>
    <n v="2730"/>
    <x v="0"/>
    <m/>
  </r>
  <r>
    <s v="PPT1_BOI04"/>
    <s v="S1CS06427-WS"/>
    <n v="195"/>
    <s v="207202035"/>
    <s v="WS"/>
    <n v="3"/>
    <n v="0.37307203081843288"/>
    <x v="10"/>
    <x v="1"/>
    <n v="2730"/>
    <x v="0"/>
    <m/>
  </r>
  <r>
    <s v="PPT1_BOI04"/>
    <s v="S1CS06427-WS"/>
    <n v="195"/>
    <s v="207202073"/>
    <s v="WS"/>
    <n v="3"/>
    <n v="0.37307203081843288"/>
    <x v="9"/>
    <x v="1"/>
    <n v="2730"/>
    <x v="0"/>
    <m/>
  </r>
  <r>
    <s v="PPT1_BOI04"/>
    <s v="S1CS06427-WS"/>
    <n v="195"/>
    <s v="207202071"/>
    <s v="WS"/>
    <n v="3"/>
    <n v="0.37307203081843288"/>
    <x v="17"/>
    <x v="1"/>
    <n v="2730"/>
    <x v="0"/>
    <m/>
  </r>
  <r>
    <s v="PPT1_BOI04"/>
    <s v="S1CS06427-WS"/>
    <n v="195"/>
    <s v="207202033"/>
    <s v="WS"/>
    <n v="3"/>
    <n v="0.37307203081843288"/>
    <x v="10"/>
    <x v="1"/>
    <n v="2730"/>
    <x v="0"/>
    <m/>
  </r>
  <r>
    <s v="PPT1_BOI04"/>
    <s v="S1CS06427-WS"/>
    <n v="195"/>
    <s v="207202013"/>
    <s v="WS"/>
    <n v="3"/>
    <n v="0.37307203081843288"/>
    <x v="9"/>
    <x v="1"/>
    <n v="2730"/>
    <x v="0"/>
    <m/>
  </r>
  <r>
    <s v="PPT1_BOI04"/>
    <s v="S1CS06427-WS"/>
    <n v="195"/>
    <s v="207202009"/>
    <s v="WS"/>
    <n v="3"/>
    <n v="0.37307203081843288"/>
    <x v="17"/>
    <x v="1"/>
    <n v="2730"/>
    <x v="0"/>
    <m/>
  </r>
  <r>
    <s v="PPT1_BOI04"/>
    <s v="S1CS06427-WS"/>
    <n v="195"/>
    <s v="207202029"/>
    <s v="WS"/>
    <n v="3"/>
    <n v="0.37307203081843288"/>
    <x v="10"/>
    <x v="1"/>
    <n v="2730"/>
    <x v="0"/>
    <m/>
  </r>
  <r>
    <s v="PPT1_BOI04"/>
    <s v="S1CS06427-WS"/>
    <n v="195"/>
    <s v="207202031"/>
    <s v="WS"/>
    <n v="3"/>
    <n v="0.37307203081843288"/>
    <x v="9"/>
    <x v="1"/>
    <n v="2730"/>
    <x v="0"/>
    <m/>
  </r>
  <r>
    <s v="PPT1_BOI04"/>
    <s v="S1CS06427-WS"/>
    <n v="195"/>
    <s v="207202069"/>
    <s v="WS"/>
    <n v="3"/>
    <n v="0.37307203081843288"/>
    <x v="17"/>
    <x v="1"/>
    <n v="2730"/>
    <x v="0"/>
    <m/>
  </r>
  <r>
    <s v="PPT1_BOI04"/>
    <s v="S1CS06893-WS"/>
    <n v="160"/>
    <s v="207197772"/>
    <s v="WS"/>
    <n v="3"/>
    <n v="0.43760777104303566"/>
    <x v="18"/>
    <x v="1"/>
    <n v="2720"/>
    <x v="0"/>
    <m/>
  </r>
  <r>
    <s v="PPT1_BOI04"/>
    <s v="S1CS05394-WS"/>
    <n v="300"/>
    <s v="207198655"/>
    <s v="WS"/>
    <n v="2"/>
    <n v="0.4977380137803733"/>
    <x v="6"/>
    <x v="1"/>
    <n v="2700"/>
    <x v="0"/>
    <m/>
  </r>
  <r>
    <s v="PPT1_BOI04"/>
    <s v="S1CS05394-WS"/>
    <n v="300"/>
    <s v="207198765"/>
    <s v="WS"/>
    <n v="2"/>
    <n v="0.4977380137803733"/>
    <x v="7"/>
    <x v="1"/>
    <n v="2700"/>
    <x v="0"/>
    <m/>
  </r>
  <r>
    <s v="PPT1_BOI04"/>
    <s v="S1CS06784-48-WS"/>
    <n v="180"/>
    <s v="207199500"/>
    <s v="WS"/>
    <n v="2"/>
    <n v="0.44517978240718153"/>
    <x v="11"/>
    <x v="1"/>
    <n v="2700"/>
    <x v="0"/>
    <m/>
  </r>
  <r>
    <s v="PPT1_BOI04"/>
    <s v="S1CS07318-WS"/>
    <n v="225"/>
    <s v="207199584"/>
    <s v="WS"/>
    <n v="3"/>
    <n v="0.4379658557840283"/>
    <x v="5"/>
    <x v="1"/>
    <n v="2700"/>
    <x v="0"/>
    <m/>
  </r>
  <r>
    <s v="PPT1_BOI04"/>
    <s v="S1CS07318-WS"/>
    <n v="225"/>
    <s v="207199663"/>
    <s v="WS"/>
    <n v="3"/>
    <n v="0.4379658557840283"/>
    <x v="16"/>
    <x v="1"/>
    <n v="2700"/>
    <x v="0"/>
    <m/>
  </r>
  <r>
    <s v="PPT1_BOI04"/>
    <s v="S1CS07318-WS"/>
    <n v="225"/>
    <s v="207199106"/>
    <s v="WS"/>
    <n v="3"/>
    <n v="0.4379658557840283"/>
    <x v="4"/>
    <x v="1"/>
    <n v="2700"/>
    <x v="0"/>
    <m/>
  </r>
  <r>
    <s v="PPT1_BOI04"/>
    <s v="S1CS05816-WS"/>
    <n v="60"/>
    <s v="207201618"/>
    <s v="WS"/>
    <n v="4"/>
    <n v="7.2832261689244032E-2"/>
    <x v="6"/>
    <x v="1"/>
    <n v="2640"/>
    <x v="0"/>
    <m/>
  </r>
  <r>
    <s v="PPT1_BOI04"/>
    <s v="S1CS05816-WS"/>
    <n v="60"/>
    <s v="207199152"/>
    <s v="WS"/>
    <n v="4"/>
    <n v="7.2832261689244032E-2"/>
    <x v="16"/>
    <x v="1"/>
    <n v="2640"/>
    <x v="0"/>
    <m/>
  </r>
  <r>
    <s v="PPT1_BOI04"/>
    <s v="S1CS00337-WS"/>
    <n v="100"/>
    <s v="207197913"/>
    <s v="WS"/>
    <n v="2"/>
    <n v="0.15821453985217462"/>
    <x v="0"/>
    <x v="1"/>
    <n v="2600"/>
    <x v="0"/>
    <m/>
  </r>
  <r>
    <s v="PPT1_BOI04"/>
    <s v="S1CS03166-WS"/>
    <n v="220"/>
    <s v="207198566"/>
    <s v="WS"/>
    <n v="4"/>
    <n v="0.33724796564195297"/>
    <x v="14"/>
    <x v="1"/>
    <n v="2420"/>
    <x v="0"/>
    <m/>
  </r>
  <r>
    <s v="PPT1_BOI04"/>
    <s v="S1CS03711-WS"/>
    <n v="240"/>
    <s v="207199689"/>
    <s v="WS"/>
    <n v="26"/>
    <n v="0.33972407654650649"/>
    <x v="1"/>
    <x v="1"/>
    <n v="2400"/>
    <x v="0"/>
    <m/>
  </r>
  <r>
    <s v="PPT1_BOI04"/>
    <s v="S1CS04587-WS"/>
    <n v="400"/>
    <s v="207197754"/>
    <s v="WS"/>
    <n v="24"/>
    <n v="0.20152760510264611"/>
    <x v="13"/>
    <x v="1"/>
    <n v="2400"/>
    <x v="0"/>
    <m/>
  </r>
  <r>
    <s v="PPT1_BOI04"/>
    <s v="S1CS04848-WS"/>
    <n v="65"/>
    <s v="207197366"/>
    <s v="WS"/>
    <n v="2"/>
    <n v="7.1830529929169842E-2"/>
    <x v="7"/>
    <x v="1"/>
    <n v="2340"/>
    <x v="0"/>
    <m/>
  </r>
  <r>
    <s v="PPT1_BOI04"/>
    <s v="S1CS04849-WS"/>
    <n v="65"/>
    <s v="207197548"/>
    <s v="WS"/>
    <n v="2"/>
    <n v="7.1830529929169842E-2"/>
    <x v="11"/>
    <x v="1"/>
    <n v="2340"/>
    <x v="0"/>
    <m/>
  </r>
  <r>
    <s v="PPT1_BOI04"/>
    <s v="S1CS06373-WS"/>
    <n v="100"/>
    <s v="207199479"/>
    <s v="WS"/>
    <n v="28"/>
    <n v="0.13621151271753684"/>
    <x v="5"/>
    <x v="1"/>
    <n v="2300"/>
    <x v="0"/>
    <m/>
  </r>
  <r>
    <s v="PPT1_BOI04"/>
    <s v="S1CS06021-58-WS"/>
    <n v="60"/>
    <s v="207199563"/>
    <s v="WS"/>
    <n v="2"/>
    <n v="0.15395596572852313"/>
    <x v="18"/>
    <x v="1"/>
    <n v="2280"/>
    <x v="0"/>
    <m/>
  </r>
  <r>
    <s v="PPT1_BOI04"/>
    <s v="S1CS06932-44-WS"/>
    <n v="90"/>
    <s v="207199887"/>
    <s v="WS"/>
    <n v="2"/>
    <n v="0.35068051143902529"/>
    <x v="14"/>
    <x v="1"/>
    <n v="2250"/>
    <x v="0"/>
    <m/>
  </r>
  <r>
    <s v="PPT1_BOI04"/>
    <s v="S1CS06932-52-WS"/>
    <n v="90"/>
    <s v="207198503"/>
    <s v="WS"/>
    <n v="2"/>
    <n v="0.35068051143902529"/>
    <x v="1"/>
    <x v="1"/>
    <n v="2250"/>
    <x v="0"/>
    <m/>
  </r>
  <r>
    <s v="PPT1_BOI04"/>
    <s v="S1CS06932-58-WS"/>
    <n v="90"/>
    <s v="207199894"/>
    <s v="WS"/>
    <n v="2"/>
    <n v="0.35068051143902529"/>
    <x v="13"/>
    <x v="1"/>
    <n v="2250"/>
    <x v="0"/>
    <m/>
  </r>
  <r>
    <s v="PPT1_BOI04"/>
    <s v="S1CS06932-60-WS"/>
    <n v="90"/>
    <s v="207200075"/>
    <s v="WS"/>
    <n v="2"/>
    <n v="0.35068051143902529"/>
    <x v="4"/>
    <x v="1"/>
    <n v="2250"/>
    <x v="0"/>
    <m/>
  </r>
  <r>
    <s v="PPT1_BOI04"/>
    <s v="S1CS04583-WS"/>
    <n v="200"/>
    <s v="207197380"/>
    <s v="WS"/>
    <n v="13"/>
    <n v="7.3796651553975842E-2"/>
    <x v="7"/>
    <x v="1"/>
    <n v="2200"/>
    <x v="0"/>
    <m/>
  </r>
  <r>
    <s v="PPT1_BOI04"/>
    <s v="S1CS06518-WS"/>
    <n v="70"/>
    <s v="207202258"/>
    <s v="WS"/>
    <n v="3"/>
    <n v="0.16178515840739066"/>
    <x v="4"/>
    <x v="1"/>
    <n v="2170"/>
    <x v="0"/>
    <m/>
  </r>
  <r>
    <s v="PPT1_BOI04"/>
    <s v="S1CS06518-WS"/>
    <n v="70"/>
    <s v="207198978"/>
    <s v="WS"/>
    <n v="3"/>
    <n v="0.16178515840739066"/>
    <x v="4"/>
    <x v="1"/>
    <n v="2170"/>
    <x v="0"/>
    <m/>
  </r>
  <r>
    <s v="PPT1_BOI04"/>
    <s v="S1CS06519-WS"/>
    <n v="70"/>
    <s v="207199657"/>
    <s v="WS"/>
    <n v="3"/>
    <n v="0.15295296355947369"/>
    <x v="14"/>
    <x v="1"/>
    <n v="2170"/>
    <x v="0"/>
    <m/>
  </r>
  <r>
    <s v="PPT1_BOI04"/>
    <s v="S1CS06519-WS"/>
    <n v="70"/>
    <s v="207201877"/>
    <s v="WS"/>
    <n v="3"/>
    <n v="0.15295296355947369"/>
    <x v="1"/>
    <x v="1"/>
    <n v="2170"/>
    <x v="0"/>
    <m/>
  </r>
  <r>
    <s v="PPT1_BOI04"/>
    <s v="S1CS04664-WS"/>
    <n v="90"/>
    <s v="207197478"/>
    <s v="WS"/>
    <n v="3"/>
    <n v="0.11358483619443298"/>
    <x v="0"/>
    <x v="1"/>
    <n v="2160"/>
    <x v="0"/>
    <m/>
  </r>
  <r>
    <s v="PPT1_BOI04"/>
    <s v="S1CS04665-WS"/>
    <n v="90"/>
    <s v="207197480"/>
    <s v="WS"/>
    <n v="3"/>
    <n v="9.085103870742442E-2"/>
    <x v="11"/>
    <x v="1"/>
    <n v="2160"/>
    <x v="0"/>
    <m/>
  </r>
  <r>
    <s v="PPT1_BOI04"/>
    <s v="S1CS06021-52-WS"/>
    <n v="60"/>
    <s v="207197725"/>
    <s v="WS"/>
    <n v="1"/>
    <n v="0.15395596572852313"/>
    <x v="5"/>
    <x v="1"/>
    <n v="2160"/>
    <x v="0"/>
    <m/>
  </r>
  <r>
    <s v="PPT1_BOI04"/>
    <s v="S1CS00474-WS"/>
    <n v="150"/>
    <s v="207200822"/>
    <s v="WS"/>
    <n v="9"/>
    <n v="0.17547462612998171"/>
    <x v="18"/>
    <x v="1"/>
    <n v="2100"/>
    <x v="0"/>
    <m/>
  </r>
  <r>
    <s v="PPT1_BOI04"/>
    <s v="S1CS00740-WS"/>
    <n v="150"/>
    <s v="207197745"/>
    <s v="WS"/>
    <n v="3"/>
    <n v="0.12655264770083383"/>
    <x v="6"/>
    <x v="1"/>
    <n v="2100"/>
    <x v="0"/>
    <m/>
  </r>
  <r>
    <s v="PPT1_BOI04"/>
    <s v="S1CS04559-WS"/>
    <n v="300"/>
    <s v="207199575"/>
    <s v="WS"/>
    <n v="2"/>
    <n v="0.32180390060501607"/>
    <x v="0"/>
    <x v="1"/>
    <n v="2100"/>
    <x v="0"/>
    <m/>
  </r>
  <r>
    <s v="PPT1_BOI04"/>
    <s v="S1CS04559-WS"/>
    <n v="300"/>
    <s v="207199197"/>
    <s v="WS"/>
    <n v="2"/>
    <n v="0.32180390060501607"/>
    <x v="7"/>
    <x v="1"/>
    <n v="2100"/>
    <x v="0"/>
    <m/>
  </r>
  <r>
    <s v="PPT1_BOI04"/>
    <s v="S1CS05231-WS"/>
    <n v="300"/>
    <s v="207197369"/>
    <s v="WS"/>
    <n v="3"/>
    <n v="0.22027756773969306"/>
    <x v="13"/>
    <x v="1"/>
    <n v="2100"/>
    <x v="0"/>
    <m/>
  </r>
  <r>
    <s v="PPT1_BOI04"/>
    <s v="S1CS05231-WS"/>
    <n v="300"/>
    <s v="207198883"/>
    <s v="WS"/>
    <n v="3"/>
    <n v="0.22027756773969306"/>
    <x v="11"/>
    <x v="1"/>
    <n v="2100"/>
    <x v="0"/>
    <m/>
  </r>
  <r>
    <s v="PPT1_BOI04"/>
    <s v="S1CS05231-WS"/>
    <n v="300"/>
    <s v="207198943"/>
    <s v="WS"/>
    <n v="3"/>
    <n v="0.22027756773969306"/>
    <x v="5"/>
    <x v="1"/>
    <n v="2100"/>
    <x v="0"/>
    <m/>
  </r>
  <r>
    <s v="PPT1_BOI04"/>
    <s v="S1CS05231-WS"/>
    <n v="300"/>
    <s v="207198336"/>
    <s v="WS"/>
    <n v="3"/>
    <n v="0.22027756773969306"/>
    <x v="13"/>
    <x v="1"/>
    <n v="2100"/>
    <x v="0"/>
    <m/>
  </r>
  <r>
    <s v="PPT1_BOI04"/>
    <s v="S1CS05231-WS"/>
    <n v="300"/>
    <s v="207198493"/>
    <s v="WS"/>
    <n v="3"/>
    <n v="0.22027756773969306"/>
    <x v="11"/>
    <x v="1"/>
    <n v="2100"/>
    <x v="0"/>
    <m/>
  </r>
  <r>
    <s v="PPT1_BOI04"/>
    <s v="S1CS05231-WS"/>
    <n v="300"/>
    <s v="207198438"/>
    <s v="WS"/>
    <n v="3"/>
    <n v="0.22027756773969306"/>
    <x v="5"/>
    <x v="1"/>
    <n v="2100"/>
    <x v="0"/>
    <m/>
  </r>
  <r>
    <s v="PPT1_BOI04"/>
    <s v="S1CS05231-WS"/>
    <n v="300"/>
    <s v="207197402"/>
    <s v="WS"/>
    <n v="3"/>
    <n v="0.22027756773969306"/>
    <x v="13"/>
    <x v="1"/>
    <n v="2100"/>
    <x v="0"/>
    <m/>
  </r>
  <r>
    <s v="PPT1_BOI04"/>
    <s v="S1CS05231-WS"/>
    <n v="300"/>
    <s v="207197316"/>
    <s v="WS"/>
    <n v="3"/>
    <n v="0.22027756773969306"/>
    <x v="11"/>
    <x v="1"/>
    <n v="2100"/>
    <x v="0"/>
    <m/>
  </r>
  <r>
    <s v="PPT1_BOI04"/>
    <s v="S1CS05231-WS"/>
    <n v="300"/>
    <s v="207197443"/>
    <s v="WS"/>
    <n v="3"/>
    <n v="0.22027756773969306"/>
    <x v="5"/>
    <x v="1"/>
    <n v="2100"/>
    <x v="0"/>
    <m/>
  </r>
  <r>
    <s v="PPT1_BOI04"/>
    <s v="S1CS05231-WS"/>
    <n v="300"/>
    <s v="207197592"/>
    <s v="WS"/>
    <n v="3"/>
    <n v="0.22027756773969306"/>
    <x v="13"/>
    <x v="1"/>
    <n v="2100"/>
    <x v="0"/>
    <m/>
  </r>
  <r>
    <s v="PPT1_BOI04"/>
    <s v="S1CS05231-WS"/>
    <n v="300"/>
    <s v="207197538"/>
    <s v="WS"/>
    <n v="3"/>
    <n v="0.22027756773969306"/>
    <x v="11"/>
    <x v="1"/>
    <n v="2100"/>
    <x v="0"/>
    <m/>
  </r>
  <r>
    <s v="PPT1_BOI04"/>
    <s v="S1CS05237-WS"/>
    <n v="300"/>
    <s v="207200130"/>
    <s v="WS"/>
    <n v="4"/>
    <n v="0.26690201370572503"/>
    <x v="6"/>
    <x v="1"/>
    <n v="2100"/>
    <x v="0"/>
    <m/>
  </r>
  <r>
    <s v="PPT1_BOI04"/>
    <s v="S1CS05237-WS"/>
    <n v="300"/>
    <s v="207200204"/>
    <s v="WS"/>
    <n v="4"/>
    <n v="0.26690201370572503"/>
    <x v="16"/>
    <x v="1"/>
    <n v="2100"/>
    <x v="0"/>
    <m/>
  </r>
  <r>
    <s v="PPT1_BOI04"/>
    <s v="S1CS05237-WS"/>
    <n v="300"/>
    <s v="207200238"/>
    <s v="WS"/>
    <n v="4"/>
    <n v="0.26690201370572503"/>
    <x v="15"/>
    <x v="1"/>
    <n v="2100"/>
    <x v="0"/>
    <m/>
  </r>
  <r>
    <s v="PPT1_BOI04"/>
    <s v="S1CS05237-WS"/>
    <n v="300"/>
    <s v="207200165"/>
    <s v="WS"/>
    <n v="4"/>
    <n v="0.26690201370572503"/>
    <x v="18"/>
    <x v="1"/>
    <n v="2100"/>
    <x v="0"/>
    <m/>
  </r>
  <r>
    <s v="PPT1_BOI04"/>
    <s v="S1CS05237-WS"/>
    <n v="300"/>
    <s v="207199713"/>
    <s v="WS"/>
    <n v="4"/>
    <n v="0.26690201370572503"/>
    <x v="6"/>
    <x v="1"/>
    <n v="2100"/>
    <x v="0"/>
    <m/>
  </r>
  <r>
    <s v="PPT1_BOI04"/>
    <s v="S1CS05237-WS"/>
    <n v="300"/>
    <s v="207199331"/>
    <s v="WS"/>
    <n v="4"/>
    <n v="0.26690201370572503"/>
    <x v="16"/>
    <x v="1"/>
    <n v="2100"/>
    <x v="0"/>
    <m/>
  </r>
  <r>
    <s v="PPT1_BOI04"/>
    <s v="S1CS05237-WS"/>
    <n v="300"/>
    <s v="207199780"/>
    <s v="WS"/>
    <n v="4"/>
    <n v="0.26690201370572503"/>
    <x v="15"/>
    <x v="1"/>
    <n v="2100"/>
    <x v="0"/>
    <m/>
  </r>
  <r>
    <s v="PPT1_BOI04"/>
    <s v="S1CS05237-WS"/>
    <n v="300"/>
    <s v="207199288"/>
    <s v="WS"/>
    <n v="4"/>
    <n v="0.26690201370572503"/>
    <x v="18"/>
    <x v="1"/>
    <n v="2100"/>
    <x v="0"/>
    <m/>
  </r>
  <r>
    <s v="PPT1_BOI04"/>
    <s v="S1CS05237-WS"/>
    <n v="300"/>
    <s v="207199672"/>
    <s v="WS"/>
    <n v="4"/>
    <n v="0.26690201370572503"/>
    <x v="6"/>
    <x v="1"/>
    <n v="2100"/>
    <x v="0"/>
    <m/>
  </r>
  <r>
    <s v="PPT1_BOI04"/>
    <s v="S1CS05237-WS"/>
    <n v="300"/>
    <s v="207199520"/>
    <s v="WS"/>
    <n v="4"/>
    <n v="0.26690201370572503"/>
    <x v="16"/>
    <x v="1"/>
    <n v="2100"/>
    <x v="0"/>
    <m/>
  </r>
  <r>
    <s v="PPT1_BOI04"/>
    <s v="S1CS05237-WS"/>
    <n v="300"/>
    <s v="207199407"/>
    <s v="WS"/>
    <n v="4"/>
    <n v="0.26690201370572503"/>
    <x v="15"/>
    <x v="1"/>
    <n v="2100"/>
    <x v="0"/>
    <m/>
  </r>
  <r>
    <s v="PPT1_BOI04"/>
    <s v="S1CS05237-WS"/>
    <n v="300"/>
    <s v="207199455"/>
    <s v="WS"/>
    <n v="4"/>
    <n v="0.26690201370572503"/>
    <x v="18"/>
    <x v="1"/>
    <n v="2100"/>
    <x v="0"/>
    <m/>
  </r>
  <r>
    <s v="PPT1_BOI04"/>
    <s v="S1CS05237-WS"/>
    <n v="300"/>
    <s v="207199810"/>
    <s v="WS"/>
    <n v="4"/>
    <n v="0.26690201370572503"/>
    <x v="6"/>
    <x v="1"/>
    <n v="2100"/>
    <x v="0"/>
    <m/>
  </r>
  <r>
    <s v="PPT1_BOI04"/>
    <s v="S1CS05237-WS"/>
    <n v="300"/>
    <s v="207199988"/>
    <s v="WS"/>
    <n v="4"/>
    <n v="0.26690201370572503"/>
    <x v="16"/>
    <x v="1"/>
    <n v="2100"/>
    <x v="0"/>
    <m/>
  </r>
  <r>
    <s v="PPT1_BOI04"/>
    <s v="S1CS05237-WS"/>
    <n v="300"/>
    <s v="207199939"/>
    <s v="WS"/>
    <n v="4"/>
    <n v="0.26690201370572503"/>
    <x v="15"/>
    <x v="1"/>
    <n v="2100"/>
    <x v="0"/>
    <m/>
  </r>
  <r>
    <s v="PPT1_BOI04"/>
    <s v="S1CS05237-WS"/>
    <n v="300"/>
    <s v="207200121"/>
    <s v="WS"/>
    <n v="4"/>
    <n v="0.26690201370572503"/>
    <x v="18"/>
    <x v="1"/>
    <n v="2100"/>
    <x v="0"/>
    <m/>
  </r>
  <r>
    <s v="PPT1_BOI04"/>
    <s v="S1CS05237-WS"/>
    <n v="300"/>
    <s v="207200069"/>
    <s v="WS"/>
    <n v="4"/>
    <n v="0.26690201370572503"/>
    <x v="6"/>
    <x v="1"/>
    <n v="2100"/>
    <x v="0"/>
    <m/>
  </r>
  <r>
    <s v="PPT1_BOI04"/>
    <s v="S1CS05237-WS"/>
    <n v="300"/>
    <s v="207199845"/>
    <s v="WS"/>
    <n v="4"/>
    <n v="0.26690201370572503"/>
    <x v="16"/>
    <x v="1"/>
    <n v="2100"/>
    <x v="0"/>
    <m/>
  </r>
  <r>
    <s v="PPT1_BOI04"/>
    <s v="S1CS05237-WS"/>
    <n v="300"/>
    <s v="207199827"/>
    <s v="WS"/>
    <n v="4"/>
    <n v="0.26690201370572503"/>
    <x v="15"/>
    <x v="1"/>
    <n v="2100"/>
    <x v="0"/>
    <m/>
  </r>
  <r>
    <s v="PPT1_BOI04"/>
    <s v="S1CS05237-WS"/>
    <n v="300"/>
    <s v="207199905"/>
    <s v="WS"/>
    <n v="4"/>
    <n v="0.26690201370572503"/>
    <x v="18"/>
    <x v="1"/>
    <n v="2100"/>
    <x v="0"/>
    <m/>
  </r>
  <r>
    <s v="PPT1_BOI04"/>
    <s v="S1CS05237-WS"/>
    <n v="300"/>
    <s v="207199869"/>
    <s v="WS"/>
    <n v="4"/>
    <n v="0.26690201370572503"/>
    <x v="6"/>
    <x v="1"/>
    <n v="2100"/>
    <x v="0"/>
    <m/>
  </r>
  <r>
    <s v="PPT1_BOI04"/>
    <s v="S1CS05237-WS"/>
    <n v="300"/>
    <s v="207200602"/>
    <s v="WS"/>
    <n v="4"/>
    <n v="0.26690201370572503"/>
    <x v="16"/>
    <x v="1"/>
    <n v="2100"/>
    <x v="0"/>
    <m/>
  </r>
  <r>
    <s v="PPT1_BOI04"/>
    <s v="S1CS05237-WS"/>
    <n v="300"/>
    <s v="207200692"/>
    <s v="WS"/>
    <n v="4"/>
    <n v="0.26690201370572503"/>
    <x v="15"/>
    <x v="1"/>
    <n v="2100"/>
    <x v="0"/>
    <m/>
  </r>
  <r>
    <s v="PPT1_BOI04"/>
    <s v="S1CS05237-WS"/>
    <n v="300"/>
    <s v="207200457"/>
    <s v="WS"/>
    <n v="4"/>
    <n v="0.26690201370572503"/>
    <x v="18"/>
    <x v="1"/>
    <n v="2100"/>
    <x v="0"/>
    <m/>
  </r>
  <r>
    <s v="PPT1_BOI04"/>
    <s v="S1CS05237-WS"/>
    <n v="300"/>
    <s v="207200594"/>
    <s v="WS"/>
    <n v="4"/>
    <n v="0.26690201370572503"/>
    <x v="6"/>
    <x v="1"/>
    <n v="2100"/>
    <x v="0"/>
    <m/>
  </r>
  <r>
    <s v="PPT1_BOI04"/>
    <s v="S1CS05237-WS"/>
    <n v="300"/>
    <s v="207200670"/>
    <s v="WS"/>
    <n v="4"/>
    <n v="0.26690201370572503"/>
    <x v="16"/>
    <x v="1"/>
    <n v="2100"/>
    <x v="0"/>
    <m/>
  </r>
  <r>
    <s v="PPT1_BOI04"/>
    <s v="S1CS05237-WS"/>
    <n v="300"/>
    <s v="207200394"/>
    <s v="WS"/>
    <n v="4"/>
    <n v="0.26690201370572503"/>
    <x v="15"/>
    <x v="1"/>
    <n v="2100"/>
    <x v="0"/>
    <m/>
  </r>
  <r>
    <s v="PPT1_BOI04"/>
    <s v="S1CS05237-WS"/>
    <n v="300"/>
    <s v="207200386"/>
    <s v="WS"/>
    <n v="4"/>
    <n v="0.26690201370572503"/>
    <x v="18"/>
    <x v="1"/>
    <n v="2100"/>
    <x v="0"/>
    <m/>
  </r>
  <r>
    <s v="PPT1_BOI04"/>
    <s v="S1CS05237-WS"/>
    <n v="300"/>
    <s v="207200442"/>
    <s v="WS"/>
    <n v="4"/>
    <n v="0.26690201370572503"/>
    <x v="6"/>
    <x v="1"/>
    <n v="2100"/>
    <x v="0"/>
    <m/>
  </r>
  <r>
    <s v="PPT1_BOI04"/>
    <s v="S1CS05237-WS"/>
    <n v="300"/>
    <s v="207200414"/>
    <s v="WS"/>
    <n v="4"/>
    <n v="0.26690201370572503"/>
    <x v="16"/>
    <x v="1"/>
    <n v="2100"/>
    <x v="0"/>
    <m/>
  </r>
  <r>
    <s v="PPT1_BOI04"/>
    <s v="S1CS05237-WS"/>
    <n v="300"/>
    <s v="207200661"/>
    <s v="WS"/>
    <n v="4"/>
    <n v="0.26690201370572503"/>
    <x v="15"/>
    <x v="1"/>
    <n v="2100"/>
    <x v="0"/>
    <m/>
  </r>
  <r>
    <s v="PPT1_BOI04"/>
    <s v="S1CS05237-WS"/>
    <n v="300"/>
    <s v="207200520"/>
    <s v="WS"/>
    <n v="4"/>
    <n v="0.26690201370572503"/>
    <x v="18"/>
    <x v="1"/>
    <n v="2100"/>
    <x v="0"/>
    <m/>
  </r>
  <r>
    <s v="PPT1_BOI04"/>
    <s v="S1CS05237-WS"/>
    <n v="300"/>
    <s v="207200478"/>
    <s v="WS"/>
    <n v="4"/>
    <n v="0.26690201370572503"/>
    <x v="6"/>
    <x v="1"/>
    <n v="2100"/>
    <x v="0"/>
    <m/>
  </r>
  <r>
    <s v="PPT1_BOI04"/>
    <s v="S1CS05237-WS"/>
    <n v="300"/>
    <s v="207200498"/>
    <s v="WS"/>
    <n v="4"/>
    <n v="0.26690201370572503"/>
    <x v="16"/>
    <x v="1"/>
    <n v="2100"/>
    <x v="0"/>
    <m/>
  </r>
  <r>
    <s v="PPT1_BOI04"/>
    <s v="S1CS05237-WS"/>
    <n v="300"/>
    <s v="207200538"/>
    <s v="WS"/>
    <n v="4"/>
    <n v="0.26690201370572503"/>
    <x v="15"/>
    <x v="1"/>
    <n v="2100"/>
    <x v="0"/>
    <m/>
  </r>
  <r>
    <s v="PPT1_BOI04"/>
    <s v="S1CS05237-WS"/>
    <n v="300"/>
    <s v="207200461"/>
    <s v="WS"/>
    <n v="4"/>
    <n v="0.26690201370572503"/>
    <x v="18"/>
    <x v="1"/>
    <n v="2100"/>
    <x v="0"/>
    <m/>
  </r>
  <r>
    <s v="PPT1_BOI04"/>
    <s v="S1CS05237-WS"/>
    <n v="300"/>
    <s v="207200572"/>
    <s v="WS"/>
    <n v="4"/>
    <n v="0.26690201370572503"/>
    <x v="6"/>
    <x v="1"/>
    <n v="2100"/>
    <x v="0"/>
    <m/>
  </r>
  <r>
    <s v="PPT1_BOI04"/>
    <s v="S1CS05237-WS"/>
    <n v="300"/>
    <s v="207200558"/>
    <s v="WS"/>
    <n v="4"/>
    <n v="0.26690201370572503"/>
    <x v="16"/>
    <x v="1"/>
    <n v="2100"/>
    <x v="0"/>
    <m/>
  </r>
  <r>
    <s v="PPT1_BOI04"/>
    <s v="S1CS05237-WS"/>
    <n v="300"/>
    <s v="207200563"/>
    <s v="WS"/>
    <n v="4"/>
    <n v="0.26690201370572503"/>
    <x v="15"/>
    <x v="1"/>
    <n v="2100"/>
    <x v="0"/>
    <m/>
  </r>
  <r>
    <s v="PPT1_BOI04"/>
    <s v="S1CS05237-WS"/>
    <n v="300"/>
    <s v="207200610"/>
    <s v="WS"/>
    <n v="4"/>
    <n v="0.26690201370572503"/>
    <x v="18"/>
    <x v="1"/>
    <n v="2100"/>
    <x v="0"/>
    <m/>
  </r>
  <r>
    <s v="PPT1_BOI04"/>
    <s v="S1CS05237-WS"/>
    <n v="300"/>
    <s v="207200313"/>
    <s v="WS"/>
    <n v="4"/>
    <n v="0.26690201370572503"/>
    <x v="6"/>
    <x v="1"/>
    <n v="2100"/>
    <x v="0"/>
    <m/>
  </r>
  <r>
    <s v="PPT1_BOI04"/>
    <s v="S1CS05237-WS"/>
    <n v="300"/>
    <s v="207200250"/>
    <s v="WS"/>
    <n v="4"/>
    <n v="0.26690201370572503"/>
    <x v="16"/>
    <x v="1"/>
    <n v="2100"/>
    <x v="0"/>
    <m/>
  </r>
  <r>
    <s v="PPT1_BOI04"/>
    <s v="S1CS05237-WS"/>
    <n v="300"/>
    <s v="207200615"/>
    <s v="WS"/>
    <n v="4"/>
    <n v="0.26690201370572503"/>
    <x v="15"/>
    <x v="1"/>
    <n v="2100"/>
    <x v="0"/>
    <m/>
  </r>
  <r>
    <s v="PPT1_BOI04"/>
    <s v="S1CS05237-WS"/>
    <n v="300"/>
    <s v="207200282"/>
    <s v="WS"/>
    <n v="4"/>
    <n v="0.26690201370572503"/>
    <x v="18"/>
    <x v="1"/>
    <n v="2100"/>
    <x v="0"/>
    <m/>
  </r>
  <r>
    <s v="PPT1_BOI04"/>
    <s v="S1CS05237-WS"/>
    <n v="300"/>
    <s v="207200641"/>
    <s v="WS"/>
    <n v="4"/>
    <n v="0.26690201370572503"/>
    <x v="6"/>
    <x v="1"/>
    <n v="2100"/>
    <x v="0"/>
    <m/>
  </r>
  <r>
    <s v="PPT1_BOI04"/>
    <s v="S1CS05237-WS"/>
    <n v="300"/>
    <s v="207200633"/>
    <s v="WS"/>
    <n v="4"/>
    <n v="0.26690201370572503"/>
    <x v="16"/>
    <x v="1"/>
    <n v="2100"/>
    <x v="0"/>
    <m/>
  </r>
  <r>
    <s v="PPT1_BOI04"/>
    <s v="S1CS05237-WS"/>
    <n v="300"/>
    <s v="207200329"/>
    <s v="WS"/>
    <n v="4"/>
    <n v="0.26690201370572503"/>
    <x v="15"/>
    <x v="1"/>
    <n v="2100"/>
    <x v="0"/>
    <m/>
  </r>
  <r>
    <s v="PPT1_BOI04"/>
    <s v="S1CS05237-WS"/>
    <n v="300"/>
    <s v="207200288"/>
    <s v="WS"/>
    <n v="4"/>
    <n v="0.26690201370572503"/>
    <x v="18"/>
    <x v="1"/>
    <n v="2100"/>
    <x v="0"/>
    <m/>
  </r>
  <r>
    <s v="PPT1_BOI04"/>
    <s v="S1CS05237-WS"/>
    <n v="300"/>
    <s v="207200355"/>
    <s v="WS"/>
    <n v="4"/>
    <n v="0.26690201370572503"/>
    <x v="6"/>
    <x v="1"/>
    <n v="2100"/>
    <x v="0"/>
    <m/>
  </r>
  <r>
    <s v="PPT1_BOI04"/>
    <s v="S1CS05237-WS"/>
    <n v="300"/>
    <s v="207200665"/>
    <s v="WS"/>
    <n v="4"/>
    <n v="0.26690201370572503"/>
    <x v="16"/>
    <x v="1"/>
    <n v="2100"/>
    <x v="0"/>
    <m/>
  </r>
  <r>
    <s v="PPT1_BOI04"/>
    <s v="S1CS05238-WS"/>
    <n v="300"/>
    <s v="207199438"/>
    <s v="WS"/>
    <n v="6"/>
    <n v="0.14452099106643548"/>
    <x v="12"/>
    <x v="1"/>
    <n v="2100"/>
    <x v="0"/>
    <m/>
  </r>
  <r>
    <s v="PPT1_BOI04"/>
    <s v="S1CS05238-WS"/>
    <n v="300"/>
    <s v="207199753"/>
    <s v="WS"/>
    <n v="6"/>
    <n v="0.14452099106643548"/>
    <x v="0"/>
    <x v="1"/>
    <n v="2100"/>
    <x v="0"/>
    <m/>
  </r>
  <r>
    <s v="PPT1_BOI04"/>
    <s v="S1CS05238-WS"/>
    <n v="300"/>
    <s v="207200006"/>
    <s v="WS"/>
    <n v="6"/>
    <n v="0.14452099106643548"/>
    <x v="7"/>
    <x v="1"/>
    <n v="2100"/>
    <x v="0"/>
    <m/>
  </r>
  <r>
    <s v="PPT1_BOI04"/>
    <s v="S1CS05238-WS"/>
    <n v="300"/>
    <s v="207200003"/>
    <s v="WS"/>
    <n v="6"/>
    <n v="0.14452099106643548"/>
    <x v="14"/>
    <x v="1"/>
    <n v="2100"/>
    <x v="0"/>
    <m/>
  </r>
  <r>
    <s v="PPT1_BOI04"/>
    <s v="S1CS05238-WS"/>
    <n v="300"/>
    <s v="207199411"/>
    <s v="WS"/>
    <n v="6"/>
    <n v="0.14452099106643548"/>
    <x v="1"/>
    <x v="1"/>
    <n v="2100"/>
    <x v="0"/>
    <m/>
  </r>
  <r>
    <s v="PPT1_BOI04"/>
    <s v="S1CS05238-WS"/>
    <n v="300"/>
    <s v="207200219"/>
    <s v="WS"/>
    <n v="6"/>
    <n v="0.14452099106643548"/>
    <x v="3"/>
    <x v="1"/>
    <n v="2100"/>
    <x v="0"/>
    <m/>
  </r>
  <r>
    <s v="PPT1_BOI04"/>
    <s v="S1CS05238-WS"/>
    <n v="300"/>
    <s v="207200464"/>
    <s v="WS"/>
    <n v="6"/>
    <n v="0.14452099106643548"/>
    <x v="12"/>
    <x v="1"/>
    <n v="2100"/>
    <x v="0"/>
    <m/>
  </r>
  <r>
    <s v="PPT1_BOI04"/>
    <s v="S1CS05238-WS"/>
    <n v="300"/>
    <s v="207199405"/>
    <s v="WS"/>
    <n v="6"/>
    <n v="0.14452099106643548"/>
    <x v="0"/>
    <x v="1"/>
    <n v="2100"/>
    <x v="0"/>
    <m/>
  </r>
  <r>
    <s v="PPT1_BOI04"/>
    <s v="S1CS05238-WS"/>
    <n v="300"/>
    <s v="207199414"/>
    <s v="WS"/>
    <n v="6"/>
    <n v="0.14452099106643548"/>
    <x v="7"/>
    <x v="1"/>
    <n v="2100"/>
    <x v="0"/>
    <m/>
  </r>
  <r>
    <s v="PPT1_BOI04"/>
    <s v="S1CS05238-WS"/>
    <n v="300"/>
    <s v="207199994"/>
    <s v="WS"/>
    <n v="6"/>
    <n v="0.14452099106643548"/>
    <x v="14"/>
    <x v="1"/>
    <n v="2100"/>
    <x v="0"/>
    <m/>
  </r>
  <r>
    <s v="PPT1_BOI04"/>
    <s v="S1CS05238-WS"/>
    <n v="300"/>
    <s v="207200497"/>
    <s v="WS"/>
    <n v="6"/>
    <n v="0.14452099106643548"/>
    <x v="1"/>
    <x v="1"/>
    <n v="2100"/>
    <x v="0"/>
    <m/>
  </r>
  <r>
    <s v="PPT1_BOI04"/>
    <s v="S1CS05238-WS"/>
    <n v="300"/>
    <s v="207200115"/>
    <s v="WS"/>
    <n v="6"/>
    <n v="0.14452099106643548"/>
    <x v="3"/>
    <x v="1"/>
    <n v="2100"/>
    <x v="0"/>
    <m/>
  </r>
  <r>
    <s v="PPT1_BOI04"/>
    <s v="S1CS05238-WS"/>
    <n v="300"/>
    <s v="207200062"/>
    <s v="WS"/>
    <n v="6"/>
    <n v="0.14452099106643548"/>
    <x v="12"/>
    <x v="1"/>
    <n v="2100"/>
    <x v="0"/>
    <m/>
  </r>
  <r>
    <s v="PPT1_BOI04"/>
    <s v="S1CS05238-WS"/>
    <n v="300"/>
    <s v="207200481"/>
    <s v="WS"/>
    <n v="6"/>
    <n v="0.14452099106643548"/>
    <x v="0"/>
    <x v="1"/>
    <n v="2100"/>
    <x v="0"/>
    <m/>
  </r>
  <r>
    <s v="PPT1_BOI04"/>
    <s v="S1CS05238-WS"/>
    <n v="300"/>
    <s v="207200176"/>
    <s v="WS"/>
    <n v="6"/>
    <n v="0.14452099106643548"/>
    <x v="7"/>
    <x v="1"/>
    <n v="2100"/>
    <x v="0"/>
    <m/>
  </r>
  <r>
    <s v="PPT1_BOI04"/>
    <s v="S1CS05238-WS"/>
    <n v="300"/>
    <s v="207200131"/>
    <s v="WS"/>
    <n v="6"/>
    <n v="0.14452099106643548"/>
    <x v="14"/>
    <x v="1"/>
    <n v="2100"/>
    <x v="0"/>
    <m/>
  </r>
  <r>
    <s v="PPT1_BOI04"/>
    <s v="S1CS05238-WS"/>
    <n v="300"/>
    <s v="207200058"/>
    <s v="WS"/>
    <n v="6"/>
    <n v="0.14452099106643548"/>
    <x v="1"/>
    <x v="1"/>
    <n v="2100"/>
    <x v="0"/>
    <m/>
  </r>
  <r>
    <s v="PPT1_BOI04"/>
    <s v="S1CS05238-WS"/>
    <n v="300"/>
    <s v="207200203"/>
    <s v="WS"/>
    <n v="6"/>
    <n v="0.14452099106643548"/>
    <x v="3"/>
    <x v="1"/>
    <n v="2100"/>
    <x v="0"/>
    <m/>
  </r>
  <r>
    <s v="PPT1_BOI04"/>
    <s v="S1CS05238-WS"/>
    <n v="300"/>
    <s v="207200030"/>
    <s v="WS"/>
    <n v="6"/>
    <n v="0.14452099106643548"/>
    <x v="12"/>
    <x v="1"/>
    <n v="2100"/>
    <x v="0"/>
    <m/>
  </r>
  <r>
    <s v="PPT1_BOI04"/>
    <s v="S1CS05238-WS"/>
    <n v="300"/>
    <s v="207200019"/>
    <s v="WS"/>
    <n v="6"/>
    <n v="0.14452099106643548"/>
    <x v="0"/>
    <x v="1"/>
    <n v="2100"/>
    <x v="0"/>
    <m/>
  </r>
  <r>
    <s v="PPT1_BOI04"/>
    <s v="S1CS05238-WS"/>
    <n v="300"/>
    <s v="207199408"/>
    <s v="WS"/>
    <n v="6"/>
    <n v="0.14452099106643548"/>
    <x v="7"/>
    <x v="1"/>
    <n v="2100"/>
    <x v="0"/>
    <m/>
  </r>
  <r>
    <s v="PPT1_BOI04"/>
    <s v="S1CS05238-WS"/>
    <n v="300"/>
    <s v="207200134"/>
    <s v="WS"/>
    <n v="6"/>
    <n v="0.14452099106643548"/>
    <x v="14"/>
    <x v="1"/>
    <n v="2100"/>
    <x v="0"/>
    <m/>
  </r>
  <r>
    <s v="PPT1_BOI04"/>
    <s v="S1CS05238-WS"/>
    <n v="300"/>
    <s v="207200034"/>
    <s v="WS"/>
    <n v="6"/>
    <n v="0.14452099106643548"/>
    <x v="1"/>
    <x v="1"/>
    <n v="2100"/>
    <x v="0"/>
    <m/>
  </r>
  <r>
    <s v="PPT1_BOI04"/>
    <s v="S1CS05238-WS"/>
    <n v="300"/>
    <s v="207199402"/>
    <s v="WS"/>
    <n v="6"/>
    <n v="0.14452099106643548"/>
    <x v="3"/>
    <x v="1"/>
    <n v="2100"/>
    <x v="0"/>
    <m/>
  </r>
  <r>
    <s v="PPT1_BOI04"/>
    <s v="S1CS05238-WS"/>
    <n v="300"/>
    <s v="207199945"/>
    <s v="WS"/>
    <n v="6"/>
    <n v="0.14452099106643548"/>
    <x v="12"/>
    <x v="1"/>
    <n v="2100"/>
    <x v="0"/>
    <m/>
  </r>
  <r>
    <s v="PPT1_BOI04"/>
    <s v="S1CS05238-WS"/>
    <n v="300"/>
    <s v="207199844"/>
    <s v="WS"/>
    <n v="6"/>
    <n v="0.14452099106643548"/>
    <x v="0"/>
    <x v="1"/>
    <n v="2100"/>
    <x v="0"/>
    <m/>
  </r>
  <r>
    <s v="PPT1_BOI04"/>
    <s v="S1CS05238-WS"/>
    <n v="300"/>
    <s v="207199862"/>
    <s v="WS"/>
    <n v="6"/>
    <n v="0.14452099106643548"/>
    <x v="7"/>
    <x v="1"/>
    <n v="2100"/>
    <x v="0"/>
    <m/>
  </r>
  <r>
    <s v="PPT1_BOI04"/>
    <s v="S1CS05238-WS"/>
    <n v="300"/>
    <s v="207199374"/>
    <s v="WS"/>
    <n v="6"/>
    <n v="0.14452099106643548"/>
    <x v="14"/>
    <x v="1"/>
    <n v="2100"/>
    <x v="0"/>
    <m/>
  </r>
  <r>
    <s v="PPT1_BOI04"/>
    <s v="S1CS05238-WS"/>
    <n v="300"/>
    <s v="207200597"/>
    <s v="WS"/>
    <n v="6"/>
    <n v="0.14452099106643548"/>
    <x v="1"/>
    <x v="1"/>
    <n v="2100"/>
    <x v="0"/>
    <m/>
  </r>
  <r>
    <s v="PPT1_BOI04"/>
    <s v="S1CS05238-WS"/>
    <n v="300"/>
    <s v="207199397"/>
    <s v="WS"/>
    <n v="6"/>
    <n v="0.14452099106643548"/>
    <x v="3"/>
    <x v="1"/>
    <n v="2100"/>
    <x v="0"/>
    <m/>
  </r>
  <r>
    <s v="PPT1_BOI04"/>
    <s v="S1CS05238-WS"/>
    <n v="300"/>
    <s v="207199814"/>
    <s v="WS"/>
    <n v="6"/>
    <n v="0.14452099106643548"/>
    <x v="12"/>
    <x v="1"/>
    <n v="2100"/>
    <x v="0"/>
    <m/>
  </r>
  <r>
    <s v="PPT1_BOI04"/>
    <s v="S1CS05238-WS"/>
    <n v="300"/>
    <s v="207200247"/>
    <s v="WS"/>
    <n v="6"/>
    <n v="0.14452099106643548"/>
    <x v="0"/>
    <x v="1"/>
    <n v="2100"/>
    <x v="0"/>
    <m/>
  </r>
  <r>
    <s v="PPT1_BOI04"/>
    <s v="S1CS05238-WS"/>
    <n v="300"/>
    <s v="207200253"/>
    <s v="WS"/>
    <n v="6"/>
    <n v="0.14452099106643548"/>
    <x v="7"/>
    <x v="1"/>
    <n v="2100"/>
    <x v="0"/>
    <m/>
  </r>
  <r>
    <s v="PPT1_BOI04"/>
    <s v="S1CS05238-WS"/>
    <n v="300"/>
    <s v="207199954"/>
    <s v="WS"/>
    <n v="6"/>
    <n v="0.14452099106643548"/>
    <x v="14"/>
    <x v="1"/>
    <n v="2100"/>
    <x v="0"/>
    <m/>
  </r>
  <r>
    <s v="PPT1_BOI04"/>
    <s v="S1CS05238-WS"/>
    <n v="300"/>
    <s v="207199944"/>
    <s v="WS"/>
    <n v="6"/>
    <n v="0.14452099106643548"/>
    <x v="1"/>
    <x v="1"/>
    <n v="2100"/>
    <x v="0"/>
    <m/>
  </r>
  <r>
    <s v="PPT1_BOI04"/>
    <s v="S1CS05238-WS"/>
    <n v="300"/>
    <s v="207198877"/>
    <s v="WS"/>
    <n v="6"/>
    <n v="0.14452099106643548"/>
    <x v="3"/>
    <x v="1"/>
    <n v="2100"/>
    <x v="0"/>
    <m/>
  </r>
  <r>
    <s v="PPT1_BOI04"/>
    <s v="S1CS05238-WS"/>
    <n v="300"/>
    <s v="207199936"/>
    <s v="WS"/>
    <n v="6"/>
    <n v="0.14452099106643548"/>
    <x v="12"/>
    <x v="1"/>
    <n v="2100"/>
    <x v="0"/>
    <m/>
  </r>
  <r>
    <s v="PPT1_BOI04"/>
    <s v="S1CS05238-WS"/>
    <n v="300"/>
    <s v="207199960"/>
    <s v="WS"/>
    <n v="6"/>
    <n v="0.14452099106643548"/>
    <x v="0"/>
    <x v="1"/>
    <n v="2100"/>
    <x v="0"/>
    <m/>
  </r>
  <r>
    <s v="PPT1_BOI04"/>
    <s v="S1CS05238-WS"/>
    <n v="300"/>
    <s v="207200593"/>
    <s v="WS"/>
    <n v="6"/>
    <n v="0.14452099106643548"/>
    <x v="7"/>
    <x v="1"/>
    <n v="2100"/>
    <x v="0"/>
    <m/>
  </r>
  <r>
    <s v="PPT1_BOI04"/>
    <s v="S1CS05238-WS"/>
    <n v="300"/>
    <s v="207200281"/>
    <s v="WS"/>
    <n v="6"/>
    <n v="0.14452099106643548"/>
    <x v="14"/>
    <x v="1"/>
    <n v="2100"/>
    <x v="0"/>
    <m/>
  </r>
  <r>
    <s v="PPT1_BOI04"/>
    <s v="S1CS05238-WS"/>
    <n v="300"/>
    <s v="207200460"/>
    <s v="WS"/>
    <n v="6"/>
    <n v="0.14452099106643548"/>
    <x v="1"/>
    <x v="1"/>
    <n v="2100"/>
    <x v="0"/>
    <m/>
  </r>
  <r>
    <s v="PPT1_BOI04"/>
    <s v="S1CS05238-WS"/>
    <n v="300"/>
    <s v="207199964"/>
    <s v="WS"/>
    <n v="6"/>
    <n v="0.14452099106643548"/>
    <x v="3"/>
    <x v="1"/>
    <n v="2100"/>
    <x v="0"/>
    <m/>
  </r>
  <r>
    <s v="PPT1_BOI04"/>
    <s v="S1CS05238-WS"/>
    <n v="300"/>
    <s v="207199972"/>
    <s v="WS"/>
    <n v="6"/>
    <n v="0.14452099106643548"/>
    <x v="12"/>
    <x v="1"/>
    <n v="2100"/>
    <x v="0"/>
    <m/>
  </r>
  <r>
    <s v="PPT1_BOI04"/>
    <s v="S1CS05238-WS"/>
    <n v="300"/>
    <s v="207199976"/>
    <s v="WS"/>
    <n v="6"/>
    <n v="0.14452099106643548"/>
    <x v="0"/>
    <x v="1"/>
    <n v="2100"/>
    <x v="0"/>
    <m/>
  </r>
  <r>
    <s v="PPT1_BOI04"/>
    <s v="S1CS05238-WS"/>
    <n v="300"/>
    <s v="207200504"/>
    <s v="WS"/>
    <n v="6"/>
    <n v="0.14452099106643548"/>
    <x v="7"/>
    <x v="1"/>
    <n v="2100"/>
    <x v="0"/>
    <m/>
  </r>
  <r>
    <s v="PPT1_BOI04"/>
    <s v="S1CS05238-WS"/>
    <n v="300"/>
    <s v="207200537"/>
    <s v="WS"/>
    <n v="6"/>
    <n v="0.14452099106643548"/>
    <x v="14"/>
    <x v="1"/>
    <n v="2100"/>
    <x v="0"/>
    <m/>
  </r>
  <r>
    <s v="PPT1_BOI04"/>
    <s v="S1CS05238-WS"/>
    <n v="300"/>
    <s v="207200543"/>
    <s v="WS"/>
    <n v="6"/>
    <n v="0.14452099106643548"/>
    <x v="1"/>
    <x v="1"/>
    <n v="2100"/>
    <x v="0"/>
    <m/>
  </r>
  <r>
    <s v="PPT1_BOI04"/>
    <s v="S1CS05238-WS"/>
    <n v="300"/>
    <s v="207200519"/>
    <s v="WS"/>
    <n v="6"/>
    <n v="0.14452099106643548"/>
    <x v="3"/>
    <x v="1"/>
    <n v="2100"/>
    <x v="0"/>
    <m/>
  </r>
  <r>
    <s v="PPT1_BOI04"/>
    <s v="S1CS05238-WS"/>
    <n v="300"/>
    <s v="207199989"/>
    <s v="WS"/>
    <n v="6"/>
    <n v="0.14452099106643548"/>
    <x v="12"/>
    <x v="1"/>
    <n v="2100"/>
    <x v="0"/>
    <m/>
  </r>
  <r>
    <s v="PPT1_BOI04"/>
    <s v="S1CS05238-WS"/>
    <n v="300"/>
    <s v="207199399"/>
    <s v="WS"/>
    <n v="6"/>
    <n v="0.14452099106643548"/>
    <x v="0"/>
    <x v="1"/>
    <n v="2100"/>
    <x v="0"/>
    <m/>
  </r>
  <r>
    <s v="PPT1_BOI04"/>
    <s v="S1CS05037-WS"/>
    <n v="100"/>
    <s v="207201630"/>
    <s v="WSZ"/>
    <n v="1"/>
    <n v="0.18243865751621699"/>
    <x v="12"/>
    <x v="1"/>
    <n v="2100"/>
    <x v="0"/>
    <m/>
  </r>
  <r>
    <s v="PPT1_BOI04"/>
    <s v="S1CS05870-WS"/>
    <n v="200"/>
    <s v="207198651"/>
    <s v="WS"/>
    <n v="6"/>
    <n v="0.28312863995707221"/>
    <x v="4"/>
    <x v="1"/>
    <n v="2000"/>
    <x v="0"/>
    <m/>
  </r>
  <r>
    <s v="PPT1_BOI04"/>
    <s v="S1CS06304-54-WS"/>
    <n v="50"/>
    <s v="207200000"/>
    <s v="WS"/>
    <n v="1"/>
    <n v="0.2118825530916344"/>
    <x v="4"/>
    <x v="1"/>
    <n v="2000"/>
    <x v="0"/>
    <m/>
  </r>
  <r>
    <s v="PPT1_BOI04"/>
    <s v="S1CS06827-60-WS"/>
    <n v="50"/>
    <s v="207198415"/>
    <s v="WS"/>
    <n v="2"/>
    <n v="0.18768103348395318"/>
    <x v="5"/>
    <x v="1"/>
    <n v="2000"/>
    <x v="0"/>
    <m/>
  </r>
  <r>
    <s v="PPT1_BOI04"/>
    <s v="S1CS06856-WS"/>
    <n v="75"/>
    <s v="207200224"/>
    <s v="WS"/>
    <n v="2"/>
    <n v="0.16706066809644507"/>
    <x v="9"/>
    <x v="1"/>
    <n v="1950"/>
    <x v="0"/>
    <m/>
  </r>
  <r>
    <s v="PPT1_BOI04"/>
    <s v="S1CS05074-WS"/>
    <n v="100"/>
    <s v="207201559"/>
    <s v="WS"/>
    <n v="11"/>
    <n v="7.9915370124556004E-2"/>
    <x v="4"/>
    <x v="1"/>
    <n v="1900"/>
    <x v="0"/>
    <m/>
  </r>
  <r>
    <s v="PPT1_BOI04"/>
    <s v="S1CS07109-WS"/>
    <n v="270"/>
    <s v="207200202"/>
    <s v="WS"/>
    <n v="6"/>
    <n v="0.41667604049493812"/>
    <x v="13"/>
    <x v="1"/>
    <n v="1890"/>
    <x v="0"/>
    <m/>
  </r>
  <r>
    <s v="PPT1_BOI04"/>
    <s v="S1CS07109-WS"/>
    <n v="270"/>
    <s v="207200042"/>
    <s v="WS"/>
    <n v="6"/>
    <n v="0.41667604049493812"/>
    <x v="5"/>
    <x v="1"/>
    <n v="1890"/>
    <x v="0"/>
    <m/>
  </r>
  <r>
    <s v="PPT1_BOI04"/>
    <s v="S1CS07110-WS"/>
    <n v="270"/>
    <s v="207200286"/>
    <s v="WS"/>
    <n v="8"/>
    <n v="0.38671829901866467"/>
    <x v="11"/>
    <x v="1"/>
    <n v="1890"/>
    <x v="0"/>
    <m/>
  </r>
  <r>
    <s v="PPT1_BOI04"/>
    <s v="S1CS07110-WS"/>
    <n v="270"/>
    <s v="207200335"/>
    <s v="WS"/>
    <n v="8"/>
    <n v="0.38671829901866467"/>
    <x v="10"/>
    <x v="1"/>
    <n v="1890"/>
    <x v="0"/>
    <m/>
  </r>
  <r>
    <s v="PPT1_BOI04"/>
    <s v="S1CS05229-52-WS"/>
    <n v="150"/>
    <s v="207197680"/>
    <s v="WS"/>
    <n v="6"/>
    <n v="0.40926068782404335"/>
    <x v="17"/>
    <x v="1"/>
    <n v="1800"/>
    <x v="0"/>
    <m/>
  </r>
  <r>
    <s v="PPT1_BOI04"/>
    <s v="S1CS05229-54-WS"/>
    <n v="150"/>
    <s v="207198538"/>
    <s v="WS"/>
    <n v="8"/>
    <n v="0.40926068782404335"/>
    <x v="4"/>
    <x v="1"/>
    <n v="1800"/>
    <x v="0"/>
    <m/>
  </r>
  <r>
    <s v="PPT1_BOI04"/>
    <s v="S1CS05229-56-WS"/>
    <n v="150"/>
    <s v="207197382"/>
    <s v="WS"/>
    <n v="7"/>
    <n v="0.40926068782404335"/>
    <x v="13"/>
    <x v="1"/>
    <n v="1800"/>
    <x v="0"/>
    <m/>
  </r>
  <r>
    <s v="PPT1_BOI04"/>
    <s v="S1CS05229-58-WS"/>
    <n v="150"/>
    <s v="207197504"/>
    <s v="WS"/>
    <n v="2"/>
    <n v="0.40926068782404335"/>
    <x v="5"/>
    <x v="1"/>
    <n v="1800"/>
    <x v="0"/>
    <m/>
  </r>
  <r>
    <s v="PPT1_BOI04"/>
    <s v="S1CS05394-WS"/>
    <n v="200"/>
    <s v="207199997"/>
    <s v="WS"/>
    <n v="2"/>
    <n v="0.33182534252024887"/>
    <x v="7"/>
    <x v="1"/>
    <n v="1800"/>
    <x v="0"/>
    <m/>
  </r>
  <r>
    <s v="PPT1_BOI04"/>
    <s v="S1CS05499-WS"/>
    <n v="100"/>
    <s v="207201181"/>
    <s v="WS"/>
    <n v="2"/>
    <n v="0.12605207229792881"/>
    <x v="0"/>
    <x v="1"/>
    <n v="1800"/>
    <x v="0"/>
    <m/>
  </r>
  <r>
    <s v="PPT1_BOI04"/>
    <s v="S1CS05499-WS"/>
    <n v="100"/>
    <s v="207198927"/>
    <s v="WS"/>
    <n v="2"/>
    <n v="0.12605207229792881"/>
    <x v="0"/>
    <x v="1"/>
    <n v="1800"/>
    <x v="0"/>
    <m/>
  </r>
  <r>
    <s v="PPT1_BOI04"/>
    <s v="S1CS05499-WS"/>
    <n v="100"/>
    <s v="207198829"/>
    <s v="WS"/>
    <n v="2"/>
    <n v="0.12605207229792881"/>
    <x v="12"/>
    <x v="1"/>
    <n v="1800"/>
    <x v="0"/>
    <m/>
  </r>
  <r>
    <s v="PPT1_BOI04"/>
    <s v="S1CS05500-WS"/>
    <n v="100"/>
    <s v="207198560"/>
    <s v="WS"/>
    <n v="1"/>
    <n v="0.12605207229792881"/>
    <x v="5"/>
    <x v="1"/>
    <n v="1800"/>
    <x v="0"/>
    <m/>
  </r>
  <r>
    <s v="PPT1_BOI04"/>
    <s v="S1CS05500-WS"/>
    <n v="100"/>
    <s v="207198536"/>
    <s v="WS"/>
    <n v="1"/>
    <n v="0.12605207229792881"/>
    <x v="5"/>
    <x v="1"/>
    <n v="1800"/>
    <x v="0"/>
    <m/>
  </r>
  <r>
    <s v="PPT1_BOI04"/>
    <s v="S1CS05500-WS"/>
    <n v="100"/>
    <s v="207200868"/>
    <s v="WS"/>
    <n v="1"/>
    <n v="0.12605207229792881"/>
    <x v="5"/>
    <x v="1"/>
    <n v="1800"/>
    <x v="0"/>
    <m/>
  </r>
  <r>
    <s v="PPT1_BOI04"/>
    <s v="S1CS06633-WS"/>
    <n v="300"/>
    <s v="207198360"/>
    <s v="WS"/>
    <n v="4"/>
    <n v="0.29637629699767237"/>
    <x v="11"/>
    <x v="1"/>
    <n v="1800"/>
    <x v="0"/>
    <m/>
  </r>
  <r>
    <s v="PPT1_BOI04"/>
    <s v="S1CS06633-WS"/>
    <n v="300"/>
    <s v="207198276"/>
    <s v="WS"/>
    <n v="4"/>
    <n v="0.29637629699767237"/>
    <x v="10"/>
    <x v="1"/>
    <n v="1800"/>
    <x v="0"/>
    <m/>
  </r>
  <r>
    <s v="PPT1_BOI04"/>
    <s v="S1CS06633-WS"/>
    <n v="300"/>
    <s v="207198201"/>
    <s v="WS"/>
    <n v="4"/>
    <n v="0.29637629699767237"/>
    <x v="17"/>
    <x v="1"/>
    <n v="1800"/>
    <x v="0"/>
    <m/>
  </r>
  <r>
    <s v="PPT1_BOI04"/>
    <s v="S1CS06634-WS"/>
    <n v="300"/>
    <s v="207198633"/>
    <s v="WS"/>
    <n v="4"/>
    <n v="0.28464559101302317"/>
    <x v="9"/>
    <x v="1"/>
    <n v="1800"/>
    <x v="0"/>
    <m/>
  </r>
  <r>
    <s v="PPT1_BOI04"/>
    <s v="S1CS06634-WS"/>
    <n v="300"/>
    <s v="207198683"/>
    <s v="WS"/>
    <n v="4"/>
    <n v="0.28464559101302317"/>
    <x v="4"/>
    <x v="1"/>
    <n v="1800"/>
    <x v="0"/>
    <m/>
  </r>
  <r>
    <s v="PPT1_BOI04"/>
    <s v="S1CS06634-WS"/>
    <n v="300"/>
    <s v="207198741"/>
    <s v="WS"/>
    <n v="4"/>
    <n v="0.28464559101302317"/>
    <x v="13"/>
    <x v="1"/>
    <n v="1800"/>
    <x v="0"/>
    <m/>
  </r>
  <r>
    <s v="PPT1_BOI04"/>
    <s v="S1CS06913-56-WS"/>
    <n v="50"/>
    <s v="207198801"/>
    <s v="WS"/>
    <n v="1"/>
    <n v="0.1144925106192712"/>
    <x v="11"/>
    <x v="1"/>
    <n v="1800"/>
    <x v="0"/>
    <m/>
  </r>
  <r>
    <s v="PPT1_BOI04"/>
    <s v="S1CS06913-58-WS"/>
    <n v="50"/>
    <s v="207198865"/>
    <s v="WS"/>
    <n v="1"/>
    <n v="0.1144925106192712"/>
    <x v="10"/>
    <x v="1"/>
    <n v="1800"/>
    <x v="0"/>
    <m/>
  </r>
  <r>
    <s v="PPT1_BOI04"/>
    <s v="S1CS03292-WS"/>
    <n v="120"/>
    <s v="207201676"/>
    <s v="WS"/>
    <n v="9"/>
    <n v="0.12318084468745301"/>
    <x v="17"/>
    <x v="1"/>
    <n v="1680"/>
    <x v="0"/>
    <m/>
  </r>
  <r>
    <s v="PPT1_BOI04"/>
    <s v="S1CS03297-WS"/>
    <n v="120"/>
    <s v="207202212"/>
    <s v="WS"/>
    <n v="8"/>
    <n v="9.5696696445416077E-2"/>
    <x v="4"/>
    <x v="1"/>
    <n v="1680"/>
    <x v="0"/>
    <m/>
  </r>
  <r>
    <s v="PPT1_BOI04"/>
    <s v="S1CS03299-WS"/>
    <n v="120"/>
    <s v="207200927"/>
    <s v="WS"/>
    <n v="8"/>
    <n v="9.5696696445416077E-2"/>
    <x v="13"/>
    <x v="1"/>
    <n v="1680"/>
    <x v="0"/>
    <m/>
  </r>
  <r>
    <s v="PPT1_BOI04"/>
    <s v="S1CS03712-WS"/>
    <n v="110"/>
    <s v="207197387"/>
    <s v="WS"/>
    <n v="18"/>
    <n v="0.13355540542231231"/>
    <x v="9"/>
    <x v="1"/>
    <n v="1650"/>
    <x v="0"/>
    <m/>
  </r>
  <r>
    <s v="PPT1_BOI04"/>
    <s v="S1CS04781-WS"/>
    <n v="300"/>
    <s v="207197798"/>
    <s v="WS"/>
    <n v="1"/>
    <n v="0.59028241959003069"/>
    <x v="11"/>
    <x v="1"/>
    <n v="1500"/>
    <x v="0"/>
    <m/>
  </r>
  <r>
    <s v="PPT1_BOI04"/>
    <s v="S1CS04781-WS"/>
    <n v="300"/>
    <s v="207197827"/>
    <s v="WS"/>
    <n v="1"/>
    <n v="0.59028241959003069"/>
    <x v="11"/>
    <x v="1"/>
    <n v="1500"/>
    <x v="0"/>
    <m/>
  </r>
  <r>
    <s v="PPT1_BOI04"/>
    <s v="S1CS04781-WS"/>
    <n v="300"/>
    <s v="207197866"/>
    <s v="WS"/>
    <n v="1"/>
    <n v="0.59028241959003069"/>
    <x v="11"/>
    <x v="1"/>
    <n v="1500"/>
    <x v="0"/>
    <m/>
  </r>
  <r>
    <s v="PPT1_BOI04"/>
    <s v="S1CS04781-WS"/>
    <n v="300"/>
    <s v="207197482"/>
    <s v="WS"/>
    <n v="1"/>
    <n v="0.59028241959003069"/>
    <x v="11"/>
    <x v="1"/>
    <n v="1500"/>
    <x v="0"/>
    <m/>
  </r>
  <r>
    <s v="PPT1_BOI04"/>
    <s v="S1CS04785-WS"/>
    <n v="300"/>
    <s v="207198426"/>
    <s v="WS"/>
    <n v="2"/>
    <n v="0.37924626946232848"/>
    <x v="17"/>
    <x v="1"/>
    <n v="1500"/>
    <x v="0"/>
    <m/>
  </r>
  <r>
    <s v="PPT1_BOI04"/>
    <s v="S1CS04785-WS"/>
    <n v="300"/>
    <s v="207198895"/>
    <s v="WS"/>
    <n v="2"/>
    <n v="0.37924626946232848"/>
    <x v="10"/>
    <x v="1"/>
    <n v="1500"/>
    <x v="0"/>
    <m/>
  </r>
  <r>
    <s v="PPT1_BOI04"/>
    <s v="S1CS04786-WS"/>
    <n v="300"/>
    <s v="207197486"/>
    <s v="WS"/>
    <n v="2"/>
    <n v="0.49834187373102579"/>
    <x v="9"/>
    <x v="1"/>
    <n v="1500"/>
    <x v="0"/>
    <m/>
  </r>
  <r>
    <s v="PPT1_BOI04"/>
    <s v="S1CS06677-WS"/>
    <n v="300"/>
    <s v="207198275"/>
    <s v="WS"/>
    <n v="2"/>
    <n v="0.42578605583247725"/>
    <x v="4"/>
    <x v="1"/>
    <n v="1500"/>
    <x v="0"/>
    <m/>
  </r>
  <r>
    <s v="PPT1_BOI04"/>
    <s v="S1CS06807-58-WS"/>
    <n v="50"/>
    <s v="207199668"/>
    <s v="WS"/>
    <n v="2"/>
    <n v="0.13212014923412418"/>
    <x v="13"/>
    <x v="1"/>
    <n v="1500"/>
    <x v="0"/>
    <m/>
  </r>
  <r>
    <s v="PPT1_BOI04"/>
    <s v="S1CS06932-52-WS"/>
    <n v="60"/>
    <s v="207199233"/>
    <s v="WS"/>
    <n v="2"/>
    <n v="0.23378700762601684"/>
    <x v="17"/>
    <x v="1"/>
    <n v="1500"/>
    <x v="0"/>
    <m/>
  </r>
  <r>
    <s v="PPT1_BOI04"/>
    <s v="S1CS06932-56-WS"/>
    <n v="60"/>
    <s v="207199468"/>
    <s v="WS"/>
    <n v="2"/>
    <n v="0.23378700762601684"/>
    <x v="10"/>
    <x v="1"/>
    <n v="1500"/>
    <x v="0"/>
    <m/>
  </r>
  <r>
    <s v="PPT1_BOI04"/>
    <s v="S1CS06932-58-WS"/>
    <n v="60"/>
    <s v="207199959"/>
    <s v="WS"/>
    <n v="2"/>
    <n v="0.23378700762601684"/>
    <x v="9"/>
    <x v="1"/>
    <n v="1500"/>
    <x v="0"/>
    <m/>
  </r>
  <r>
    <s v="PPT1_BOI04"/>
    <s v="S1CS06932-60-WS"/>
    <n v="60"/>
    <s v="207200175"/>
    <s v="WS"/>
    <n v="2"/>
    <n v="0.23378700762601684"/>
    <x v="4"/>
    <x v="1"/>
    <n v="1500"/>
    <x v="0"/>
    <m/>
  </r>
  <r>
    <s v="PPT1_BOI04"/>
    <s v="S1CS06673-WS"/>
    <n v="180"/>
    <s v="207198214"/>
    <s v="WS"/>
    <n v="2"/>
    <n v="0.34485102742842583"/>
    <x v="1"/>
    <x v="1"/>
    <n v="1440"/>
    <x v="0"/>
    <m/>
  </r>
  <r>
    <s v="PPT1_BOI04"/>
    <s v="S1CS04559-WS"/>
    <n v="200"/>
    <s v="207199612"/>
    <s v="WS"/>
    <n v="2"/>
    <n v="0.21453593373667737"/>
    <x v="7"/>
    <x v="1"/>
    <n v="1400"/>
    <x v="0"/>
    <m/>
  </r>
  <r>
    <s v="PPT1_BOI04"/>
    <s v="S1CS03714-WS"/>
    <n v="150"/>
    <s v="207198346"/>
    <s v="WS"/>
    <n v="2"/>
    <n v="0.18397589847583229"/>
    <x v="18"/>
    <x v="1"/>
    <n v="1350"/>
    <x v="0"/>
    <m/>
  </r>
  <r>
    <s v="PPT1_BOI04"/>
    <s v="S1CS04780-WS"/>
    <n v="270"/>
    <s v="207198147"/>
    <s v="WS"/>
    <n v="3"/>
    <n v="0.5071970889449664"/>
    <x v="13"/>
    <x v="1"/>
    <n v="1350"/>
    <x v="0"/>
    <m/>
  </r>
  <r>
    <s v="PPT1_BOI04"/>
    <s v="S1CS06882-WS"/>
    <n v="120"/>
    <s v="207198499"/>
    <s v="WS"/>
    <n v="4"/>
    <n v="0.17641190731687931"/>
    <x v="17"/>
    <x v="1"/>
    <n v="1320"/>
    <x v="0"/>
    <m/>
  </r>
  <r>
    <s v="PPT1_BOI04"/>
    <s v="S1CS07281-WS"/>
    <n v="180"/>
    <s v="207200319"/>
    <s v="WS"/>
    <n v="9"/>
    <n v="0.289793954824003"/>
    <x v="10"/>
    <x v="1"/>
    <n v="1260"/>
    <x v="0"/>
    <m/>
  </r>
  <r>
    <s v="PPT1_BOI04"/>
    <s v="S1CS04778-WS"/>
    <n v="240"/>
    <s v="207197959"/>
    <s v="WS"/>
    <n v="2"/>
    <n v="0.29279930377850111"/>
    <x v="9"/>
    <x v="1"/>
    <n v="1200"/>
    <x v="0"/>
    <m/>
  </r>
  <r>
    <s v="PPT1_BOI04"/>
    <s v="S1CS04778-WS"/>
    <n v="240"/>
    <s v="207197497"/>
    <s v="WS"/>
    <n v="2"/>
    <n v="0.29279930377850111"/>
    <x v="5"/>
    <x v="1"/>
    <n v="1200"/>
    <x v="0"/>
    <m/>
  </r>
  <r>
    <s v="PPT1_BOI04"/>
    <s v="S1CS04778-WS"/>
    <n v="240"/>
    <s v="207197434"/>
    <s v="WS"/>
    <n v="2"/>
    <n v="0.29279930377850111"/>
    <x v="9"/>
    <x v="1"/>
    <n v="1200"/>
    <x v="0"/>
    <m/>
  </r>
  <r>
    <s v="PPT1_BOI04"/>
    <s v="S1CS04778-WS"/>
    <n v="240"/>
    <s v="207197825"/>
    <s v="WS"/>
    <n v="2"/>
    <n v="0.29279930377850111"/>
    <x v="5"/>
    <x v="1"/>
    <n v="1200"/>
    <x v="0"/>
    <m/>
  </r>
  <r>
    <s v="PPT1_BOI04"/>
    <s v="S1CS04778-WS"/>
    <n v="240"/>
    <s v="207197767"/>
    <s v="WS"/>
    <n v="2"/>
    <n v="0.29279930377850111"/>
    <x v="9"/>
    <x v="1"/>
    <n v="1200"/>
    <x v="0"/>
    <m/>
  </r>
  <r>
    <s v="PPT1_BOI04"/>
    <s v="S1CS04778-WS"/>
    <n v="240"/>
    <s v="207197560"/>
    <s v="WS"/>
    <n v="2"/>
    <n v="0.29279930377850111"/>
    <x v="5"/>
    <x v="1"/>
    <n v="1200"/>
    <x v="0"/>
    <m/>
  </r>
  <r>
    <s v="PPT1_BOI04"/>
    <s v="S1CS04778-WS"/>
    <n v="240"/>
    <s v="207197871"/>
    <s v="WS"/>
    <n v="2"/>
    <n v="0.29279930377850111"/>
    <x v="9"/>
    <x v="1"/>
    <n v="1200"/>
    <x v="0"/>
    <m/>
  </r>
  <r>
    <s v="PPT1_BOI04"/>
    <s v="S1CS04778-WS"/>
    <n v="240"/>
    <s v="207197526"/>
    <s v="WS"/>
    <n v="2"/>
    <n v="0.29279930377850111"/>
    <x v="5"/>
    <x v="1"/>
    <n v="1200"/>
    <x v="0"/>
    <m/>
  </r>
  <r>
    <s v="PPT1_BOI04"/>
    <s v="S1CS04778-WS"/>
    <n v="240"/>
    <s v="207197923"/>
    <s v="WS"/>
    <n v="2"/>
    <n v="0.29279930377850111"/>
    <x v="9"/>
    <x v="1"/>
    <n v="1200"/>
    <x v="0"/>
    <m/>
  </r>
  <r>
    <s v="PPT1_BOI04"/>
    <s v="S1CS05229-48-WS"/>
    <n v="100"/>
    <s v="207197240"/>
    <s v="WS"/>
    <n v="4"/>
    <n v="0.27284045854936223"/>
    <x v="13"/>
    <x v="1"/>
    <n v="1200"/>
    <x v="0"/>
    <m/>
  </r>
  <r>
    <s v="PPT1_BOI04"/>
    <s v="S1CS05229-50-WS"/>
    <n v="100"/>
    <s v="207197659"/>
    <s v="WS"/>
    <n v="3"/>
    <n v="0.27284045854936223"/>
    <x v="4"/>
    <x v="1"/>
    <n v="1200"/>
    <x v="0"/>
    <m/>
  </r>
  <r>
    <s v="PPT1_BOI04"/>
    <s v="S1CS05229-60-WS"/>
    <n v="100"/>
    <s v="207197774"/>
    <s v="WS"/>
    <n v="3"/>
    <n v="0.27284045854936223"/>
    <x v="17"/>
    <x v="1"/>
    <n v="1200"/>
    <x v="0"/>
    <m/>
  </r>
  <r>
    <s v="PPT1_BOI04"/>
    <s v="S1CS06633-WS"/>
    <n v="200"/>
    <s v="207198504"/>
    <s v="WS"/>
    <n v="4"/>
    <n v="0.19758419799844823"/>
    <x v="10"/>
    <x v="1"/>
    <n v="1200"/>
    <x v="0"/>
    <m/>
  </r>
  <r>
    <s v="PPT1_BOI04"/>
    <s v="S1CS06634-WS"/>
    <n v="200"/>
    <s v="207198797"/>
    <s v="WS"/>
    <n v="4"/>
    <n v="0.18976372734201546"/>
    <x v="14"/>
    <x v="1"/>
    <n v="1200"/>
    <x v="0"/>
    <m/>
  </r>
  <r>
    <s v="PPT1_BOI04"/>
    <s v="S1CS04752-WS"/>
    <n v="200"/>
    <s v="207197278"/>
    <s v="WSZ"/>
    <n v="3"/>
    <n v="0.32701876664118451"/>
    <x v="13"/>
    <x v="1"/>
    <n v="1200"/>
    <x v="0"/>
    <m/>
  </r>
  <r>
    <s v="PPT1_BOI04"/>
    <s v="S1CS06399-WS"/>
    <n v="100"/>
    <s v="207200510"/>
    <s v="WS"/>
    <n v="7"/>
    <n v="0.10957439503322861"/>
    <x v="4"/>
    <x v="1"/>
    <n v="1100"/>
    <x v="0"/>
    <m/>
  </r>
  <r>
    <s v="PPT1_BOI04"/>
    <s v="S1CS07264-WS"/>
    <n v="100"/>
    <s v="207202059"/>
    <s v="WS"/>
    <n v="26"/>
    <n v="0.18628429415678449"/>
    <x v="17"/>
    <x v="1"/>
    <n v="1100"/>
    <x v="0"/>
    <m/>
  </r>
  <r>
    <s v="PPT1_BOI04"/>
    <s v="S1CS07216-WS"/>
    <n v="360"/>
    <s v="207197714"/>
    <s v="WS"/>
    <n v="11"/>
    <n v="0.63735798988307479"/>
    <x v="10"/>
    <x v="1"/>
    <n v="1080"/>
    <x v="0"/>
    <m/>
  </r>
  <r>
    <s v="PPT1_BOI04"/>
    <s v="S1CS07216-WS"/>
    <n v="360"/>
    <s v="207197657"/>
    <s v="WS"/>
    <n v="11"/>
    <n v="0.63735798988307479"/>
    <x v="11"/>
    <x v="1"/>
    <n v="1080"/>
    <x v="0"/>
    <m/>
  </r>
  <r>
    <s v="PPT1_BOI04"/>
    <s v="S1CS07216-WS"/>
    <n v="360"/>
    <s v="207197838"/>
    <s v="WS"/>
    <n v="11"/>
    <n v="0.63735798988307479"/>
    <x v="14"/>
    <x v="1"/>
    <n v="1080"/>
    <x v="0"/>
    <m/>
  </r>
  <r>
    <s v="PPT1_BOI04"/>
    <s v="S1CS07216-WS"/>
    <n v="360"/>
    <s v="207197733"/>
    <s v="WS"/>
    <n v="11"/>
    <n v="0.63735798988307479"/>
    <x v="1"/>
    <x v="1"/>
    <n v="1080"/>
    <x v="0"/>
    <m/>
  </r>
  <r>
    <s v="PPT1_BOI04"/>
    <s v="S1CS07216-WS"/>
    <n v="360"/>
    <s v="207197796"/>
    <s v="WS"/>
    <n v="11"/>
    <n v="0.63735798988307479"/>
    <x v="3"/>
    <x v="1"/>
    <n v="1080"/>
    <x v="0"/>
    <m/>
  </r>
  <r>
    <s v="PPT1_BOI04"/>
    <s v="S1CS04787-WS"/>
    <n v="210"/>
    <s v="207201188"/>
    <s v="WS"/>
    <n v="3"/>
    <n v="0.35316724523363807"/>
    <x v="13"/>
    <x v="1"/>
    <n v="1050"/>
    <x v="0"/>
    <m/>
  </r>
  <r>
    <s v="PPT1_BOI04"/>
    <s v="S1CS04787-WS"/>
    <n v="210"/>
    <s v="207198282"/>
    <s v="WS"/>
    <n v="3"/>
    <n v="0.35316724523363807"/>
    <x v="4"/>
    <x v="1"/>
    <n v="1050"/>
    <x v="0"/>
    <m/>
  </r>
  <r>
    <s v="PPT1_BOI04"/>
    <s v="S1CS04787-WS"/>
    <n v="210"/>
    <s v="207198033"/>
    <s v="WS"/>
    <n v="3"/>
    <n v="0.35316724523363807"/>
    <x v="10"/>
    <x v="1"/>
    <n v="1050"/>
    <x v="0"/>
    <m/>
  </r>
  <r>
    <s v="PPT1_BOI04"/>
    <s v="S1CS04787-WS"/>
    <n v="210"/>
    <s v="207198140"/>
    <s v="WS"/>
    <n v="3"/>
    <n v="0.35316724523363807"/>
    <x v="13"/>
    <x v="1"/>
    <n v="1050"/>
    <x v="0"/>
    <m/>
  </r>
  <r>
    <s v="PPT1_BOI04"/>
    <s v="S1CS04787-WS"/>
    <n v="210"/>
    <s v="207197972"/>
    <s v="WS"/>
    <n v="3"/>
    <n v="0.35316724523363807"/>
    <x v="4"/>
    <x v="1"/>
    <n v="1050"/>
    <x v="0"/>
    <m/>
  </r>
  <r>
    <s v="PPT1_BOI04"/>
    <s v="S1CS04787-WS"/>
    <n v="210"/>
    <s v="207197933"/>
    <s v="WS"/>
    <n v="3"/>
    <n v="0.35316724523363807"/>
    <x v="10"/>
    <x v="1"/>
    <n v="1050"/>
    <x v="0"/>
    <m/>
  </r>
  <r>
    <s v="PPT1_BOI04"/>
    <s v="S1CS04787-WS"/>
    <n v="210"/>
    <s v="207197881"/>
    <s v="WS"/>
    <n v="3"/>
    <n v="0.35316724523363807"/>
    <x v="13"/>
    <x v="1"/>
    <n v="1050"/>
    <x v="0"/>
    <m/>
  </r>
  <r>
    <s v="PPT1_BOI04"/>
    <s v="S1CS04787-WS"/>
    <n v="210"/>
    <s v="207198191"/>
    <s v="WS"/>
    <n v="3"/>
    <n v="0.35316724523363807"/>
    <x v="4"/>
    <x v="1"/>
    <n v="1050"/>
    <x v="0"/>
    <m/>
  </r>
  <r>
    <s v="PPT1_BOI04"/>
    <s v="S1CS06612-WS"/>
    <n v="210"/>
    <s v="207198200"/>
    <s v="WS"/>
    <n v="2"/>
    <n v="0.35587741393786732"/>
    <x v="17"/>
    <x v="1"/>
    <n v="1050"/>
    <x v="0"/>
    <m/>
  </r>
  <r>
    <s v="PPT1_BOI04"/>
    <s v="S1CS06612-WS"/>
    <n v="210"/>
    <s v="207198307"/>
    <s v="WS"/>
    <n v="2"/>
    <n v="0.35587741393786732"/>
    <x v="11"/>
    <x v="1"/>
    <n v="1050"/>
    <x v="0"/>
    <m/>
  </r>
  <r>
    <s v="PPT1_BOI04"/>
    <s v="S1CS06612-WS"/>
    <n v="210"/>
    <s v="207198361"/>
    <s v="WS"/>
    <n v="2"/>
    <n v="0.35587741393786732"/>
    <x v="17"/>
    <x v="1"/>
    <n v="1050"/>
    <x v="0"/>
    <m/>
  </r>
  <r>
    <s v="PPT1_BOI04"/>
    <s v="S1CS07217-WS"/>
    <n v="330"/>
    <s v="207198620"/>
    <s v="WS"/>
    <n v="17"/>
    <n v="0.58824744882319824"/>
    <x v="14"/>
    <x v="1"/>
    <n v="990"/>
    <x v="0"/>
    <m/>
  </r>
  <r>
    <s v="PPT1_BOI04"/>
    <s v="S1CS07217-WS"/>
    <n v="330"/>
    <s v="207198663"/>
    <s v="WS"/>
    <n v="17"/>
    <n v="0.58824744882319824"/>
    <x v="1"/>
    <x v="1"/>
    <n v="990"/>
    <x v="0"/>
    <m/>
  </r>
  <r>
    <s v="PPT1_BOI04"/>
    <s v="S1CS07217-WS"/>
    <n v="330"/>
    <s v="207199654"/>
    <s v="WS"/>
    <n v="17"/>
    <n v="0.58824744882319824"/>
    <x v="3"/>
    <x v="1"/>
    <n v="990"/>
    <x v="0"/>
    <m/>
  </r>
  <r>
    <s v="PPT1_BOI04"/>
    <s v="S1CS07217-WS"/>
    <n v="330"/>
    <s v="207198816"/>
    <s v="WS"/>
    <n v="17"/>
    <n v="0.58824744882319824"/>
    <x v="7"/>
    <x v="1"/>
    <n v="990"/>
    <x v="0"/>
    <m/>
  </r>
  <r>
    <s v="PPT1_BOI04"/>
    <s v="S1CS07217-WS"/>
    <n v="330"/>
    <s v="207198791"/>
    <s v="WS"/>
    <n v="17"/>
    <n v="0.58824744882319824"/>
    <x v="11"/>
    <x v="1"/>
    <n v="990"/>
    <x v="0"/>
    <m/>
  </r>
  <r>
    <s v="PPT1_BOI04"/>
    <s v="S1CS07217-WS"/>
    <n v="330"/>
    <s v="207198711"/>
    <s v="WS"/>
    <n v="17"/>
    <n v="0.58824744882319824"/>
    <x v="14"/>
    <x v="1"/>
    <n v="990"/>
    <x v="0"/>
    <m/>
  </r>
  <r>
    <s v="PPT1_BOI04"/>
    <s v="S1CS07217-WS"/>
    <n v="330"/>
    <s v="207198735"/>
    <s v="WS"/>
    <n v="17"/>
    <n v="0.58824744882319824"/>
    <x v="5"/>
    <x v="1"/>
    <n v="990"/>
    <x v="0"/>
    <m/>
  </r>
  <r>
    <s v="PPT1_BOI04"/>
    <s v="S1CS07217-WS"/>
    <n v="330"/>
    <s v="207198772"/>
    <s v="WS"/>
    <n v="17"/>
    <n v="0.58824744882319824"/>
    <x v="1"/>
    <x v="1"/>
    <n v="990"/>
    <x v="0"/>
    <m/>
  </r>
  <r>
    <s v="PPT1_BOI04"/>
    <s v="S1CS04784-WS"/>
    <n v="240"/>
    <s v="207198196"/>
    <s v="WS"/>
    <n v="3"/>
    <n v="0.40934687230607419"/>
    <x v="3"/>
    <x v="1"/>
    <n v="960"/>
    <x v="0"/>
    <m/>
  </r>
  <r>
    <s v="PPT1_BOI04"/>
    <s v="S1CS06787-WS"/>
    <n v="85"/>
    <s v="207199684"/>
    <s v="WS"/>
    <n v="3"/>
    <n v="0.15899736011562399"/>
    <x v="10"/>
    <x v="1"/>
    <n v="935"/>
    <x v="0"/>
    <m/>
  </r>
  <r>
    <s v="PPT1_BOI04"/>
    <s v="S1CS03159-WS"/>
    <n v="300"/>
    <s v="207208165"/>
    <s v="WS"/>
    <n v="3"/>
    <n v="0.367668652324947"/>
    <x v="17"/>
    <x v="1"/>
    <n v="900"/>
    <x v="0"/>
    <m/>
  </r>
  <r>
    <s v="PPT1_BOI04"/>
    <s v="S1CS03159-WS"/>
    <n v="300"/>
    <s v="207208161"/>
    <s v="WS"/>
    <n v="3"/>
    <n v="0.367668652324947"/>
    <x v="7"/>
    <x v="1"/>
    <n v="900"/>
    <x v="0"/>
    <m/>
  </r>
  <r>
    <s v="PPT1_BOI04"/>
    <s v="S1CS03159-WS"/>
    <n v="300"/>
    <s v="207208160"/>
    <s v="WS"/>
    <n v="3"/>
    <n v="0.367668652324947"/>
    <x v="11"/>
    <x v="1"/>
    <n v="900"/>
    <x v="0"/>
    <m/>
  </r>
  <r>
    <s v="PPT1_BOI04"/>
    <s v="S1CS03159-WS"/>
    <n v="300"/>
    <s v="207208163"/>
    <s v="WS"/>
    <n v="3"/>
    <n v="0.367668652324947"/>
    <x v="17"/>
    <x v="1"/>
    <n v="900"/>
    <x v="0"/>
    <m/>
  </r>
  <r>
    <s v="PPT1_BOI04"/>
    <s v="S1CS03159-WS"/>
    <n v="300"/>
    <s v="207208164"/>
    <s v="WS"/>
    <n v="3"/>
    <n v="0.367668652324947"/>
    <x v="7"/>
    <x v="1"/>
    <n v="900"/>
    <x v="0"/>
    <m/>
  </r>
  <r>
    <s v="PPT1_BOI04"/>
    <s v="S1CS03159-WS"/>
    <n v="300"/>
    <s v="207208162"/>
    <s v="WS"/>
    <n v="3"/>
    <n v="0.367668652324947"/>
    <x v="11"/>
    <x v="1"/>
    <n v="900"/>
    <x v="0"/>
    <m/>
  </r>
  <r>
    <s v="PPT1_BOI04"/>
    <s v="S1CS03160-WS"/>
    <n v="300"/>
    <s v="207208150"/>
    <s v="WS"/>
    <n v="8"/>
    <n v="0.30079096549178652"/>
    <x v="14"/>
    <x v="1"/>
    <n v="900"/>
    <x v="0"/>
    <m/>
  </r>
  <r>
    <s v="PPT1_BOI04"/>
    <s v="S1CS03160-WS"/>
    <n v="300"/>
    <s v="207208145"/>
    <s v="WS"/>
    <n v="8"/>
    <n v="0.30079096549178652"/>
    <x v="5"/>
    <x v="1"/>
    <n v="900"/>
    <x v="0"/>
    <m/>
  </r>
  <r>
    <s v="PPT1_BOI04"/>
    <s v="S1CS03160-WS"/>
    <n v="300"/>
    <s v="207208148"/>
    <s v="WS"/>
    <n v="8"/>
    <n v="0.30079096549178652"/>
    <x v="3"/>
    <x v="1"/>
    <n v="900"/>
    <x v="0"/>
    <m/>
  </r>
  <r>
    <s v="PPT1_BOI04"/>
    <s v="S1CS03160-WS"/>
    <n v="300"/>
    <s v="207208149"/>
    <s v="WS"/>
    <n v="8"/>
    <n v="0.30079096549178652"/>
    <x v="1"/>
    <x v="1"/>
    <n v="900"/>
    <x v="0"/>
    <m/>
  </r>
  <r>
    <s v="PPT1_BOI04"/>
    <s v="S1CS03160-WS"/>
    <n v="300"/>
    <s v="207208146"/>
    <s v="WS"/>
    <n v="8"/>
    <n v="0.30079096549178652"/>
    <x v="9"/>
    <x v="1"/>
    <n v="900"/>
    <x v="0"/>
    <m/>
  </r>
  <r>
    <s v="PPT1_BOI04"/>
    <s v="S1CS03160-WS"/>
    <n v="300"/>
    <s v="207208151"/>
    <s v="WS"/>
    <n v="8"/>
    <n v="0.30079096549178652"/>
    <x v="13"/>
    <x v="1"/>
    <n v="900"/>
    <x v="0"/>
    <m/>
  </r>
  <r>
    <s v="PPT1_BOI04"/>
    <s v="S1CS05225-WS"/>
    <n v="300"/>
    <s v="207199112"/>
    <s v="WS"/>
    <n v="6"/>
    <n v="0.22860424801127616"/>
    <x v="10"/>
    <x v="1"/>
    <n v="900"/>
    <x v="0"/>
    <m/>
  </r>
  <r>
    <s v="PPT1_BOI04"/>
    <s v="S1CS05225-WS"/>
    <n v="300"/>
    <s v="207208105"/>
    <s v="WS"/>
    <n v="6"/>
    <n v="0.22860424801127616"/>
    <x v="4"/>
    <x v="1"/>
    <n v="900"/>
    <x v="0"/>
    <m/>
  </r>
  <r>
    <s v="PPT1_BOI04"/>
    <s v="S1CS05225-WS"/>
    <n v="300"/>
    <s v="207208111"/>
    <s v="WS"/>
    <n v="6"/>
    <n v="0.22860424801127616"/>
    <x v="14"/>
    <x v="1"/>
    <n v="900"/>
    <x v="0"/>
    <m/>
  </r>
  <r>
    <s v="PPT1_BOI04"/>
    <s v="S1CS05225-WS"/>
    <n v="300"/>
    <s v="207198912"/>
    <s v="WS"/>
    <n v="6"/>
    <n v="0.22860424801127616"/>
    <x v="5"/>
    <x v="1"/>
    <n v="900"/>
    <x v="0"/>
    <m/>
  </r>
  <r>
    <s v="PPT1_BOI04"/>
    <s v="S1CS05225-WS"/>
    <n v="300"/>
    <s v="207198896"/>
    <s v="WS"/>
    <n v="6"/>
    <n v="0.22860424801127616"/>
    <x v="3"/>
    <x v="1"/>
    <n v="900"/>
    <x v="0"/>
    <m/>
  </r>
  <r>
    <s v="PPT1_BOI04"/>
    <s v="S1CS05225-WS"/>
    <n v="300"/>
    <s v="207198949"/>
    <s v="WS"/>
    <n v="6"/>
    <n v="0.22860424801127616"/>
    <x v="1"/>
    <x v="1"/>
    <n v="900"/>
    <x v="0"/>
    <m/>
  </r>
  <r>
    <s v="PPT1_BOI04"/>
    <s v="S1CS05225-WS"/>
    <n v="300"/>
    <s v="207199109"/>
    <s v="WS"/>
    <n v="6"/>
    <n v="0.22860424801127616"/>
    <x v="10"/>
    <x v="1"/>
    <n v="900"/>
    <x v="0"/>
    <m/>
  </r>
  <r>
    <s v="PPT1_BOI04"/>
    <s v="S1CS05225-WS"/>
    <n v="300"/>
    <s v="207199107"/>
    <s v="WS"/>
    <n v="6"/>
    <n v="0.22860424801127616"/>
    <x v="4"/>
    <x v="1"/>
    <n v="900"/>
    <x v="0"/>
    <m/>
  </r>
  <r>
    <s v="PPT1_BOI04"/>
    <s v="S1CS05225-WS"/>
    <n v="300"/>
    <s v="207199070"/>
    <s v="WS"/>
    <n v="6"/>
    <n v="0.22860424801127616"/>
    <x v="14"/>
    <x v="1"/>
    <n v="900"/>
    <x v="0"/>
    <m/>
  </r>
  <r>
    <s v="PPT1_BOI04"/>
    <s v="S1CS05225-WS"/>
    <n v="300"/>
    <s v="207208104"/>
    <s v="WS"/>
    <n v="6"/>
    <n v="0.22860424801127616"/>
    <x v="5"/>
    <x v="1"/>
    <n v="900"/>
    <x v="0"/>
    <m/>
  </r>
  <r>
    <s v="PPT1_BOI04"/>
    <s v="S1CS05225-WS"/>
    <n v="300"/>
    <s v="207208107"/>
    <s v="WS"/>
    <n v="6"/>
    <n v="0.22860424801127616"/>
    <x v="3"/>
    <x v="1"/>
    <n v="900"/>
    <x v="0"/>
    <m/>
  </r>
  <r>
    <s v="PPT1_BOI04"/>
    <s v="S1CS05225-WS"/>
    <n v="300"/>
    <s v="207208106"/>
    <s v="WS"/>
    <n v="6"/>
    <n v="0.22860424801127616"/>
    <x v="1"/>
    <x v="1"/>
    <n v="900"/>
    <x v="0"/>
    <m/>
  </r>
  <r>
    <s v="PPT1_BOI04"/>
    <s v="S1CS05225-WS"/>
    <n v="300"/>
    <s v="207208102"/>
    <s v="WS"/>
    <n v="6"/>
    <n v="0.22860424801127616"/>
    <x v="10"/>
    <x v="1"/>
    <n v="900"/>
    <x v="0"/>
    <m/>
  </r>
  <r>
    <s v="PPT1_BOI04"/>
    <s v="S1CS05225-WS"/>
    <n v="300"/>
    <s v="207208103"/>
    <s v="WS"/>
    <n v="6"/>
    <n v="0.22860424801127616"/>
    <x v="4"/>
    <x v="1"/>
    <n v="900"/>
    <x v="0"/>
    <m/>
  </r>
  <r>
    <s v="PPT1_BOI04"/>
    <s v="S1CS05225-WS"/>
    <n v="300"/>
    <s v="207208110"/>
    <s v="WS"/>
    <n v="6"/>
    <n v="0.22860424801127616"/>
    <x v="14"/>
    <x v="1"/>
    <n v="900"/>
    <x v="0"/>
    <m/>
  </r>
  <r>
    <s v="PPT1_BOI04"/>
    <s v="S1CS05225-WS"/>
    <n v="300"/>
    <s v="207208101"/>
    <s v="WS"/>
    <n v="6"/>
    <n v="0.22860424801127616"/>
    <x v="5"/>
    <x v="1"/>
    <n v="900"/>
    <x v="0"/>
    <m/>
  </r>
  <r>
    <s v="PPT1_BOI04"/>
    <s v="S1CS05225-WS"/>
    <n v="300"/>
    <s v="207208108"/>
    <s v="WS"/>
    <n v="6"/>
    <n v="0.22860424801127616"/>
    <x v="3"/>
    <x v="1"/>
    <n v="900"/>
    <x v="0"/>
    <m/>
  </r>
  <r>
    <s v="PPT1_BOI04"/>
    <s v="S1CS05225-WS"/>
    <n v="300"/>
    <s v="207208109"/>
    <s v="WS"/>
    <n v="6"/>
    <n v="0.22860424801127616"/>
    <x v="1"/>
    <x v="1"/>
    <n v="900"/>
    <x v="0"/>
    <m/>
  </r>
  <r>
    <s v="PPT1_BOI04"/>
    <s v="S1CS05225-WS"/>
    <n v="300"/>
    <s v="207208112"/>
    <s v="WS"/>
    <n v="6"/>
    <n v="0.22860424801127616"/>
    <x v="10"/>
    <x v="1"/>
    <n v="900"/>
    <x v="0"/>
    <m/>
  </r>
  <r>
    <s v="PPT1_BOI04"/>
    <s v="S1CS05225-WS"/>
    <n v="300"/>
    <s v="207198482"/>
    <s v="WS"/>
    <n v="6"/>
    <n v="0.22860424801127616"/>
    <x v="4"/>
    <x v="1"/>
    <n v="900"/>
    <x v="0"/>
    <m/>
  </r>
  <r>
    <s v="PPT1_BOI04"/>
    <s v="S1CS05225-WS"/>
    <n v="300"/>
    <s v="207208115"/>
    <s v="WS"/>
    <n v="6"/>
    <n v="0.22860424801127616"/>
    <x v="14"/>
    <x v="1"/>
    <n v="900"/>
    <x v="0"/>
    <m/>
  </r>
  <r>
    <s v="PPT1_BOI04"/>
    <s v="S1CS05225-WS"/>
    <n v="300"/>
    <s v="207198455"/>
    <s v="WS"/>
    <n v="6"/>
    <n v="0.22860424801127616"/>
    <x v="5"/>
    <x v="1"/>
    <n v="900"/>
    <x v="0"/>
    <m/>
  </r>
  <r>
    <s v="PPT1_BOI04"/>
    <s v="S1CS05225-WS"/>
    <n v="300"/>
    <s v="207198531"/>
    <s v="WS"/>
    <n v="6"/>
    <n v="0.22860424801127616"/>
    <x v="3"/>
    <x v="1"/>
    <n v="900"/>
    <x v="0"/>
    <m/>
  </r>
  <r>
    <s v="PPT1_BOI04"/>
    <s v="S1CS05225-WS"/>
    <n v="300"/>
    <s v="207197630"/>
    <s v="WS"/>
    <n v="6"/>
    <n v="0.22860424801127616"/>
    <x v="1"/>
    <x v="1"/>
    <n v="900"/>
    <x v="0"/>
    <m/>
  </r>
  <r>
    <s v="PPT1_BOI04"/>
    <s v="S1CS05225-WS"/>
    <n v="300"/>
    <s v="207208117"/>
    <s v="WS"/>
    <n v="6"/>
    <n v="0.22860424801127616"/>
    <x v="10"/>
    <x v="1"/>
    <n v="900"/>
    <x v="0"/>
    <m/>
  </r>
  <r>
    <s v="PPT1_BOI04"/>
    <s v="S1CS05225-WS"/>
    <n v="300"/>
    <s v="207208116"/>
    <s v="WS"/>
    <n v="6"/>
    <n v="0.22860424801127616"/>
    <x v="4"/>
    <x v="1"/>
    <n v="900"/>
    <x v="0"/>
    <m/>
  </r>
  <r>
    <s v="PPT1_BOI04"/>
    <s v="S1CS05225-WS"/>
    <n v="300"/>
    <s v="207198192"/>
    <s v="WS"/>
    <n v="6"/>
    <n v="0.22860424801127616"/>
    <x v="14"/>
    <x v="1"/>
    <n v="900"/>
    <x v="0"/>
    <m/>
  </r>
  <r>
    <s v="PPT1_BOI04"/>
    <s v="S1CS05225-WS"/>
    <n v="300"/>
    <s v="207197994"/>
    <s v="WS"/>
    <n v="6"/>
    <n v="0.22860424801127616"/>
    <x v="5"/>
    <x v="1"/>
    <n v="900"/>
    <x v="0"/>
    <m/>
  </r>
  <r>
    <s v="PPT1_BOI04"/>
    <s v="S1CS05225-WS"/>
    <n v="300"/>
    <s v="207197988"/>
    <s v="WS"/>
    <n v="6"/>
    <n v="0.22860424801127616"/>
    <x v="3"/>
    <x v="1"/>
    <n v="900"/>
    <x v="0"/>
    <m/>
  </r>
  <r>
    <s v="PPT1_BOI04"/>
    <s v="S1CS05225-WS"/>
    <n v="300"/>
    <s v="207208100"/>
    <s v="WS"/>
    <n v="6"/>
    <n v="0.22860424801127616"/>
    <x v="1"/>
    <x v="1"/>
    <n v="900"/>
    <x v="0"/>
    <m/>
  </r>
  <r>
    <s v="PPT1_BOI04"/>
    <s v="S1CS05225-WS"/>
    <n v="300"/>
    <s v="207198035"/>
    <s v="WS"/>
    <n v="6"/>
    <n v="0.22860424801127616"/>
    <x v="10"/>
    <x v="1"/>
    <n v="900"/>
    <x v="0"/>
    <m/>
  </r>
  <r>
    <s v="PPT1_BOI04"/>
    <s v="S1CS05225-WS"/>
    <n v="300"/>
    <s v="207198144"/>
    <s v="WS"/>
    <n v="6"/>
    <n v="0.22860424801127616"/>
    <x v="4"/>
    <x v="1"/>
    <n v="900"/>
    <x v="0"/>
    <m/>
  </r>
  <r>
    <s v="PPT1_BOI04"/>
    <s v="S1CS05225-WS"/>
    <n v="300"/>
    <s v="207198137"/>
    <s v="WS"/>
    <n v="6"/>
    <n v="0.22860424801127616"/>
    <x v="14"/>
    <x v="1"/>
    <n v="900"/>
    <x v="0"/>
    <m/>
  </r>
  <r>
    <s v="PPT1_BOI04"/>
    <s v="S1CS05225-WS"/>
    <n v="300"/>
    <s v="207198089"/>
    <s v="WS"/>
    <n v="6"/>
    <n v="0.22860424801127616"/>
    <x v="5"/>
    <x v="1"/>
    <n v="900"/>
    <x v="0"/>
    <m/>
  </r>
  <r>
    <s v="PPT1_BOI04"/>
    <s v="S1CS05225-WS"/>
    <n v="300"/>
    <s v="207198563"/>
    <s v="WS"/>
    <n v="6"/>
    <n v="0.22860424801127616"/>
    <x v="3"/>
    <x v="1"/>
    <n v="900"/>
    <x v="0"/>
    <m/>
  </r>
  <r>
    <s v="PPT1_BOI04"/>
    <s v="S1CS05225-WS"/>
    <n v="300"/>
    <s v="207198826"/>
    <s v="WS"/>
    <n v="6"/>
    <n v="0.22860424801127616"/>
    <x v="1"/>
    <x v="1"/>
    <n v="900"/>
    <x v="0"/>
    <m/>
  </r>
  <r>
    <s v="PPT1_BOI04"/>
    <s v="S1CS05225-WS"/>
    <n v="300"/>
    <s v="207198559"/>
    <s v="WS"/>
    <n v="6"/>
    <n v="0.22860424801127616"/>
    <x v="10"/>
    <x v="1"/>
    <n v="900"/>
    <x v="0"/>
    <m/>
  </r>
  <r>
    <s v="PPT1_BOI04"/>
    <s v="S1CS05225-WS"/>
    <n v="300"/>
    <s v="207208114"/>
    <s v="WS"/>
    <n v="6"/>
    <n v="0.22860424801127616"/>
    <x v="4"/>
    <x v="1"/>
    <n v="900"/>
    <x v="0"/>
    <m/>
  </r>
  <r>
    <s v="PPT1_BOI04"/>
    <s v="S1CS05225-WS"/>
    <n v="300"/>
    <s v="207198894"/>
    <s v="WS"/>
    <n v="6"/>
    <n v="0.22860424801127616"/>
    <x v="14"/>
    <x v="1"/>
    <n v="900"/>
    <x v="0"/>
    <m/>
  </r>
  <r>
    <s v="PPT1_BOI04"/>
    <s v="S1CS05225-WS"/>
    <n v="300"/>
    <s v="207198535"/>
    <s v="WS"/>
    <n v="6"/>
    <n v="0.22860424801127616"/>
    <x v="5"/>
    <x v="1"/>
    <n v="900"/>
    <x v="0"/>
    <m/>
  </r>
  <r>
    <s v="PPT1_BOI04"/>
    <s v="S1CS05225-WS"/>
    <n v="300"/>
    <s v="207198843"/>
    <s v="WS"/>
    <n v="6"/>
    <n v="0.22860424801127616"/>
    <x v="3"/>
    <x v="1"/>
    <n v="900"/>
    <x v="0"/>
    <m/>
  </r>
  <r>
    <s v="PPT1_BOI04"/>
    <s v="S1CS05225-WS"/>
    <n v="300"/>
    <s v="207198887"/>
    <s v="WS"/>
    <n v="6"/>
    <n v="0.22860424801127616"/>
    <x v="1"/>
    <x v="1"/>
    <n v="900"/>
    <x v="0"/>
    <m/>
  </r>
  <r>
    <s v="PPT1_BOI04"/>
    <s v="S1CS05225-WS"/>
    <n v="300"/>
    <s v="207208119"/>
    <s v="WS"/>
    <n v="6"/>
    <n v="0.22860424801127616"/>
    <x v="10"/>
    <x v="1"/>
    <n v="900"/>
    <x v="0"/>
    <m/>
  </r>
  <r>
    <s v="PPT1_BOI04"/>
    <s v="S1CS05225-WS"/>
    <n v="300"/>
    <s v="207198821"/>
    <s v="WS"/>
    <n v="6"/>
    <n v="0.22860424801127616"/>
    <x v="4"/>
    <x v="1"/>
    <n v="900"/>
    <x v="0"/>
    <m/>
  </r>
  <r>
    <s v="PPT1_BOI04"/>
    <s v="S1CS05225-WS"/>
    <n v="300"/>
    <s v="207208118"/>
    <s v="WS"/>
    <n v="6"/>
    <n v="0.22860424801127616"/>
    <x v="14"/>
    <x v="1"/>
    <n v="900"/>
    <x v="0"/>
    <m/>
  </r>
  <r>
    <s v="PPT1_BOI04"/>
    <s v="S1CS05225-WS"/>
    <n v="300"/>
    <s v="207198565"/>
    <s v="WS"/>
    <n v="6"/>
    <n v="0.22860424801127616"/>
    <x v="5"/>
    <x v="1"/>
    <n v="900"/>
    <x v="0"/>
    <m/>
  </r>
  <r>
    <s v="PPT1_BOI04"/>
    <s v="S1CS05225-WS"/>
    <n v="300"/>
    <s v="207208113"/>
    <s v="WS"/>
    <n v="6"/>
    <n v="0.22860424801127616"/>
    <x v="3"/>
    <x v="1"/>
    <n v="900"/>
    <x v="0"/>
    <m/>
  </r>
  <r>
    <s v="PPT1_BOI04"/>
    <s v="S1CS05394-WS"/>
    <n v="100"/>
    <s v="207200005"/>
    <s v="WS"/>
    <n v="2"/>
    <n v="0.16591267126012443"/>
    <x v="7"/>
    <x v="1"/>
    <n v="900"/>
    <x v="0"/>
    <m/>
  </r>
  <r>
    <s v="PPT1_BOI04"/>
    <s v="S1CS06361-WS"/>
    <n v="300"/>
    <s v="207199933"/>
    <s v="WS"/>
    <n v="6"/>
    <n v="0.30716753022452503"/>
    <x v="9"/>
    <x v="1"/>
    <n v="900"/>
    <x v="0"/>
    <m/>
  </r>
  <r>
    <s v="PPT1_BOI04"/>
    <s v="S1CS06362-WS"/>
    <n v="300"/>
    <s v="207200259"/>
    <s v="WS"/>
    <n v="6"/>
    <n v="0.31191637247182924"/>
    <x v="0"/>
    <x v="1"/>
    <n v="900"/>
    <x v="0"/>
    <m/>
  </r>
  <r>
    <s v="PPT1_BOI04"/>
    <s v="S1CS06784-52-WS"/>
    <n v="60"/>
    <s v="207199709"/>
    <s v="WS"/>
    <n v="1"/>
    <n v="0.14839326080239384"/>
    <x v="12"/>
    <x v="1"/>
    <n v="900"/>
    <x v="0"/>
    <m/>
  </r>
  <r>
    <s v="PPT1_BOI04"/>
    <s v="S1CS06784-58-WS"/>
    <n v="60"/>
    <s v="207200346"/>
    <s v="WS"/>
    <n v="2"/>
    <n v="0.14839326080239384"/>
    <x v="17"/>
    <x v="1"/>
    <n v="900"/>
    <x v="0"/>
    <m/>
  </r>
  <r>
    <s v="PPT1_BOI04"/>
    <s v="S1CS06788-WS"/>
    <n v="100"/>
    <s v="207197383"/>
    <s v="WS"/>
    <n v="4"/>
    <n v="0.12462695133149679"/>
    <x v="13"/>
    <x v="1"/>
    <n v="900"/>
    <x v="0"/>
    <m/>
  </r>
  <r>
    <s v="PPT1_BOI04"/>
    <s v="S1CS07194-WS"/>
    <n v="900"/>
    <s v="207198910"/>
    <s v="WS"/>
    <n v="13"/>
    <n v="0.59211455840373695"/>
    <x v="11"/>
    <x v="1"/>
    <n v="900"/>
    <x v="0"/>
    <m/>
  </r>
  <r>
    <s v="PPT1_BOI04"/>
    <s v="S1CS07194-WS"/>
    <n v="900"/>
    <s v="207199141"/>
    <s v="WS"/>
    <n v="13"/>
    <n v="0.59211455840373695"/>
    <x v="9"/>
    <x v="1"/>
    <n v="900"/>
    <x v="0"/>
    <m/>
  </r>
  <r>
    <s v="PPT1_BOI04"/>
    <s v="S1CS07194-WS"/>
    <n v="900"/>
    <s v="207199073"/>
    <s v="WS"/>
    <n v="13"/>
    <n v="0.59211455840373695"/>
    <x v="0"/>
    <x v="1"/>
    <n v="900"/>
    <x v="0"/>
    <m/>
  </r>
  <r>
    <s v="PPT1_BOI04"/>
    <s v="S1CS07194-WS"/>
    <n v="900"/>
    <s v="207197505"/>
    <s v="WS"/>
    <n v="13"/>
    <n v="0.59211455840373695"/>
    <x v="12"/>
    <x v="1"/>
    <n v="900"/>
    <x v="0"/>
    <m/>
  </r>
  <r>
    <s v="PPT1_BOI04"/>
    <s v="S1CS07218-WS"/>
    <n v="900"/>
    <s v="207200089"/>
    <s v="WS"/>
    <n v="7"/>
    <n v="0.65168881794123179"/>
    <x v="17"/>
    <x v="1"/>
    <n v="900"/>
    <x v="0"/>
    <m/>
  </r>
  <r>
    <s v="PPT1_BOI04"/>
    <s v="S1CS07218-WS"/>
    <n v="900"/>
    <s v="207200254"/>
    <s v="WS"/>
    <n v="7"/>
    <n v="0.65168881794123179"/>
    <x v="13"/>
    <x v="1"/>
    <n v="900"/>
    <x v="0"/>
    <m/>
  </r>
  <r>
    <s v="PPT1_BOI04"/>
    <s v="S1CS07218-WS"/>
    <n v="900"/>
    <s v="207200218"/>
    <s v="WS"/>
    <n v="7"/>
    <n v="0.65168881794123179"/>
    <x v="15"/>
    <x v="1"/>
    <n v="900"/>
    <x v="0"/>
    <m/>
  </r>
  <r>
    <s v="PPT1_BOI04"/>
    <s v="S1CS07218-WS"/>
    <n v="900"/>
    <s v="207200284"/>
    <s v="WS"/>
    <n v="7"/>
    <n v="0.65168881794123179"/>
    <x v="7"/>
    <x v="1"/>
    <n v="900"/>
    <x v="0"/>
    <m/>
  </r>
  <r>
    <s v="PPT1_BOI04"/>
    <s v="S1CS06559-WS"/>
    <n v="440"/>
    <s v="207199194"/>
    <s v="WS"/>
    <n v="6"/>
    <n v="0.64220751556746103"/>
    <x v="11"/>
    <x v="1"/>
    <n v="880"/>
    <x v="0"/>
    <m/>
  </r>
  <r>
    <s v="PPT1_BOI04"/>
    <s v="S1CS06171-WS"/>
    <n v="800"/>
    <s v="207197437"/>
    <s v="WS"/>
    <n v="7"/>
    <n v="0.18506989477159805"/>
    <x v="9"/>
    <x v="1"/>
    <n v="800"/>
    <x v="0"/>
    <m/>
  </r>
  <r>
    <s v="PPT1_BOI04"/>
    <s v="S1CS06932-54-WS"/>
    <n v="30"/>
    <s v="207199286"/>
    <s v="WS"/>
    <n v="2"/>
    <n v="0.11689350381300842"/>
    <x v="0"/>
    <x v="1"/>
    <n v="750"/>
    <x v="0"/>
    <m/>
  </r>
  <r>
    <s v="PPT1_BOI04"/>
    <s v="S1CS04808-50-WS"/>
    <n v="100"/>
    <s v="207197513"/>
    <s v="WS"/>
    <n v="2"/>
    <n v="0.1833469502122298"/>
    <x v="12"/>
    <x v="1"/>
    <n v="700"/>
    <x v="0"/>
    <m/>
  </r>
  <r>
    <s v="PPT1_BOI04"/>
    <s v="S1CS05231-WS"/>
    <n v="100"/>
    <s v="207197643"/>
    <s v="WS"/>
    <n v="3"/>
    <n v="7.3425855913231017E-2"/>
    <x v="13"/>
    <x v="1"/>
    <n v="700"/>
    <x v="0"/>
    <m/>
  </r>
  <r>
    <s v="PPT1_BOI04"/>
    <s v="S1CS06268-WS"/>
    <n v="70"/>
    <s v="207199136"/>
    <s v="WS"/>
    <n v="11"/>
    <n v="0.18760139092782893"/>
    <x v="17"/>
    <x v="1"/>
    <n v="700"/>
    <x v="0"/>
    <m/>
  </r>
  <r>
    <s v="PPT1_BOI04"/>
    <s v="S1CS06612-WS"/>
    <n v="140"/>
    <s v="207198568"/>
    <s v="WS"/>
    <n v="2"/>
    <n v="0.23725160929191155"/>
    <x v="11"/>
    <x v="1"/>
    <n v="700"/>
    <x v="0"/>
    <m/>
  </r>
  <r>
    <s v="PPT1_BOI04"/>
    <s v="S1CS07280-48-WS"/>
    <n v="100"/>
    <s v="207197408"/>
    <s v="WS"/>
    <n v="2"/>
    <n v="0.29232804232804238"/>
    <x v="15"/>
    <x v="1"/>
    <n v="700"/>
    <x v="0"/>
    <m/>
  </r>
  <r>
    <s v="PPT1_BOI04"/>
    <s v="S1CS07280-58-WS"/>
    <n v="100"/>
    <s v="207199822"/>
    <s v="WS"/>
    <n v="2"/>
    <n v="0.29232804232804238"/>
    <x v="7"/>
    <x v="1"/>
    <n v="700"/>
    <x v="0"/>
    <m/>
  </r>
  <r>
    <s v="PPT1_BOI04"/>
    <s v="S1CS07059-WS"/>
    <n v="330"/>
    <s v="207200699"/>
    <s v="WS"/>
    <n v="9"/>
    <n v="0.94196298204929996"/>
    <x v="9"/>
    <x v="1"/>
    <n v="660"/>
    <x v="0"/>
    <m/>
  </r>
  <r>
    <s v="PPT1_BOI04"/>
    <s v="S1CS07059-WS"/>
    <n v="330"/>
    <s v="207200701"/>
    <s v="WS"/>
    <n v="9"/>
    <n v="0.94196298204929996"/>
    <x v="0"/>
    <x v="1"/>
    <n v="660"/>
    <x v="0"/>
    <m/>
  </r>
  <r>
    <s v="PPT1_BOI04"/>
    <s v="S1CS07059-WS"/>
    <n v="330"/>
    <s v="207200702"/>
    <s v="WS"/>
    <n v="9"/>
    <n v="0.94196298204929996"/>
    <x v="12"/>
    <x v="1"/>
    <n v="660"/>
    <x v="0"/>
    <m/>
  </r>
  <r>
    <s v="PPT1_BOI04"/>
    <s v="S1CS07059-WS"/>
    <n v="330"/>
    <s v="207200686"/>
    <s v="WS"/>
    <n v="9"/>
    <n v="0.94196298204929996"/>
    <x v="17"/>
    <x v="1"/>
    <n v="660"/>
    <x v="0"/>
    <m/>
  </r>
  <r>
    <s v="PPT1_BOI04"/>
    <s v="S1CS07059-WS"/>
    <n v="330"/>
    <s v="207200697"/>
    <s v="WS"/>
    <n v="9"/>
    <n v="0.94196298204929996"/>
    <x v="13"/>
    <x v="1"/>
    <n v="660"/>
    <x v="0"/>
    <m/>
  </r>
  <r>
    <s v="PPT1_BOI04"/>
    <s v="S1CS07059-WS"/>
    <n v="330"/>
    <s v="207200698"/>
    <s v="WS"/>
    <n v="9"/>
    <n v="0.94196298204929996"/>
    <x v="15"/>
    <x v="1"/>
    <n v="660"/>
    <x v="0"/>
    <m/>
  </r>
  <r>
    <s v="PPT1_BOI04"/>
    <s v="S1CS07059-WS"/>
    <n v="330"/>
    <s v="207200700"/>
    <s v="WS"/>
    <n v="9"/>
    <n v="0.94196298204929996"/>
    <x v="7"/>
    <x v="1"/>
    <n v="660"/>
    <x v="0"/>
    <m/>
  </r>
  <r>
    <s v="PPT1_BOI04"/>
    <s v="S1CS07217-WS"/>
    <n v="220"/>
    <s v="207199690"/>
    <s v="WS"/>
    <n v="17"/>
    <n v="0.39216496588213218"/>
    <x v="11"/>
    <x v="1"/>
    <n v="660"/>
    <x v="0"/>
    <m/>
  </r>
  <r>
    <s v="PPT1_BOI04"/>
    <s v="S1CS07217-WS"/>
    <n v="220"/>
    <s v="207199667"/>
    <s v="WS"/>
    <n v="17"/>
    <n v="0.39216496588213218"/>
    <x v="18"/>
    <x v="1"/>
    <n v="660"/>
    <x v="0"/>
    <m/>
  </r>
  <r>
    <s v="PPT1_BOI04"/>
    <s v="S1CS04782-WS"/>
    <n v="160"/>
    <s v="207197990"/>
    <s v="WS"/>
    <n v="3"/>
    <n v="0.21554891856093064"/>
    <x v="6"/>
    <x v="1"/>
    <n v="640"/>
    <x v="0"/>
    <m/>
  </r>
  <r>
    <s v="PPT1_BOI04"/>
    <s v="S1CS04784-WS"/>
    <n v="160"/>
    <s v="207198286"/>
    <s v="WS"/>
    <n v="3"/>
    <n v="0.27289791487071613"/>
    <x v="16"/>
    <x v="1"/>
    <n v="640"/>
    <x v="0"/>
    <m/>
  </r>
  <r>
    <s v="PPT1_BOI04"/>
    <s v="S1CS07109-WS"/>
    <n v="90"/>
    <s v="207200252"/>
    <s v="WS"/>
    <n v="6"/>
    <n v="0.13889201349831271"/>
    <x v="9"/>
    <x v="1"/>
    <n v="630"/>
    <x v="0"/>
    <m/>
  </r>
  <r>
    <s v="PPT1_BOI04"/>
    <s v="S1CS07110-WS"/>
    <n v="90"/>
    <s v="207200379"/>
    <s v="WS"/>
    <n v="8"/>
    <n v="0.12890609967288821"/>
    <x v="0"/>
    <x v="1"/>
    <n v="630"/>
    <x v="0"/>
    <m/>
  </r>
  <r>
    <s v="PPT1_BOI04"/>
    <s v="S1CS00107-WS"/>
    <n v="300"/>
    <s v="207197214"/>
    <s v="WS"/>
    <n v="3"/>
    <n v="0.37607809118060548"/>
    <x v="12"/>
    <x v="1"/>
    <n v="600"/>
    <x v="0"/>
    <m/>
  </r>
  <r>
    <s v="PPT1_BOI04"/>
    <s v="S1CS00107-WS"/>
    <n v="300"/>
    <s v="207197213"/>
    <s v="WS"/>
    <n v="3"/>
    <n v="0.37607809118060548"/>
    <x v="17"/>
    <x v="1"/>
    <n v="600"/>
    <x v="0"/>
    <m/>
  </r>
  <r>
    <s v="PPT1_BOI04"/>
    <s v="S1CS00107-WS"/>
    <n v="300"/>
    <s v="207197211"/>
    <s v="WS"/>
    <n v="3"/>
    <n v="0.37607809118060548"/>
    <x v="13"/>
    <x v="1"/>
    <n v="600"/>
    <x v="0"/>
    <m/>
  </r>
  <r>
    <s v="PPT1_BOI04"/>
    <s v="S1CS00107-WS"/>
    <n v="300"/>
    <s v="207197208"/>
    <s v="WS"/>
    <n v="3"/>
    <n v="0.37607809118060548"/>
    <x v="12"/>
    <x v="1"/>
    <n v="600"/>
    <x v="0"/>
    <m/>
  </r>
  <r>
    <s v="PPT1_BOI04"/>
    <s v="S1CS00107-WS"/>
    <n v="300"/>
    <s v="207197210"/>
    <s v="WS"/>
    <n v="3"/>
    <n v="0.37607809118060548"/>
    <x v="17"/>
    <x v="1"/>
    <n v="600"/>
    <x v="0"/>
    <m/>
  </r>
  <r>
    <s v="PPT1_BOI04"/>
    <s v="S1CS03159-WS"/>
    <n v="200"/>
    <s v="207208166"/>
    <s v="WS"/>
    <n v="3"/>
    <n v="0.24511243488329801"/>
    <x v="7"/>
    <x v="1"/>
    <n v="600"/>
    <x v="0"/>
    <m/>
  </r>
  <r>
    <s v="PPT1_BOI04"/>
    <s v="S1CS03160-WS"/>
    <n v="200"/>
    <s v="207208147"/>
    <s v="WS"/>
    <n v="8"/>
    <n v="0.20052731032785767"/>
    <x v="15"/>
    <x v="1"/>
    <n v="600"/>
    <x v="0"/>
    <m/>
  </r>
  <r>
    <s v="PPT1_BOI04"/>
    <s v="S1CS03200-WS"/>
    <n v="300"/>
    <s v="207197835"/>
    <s v="WS"/>
    <n v="3"/>
    <n v="0.43343532378733696"/>
    <x v="11"/>
    <x v="1"/>
    <n v="600"/>
    <x v="0"/>
    <m/>
  </r>
  <r>
    <s v="PPT1_BOI04"/>
    <s v="S1CS04074-WS"/>
    <n v="300"/>
    <s v="207198008"/>
    <s v="WS"/>
    <n v="2"/>
    <n v="0.50150037766943623"/>
    <x v="18"/>
    <x v="1"/>
    <n v="600"/>
    <x v="0"/>
    <m/>
  </r>
  <r>
    <s v="PPT1_BOI04"/>
    <s v="S1CS04074-WS"/>
    <n v="300"/>
    <s v="207198331"/>
    <s v="WS"/>
    <n v="2"/>
    <n v="0.50150037766943623"/>
    <x v="6"/>
    <x v="1"/>
    <n v="600"/>
    <x v="0"/>
    <m/>
  </r>
  <r>
    <s v="PPT1_BOI04"/>
    <s v="S1CS04074-WS"/>
    <n v="300"/>
    <s v="207198180"/>
    <s v="WS"/>
    <n v="2"/>
    <n v="0.50150037766943623"/>
    <x v="18"/>
    <x v="1"/>
    <n v="600"/>
    <x v="0"/>
    <m/>
  </r>
  <r>
    <s v="PPT1_BOI04"/>
    <s v="S1CS04074-WS"/>
    <n v="300"/>
    <s v="207198263"/>
    <s v="WS"/>
    <n v="2"/>
    <n v="0.50150037766943623"/>
    <x v="6"/>
    <x v="1"/>
    <n v="600"/>
    <x v="0"/>
    <m/>
  </r>
  <r>
    <s v="PPT1_BOI04"/>
    <s v="S1CS04074-WS"/>
    <n v="300"/>
    <s v="207197946"/>
    <s v="WS"/>
    <n v="2"/>
    <n v="0.50150037766943623"/>
    <x v="18"/>
    <x v="1"/>
    <n v="600"/>
    <x v="0"/>
    <m/>
  </r>
  <r>
    <s v="PPT1_BOI04"/>
    <s v="S1CS04074-WS"/>
    <n v="300"/>
    <s v="207198052"/>
    <s v="WS"/>
    <n v="2"/>
    <n v="0.50150037766943623"/>
    <x v="6"/>
    <x v="1"/>
    <n v="600"/>
    <x v="0"/>
    <m/>
  </r>
  <r>
    <s v="PPT1_BOI04"/>
    <s v="S1CS04074-WS"/>
    <n v="300"/>
    <s v="207197874"/>
    <s v="WS"/>
    <n v="2"/>
    <n v="0.50150037766943623"/>
    <x v="18"/>
    <x v="1"/>
    <n v="600"/>
    <x v="0"/>
    <m/>
  </r>
  <r>
    <s v="PPT1_BOI04"/>
    <s v="S1CS04507-WS"/>
    <n v="300"/>
    <s v="207197298"/>
    <s v="WS"/>
    <n v="3"/>
    <n v="0.50222477543346566"/>
    <x v="16"/>
    <x v="1"/>
    <n v="600"/>
    <x v="0"/>
    <m/>
  </r>
  <r>
    <s v="PPT1_BOI04"/>
    <s v="S1CS04507-WS"/>
    <n v="300"/>
    <s v="207197265"/>
    <s v="WS"/>
    <n v="3"/>
    <n v="0.50222477543346566"/>
    <x v="9"/>
    <x v="1"/>
    <n v="600"/>
    <x v="0"/>
    <m/>
  </r>
  <r>
    <s v="PPT1_BOI04"/>
    <s v="S1CS05229-52-WS"/>
    <n v="50"/>
    <s v="207197730"/>
    <s v="WS"/>
    <n v="6"/>
    <n v="0.13642022927468112"/>
    <x v="0"/>
    <x v="1"/>
    <n v="600"/>
    <x v="0"/>
    <m/>
  </r>
  <r>
    <s v="PPT1_BOI04"/>
    <s v="S1CS05229-54-WS"/>
    <n v="50"/>
    <s v="207198581"/>
    <s v="WS"/>
    <n v="8"/>
    <n v="0.13642022927468112"/>
    <x v="13"/>
    <x v="1"/>
    <n v="600"/>
    <x v="0"/>
    <m/>
  </r>
  <r>
    <s v="PPT1_BOI04"/>
    <s v="S1CS05229-56-WS"/>
    <n v="50"/>
    <s v="207197430"/>
    <s v="WS"/>
    <n v="7"/>
    <n v="0.13642022927468112"/>
    <x v="15"/>
    <x v="1"/>
    <n v="600"/>
    <x v="0"/>
    <m/>
  </r>
  <r>
    <s v="PPT1_BOI04"/>
    <s v="S1CS06361-WS"/>
    <n v="200"/>
    <s v="207200162"/>
    <s v="WS"/>
    <n v="6"/>
    <n v="0.20477835348301668"/>
    <x v="7"/>
    <x v="1"/>
    <n v="600"/>
    <x v="0"/>
    <m/>
  </r>
  <r>
    <s v="PPT1_BOI04"/>
    <s v="S1CS06362-WS"/>
    <n v="200"/>
    <s v="207200315"/>
    <s v="WS"/>
    <n v="6"/>
    <n v="0.20794424831455283"/>
    <x v="11"/>
    <x v="1"/>
    <n v="600"/>
    <x v="0"/>
    <m/>
  </r>
  <r>
    <s v="PPT1_BOI04"/>
    <s v="S1CS06510-WS"/>
    <n v="300"/>
    <s v="207199692"/>
    <s v="WS"/>
    <n v="2"/>
    <n v="0.53113908514943442"/>
    <x v="16"/>
    <x v="1"/>
    <n v="600"/>
    <x v="0"/>
    <m/>
  </r>
  <r>
    <s v="PPT1_BOI04"/>
    <s v="S1CS06510-WS"/>
    <n v="300"/>
    <s v="207199553"/>
    <s v="WS"/>
    <n v="2"/>
    <n v="0.53113908514943442"/>
    <x v="9"/>
    <x v="1"/>
    <n v="600"/>
    <x v="0"/>
    <m/>
  </r>
  <r>
    <s v="PPT1_BOI04"/>
    <s v="S1CS06510-WS"/>
    <n v="300"/>
    <s v="207199497"/>
    <s v="WS"/>
    <n v="2"/>
    <n v="0.53113908514943442"/>
    <x v="16"/>
    <x v="1"/>
    <n v="600"/>
    <x v="0"/>
    <m/>
  </r>
  <r>
    <s v="PPT1_BOI04"/>
    <s v="S1CS06511-WS"/>
    <n v="300"/>
    <s v="207200020"/>
    <s v="WS"/>
    <n v="2"/>
    <n v="0.4718393120086718"/>
    <x v="0"/>
    <x v="1"/>
    <n v="600"/>
    <x v="0"/>
    <m/>
  </r>
  <r>
    <s v="PPT1_BOI04"/>
    <s v="S1CS06511-WS"/>
    <n v="300"/>
    <s v="207200072"/>
    <s v="WS"/>
    <n v="2"/>
    <n v="0.4718393120086718"/>
    <x v="12"/>
    <x v="1"/>
    <n v="600"/>
    <x v="0"/>
    <m/>
  </r>
  <r>
    <s v="PPT1_BOI04"/>
    <s v="S1CS06511-WS"/>
    <n v="300"/>
    <s v="207199957"/>
    <s v="WS"/>
    <n v="2"/>
    <n v="0.4718393120086718"/>
    <x v="0"/>
    <x v="1"/>
    <n v="600"/>
    <x v="0"/>
    <m/>
  </r>
  <r>
    <s v="PPT1_BOI04"/>
    <s v="S1CS07194-WS"/>
    <n v="600"/>
    <s v="207199115"/>
    <s v="WS"/>
    <n v="13"/>
    <n v="0.39474303893582469"/>
    <x v="17"/>
    <x v="1"/>
    <n v="600"/>
    <x v="0"/>
    <m/>
  </r>
  <r>
    <s v="PPT1_BOI04"/>
    <s v="S1CS07194-WS"/>
    <n v="600"/>
    <s v="207197523"/>
    <s v="WS"/>
    <n v="13"/>
    <n v="0.39474303893582469"/>
    <x v="13"/>
    <x v="1"/>
    <n v="600"/>
    <x v="0"/>
    <m/>
  </r>
  <r>
    <s v="PPT1_BOI04"/>
    <s v="S1CS06289-WS"/>
    <n v="540"/>
    <s v="207197847"/>
    <s v="WS"/>
    <n v="26"/>
    <n v="0.85910603031938959"/>
    <x v="15"/>
    <x v="1"/>
    <n v="540"/>
    <x v="0"/>
    <m/>
  </r>
  <r>
    <s v="PPT1_BOI04"/>
    <s v="S1CS04781-WS"/>
    <n v="100"/>
    <s v="207197915"/>
    <s v="WS"/>
    <n v="1"/>
    <n v="0.19676080653001021"/>
    <x v="11"/>
    <x v="1"/>
    <n v="500"/>
    <x v="0"/>
    <m/>
  </r>
  <r>
    <s v="PPT1_BOI04"/>
    <s v="S1CS04785-WS"/>
    <n v="100"/>
    <s v="207198948"/>
    <s v="WS"/>
    <n v="2"/>
    <n v="0.12641542315410947"/>
    <x v="17"/>
    <x v="1"/>
    <n v="500"/>
    <x v="0"/>
    <m/>
  </r>
  <r>
    <s v="PPT1_BOI04"/>
    <s v="S1CS04786-WS"/>
    <n v="100"/>
    <s v="207197777"/>
    <s v="WS"/>
    <n v="2"/>
    <n v="0.16611395791034195"/>
    <x v="7"/>
    <x v="1"/>
    <n v="500"/>
    <x v="0"/>
    <m/>
  </r>
  <r>
    <s v="PPT1_BOI04"/>
    <s v="S1CS06677-WS"/>
    <n v="100"/>
    <s v="207198358"/>
    <s v="WS"/>
    <n v="2"/>
    <n v="0.14192868527749242"/>
    <x v="9"/>
    <x v="1"/>
    <n v="500"/>
    <x v="0"/>
    <m/>
  </r>
  <r>
    <s v="PPT1_BOI04"/>
    <s v="S1CS05460-WS"/>
    <n v="240"/>
    <s v="207199095"/>
    <s v="WS"/>
    <n v="10"/>
    <n v="0.48005574466381007"/>
    <x v="12"/>
    <x v="1"/>
    <n v="480"/>
    <x v="0"/>
    <m/>
  </r>
  <r>
    <s v="PPT1_BOI04"/>
    <s v="S1CS05460-WS"/>
    <n v="240"/>
    <s v="207199126"/>
    <s v="WS"/>
    <n v="10"/>
    <n v="0.48005574466381007"/>
    <x v="7"/>
    <x v="1"/>
    <n v="480"/>
    <x v="0"/>
    <m/>
  </r>
  <r>
    <s v="PPT1_BOI04"/>
    <s v="S1CS05460-WS"/>
    <n v="240"/>
    <s v="207199175"/>
    <s v="WS"/>
    <n v="10"/>
    <n v="0.48005574466381007"/>
    <x v="11"/>
    <x v="1"/>
    <n v="480"/>
    <x v="0"/>
    <m/>
  </r>
  <r>
    <s v="PPT1_BOI04"/>
    <s v="S1CS05460-WS"/>
    <n v="240"/>
    <s v="207198407"/>
    <s v="WS"/>
    <n v="10"/>
    <n v="0.48005574466381007"/>
    <x v="15"/>
    <x v="1"/>
    <n v="480"/>
    <x v="0"/>
    <m/>
  </r>
  <r>
    <s v="PPT1_BOI04"/>
    <s v="S1CS05460-WS"/>
    <n v="240"/>
    <s v="207198411"/>
    <s v="WS"/>
    <n v="10"/>
    <n v="0.48005574466381007"/>
    <x v="13"/>
    <x v="1"/>
    <n v="480"/>
    <x v="0"/>
    <m/>
  </r>
  <r>
    <s v="PPT1_BOI04"/>
    <s v="S1CS05460-WS"/>
    <n v="240"/>
    <s v="207198465"/>
    <s v="WS"/>
    <n v="10"/>
    <n v="0.48005574466381007"/>
    <x v="6"/>
    <x v="1"/>
    <n v="480"/>
    <x v="0"/>
    <m/>
  </r>
  <r>
    <s v="PPT1_BOI04"/>
    <s v="S1CS05460-WS"/>
    <n v="240"/>
    <s v="207198462"/>
    <s v="WS"/>
    <n v="10"/>
    <n v="0.48005574466381007"/>
    <x v="9"/>
    <x v="1"/>
    <n v="480"/>
    <x v="0"/>
    <m/>
  </r>
  <r>
    <s v="PPT1_BOI04"/>
    <s v="S1CS05460-WS"/>
    <n v="240"/>
    <s v="207198502"/>
    <s v="WS"/>
    <n v="10"/>
    <n v="0.48005574466381007"/>
    <x v="16"/>
    <x v="1"/>
    <n v="480"/>
    <x v="0"/>
    <m/>
  </r>
  <r>
    <s v="PPT1_BOI04"/>
    <s v="S1CS05460-WS"/>
    <n v="240"/>
    <s v="207199025"/>
    <s v="WS"/>
    <n v="10"/>
    <n v="0.48005574466381007"/>
    <x v="12"/>
    <x v="1"/>
    <n v="480"/>
    <x v="0"/>
    <m/>
  </r>
  <r>
    <s v="PPT1_BOI04"/>
    <s v="S1CS05460-WS"/>
    <n v="240"/>
    <s v="207198416"/>
    <s v="WS"/>
    <n v="10"/>
    <n v="0.48005574466381007"/>
    <x v="0"/>
    <x v="1"/>
    <n v="480"/>
    <x v="0"/>
    <m/>
  </r>
  <r>
    <s v="PPT1_BOI04"/>
    <s v="S1CS05460-WS"/>
    <n v="240"/>
    <s v="207199634"/>
    <s v="WS"/>
    <n v="10"/>
    <n v="0.48005574466381007"/>
    <x v="7"/>
    <x v="1"/>
    <n v="480"/>
    <x v="0"/>
    <m/>
  </r>
  <r>
    <s v="PPT1_BOI04"/>
    <s v="S1CS05460-WS"/>
    <n v="240"/>
    <s v="207199229"/>
    <s v="WS"/>
    <n v="10"/>
    <n v="0.48005574466381007"/>
    <x v="11"/>
    <x v="1"/>
    <n v="480"/>
    <x v="0"/>
    <m/>
  </r>
  <r>
    <s v="PPT1_BOI04"/>
    <s v="S1CS05460-WS"/>
    <n v="240"/>
    <s v="207199609"/>
    <s v="WS"/>
    <n v="10"/>
    <n v="0.48005574466381007"/>
    <x v="15"/>
    <x v="1"/>
    <n v="480"/>
    <x v="0"/>
    <m/>
  </r>
  <r>
    <s v="PPT1_BOI04"/>
    <s v="S1CS05460-WS"/>
    <n v="240"/>
    <s v="207199588"/>
    <s v="WS"/>
    <n v="10"/>
    <n v="0.48005574466381007"/>
    <x v="13"/>
    <x v="1"/>
    <n v="480"/>
    <x v="0"/>
    <m/>
  </r>
  <r>
    <s v="PPT1_BOI04"/>
    <s v="S1CS05460-WS"/>
    <n v="240"/>
    <s v="207199188"/>
    <s v="WS"/>
    <n v="10"/>
    <n v="0.48005574466381007"/>
    <x v="17"/>
    <x v="1"/>
    <n v="480"/>
    <x v="0"/>
    <m/>
  </r>
  <r>
    <s v="PPT1_BOI04"/>
    <s v="S1CS05460-WS"/>
    <n v="240"/>
    <s v="207199217"/>
    <s v="WS"/>
    <n v="10"/>
    <n v="0.48005574466381007"/>
    <x v="6"/>
    <x v="1"/>
    <n v="480"/>
    <x v="0"/>
    <m/>
  </r>
  <r>
    <s v="PPT1_BOI04"/>
    <s v="S1CS05795-WS"/>
    <n v="450"/>
    <s v="207198260"/>
    <s v="WS"/>
    <n v="2"/>
    <n v="0.57438347718865601"/>
    <x v="9"/>
    <x v="1"/>
    <n v="450"/>
    <x v="0"/>
    <m/>
  </r>
  <r>
    <s v="PPT1_BOI04"/>
    <s v="S1CS05795-WS"/>
    <n v="450"/>
    <s v="207198177"/>
    <s v="WS"/>
    <n v="2"/>
    <n v="0.57438347718865601"/>
    <x v="16"/>
    <x v="1"/>
    <n v="450"/>
    <x v="0"/>
    <m/>
  </r>
  <r>
    <s v="PPT1_BOI04"/>
    <s v="S1CS06327-WS"/>
    <n v="225"/>
    <s v="207200012"/>
    <s v="WS"/>
    <n v="4"/>
    <n v="0.54568976830752347"/>
    <x v="18"/>
    <x v="1"/>
    <n v="450"/>
    <x v="0"/>
    <m/>
  </r>
  <r>
    <s v="PPT1_BOI04"/>
    <s v="S1CS06327-WS"/>
    <n v="225"/>
    <s v="207200231"/>
    <s v="WS"/>
    <n v="4"/>
    <n v="0.54568976830752347"/>
    <x v="1"/>
    <x v="1"/>
    <n v="450"/>
    <x v="0"/>
    <m/>
  </r>
  <r>
    <s v="PPT1_BOI04"/>
    <s v="S1CS06327-WS"/>
    <n v="225"/>
    <s v="207200268"/>
    <s v="WS"/>
    <n v="4"/>
    <n v="0.54568976830752347"/>
    <x v="12"/>
    <x v="1"/>
    <n v="450"/>
    <x v="0"/>
    <m/>
  </r>
  <r>
    <s v="PPT1_BOI04"/>
    <s v="S1CS06327-WS"/>
    <n v="225"/>
    <s v="207200234"/>
    <s v="WS"/>
    <n v="4"/>
    <n v="0.54568976830752347"/>
    <x v="0"/>
    <x v="1"/>
    <n v="450"/>
    <x v="0"/>
    <m/>
  </r>
  <r>
    <s v="PPT1_BOI04"/>
    <s v="S1CS06327-WS"/>
    <n v="225"/>
    <s v="207200008"/>
    <s v="WS"/>
    <n v="4"/>
    <n v="0.54568976830752347"/>
    <x v="18"/>
    <x v="1"/>
    <n v="450"/>
    <x v="0"/>
    <m/>
  </r>
  <r>
    <s v="PPT1_BOI04"/>
    <s v="S1CS06327-WS"/>
    <n v="225"/>
    <s v="207199420"/>
    <s v="WS"/>
    <n v="4"/>
    <n v="0.54568976830752347"/>
    <x v="1"/>
    <x v="1"/>
    <n v="450"/>
    <x v="0"/>
    <m/>
  </r>
  <r>
    <s v="PPT1_BOI04"/>
    <s v="S1CS06327-WS"/>
    <n v="225"/>
    <s v="207199340"/>
    <s v="WS"/>
    <n v="4"/>
    <n v="0.54568976830752347"/>
    <x v="12"/>
    <x v="1"/>
    <n v="450"/>
    <x v="0"/>
    <m/>
  </r>
  <r>
    <s v="PPT1_BOI04"/>
    <s v="S1CS06327-WS"/>
    <n v="225"/>
    <s v="207199426"/>
    <s v="WS"/>
    <n v="4"/>
    <n v="0.54568976830752347"/>
    <x v="0"/>
    <x v="1"/>
    <n v="450"/>
    <x v="0"/>
    <m/>
  </r>
  <r>
    <s v="PPT1_BOI04"/>
    <s v="S1CS06327-WS"/>
    <n v="225"/>
    <s v="207199823"/>
    <s v="WS"/>
    <n v="4"/>
    <n v="0.54568976830752347"/>
    <x v="18"/>
    <x v="1"/>
    <n v="450"/>
    <x v="0"/>
    <m/>
  </r>
  <r>
    <s v="PPT1_BOI04"/>
    <s v="S1CS06327-WS"/>
    <n v="225"/>
    <s v="207199473"/>
    <s v="WS"/>
    <n v="4"/>
    <n v="0.54568976830752347"/>
    <x v="1"/>
    <x v="1"/>
    <n v="450"/>
    <x v="0"/>
    <m/>
  </r>
  <r>
    <s v="PPT1_BOI04"/>
    <s v="S1CS06327-WS"/>
    <n v="225"/>
    <s v="207199172"/>
    <s v="WS"/>
    <n v="4"/>
    <n v="0.54568976830752347"/>
    <x v="12"/>
    <x v="1"/>
    <n v="450"/>
    <x v="0"/>
    <m/>
  </r>
  <r>
    <s v="PPT1_BOI04"/>
    <s v="S1CS06327-WS"/>
    <n v="225"/>
    <s v="207198497"/>
    <s v="WS"/>
    <n v="4"/>
    <n v="0.54568976830752347"/>
    <x v="0"/>
    <x v="1"/>
    <n v="450"/>
    <x v="0"/>
    <m/>
  </r>
  <r>
    <s v="PPT1_BOI04"/>
    <s v="S1CS06327-WS"/>
    <n v="225"/>
    <s v="207199230"/>
    <s v="WS"/>
    <n v="4"/>
    <n v="0.54568976830752347"/>
    <x v="18"/>
    <x v="1"/>
    <n v="450"/>
    <x v="0"/>
    <m/>
  </r>
  <r>
    <s v="PPT1_BOI04"/>
    <s v="S1CS06327-WS"/>
    <n v="225"/>
    <s v="207199285"/>
    <s v="WS"/>
    <n v="4"/>
    <n v="0.54568976830752347"/>
    <x v="1"/>
    <x v="1"/>
    <n v="450"/>
    <x v="0"/>
    <m/>
  </r>
  <r>
    <s v="PPT1_BOI04"/>
    <s v="S1CS06327-WS"/>
    <n v="225"/>
    <s v="207199279"/>
    <s v="WS"/>
    <n v="4"/>
    <n v="0.54568976830752347"/>
    <x v="12"/>
    <x v="1"/>
    <n v="450"/>
    <x v="0"/>
    <m/>
  </r>
  <r>
    <s v="PPT1_BOI04"/>
    <s v="S1CS06327-WS"/>
    <n v="225"/>
    <s v="207199924"/>
    <s v="WS"/>
    <n v="4"/>
    <n v="0.54568976830752347"/>
    <x v="0"/>
    <x v="1"/>
    <n v="450"/>
    <x v="0"/>
    <m/>
  </r>
  <r>
    <s v="PPT1_BOI04"/>
    <s v="S1CS06327-WS"/>
    <n v="225"/>
    <s v="207199922"/>
    <s v="WS"/>
    <n v="4"/>
    <n v="0.54568976830752347"/>
    <x v="18"/>
    <x v="1"/>
    <n v="450"/>
    <x v="0"/>
    <m/>
  </r>
  <r>
    <s v="PPT1_BOI04"/>
    <s v="S1CS06327-WS"/>
    <n v="225"/>
    <s v="207199984"/>
    <s v="WS"/>
    <n v="4"/>
    <n v="0.54568976830752347"/>
    <x v="1"/>
    <x v="1"/>
    <n v="450"/>
    <x v="0"/>
    <m/>
  </r>
  <r>
    <s v="PPT1_BOI04"/>
    <s v="S1CS06327-WS"/>
    <n v="225"/>
    <s v="207199978"/>
    <s v="WS"/>
    <n v="4"/>
    <n v="0.54568976830752347"/>
    <x v="12"/>
    <x v="1"/>
    <n v="450"/>
    <x v="0"/>
    <m/>
  </r>
  <r>
    <s v="PPT1_BOI04"/>
    <s v="S1CS06327-WS"/>
    <n v="225"/>
    <s v="207199886"/>
    <s v="WS"/>
    <n v="4"/>
    <n v="0.54568976830752347"/>
    <x v="0"/>
    <x v="1"/>
    <n v="450"/>
    <x v="0"/>
    <m/>
  </r>
  <r>
    <s v="PPT1_BOI04"/>
    <s v="S1CS06327-WS"/>
    <n v="225"/>
    <s v="207199877"/>
    <s v="WS"/>
    <n v="4"/>
    <n v="0.54568976830752347"/>
    <x v="18"/>
    <x v="1"/>
    <n v="450"/>
    <x v="0"/>
    <m/>
  </r>
  <r>
    <s v="PPT1_BOI04"/>
    <s v="S1CS06327-WS"/>
    <n v="225"/>
    <s v="207199882"/>
    <s v="WS"/>
    <n v="4"/>
    <n v="0.54568976830752347"/>
    <x v="1"/>
    <x v="1"/>
    <n v="450"/>
    <x v="0"/>
    <m/>
  </r>
  <r>
    <s v="PPT1_BOI04"/>
    <s v="S1CS06328-WS"/>
    <n v="225"/>
    <s v="207199837"/>
    <s v="WS"/>
    <n v="4"/>
    <n v="0.54568976830752347"/>
    <x v="7"/>
    <x v="1"/>
    <n v="450"/>
    <x v="0"/>
    <m/>
  </r>
  <r>
    <s v="PPT1_BOI04"/>
    <s v="S1CS06330-WS"/>
    <n v="225"/>
    <s v="207200261"/>
    <s v="WS"/>
    <n v="4"/>
    <n v="0.54568976830752347"/>
    <x v="11"/>
    <x v="1"/>
    <n v="450"/>
    <x v="0"/>
    <m/>
  </r>
  <r>
    <s v="PPT1_BOI04"/>
    <s v="S1CS06330-WS"/>
    <n v="225"/>
    <s v="207200216"/>
    <s v="WS"/>
    <n v="4"/>
    <n v="0.54568976830752347"/>
    <x v="15"/>
    <x v="1"/>
    <n v="450"/>
    <x v="0"/>
    <m/>
  </r>
  <r>
    <s v="PPT1_BOI04"/>
    <s v="S1CS06332-WS"/>
    <n v="225"/>
    <s v="207199539"/>
    <s v="WS"/>
    <n v="4"/>
    <n v="0.54568976830752347"/>
    <x v="13"/>
    <x v="1"/>
    <n v="450"/>
    <x v="0"/>
    <m/>
  </r>
  <r>
    <s v="PPT1_BOI04"/>
    <s v="S1CS06332-WS"/>
    <n v="225"/>
    <s v="207199580"/>
    <s v="WS"/>
    <n v="4"/>
    <n v="0.54568976830752347"/>
    <x v="17"/>
    <x v="1"/>
    <n v="450"/>
    <x v="0"/>
    <m/>
  </r>
  <r>
    <s v="PPT1_BOI04"/>
    <s v="S1CS06332-WS"/>
    <n v="225"/>
    <s v="207199052"/>
    <s v="WS"/>
    <n v="4"/>
    <n v="0.54568976830752347"/>
    <x v="9"/>
    <x v="1"/>
    <n v="450"/>
    <x v="0"/>
    <m/>
  </r>
  <r>
    <s v="PPT1_BOI04"/>
    <s v="S1CS06332-WS"/>
    <n v="225"/>
    <s v="207199103"/>
    <s v="WS"/>
    <n v="4"/>
    <n v="0.54568976830752347"/>
    <x v="6"/>
    <x v="1"/>
    <n v="450"/>
    <x v="0"/>
    <m/>
  </r>
  <r>
    <s v="PPT1_BOI04"/>
    <s v="S1CS06332-WS"/>
    <n v="225"/>
    <s v="207198505"/>
    <s v="WS"/>
    <n v="4"/>
    <n v="0.54568976830752347"/>
    <x v="13"/>
    <x v="1"/>
    <n v="450"/>
    <x v="0"/>
    <m/>
  </r>
  <r>
    <s v="PPT1_BOI04"/>
    <s v="S1CS06332-WS"/>
    <n v="225"/>
    <s v="207198359"/>
    <s v="WS"/>
    <n v="4"/>
    <n v="0.54568976830752347"/>
    <x v="17"/>
    <x v="1"/>
    <n v="450"/>
    <x v="0"/>
    <m/>
  </r>
  <r>
    <s v="PPT1_BOI04"/>
    <s v="S1CS06332-WS"/>
    <n v="225"/>
    <s v="207199661"/>
    <s v="WS"/>
    <n v="4"/>
    <n v="0.54568976830752347"/>
    <x v="9"/>
    <x v="1"/>
    <n v="450"/>
    <x v="0"/>
    <m/>
  </r>
  <r>
    <s v="PPT1_BOI04"/>
    <s v="S1CS06332-WS"/>
    <n v="225"/>
    <s v="207199719"/>
    <s v="WS"/>
    <n v="4"/>
    <n v="0.54568976830752347"/>
    <x v="6"/>
    <x v="1"/>
    <n v="450"/>
    <x v="0"/>
    <m/>
  </r>
  <r>
    <s v="PPT1_BOI04"/>
    <s v="S1CS06332-WS"/>
    <n v="225"/>
    <s v="207198977"/>
    <s v="WS"/>
    <n v="4"/>
    <n v="0.54568976830752347"/>
    <x v="13"/>
    <x v="1"/>
    <n v="450"/>
    <x v="0"/>
    <m/>
  </r>
  <r>
    <s v="PPT1_BOI04"/>
    <s v="S1CS06332-WS"/>
    <n v="225"/>
    <s v="207198679"/>
    <s v="WS"/>
    <n v="4"/>
    <n v="0.54568976830752347"/>
    <x v="17"/>
    <x v="1"/>
    <n v="450"/>
    <x v="0"/>
    <m/>
  </r>
  <r>
    <s v="PPT1_BOI04"/>
    <s v="S1CS06332-WS"/>
    <n v="225"/>
    <s v="207198739"/>
    <s v="WS"/>
    <n v="4"/>
    <n v="0.54568976830752347"/>
    <x v="9"/>
    <x v="1"/>
    <n v="450"/>
    <x v="0"/>
    <m/>
  </r>
  <r>
    <s v="PPT1_BOI04"/>
    <s v="S1CS06332-WS"/>
    <n v="225"/>
    <s v="207198574"/>
    <s v="WS"/>
    <n v="4"/>
    <n v="0.54568976830752347"/>
    <x v="6"/>
    <x v="1"/>
    <n v="450"/>
    <x v="0"/>
    <m/>
  </r>
  <r>
    <s v="PPT1_BOI04"/>
    <s v="S1CS06332-WS"/>
    <n v="225"/>
    <s v="207198632"/>
    <s v="WS"/>
    <n v="4"/>
    <n v="0.54568976830752347"/>
    <x v="13"/>
    <x v="1"/>
    <n v="450"/>
    <x v="0"/>
    <m/>
  </r>
  <r>
    <s v="PPT1_BOI04"/>
    <s v="S1CS06332-WS"/>
    <n v="225"/>
    <s v="207198800"/>
    <s v="WS"/>
    <n v="4"/>
    <n v="0.54568976830752347"/>
    <x v="17"/>
    <x v="1"/>
    <n v="450"/>
    <x v="0"/>
    <m/>
  </r>
  <r>
    <s v="PPT1_BOI04"/>
    <s v="S1CS06332-WS"/>
    <n v="225"/>
    <s v="207198864"/>
    <s v="WS"/>
    <n v="4"/>
    <n v="0.54568976830752347"/>
    <x v="9"/>
    <x v="1"/>
    <n v="450"/>
    <x v="0"/>
    <m/>
  </r>
  <r>
    <s v="PPT1_BOI04"/>
    <s v="S1CS06332-WS"/>
    <n v="225"/>
    <s v="207198572"/>
    <s v="WS"/>
    <n v="4"/>
    <n v="0.54568976830752347"/>
    <x v="6"/>
    <x v="1"/>
    <n v="450"/>
    <x v="0"/>
    <m/>
  </r>
  <r>
    <s v="PPT1_BOI04"/>
    <s v="S1CS06332-WS"/>
    <n v="225"/>
    <s v="207198746"/>
    <s v="WS"/>
    <n v="4"/>
    <n v="0.54568976830752347"/>
    <x v="13"/>
    <x v="1"/>
    <n v="450"/>
    <x v="0"/>
    <m/>
  </r>
  <r>
    <s v="PPT1_BOI04"/>
    <s v="S1CS06332-WS"/>
    <n v="225"/>
    <s v="207197948"/>
    <s v="WS"/>
    <n v="4"/>
    <n v="0.54568976830752347"/>
    <x v="17"/>
    <x v="1"/>
    <n v="450"/>
    <x v="0"/>
    <m/>
  </r>
  <r>
    <s v="PPT1_BOI04"/>
    <s v="S1CS06332-WS"/>
    <n v="225"/>
    <s v="207198002"/>
    <s v="WS"/>
    <n v="4"/>
    <n v="0.54568976830752347"/>
    <x v="9"/>
    <x v="1"/>
    <n v="450"/>
    <x v="0"/>
    <m/>
  </r>
  <r>
    <s v="PPT1_BOI04"/>
    <s v="S1CS06332-WS"/>
    <n v="225"/>
    <s v="207198858"/>
    <s v="WS"/>
    <n v="4"/>
    <n v="0.54568976830752347"/>
    <x v="6"/>
    <x v="1"/>
    <n v="450"/>
    <x v="0"/>
    <m/>
  </r>
  <r>
    <s v="PPT1_BOI04"/>
    <s v="S1CS06332-WS"/>
    <n v="225"/>
    <s v="207197809"/>
    <s v="WS"/>
    <n v="4"/>
    <n v="0.54568976830752347"/>
    <x v="13"/>
    <x v="1"/>
    <n v="450"/>
    <x v="0"/>
    <m/>
  </r>
  <r>
    <s v="PPT1_BOI04"/>
    <s v="S1CS06332-WS"/>
    <n v="225"/>
    <s v="207197848"/>
    <s v="WS"/>
    <n v="4"/>
    <n v="0.54568976830752347"/>
    <x v="17"/>
    <x v="1"/>
    <n v="450"/>
    <x v="0"/>
    <m/>
  </r>
  <r>
    <s v="PPT1_BOI04"/>
    <s v="S1CS06332-WS"/>
    <n v="225"/>
    <s v="207198274"/>
    <s v="WS"/>
    <n v="4"/>
    <n v="0.54568976830752347"/>
    <x v="9"/>
    <x v="1"/>
    <n v="450"/>
    <x v="0"/>
    <m/>
  </r>
  <r>
    <s v="PPT1_BOI04"/>
    <s v="S1CS06332-WS"/>
    <n v="225"/>
    <s v="207198203"/>
    <s v="WS"/>
    <n v="4"/>
    <n v="0.54568976830752347"/>
    <x v="6"/>
    <x v="1"/>
    <n v="450"/>
    <x v="0"/>
    <m/>
  </r>
  <r>
    <s v="PPT1_BOI04"/>
    <s v="S1CS06332-WS"/>
    <n v="225"/>
    <s v="207198127"/>
    <s v="WS"/>
    <n v="4"/>
    <n v="0.54568976830752347"/>
    <x v="13"/>
    <x v="1"/>
    <n v="450"/>
    <x v="0"/>
    <m/>
  </r>
  <r>
    <s v="PPT1_BOI04"/>
    <s v="S1CS06332-WS"/>
    <n v="225"/>
    <s v="207197856"/>
    <s v="WS"/>
    <n v="4"/>
    <n v="0.54568976830752347"/>
    <x v="17"/>
    <x v="1"/>
    <n v="450"/>
    <x v="0"/>
    <m/>
  </r>
  <r>
    <s v="PPT1_BOI04"/>
    <s v="S1CS06334-WS"/>
    <n v="225"/>
    <s v="207200568"/>
    <s v="WS"/>
    <n v="4"/>
    <n v="0.54568976830752347"/>
    <x v="16"/>
    <x v="1"/>
    <n v="450"/>
    <x v="0"/>
    <m/>
  </r>
  <r>
    <s v="PPT1_BOI04"/>
    <s v="S1CS06334-WS"/>
    <n v="225"/>
    <s v="207198512"/>
    <s v="WS"/>
    <n v="4"/>
    <n v="0.54568976830752347"/>
    <x v="7"/>
    <x v="1"/>
    <n v="450"/>
    <x v="0"/>
    <m/>
  </r>
  <r>
    <s v="PPT1_BOI04"/>
    <s v="S1CS06334-WS"/>
    <n v="225"/>
    <s v="207198432"/>
    <s v="WS"/>
    <n v="4"/>
    <n v="0.54568976830752347"/>
    <x v="11"/>
    <x v="1"/>
    <n v="450"/>
    <x v="0"/>
    <m/>
  </r>
  <r>
    <s v="PPT1_BOI04"/>
    <s v="S1CS06334-WS"/>
    <n v="225"/>
    <s v="207200122"/>
    <s v="WS"/>
    <n v="4"/>
    <n v="0.54568976830752347"/>
    <x v="10"/>
    <x v="1"/>
    <n v="450"/>
    <x v="0"/>
    <m/>
  </r>
  <r>
    <s v="PPT1_BOI04"/>
    <s v="S1CS06334-WS"/>
    <n v="225"/>
    <s v="207199365"/>
    <s v="WS"/>
    <n v="4"/>
    <n v="0.54568976830752347"/>
    <x v="16"/>
    <x v="1"/>
    <n v="450"/>
    <x v="0"/>
    <m/>
  </r>
  <r>
    <s v="PPT1_BOI04"/>
    <s v="S1CS06334-WS"/>
    <n v="225"/>
    <s v="207198472"/>
    <s v="WS"/>
    <n v="4"/>
    <n v="0.54568976830752347"/>
    <x v="7"/>
    <x v="1"/>
    <n v="450"/>
    <x v="0"/>
    <m/>
  </r>
  <r>
    <s v="PPT1_BOI04"/>
    <s v="S1CS06334-WS"/>
    <n v="225"/>
    <s v="207198397"/>
    <s v="WS"/>
    <n v="4"/>
    <n v="0.54568976830752347"/>
    <x v="11"/>
    <x v="1"/>
    <n v="450"/>
    <x v="0"/>
    <m/>
  </r>
  <r>
    <s v="PPT1_BOI04"/>
    <s v="S1CS06334-WS"/>
    <n v="225"/>
    <s v="207199448"/>
    <s v="WS"/>
    <n v="4"/>
    <n v="0.54568976830752347"/>
    <x v="10"/>
    <x v="1"/>
    <n v="450"/>
    <x v="0"/>
    <m/>
  </r>
  <r>
    <s v="PPT1_BOI04"/>
    <s v="S1CS06334-WS"/>
    <n v="225"/>
    <s v="207198332"/>
    <s v="WS"/>
    <n v="4"/>
    <n v="0.54568976830752347"/>
    <x v="16"/>
    <x v="1"/>
    <n v="450"/>
    <x v="0"/>
    <m/>
  </r>
  <r>
    <s v="PPT1_BOI04"/>
    <s v="S1CS06334-WS"/>
    <n v="225"/>
    <s v="207200105"/>
    <s v="WS"/>
    <n v="4"/>
    <n v="0.54568976830752347"/>
    <x v="7"/>
    <x v="1"/>
    <n v="450"/>
    <x v="0"/>
    <m/>
  </r>
  <r>
    <s v="PPT1_BOI04"/>
    <s v="S1CS06334-WS"/>
    <n v="225"/>
    <s v="207200048"/>
    <s v="WS"/>
    <n v="4"/>
    <n v="0.54568976830752347"/>
    <x v="11"/>
    <x v="1"/>
    <n v="450"/>
    <x v="0"/>
    <m/>
  </r>
  <r>
    <s v="PPT1_BOI04"/>
    <s v="S1CS06334-WS"/>
    <n v="225"/>
    <s v="207199797"/>
    <s v="WS"/>
    <n v="4"/>
    <n v="0.54568976830752347"/>
    <x v="10"/>
    <x v="1"/>
    <n v="450"/>
    <x v="0"/>
    <m/>
  </r>
  <r>
    <s v="PPT1_BOI04"/>
    <s v="S1CS06334-WS"/>
    <n v="225"/>
    <s v="207199627"/>
    <s v="WS"/>
    <n v="4"/>
    <n v="0.54568976830752347"/>
    <x v="16"/>
    <x v="1"/>
    <n v="450"/>
    <x v="0"/>
    <m/>
  </r>
  <r>
    <s v="PPT1_BOI04"/>
    <s v="S1CS06334-WS"/>
    <n v="225"/>
    <s v="207200067"/>
    <s v="WS"/>
    <n v="4"/>
    <n v="0.54568976830752347"/>
    <x v="7"/>
    <x v="1"/>
    <n v="450"/>
    <x v="0"/>
    <m/>
  </r>
  <r>
    <s v="PPT1_BOI04"/>
    <s v="S1CS06334-WS"/>
    <n v="225"/>
    <s v="207200055"/>
    <s v="WS"/>
    <n v="4"/>
    <n v="0.54568976830752347"/>
    <x v="11"/>
    <x v="1"/>
    <n v="450"/>
    <x v="0"/>
    <m/>
  </r>
  <r>
    <s v="PPT1_BOI04"/>
    <s v="S1CS06334-WS"/>
    <n v="225"/>
    <s v="207199908"/>
    <s v="WS"/>
    <n v="4"/>
    <n v="0.54568976830752347"/>
    <x v="10"/>
    <x v="1"/>
    <n v="450"/>
    <x v="0"/>
    <m/>
  </r>
  <r>
    <s v="PPT1_BOI04"/>
    <s v="S1CS06334-WS"/>
    <n v="225"/>
    <s v="207199847"/>
    <s v="WS"/>
    <n v="4"/>
    <n v="0.54568976830752347"/>
    <x v="16"/>
    <x v="1"/>
    <n v="450"/>
    <x v="0"/>
    <m/>
  </r>
  <r>
    <s v="PPT1_BOI04"/>
    <s v="S1CS06334-WS"/>
    <n v="225"/>
    <s v="207200025"/>
    <s v="WS"/>
    <n v="4"/>
    <n v="0.54568976830752347"/>
    <x v="7"/>
    <x v="1"/>
    <n v="450"/>
    <x v="0"/>
    <m/>
  </r>
  <r>
    <s v="PPT1_BOI04"/>
    <s v="S1CS06334-WS"/>
    <n v="225"/>
    <s v="207200043"/>
    <s v="WS"/>
    <n v="4"/>
    <n v="0.54568976830752347"/>
    <x v="11"/>
    <x v="1"/>
    <n v="450"/>
    <x v="0"/>
    <m/>
  </r>
  <r>
    <s v="PPT1_BOI04"/>
    <s v="S1CS06334-WS"/>
    <n v="225"/>
    <s v="207199806"/>
    <s v="WS"/>
    <n v="4"/>
    <n v="0.54568976830752347"/>
    <x v="10"/>
    <x v="1"/>
    <n v="450"/>
    <x v="0"/>
    <m/>
  </r>
  <r>
    <s v="PPT1_BOI04"/>
    <s v="S1CS06334-WS"/>
    <n v="225"/>
    <s v="207199591"/>
    <s v="WS"/>
    <n v="4"/>
    <n v="0.54568976830752347"/>
    <x v="16"/>
    <x v="1"/>
    <n v="450"/>
    <x v="0"/>
    <m/>
  </r>
  <r>
    <s v="PPT1_BOI04"/>
    <s v="S1CS06334-WS"/>
    <n v="225"/>
    <s v="207200096"/>
    <s v="WS"/>
    <n v="4"/>
    <n v="0.54568976830752347"/>
    <x v="7"/>
    <x v="1"/>
    <n v="450"/>
    <x v="0"/>
    <m/>
  </r>
  <r>
    <s v="PPT1_BOI04"/>
    <s v="S1CS06334-WS"/>
    <n v="225"/>
    <s v="207199499"/>
    <s v="WS"/>
    <n v="4"/>
    <n v="0.54568976830752347"/>
    <x v="11"/>
    <x v="1"/>
    <n v="450"/>
    <x v="0"/>
    <m/>
  </r>
  <r>
    <s v="PPT1_BOI04"/>
    <s v="S1CS06334-WS"/>
    <n v="225"/>
    <s v="207200099"/>
    <s v="WS"/>
    <n v="4"/>
    <n v="0.54568976830752347"/>
    <x v="10"/>
    <x v="1"/>
    <n v="450"/>
    <x v="0"/>
    <m/>
  </r>
  <r>
    <s v="PPT1_BOI04"/>
    <s v="S1CS06334-WS"/>
    <n v="225"/>
    <s v="207200102"/>
    <s v="WS"/>
    <n v="4"/>
    <n v="0.54568976830752347"/>
    <x v="16"/>
    <x v="1"/>
    <n v="450"/>
    <x v="0"/>
    <m/>
  </r>
  <r>
    <s v="PPT1_BOI04"/>
    <s v="S1CS06334-WS"/>
    <n v="225"/>
    <s v="207199870"/>
    <s v="WS"/>
    <n v="4"/>
    <n v="0.54568976830752347"/>
    <x v="7"/>
    <x v="1"/>
    <n v="450"/>
    <x v="0"/>
    <m/>
  </r>
  <r>
    <s v="PPT1_BOI04"/>
    <s v="S1CS06334-WS"/>
    <n v="225"/>
    <s v="207199568"/>
    <s v="WS"/>
    <n v="4"/>
    <n v="0.54568976830752347"/>
    <x v="11"/>
    <x v="1"/>
    <n v="450"/>
    <x v="0"/>
    <m/>
  </r>
  <r>
    <s v="PPT1_BOI04"/>
    <s v="S1CS06334-WS"/>
    <n v="225"/>
    <s v="207200071"/>
    <s v="WS"/>
    <n v="4"/>
    <n v="0.54568976830752347"/>
    <x v="10"/>
    <x v="1"/>
    <n v="450"/>
    <x v="0"/>
    <m/>
  </r>
  <r>
    <s v="PPT1_BOI04"/>
    <s v="S1CS06334-WS"/>
    <n v="225"/>
    <s v="207200074"/>
    <s v="WS"/>
    <n v="4"/>
    <n v="0.54568976830752347"/>
    <x v="16"/>
    <x v="1"/>
    <n v="450"/>
    <x v="0"/>
    <m/>
  </r>
  <r>
    <s v="PPT1_BOI04"/>
    <s v="S1CS06334-WS"/>
    <n v="225"/>
    <s v="207199522"/>
    <s v="WS"/>
    <n v="4"/>
    <n v="0.54568976830752347"/>
    <x v="7"/>
    <x v="1"/>
    <n v="450"/>
    <x v="0"/>
    <m/>
  </r>
  <r>
    <s v="PPT1_BOI04"/>
    <s v="S1CS06334-WS"/>
    <n v="225"/>
    <s v="207200090"/>
    <s v="WS"/>
    <n v="4"/>
    <n v="0.54568976830752347"/>
    <x v="11"/>
    <x v="1"/>
    <n v="450"/>
    <x v="0"/>
    <m/>
  </r>
  <r>
    <s v="PPT1_BOI04"/>
    <s v="S1CS06334-WS"/>
    <n v="225"/>
    <s v="207200564"/>
    <s v="WS"/>
    <n v="4"/>
    <n v="0.54568976830752347"/>
    <x v="10"/>
    <x v="1"/>
    <n v="450"/>
    <x v="0"/>
    <m/>
  </r>
  <r>
    <s v="PPT1_BOI04"/>
    <s v="S1CS06334-WS"/>
    <n v="225"/>
    <s v="207199264"/>
    <s v="WS"/>
    <n v="4"/>
    <n v="0.54568976830752347"/>
    <x v="16"/>
    <x v="1"/>
    <n v="450"/>
    <x v="0"/>
    <m/>
  </r>
  <r>
    <s v="PPT1_BOI04"/>
    <s v="S1CS06334-WS"/>
    <n v="225"/>
    <s v="207199319"/>
    <s v="WS"/>
    <n v="4"/>
    <n v="0.54568976830752347"/>
    <x v="7"/>
    <x v="1"/>
    <n v="450"/>
    <x v="0"/>
    <m/>
  </r>
  <r>
    <s v="PPT1_BOI04"/>
    <s v="S1CS06334-WS"/>
    <n v="225"/>
    <s v="207199893"/>
    <s v="WS"/>
    <n v="4"/>
    <n v="0.54568976830752347"/>
    <x v="11"/>
    <x v="1"/>
    <n v="450"/>
    <x v="0"/>
    <m/>
  </r>
  <r>
    <s v="PPT1_BOI04"/>
    <s v="S1CS06334-WS"/>
    <n v="225"/>
    <s v="207199196"/>
    <s v="WS"/>
    <n v="4"/>
    <n v="0.54568976830752347"/>
    <x v="10"/>
    <x v="1"/>
    <n v="450"/>
    <x v="0"/>
    <m/>
  </r>
  <r>
    <s v="PPT1_BOI04"/>
    <s v="S1CS06334-WS"/>
    <n v="225"/>
    <s v="207199225"/>
    <s v="WS"/>
    <n v="4"/>
    <n v="0.54568976830752347"/>
    <x v="16"/>
    <x v="1"/>
    <n v="450"/>
    <x v="0"/>
    <m/>
  </r>
  <r>
    <s v="PPT1_BOI04"/>
    <s v="S1CS06334-WS"/>
    <n v="225"/>
    <s v="207198351"/>
    <s v="WS"/>
    <n v="4"/>
    <n v="0.54568976830752347"/>
    <x v="7"/>
    <x v="1"/>
    <n v="450"/>
    <x v="0"/>
    <m/>
  </r>
  <r>
    <s v="PPT1_BOI04"/>
    <s v="S1CS06334-WS"/>
    <n v="225"/>
    <s v="207199333"/>
    <s v="WS"/>
    <n v="4"/>
    <n v="0.54568976830752347"/>
    <x v="11"/>
    <x v="1"/>
    <n v="450"/>
    <x v="0"/>
    <m/>
  </r>
  <r>
    <s v="PPT1_BOI04"/>
    <s v="S1CS06334-WS"/>
    <n v="225"/>
    <s v="207200139"/>
    <s v="WS"/>
    <n v="4"/>
    <n v="0.54568976830752347"/>
    <x v="10"/>
    <x v="1"/>
    <n v="450"/>
    <x v="0"/>
    <m/>
  </r>
  <r>
    <s v="PPT1_BOI04"/>
    <s v="S1CS06334-WS"/>
    <n v="225"/>
    <s v="207200557"/>
    <s v="WS"/>
    <n v="4"/>
    <n v="0.54568976830752347"/>
    <x v="16"/>
    <x v="1"/>
    <n v="450"/>
    <x v="0"/>
    <m/>
  </r>
  <r>
    <s v="PPT1_BOI04"/>
    <s v="S1CS06334-WS"/>
    <n v="225"/>
    <s v="207200179"/>
    <s v="WS"/>
    <n v="4"/>
    <n v="0.54568976830752347"/>
    <x v="7"/>
    <x v="1"/>
    <n v="450"/>
    <x v="0"/>
    <m/>
  </r>
  <r>
    <s v="PPT1_BOI04"/>
    <s v="S1CS06334-WS"/>
    <n v="225"/>
    <s v="207200184"/>
    <s v="WS"/>
    <n v="4"/>
    <n v="0.54568976830752347"/>
    <x v="11"/>
    <x v="1"/>
    <n v="450"/>
    <x v="0"/>
    <m/>
  </r>
  <r>
    <s v="PPT1_BOI04"/>
    <s v="S1CS06334-WS"/>
    <n v="225"/>
    <s v="207200125"/>
    <s v="WS"/>
    <n v="4"/>
    <n v="0.54568976830752347"/>
    <x v="10"/>
    <x v="1"/>
    <n v="450"/>
    <x v="0"/>
    <m/>
  </r>
  <r>
    <s v="PPT1_BOI04"/>
    <s v="S1CS06334-WS"/>
    <n v="225"/>
    <s v="207200143"/>
    <s v="WS"/>
    <n v="4"/>
    <n v="0.54568976830752347"/>
    <x v="16"/>
    <x v="1"/>
    <n v="450"/>
    <x v="0"/>
    <m/>
  </r>
  <r>
    <s v="PPT1_BOI04"/>
    <s v="S1CS07385-WS"/>
    <n v="225"/>
    <s v="207200696"/>
    <s v="WS"/>
    <n v="3"/>
    <n v="0.45783794072859318"/>
    <x v="4"/>
    <x v="1"/>
    <n v="450"/>
    <x v="0"/>
    <m/>
  </r>
  <r>
    <s v="PPT1_BOI04"/>
    <s v="S1CS07385-WS"/>
    <n v="225"/>
    <s v="207200503"/>
    <s v="WS"/>
    <n v="3"/>
    <n v="0.45783794072859318"/>
    <x v="15"/>
    <x v="1"/>
    <n v="450"/>
    <x v="0"/>
    <m/>
  </r>
  <r>
    <s v="PPT1_BOI04"/>
    <s v="S1CS07385-WS"/>
    <n v="225"/>
    <s v="207200639"/>
    <s v="WS"/>
    <n v="3"/>
    <n v="0.45783794072859318"/>
    <x v="14"/>
    <x v="1"/>
    <n v="450"/>
    <x v="0"/>
    <m/>
  </r>
  <r>
    <s v="PPT1_BOI04"/>
    <s v="S1CS07385-WS"/>
    <n v="225"/>
    <s v="207200659"/>
    <s v="WS"/>
    <n v="3"/>
    <n v="0.45783794072859318"/>
    <x v="4"/>
    <x v="1"/>
    <n v="450"/>
    <x v="0"/>
    <m/>
  </r>
  <r>
    <s v="PPT1_BOI04"/>
    <s v="S1CS07385-WS"/>
    <n v="225"/>
    <s v="207200561"/>
    <s v="WS"/>
    <n v="3"/>
    <n v="0.45783794072859318"/>
    <x v="15"/>
    <x v="1"/>
    <n v="450"/>
    <x v="0"/>
    <m/>
  </r>
  <r>
    <s v="PPT1_BOI04"/>
    <s v="S1CS07385-WS"/>
    <n v="225"/>
    <s v="207200628"/>
    <s v="WS"/>
    <n v="3"/>
    <n v="0.45783794072859318"/>
    <x v="14"/>
    <x v="1"/>
    <n v="450"/>
    <x v="0"/>
    <m/>
  </r>
  <r>
    <s v="PPT1_BOI04"/>
    <s v="S1CS07385-WS"/>
    <n v="225"/>
    <s v="207200590"/>
    <s v="WS"/>
    <n v="3"/>
    <n v="0.45783794072859318"/>
    <x v="4"/>
    <x v="1"/>
    <n v="450"/>
    <x v="0"/>
    <m/>
  </r>
  <r>
    <s v="PPT1_BOI04"/>
    <s v="S1CS07385-WS"/>
    <n v="225"/>
    <s v="207200567"/>
    <s v="WS"/>
    <n v="3"/>
    <n v="0.45783794072859318"/>
    <x v="15"/>
    <x v="1"/>
    <n v="450"/>
    <x v="0"/>
    <m/>
  </r>
  <r>
    <s v="PPT1_BOI04"/>
    <s v="S1CS07385-WS"/>
    <n v="225"/>
    <s v="207200607"/>
    <s v="WS"/>
    <n v="3"/>
    <n v="0.45783794072859318"/>
    <x v="14"/>
    <x v="1"/>
    <n v="450"/>
    <x v="0"/>
    <m/>
  </r>
  <r>
    <s v="PPT1_BOI04"/>
    <s v="S1CS07385-WS"/>
    <n v="225"/>
    <s v="207200599"/>
    <s v="WS"/>
    <n v="3"/>
    <n v="0.45783794072859318"/>
    <x v="4"/>
    <x v="1"/>
    <n v="450"/>
    <x v="0"/>
    <m/>
  </r>
  <r>
    <s v="PPT1_BOI04"/>
    <s v="S1CS07385-WS"/>
    <n v="225"/>
    <s v="207200522"/>
    <s v="WS"/>
    <n v="3"/>
    <n v="0.45783794072859318"/>
    <x v="15"/>
    <x v="1"/>
    <n v="450"/>
    <x v="0"/>
    <m/>
  </r>
  <r>
    <s v="PPT1_BOI04"/>
    <s v="S1CS07385-WS"/>
    <n v="225"/>
    <s v="207200485"/>
    <s v="WS"/>
    <n v="3"/>
    <n v="0.45783794072859318"/>
    <x v="14"/>
    <x v="1"/>
    <n v="450"/>
    <x v="0"/>
    <m/>
  </r>
  <r>
    <s v="PPT1_BOI04"/>
    <s v="S1CS07385-WS"/>
    <n v="225"/>
    <s v="207200710"/>
    <s v="WS"/>
    <n v="3"/>
    <n v="0.45783794072859318"/>
    <x v="4"/>
    <x v="1"/>
    <n v="450"/>
    <x v="0"/>
    <m/>
  </r>
  <r>
    <s v="PPT1_BOI04"/>
    <s v="S1CS07385-WS"/>
    <n v="225"/>
    <s v="207200687"/>
    <s v="WS"/>
    <n v="3"/>
    <n v="0.45783794072859318"/>
    <x v="15"/>
    <x v="1"/>
    <n v="450"/>
    <x v="0"/>
    <m/>
  </r>
  <r>
    <s v="PPT1_BOI04"/>
    <s v="S1CS07385-WS"/>
    <n v="225"/>
    <s v="207200667"/>
    <s v="WS"/>
    <n v="3"/>
    <n v="0.45783794072859318"/>
    <x v="14"/>
    <x v="1"/>
    <n v="450"/>
    <x v="0"/>
    <m/>
  </r>
  <r>
    <s v="PPT1_BOI04"/>
    <s v="S1CS07385-WS"/>
    <n v="225"/>
    <s v="207200542"/>
    <s v="WS"/>
    <n v="3"/>
    <n v="0.45783794072859318"/>
    <x v="4"/>
    <x v="1"/>
    <n v="450"/>
    <x v="0"/>
    <m/>
  </r>
  <r>
    <s v="PPT1_BOI04"/>
    <s v="S1CS07385-WS"/>
    <n v="225"/>
    <s v="207200693"/>
    <s v="WS"/>
    <n v="3"/>
    <n v="0.45783794072859318"/>
    <x v="15"/>
    <x v="1"/>
    <n v="450"/>
    <x v="0"/>
    <m/>
  </r>
  <r>
    <s v="PPT1_BOI04"/>
    <s v="S1CS07059-WS"/>
    <n v="220"/>
    <s v="207200703"/>
    <s v="WS"/>
    <n v="9"/>
    <n v="0.62797532136619993"/>
    <x v="5"/>
    <x v="1"/>
    <n v="440"/>
    <x v="0"/>
    <m/>
  </r>
  <r>
    <s v="PPT1_BOI04"/>
    <s v="S1CS07281-WS"/>
    <n v="60"/>
    <s v="207200323"/>
    <s v="WS"/>
    <n v="9"/>
    <n v="9.6597984941334342E-2"/>
    <x v="3"/>
    <x v="1"/>
    <n v="420"/>
    <x v="0"/>
    <m/>
  </r>
  <r>
    <s v="PPT1_BOI04"/>
    <s v="S1CS04507-WS"/>
    <n v="200"/>
    <s v="207197305"/>
    <s v="WS"/>
    <n v="3"/>
    <n v="0.33481651695564374"/>
    <x v="5"/>
    <x v="1"/>
    <n v="400"/>
    <x v="0"/>
    <m/>
  </r>
  <r>
    <s v="PPT1_BOI04"/>
    <s v="S1CS04778-WS"/>
    <n v="80"/>
    <s v="207198018"/>
    <s v="WS"/>
    <n v="2"/>
    <n v="9.7599767926167036E-2"/>
    <x v="5"/>
    <x v="1"/>
    <n v="400"/>
    <x v="0"/>
    <m/>
  </r>
  <r>
    <s v="PPT1_BOI04"/>
    <s v="S1CS06510-WS"/>
    <n v="200"/>
    <s v="207199762"/>
    <s v="WS"/>
    <n v="2"/>
    <n v="0.35409272343295628"/>
    <x v="9"/>
    <x v="1"/>
    <n v="400"/>
    <x v="0"/>
    <m/>
  </r>
  <r>
    <s v="PPT1_BOI04"/>
    <s v="S1CS06511-WS"/>
    <n v="200"/>
    <s v="207200123"/>
    <s v="WS"/>
    <n v="2"/>
    <n v="0.31455954133911451"/>
    <x v="12"/>
    <x v="1"/>
    <n v="400"/>
    <x v="0"/>
    <m/>
  </r>
  <r>
    <s v="PPT1_BOI04"/>
    <s v="S1CS06558-WS"/>
    <n v="400"/>
    <s v="207198812"/>
    <s v="WS"/>
    <n v="3"/>
    <n v="0.55501300879172377"/>
    <x v="3"/>
    <x v="1"/>
    <n v="400"/>
    <x v="0"/>
    <m/>
  </r>
  <r>
    <s v="PPT1_BOI04"/>
    <s v="S1CS06289-WS"/>
    <n v="360"/>
    <s v="207197904"/>
    <s v="WS"/>
    <n v="26"/>
    <n v="0.57273735354625976"/>
    <x v="3"/>
    <x v="1"/>
    <n v="360"/>
    <x v="0"/>
    <m/>
  </r>
  <r>
    <s v="PPT1_BOI04"/>
    <s v="S1CS06289-WS"/>
    <n v="360"/>
    <s v="207197899"/>
    <s v="WS"/>
    <n v="26"/>
    <n v="0.57273735354625976"/>
    <x v="5"/>
    <x v="1"/>
    <n v="360"/>
    <x v="0"/>
    <m/>
  </r>
  <r>
    <s v="PPT1_BOI04"/>
    <s v="S1CS07216-WS"/>
    <n v="120"/>
    <s v="207198556"/>
    <s v="WS"/>
    <n v="11"/>
    <n v="0.21245266329435825"/>
    <x v="3"/>
    <x v="1"/>
    <n v="360"/>
    <x v="0"/>
    <m/>
  </r>
  <r>
    <s v="PPT1_BOI04"/>
    <s v="S1CS07216-WS"/>
    <n v="120"/>
    <s v="207197868"/>
    <s v="WS"/>
    <n v="11"/>
    <n v="0.21245266329435825"/>
    <x v="0"/>
    <x v="1"/>
    <n v="360"/>
    <x v="0"/>
    <m/>
  </r>
  <r>
    <s v="PPT1_BOI04"/>
    <s v="S1CS04787-WS"/>
    <n v="70"/>
    <s v="207198344"/>
    <s v="WS"/>
    <n v="3"/>
    <n v="0.11772241507787937"/>
    <x v="4"/>
    <x v="1"/>
    <n v="350"/>
    <x v="0"/>
    <m/>
  </r>
  <r>
    <s v="PPT1_BOI04"/>
    <s v="S1CS04808-48-WS"/>
    <n v="50"/>
    <s v="207197539"/>
    <s v="WS"/>
    <n v="5"/>
    <n v="9.1672895151790681E-2"/>
    <x v="5"/>
    <x v="1"/>
    <n v="350"/>
    <x v="0"/>
    <m/>
  </r>
  <r>
    <s v="PPT1_BOI04"/>
    <s v="S1CS04808-52-WS"/>
    <n v="50"/>
    <s v="207197527"/>
    <s v="WS"/>
    <n v="2"/>
    <n v="9.1672895151790681E-2"/>
    <x v="3"/>
    <x v="1"/>
    <n v="350"/>
    <x v="0"/>
    <m/>
  </r>
  <r>
    <s v="PPT1_BOI04"/>
    <s v="S1CS04808-56-WS"/>
    <n v="50"/>
    <s v="207197629"/>
    <s v="WS"/>
    <n v="5"/>
    <n v="9.1673475106114899E-2"/>
    <x v="18"/>
    <x v="1"/>
    <n v="350"/>
    <x v="0"/>
    <m/>
  </r>
  <r>
    <s v="PPT1_BOI04"/>
    <s v="S1CS04808-60-WS"/>
    <n v="50"/>
    <s v="207197234"/>
    <s v="WS"/>
    <n v="2"/>
    <n v="9.1672895151790681E-2"/>
    <x v="0"/>
    <x v="1"/>
    <n v="350"/>
    <x v="0"/>
    <m/>
  </r>
  <r>
    <s v="PPT1_BOI04"/>
    <s v="S1CS04808-62-WS"/>
    <n v="50"/>
    <s v="207198088"/>
    <s v="WS"/>
    <n v="4"/>
    <n v="9.1672895151790681E-2"/>
    <x v="12"/>
    <x v="1"/>
    <n v="350"/>
    <x v="0"/>
    <m/>
  </r>
  <r>
    <s v="PPT1_BOI04"/>
    <s v="S1CS04808-64-WS"/>
    <n v="50"/>
    <s v="207197626"/>
    <s v="WS"/>
    <n v="4"/>
    <n v="9.1672895151790681E-2"/>
    <x v="1"/>
    <x v="1"/>
    <n v="350"/>
    <x v="0"/>
    <m/>
  </r>
  <r>
    <s v="PPT1_BOI04"/>
    <s v="S1CS07280-52-WS"/>
    <n v="50"/>
    <s v="207198243"/>
    <s v="WS"/>
    <n v="3"/>
    <n v="0.14616402116402119"/>
    <x v="5"/>
    <x v="1"/>
    <n v="350"/>
    <x v="0"/>
    <m/>
  </r>
  <r>
    <s v="PPT1_BOI04"/>
    <s v="S1CS07280-52-WS"/>
    <n v="50"/>
    <s v="207198211"/>
    <s v="WS"/>
    <n v="3"/>
    <n v="0.14616402116402119"/>
    <x v="3"/>
    <x v="1"/>
    <n v="350"/>
    <x v="0"/>
    <m/>
  </r>
  <r>
    <s v="PPT1_BOI04"/>
    <s v="S1CS07280-54-WS"/>
    <n v="50"/>
    <s v="207198898"/>
    <s v="WS"/>
    <n v="3"/>
    <n v="0.14616402116402119"/>
    <x v="14"/>
    <x v="1"/>
    <n v="350"/>
    <x v="0"/>
    <m/>
  </r>
  <r>
    <s v="PPT1_BOI04"/>
    <s v="S1CS07280-54-WS"/>
    <n v="50"/>
    <s v="207198301"/>
    <s v="WS"/>
    <n v="3"/>
    <n v="0.14616402116402119"/>
    <x v="18"/>
    <x v="1"/>
    <n v="350"/>
    <x v="0"/>
    <m/>
  </r>
  <r>
    <s v="PPT1_BOI04"/>
    <s v="S1CS07280-56-WS"/>
    <n v="50"/>
    <s v="207199345"/>
    <s v="WS"/>
    <n v="2"/>
    <n v="0.14616402116402119"/>
    <x v="6"/>
    <x v="1"/>
    <n v="350"/>
    <x v="0"/>
    <m/>
  </r>
  <r>
    <s v="PPT1_BOI04"/>
    <s v="S1CS05460-WS"/>
    <n v="160"/>
    <s v="207199235"/>
    <s v="WS"/>
    <n v="10"/>
    <n v="0.32003716310920671"/>
    <x v="12"/>
    <x v="1"/>
    <n v="320"/>
    <x v="0"/>
    <m/>
  </r>
  <r>
    <s v="PPT1_BOI04"/>
    <s v="S1CS03159-WS"/>
    <n v="100"/>
    <s v="207198544"/>
    <s v="WS"/>
    <n v="3"/>
    <n v="0.122556217441649"/>
    <x v="17"/>
    <x v="1"/>
    <n v="300"/>
    <x v="0"/>
    <m/>
  </r>
  <r>
    <s v="PPT1_BOI04"/>
    <s v="S1CS03160-WS"/>
    <n v="100"/>
    <s v="207197295"/>
    <s v="WS"/>
    <n v="8"/>
    <n v="0.10026365516392884"/>
    <x v="0"/>
    <x v="1"/>
    <n v="300"/>
    <x v="0"/>
    <m/>
  </r>
  <r>
    <s v="PPT1_BOI04"/>
    <s v="S1CS03160-WS"/>
    <n v="100"/>
    <s v="207197296"/>
    <s v="WS"/>
    <n v="8"/>
    <n v="0.10026365516392884"/>
    <x v="1"/>
    <x v="1"/>
    <n v="300"/>
    <x v="0"/>
    <m/>
  </r>
  <r>
    <s v="PPT1_BOI04"/>
    <s v="S1CS05225-WS"/>
    <n v="100"/>
    <s v="207199137"/>
    <s v="WS"/>
    <n v="6"/>
    <n v="7.6201416003758723E-2"/>
    <x v="5"/>
    <x v="1"/>
    <n v="300"/>
    <x v="0"/>
    <m/>
  </r>
  <r>
    <s v="PPT1_BOI04"/>
    <s v="S1CS05391-WS"/>
    <n v="300"/>
    <s v="207197345"/>
    <s v="WS"/>
    <n v="7"/>
    <n v="0.50943065433150425"/>
    <x v="3"/>
    <x v="1"/>
    <n v="300"/>
    <x v="0"/>
    <m/>
  </r>
  <r>
    <s v="PPT1_BOI04"/>
    <s v="S1CS05391-WS"/>
    <n v="300"/>
    <s v="207197404"/>
    <s v="WS"/>
    <n v="7"/>
    <n v="0.50943065433150425"/>
    <x v="15"/>
    <x v="1"/>
    <n v="300"/>
    <x v="0"/>
    <m/>
  </r>
  <r>
    <s v="PPT1_BOI04"/>
    <s v="S1CS05391-WS"/>
    <n v="300"/>
    <s v="207197488"/>
    <s v="WS"/>
    <n v="7"/>
    <n v="0.50943065433150425"/>
    <x v="14"/>
    <x v="1"/>
    <n v="300"/>
    <x v="0"/>
    <m/>
  </r>
  <r>
    <s v="PPT1_BOI04"/>
    <s v="S1CS05391-WS"/>
    <n v="300"/>
    <s v="207197540"/>
    <s v="WS"/>
    <n v="7"/>
    <n v="0.50943065433150425"/>
    <x v="18"/>
    <x v="1"/>
    <n v="300"/>
    <x v="0"/>
    <m/>
  </r>
  <r>
    <s v="PPT1_BOI04"/>
    <s v="S1CS05795-WS"/>
    <n v="300"/>
    <s v="207198369"/>
    <s v="WS"/>
    <n v="2"/>
    <n v="0.38292231812577066"/>
    <x v="9"/>
    <x v="1"/>
    <n v="300"/>
    <x v="0"/>
    <m/>
  </r>
  <r>
    <s v="PPT1_BOI04"/>
    <s v="S1CS06330-WS"/>
    <n v="150"/>
    <s v="207199248"/>
    <s v="WS"/>
    <n v="4"/>
    <n v="0.36379317887168233"/>
    <x v="6"/>
    <x v="1"/>
    <n v="300"/>
    <x v="0"/>
    <m/>
  </r>
  <r>
    <s v="PPT1_BOI04"/>
    <s v="S1CS06711-WS"/>
    <n v="150"/>
    <s v="207198310"/>
    <s v="WS"/>
    <n v="5"/>
    <n v="0.21545881126173097"/>
    <x v="13"/>
    <x v="1"/>
    <n v="300"/>
    <x v="0"/>
    <m/>
  </r>
  <r>
    <s v="PPT1_BOI04"/>
    <s v="S1CS06838-WS"/>
    <n v="300"/>
    <s v="207197556"/>
    <s v="WS"/>
    <n v="4"/>
    <n v="0.57342263849560737"/>
    <x v="0"/>
    <x v="1"/>
    <n v="300"/>
    <x v="0"/>
    <m/>
  </r>
  <r>
    <s v="PPT1_BOI04"/>
    <s v="S1CS06838-WS"/>
    <n v="300"/>
    <s v="207197580"/>
    <s v="WS"/>
    <n v="4"/>
    <n v="0.57342263849560737"/>
    <x v="12"/>
    <x v="1"/>
    <n v="300"/>
    <x v="0"/>
    <m/>
  </r>
  <r>
    <s v="PPT1_BOI04"/>
    <s v="S1CS06838-WS"/>
    <n v="300"/>
    <s v="207197521"/>
    <s v="WS"/>
    <n v="4"/>
    <n v="0.57342263849560737"/>
    <x v="1"/>
    <x v="1"/>
    <n v="300"/>
    <x v="0"/>
    <m/>
  </r>
  <r>
    <s v="PPT1_BOI04"/>
    <s v="S1CS06838-WS"/>
    <n v="300"/>
    <s v="207197470"/>
    <s v="WS"/>
    <n v="4"/>
    <n v="0.57342263849560737"/>
    <x v="5"/>
    <x v="1"/>
    <n v="300"/>
    <x v="0"/>
    <m/>
  </r>
  <r>
    <s v="PPT1_BOI04"/>
    <s v="S1CS06838-WS"/>
    <n v="300"/>
    <s v="207197502"/>
    <s v="WS"/>
    <n v="4"/>
    <n v="0.57342263849560737"/>
    <x v="0"/>
    <x v="1"/>
    <n v="300"/>
    <x v="0"/>
    <m/>
  </r>
  <r>
    <s v="PPT1_BOI04"/>
    <s v="S1CS06838-WS"/>
    <n v="300"/>
    <s v="207197622"/>
    <s v="WS"/>
    <n v="4"/>
    <n v="0.57342263849560737"/>
    <x v="12"/>
    <x v="1"/>
    <n v="300"/>
    <x v="0"/>
    <m/>
  </r>
  <r>
    <s v="PPT1_BOI04"/>
    <s v="S1CS07194-WS"/>
    <n v="300"/>
    <s v="207198890"/>
    <s v="WS"/>
    <n v="13"/>
    <n v="0.19737151946791234"/>
    <x v="3"/>
    <x v="1"/>
    <n v="300"/>
    <x v="0"/>
    <m/>
  </r>
  <r>
    <s v="PPT1_BOI04"/>
    <s v="S1CS07218-WS"/>
    <n v="300"/>
    <s v="207200331"/>
    <s v="WS"/>
    <n v="7"/>
    <n v="0.21722960598041061"/>
    <x v="15"/>
    <x v="1"/>
    <n v="300"/>
    <x v="0"/>
    <m/>
  </r>
  <r>
    <s v="PPT1_BOI04"/>
    <s v="S1CS07385-WS"/>
    <n v="150"/>
    <s v="207200713"/>
    <s v="WS"/>
    <n v="3"/>
    <n v="0.3052252938190621"/>
    <x v="14"/>
    <x v="1"/>
    <n v="300"/>
    <x v="0"/>
    <m/>
  </r>
  <r>
    <s v="PPT1_BOI04"/>
    <s v="S1CS06496-WS"/>
    <n v="240"/>
    <s v="207200138"/>
    <s v="WS"/>
    <n v="6"/>
    <n v="0.99370529327610879"/>
    <x v="18"/>
    <x v="1"/>
    <n v="240"/>
    <x v="0"/>
    <m/>
  </r>
  <r>
    <s v="PPT1_BOI04"/>
    <s v="S1CS06496-WS"/>
    <n v="240"/>
    <s v="207200051"/>
    <s v="WS"/>
    <n v="6"/>
    <n v="0.99370529327610879"/>
    <x v="4"/>
    <x v="1"/>
    <n v="240"/>
    <x v="0"/>
    <m/>
  </r>
  <r>
    <s v="PPT1_BOI04"/>
    <s v="S1CS06496-WS"/>
    <n v="240"/>
    <s v="207200141"/>
    <s v="WS"/>
    <n v="6"/>
    <n v="0.99370529327610879"/>
    <x v="6"/>
    <x v="1"/>
    <n v="240"/>
    <x v="0"/>
    <m/>
  </r>
  <r>
    <s v="PPT1_BOI04"/>
    <s v="S1CS06496-WS"/>
    <n v="240"/>
    <s v="207200146"/>
    <s v="WS"/>
    <n v="6"/>
    <n v="0.99370529327610879"/>
    <x v="13"/>
    <x v="1"/>
    <n v="240"/>
    <x v="0"/>
    <m/>
  </r>
  <r>
    <s v="PPT1_BOI04"/>
    <s v="S1CS06496-WS"/>
    <n v="240"/>
    <s v="207199055"/>
    <s v="WS"/>
    <n v="6"/>
    <n v="0.99370529327610879"/>
    <x v="17"/>
    <x v="1"/>
    <n v="240"/>
    <x v="0"/>
    <m/>
  </r>
  <r>
    <s v="PPT1_BOI04"/>
    <s v="S1CS06496-WS"/>
    <n v="240"/>
    <s v="207200047"/>
    <s v="WS"/>
    <n v="6"/>
    <n v="0.99370529327610879"/>
    <x v="9"/>
    <x v="1"/>
    <n v="240"/>
    <x v="0"/>
    <m/>
  </r>
  <r>
    <s v="PPT1_BOI04"/>
    <s v="S1CS06496-WS"/>
    <n v="240"/>
    <s v="207200103"/>
    <s v="WS"/>
    <n v="6"/>
    <n v="0.99370529327610879"/>
    <x v="18"/>
    <x v="1"/>
    <n v="240"/>
    <x v="0"/>
    <m/>
  </r>
  <r>
    <s v="PPT1_BOI04"/>
    <s v="S1CS06496-WS"/>
    <n v="240"/>
    <s v="207200098"/>
    <s v="WS"/>
    <n v="6"/>
    <n v="0.99370529327610879"/>
    <x v="4"/>
    <x v="1"/>
    <n v="240"/>
    <x v="0"/>
    <m/>
  </r>
  <r>
    <s v="PPT1_BOI04"/>
    <s v="S1CS06496-WS"/>
    <n v="240"/>
    <s v="207200100"/>
    <s v="WS"/>
    <n v="6"/>
    <n v="0.99370529327610879"/>
    <x v="6"/>
    <x v="1"/>
    <n v="240"/>
    <x v="0"/>
    <m/>
  </r>
  <r>
    <s v="PPT1_BOI04"/>
    <s v="S1CS06496-WS"/>
    <n v="240"/>
    <s v="207199725"/>
    <s v="WS"/>
    <n v="6"/>
    <n v="0.99370529327610879"/>
    <x v="13"/>
    <x v="1"/>
    <n v="240"/>
    <x v="0"/>
    <m/>
  </r>
  <r>
    <s v="PPT1_BOI04"/>
    <s v="S1CS06496-WS"/>
    <n v="240"/>
    <s v="207199771"/>
    <s v="WS"/>
    <n v="6"/>
    <n v="0.99370529327610879"/>
    <x v="17"/>
    <x v="1"/>
    <n v="240"/>
    <x v="0"/>
    <m/>
  </r>
  <r>
    <s v="PPT1_BOI04"/>
    <s v="S1CS06496-WS"/>
    <n v="240"/>
    <s v="207199773"/>
    <s v="WS"/>
    <n v="6"/>
    <n v="0.99370529327610879"/>
    <x v="9"/>
    <x v="1"/>
    <n v="240"/>
    <x v="0"/>
    <m/>
  </r>
  <r>
    <s v="PPT1_BOI04"/>
    <s v="S1CS06496-WS"/>
    <n v="240"/>
    <s v="207199577"/>
    <s v="WS"/>
    <n v="6"/>
    <n v="0.99370529327610879"/>
    <x v="18"/>
    <x v="1"/>
    <n v="240"/>
    <x v="0"/>
    <m/>
  </r>
  <r>
    <s v="PPT1_BOI04"/>
    <s v="S1CS06496-WS"/>
    <n v="240"/>
    <s v="207199659"/>
    <s v="WS"/>
    <n v="6"/>
    <n v="0.99370529327610879"/>
    <x v="4"/>
    <x v="1"/>
    <n v="240"/>
    <x v="0"/>
    <m/>
  </r>
  <r>
    <s v="PPT1_BOI04"/>
    <s v="S1CS06496-WS"/>
    <n v="240"/>
    <s v="207199717"/>
    <s v="WS"/>
    <n v="6"/>
    <n v="0.99370529327610879"/>
    <x v="6"/>
    <x v="1"/>
    <n v="240"/>
    <x v="0"/>
    <m/>
  </r>
  <r>
    <s v="PPT1_BOI04"/>
    <s v="S1CS06496-WS"/>
    <n v="240"/>
    <s v="207199818"/>
    <s v="WS"/>
    <n v="6"/>
    <n v="0.99370529327610879"/>
    <x v="13"/>
    <x v="1"/>
    <n v="240"/>
    <x v="0"/>
    <m/>
  </r>
  <r>
    <s v="PPT1_BOI04"/>
    <s v="S1CS06496-WS"/>
    <n v="240"/>
    <s v="207199171"/>
    <s v="WS"/>
    <n v="6"/>
    <n v="0.99370529327610879"/>
    <x v="17"/>
    <x v="1"/>
    <n v="240"/>
    <x v="0"/>
    <m/>
  </r>
  <r>
    <s v="PPT1_BOI04"/>
    <s v="S1CS06496-WS"/>
    <n v="240"/>
    <s v="207200185"/>
    <s v="WS"/>
    <n v="6"/>
    <n v="0.99370529327610879"/>
    <x v="9"/>
    <x v="1"/>
    <n v="240"/>
    <x v="0"/>
    <m/>
  </r>
  <r>
    <s v="PPT1_BOI04"/>
    <s v="S1CS06496-WS"/>
    <n v="240"/>
    <s v="207200180"/>
    <s v="WS"/>
    <n v="6"/>
    <n v="0.99370529327610879"/>
    <x v="18"/>
    <x v="1"/>
    <n v="240"/>
    <x v="0"/>
    <m/>
  </r>
  <r>
    <s v="PPT1_BOI04"/>
    <s v="S1CS06496-WS"/>
    <n v="240"/>
    <s v="207198375"/>
    <s v="WS"/>
    <n v="6"/>
    <n v="0.99370529327610879"/>
    <x v="4"/>
    <x v="1"/>
    <n v="240"/>
    <x v="0"/>
    <m/>
  </r>
  <r>
    <s v="PPT1_BOI04"/>
    <s v="S1CS06496-WS"/>
    <n v="240"/>
    <s v="207198335"/>
    <s v="WS"/>
    <n v="6"/>
    <n v="0.99370529327610879"/>
    <x v="6"/>
    <x v="1"/>
    <n v="240"/>
    <x v="0"/>
    <m/>
  </r>
  <r>
    <s v="PPT1_BOI04"/>
    <s v="S1CS05164-WS"/>
    <n v="110"/>
    <s v="207201659"/>
    <s v="WS"/>
    <n v="20"/>
    <n v="0.28506466214031684"/>
    <x v="1"/>
    <x v="1"/>
    <n v="220"/>
    <x v="0"/>
    <m/>
  </r>
  <r>
    <s v="PPT1_BOI04"/>
    <s v="S1CS05164-WS"/>
    <n v="110"/>
    <s v="207197727"/>
    <s v="WS"/>
    <n v="20"/>
    <n v="0.28506466214031684"/>
    <x v="5"/>
    <x v="1"/>
    <n v="220"/>
    <x v="0"/>
    <m/>
  </r>
  <r>
    <s v="PPT1_BOI04"/>
    <s v="S1CS05164-WS"/>
    <n v="110"/>
    <s v="207197683"/>
    <s v="WS"/>
    <n v="20"/>
    <n v="0.28506466214031684"/>
    <x v="3"/>
    <x v="1"/>
    <n v="220"/>
    <x v="0"/>
    <m/>
  </r>
  <r>
    <s v="PPT1_BOI04"/>
    <s v="S1CS06356-WS"/>
    <n v="220"/>
    <s v="207199452"/>
    <s v="WS"/>
    <n v="3"/>
    <n v="0.35383298098293448"/>
    <x v="15"/>
    <x v="1"/>
    <n v="220"/>
    <x v="0"/>
    <m/>
  </r>
  <r>
    <s v="PPT1_BOI04"/>
    <s v="S1CS06356-WS"/>
    <n v="220"/>
    <s v="207199366"/>
    <s v="WS"/>
    <n v="3"/>
    <n v="0.35383298098293448"/>
    <x v="14"/>
    <x v="1"/>
    <n v="220"/>
    <x v="0"/>
    <m/>
  </r>
  <r>
    <s v="PPT1_BOI04"/>
    <s v="S1CS00107-WS"/>
    <n v="100"/>
    <s v="207197218"/>
    <s v="WS"/>
    <n v="3"/>
    <n v="0.12535936372686851"/>
    <x v="12"/>
    <x v="1"/>
    <n v="200"/>
    <x v="0"/>
    <m/>
  </r>
  <r>
    <s v="PPT1_BOI04"/>
    <s v="S1CS03200-WS"/>
    <n v="100"/>
    <s v="207197884"/>
    <s v="WS"/>
    <n v="3"/>
    <n v="0.14447844126244563"/>
    <x v="1"/>
    <x v="1"/>
    <n v="200"/>
    <x v="0"/>
    <m/>
  </r>
  <r>
    <s v="PPT1_BOI04"/>
    <s v="S1CS04074-WS"/>
    <n v="100"/>
    <s v="207198431"/>
    <s v="WS"/>
    <n v="2"/>
    <n v="0.16716679255647876"/>
    <x v="18"/>
    <x v="1"/>
    <n v="200"/>
    <x v="0"/>
    <m/>
  </r>
  <r>
    <s v="PPT1_BOI04"/>
    <s v="S1CS05391-WS"/>
    <n v="200"/>
    <s v="207197593"/>
    <s v="WS"/>
    <n v="7"/>
    <n v="0.33962043622100285"/>
    <x v="0"/>
    <x v="1"/>
    <n v="200"/>
    <x v="0"/>
    <m/>
  </r>
  <r>
    <s v="PPT1_BOI04"/>
    <s v="S1CS06267-WS"/>
    <n v="200"/>
    <s v="207199045"/>
    <s v="WS"/>
    <n v="10"/>
    <n v="0.45816806338413207"/>
    <x v="5"/>
    <x v="1"/>
    <n v="200"/>
    <x v="0"/>
    <m/>
  </r>
  <r>
    <s v="PPT1_BOI04"/>
    <s v="S1CS06608-WS"/>
    <n v="200"/>
    <s v="207199646"/>
    <s v="WS"/>
    <n v="4"/>
    <n v="0.44146555276842775"/>
    <x v="3"/>
    <x v="1"/>
    <n v="200"/>
    <x v="0"/>
    <m/>
  </r>
  <r>
    <s v="PPT1_BOI04"/>
    <s v="S1CS06828-WS"/>
    <n v="200"/>
    <s v="207199231"/>
    <s v="WS"/>
    <n v="2"/>
    <n v="0.43899930648753688"/>
    <x v="15"/>
    <x v="1"/>
    <n v="200"/>
    <x v="0"/>
    <m/>
  </r>
  <r>
    <s v="PPT1_BOI04"/>
    <s v="S1CS07265-WS"/>
    <n v="100"/>
    <s v="207202093"/>
    <s v="WS"/>
    <n v="8"/>
    <n v="0.22673436103005473"/>
    <x v="1"/>
    <x v="1"/>
    <n v="200"/>
    <x v="0"/>
    <m/>
  </r>
  <r>
    <s v="PPT1_BOI04"/>
    <s v="S1CS06289-WS"/>
    <n v="180"/>
    <s v="207201970"/>
    <s v="WS"/>
    <n v="26"/>
    <n v="0.28636867677312988"/>
    <x v="14"/>
    <x v="1"/>
    <n v="180"/>
    <x v="0"/>
    <m/>
  </r>
  <r>
    <s v="PPT1_BOI04"/>
    <s v="S1CS06496-WS"/>
    <n v="160"/>
    <s v="207198427"/>
    <s v="WS"/>
    <n v="6"/>
    <n v="0.66247019551740594"/>
    <x v="13"/>
    <x v="1"/>
    <n v="160"/>
    <x v="0"/>
    <m/>
  </r>
  <r>
    <s v="PPT1_BOI04"/>
    <s v="S1CS05795-WS"/>
    <n v="150"/>
    <s v="207198434"/>
    <s v="WS"/>
    <n v="2"/>
    <n v="0.19146115906288533"/>
    <x v="9"/>
    <x v="1"/>
    <n v="150"/>
    <x v="0"/>
    <m/>
  </r>
  <r>
    <s v="PPT1_BOI04"/>
    <s v="S1CS06328-WS"/>
    <n v="75"/>
    <s v="207199866"/>
    <s v="WS"/>
    <n v="4"/>
    <n v="0.18189658943584117"/>
    <x v="0"/>
    <x v="1"/>
    <n v="150"/>
    <x v="0"/>
    <m/>
  </r>
  <r>
    <s v="PPT1_BOI04"/>
    <s v="S1CS06838-WS"/>
    <n v="100"/>
    <s v="207197665"/>
    <s v="WS"/>
    <n v="4"/>
    <n v="0.19114087949853581"/>
    <x v="5"/>
    <x v="1"/>
    <n v="100"/>
    <x v="0"/>
    <m/>
  </r>
  <r>
    <s v="PPT1_BOI04"/>
    <s v="S1CS00068-WS"/>
    <n v="250"/>
    <s v="207197216"/>
    <s v="NW"/>
    <n v="15"/>
    <n v="0.16499600018809779"/>
    <x v="5"/>
    <x v="1"/>
    <n v="0"/>
    <x v="0"/>
    <m/>
  </r>
  <r>
    <s v="PPT1_BOI04"/>
    <s v="S1CS00069-WS"/>
    <n v="250"/>
    <s v="207197879"/>
    <s v="NW"/>
    <n v="10"/>
    <n v="0.23359036765859059"/>
    <x v="5"/>
    <x v="1"/>
    <n v="0"/>
    <x v="0"/>
    <m/>
  </r>
  <r>
    <s v="PPT1_BOI04"/>
    <s v="S1CS00197-WS"/>
    <n v="390"/>
    <s v="207198036"/>
    <s v="NW"/>
    <n v="7"/>
    <n v="0.50186771141916509"/>
    <x v="0"/>
    <x v="1"/>
    <n v="0"/>
    <x v="0"/>
    <m/>
  </r>
  <r>
    <s v="PPT1_BOI04"/>
    <s v="S1CS00198-WS"/>
    <n v="400"/>
    <s v="207197653"/>
    <s v="NW"/>
    <n v="5"/>
    <n v="0.4797504334742374"/>
    <x v="5"/>
    <x v="1"/>
    <n v="0"/>
    <x v="0"/>
    <m/>
  </r>
  <r>
    <s v="PPT1_BOI04"/>
    <s v="S1CS00201-WS"/>
    <n v="350"/>
    <s v="207197222"/>
    <s v="NW"/>
    <n v="11"/>
    <n v="0.34759275152911084"/>
    <x v="5"/>
    <x v="1"/>
    <n v="0"/>
    <x v="0"/>
    <m/>
  </r>
  <r>
    <s v="PPT1_BOI04"/>
    <s v="S1CS00201-WS"/>
    <n v="525"/>
    <s v="207197221"/>
    <s v="NW"/>
    <n v="11"/>
    <n v="0.52138912729366627"/>
    <x v="0"/>
    <x v="1"/>
    <n v="0"/>
    <x v="0"/>
    <m/>
  </r>
  <r>
    <s v="PPT1_BOI04"/>
    <s v="S1CS00202-WS"/>
    <n v="600"/>
    <s v="207197224"/>
    <s v="NW"/>
    <n v="3"/>
    <n v="1.0038691249026228"/>
    <x v="5"/>
    <x v="1"/>
    <n v="0"/>
    <x v="0"/>
    <m/>
  </r>
  <r>
    <s v="PPT1_BOI04"/>
    <s v="S1CS00202-WS"/>
    <n v="400"/>
    <s v="207197242"/>
    <s v="NW"/>
    <n v="3"/>
    <n v="0.66924608326841528"/>
    <x v="0"/>
    <x v="1"/>
    <n v="0"/>
    <x v="0"/>
    <m/>
  </r>
  <r>
    <s v="PPT1_BOI04"/>
    <s v="S1CS00207-WS"/>
    <n v="540"/>
    <s v="207197458"/>
    <s v="NW"/>
    <n v="5"/>
    <n v="0.64807265995330521"/>
    <x v="12"/>
    <x v="1"/>
    <n v="0"/>
    <x v="0"/>
    <m/>
  </r>
  <r>
    <s v="PPT1_BOI04"/>
    <s v="S1CS00207-WS"/>
    <n v="540"/>
    <s v="207197417"/>
    <s v="NW"/>
    <n v="5"/>
    <n v="0.64807265995330521"/>
    <x v="8"/>
    <x v="1"/>
    <n v="0"/>
    <x v="0"/>
    <m/>
  </r>
  <r>
    <s v="PPT1_BOI04"/>
    <s v="S1CS00207-WS"/>
    <n v="540"/>
    <s v="207197356"/>
    <s v="NW"/>
    <n v="5"/>
    <n v="0.64807265995330521"/>
    <x v="0"/>
    <x v="1"/>
    <n v="0"/>
    <x v="0"/>
    <m/>
  </r>
  <r>
    <s v="PPT1_BOI04"/>
    <s v="S1CS00207-WS"/>
    <n v="540"/>
    <s v="207197484"/>
    <s v="NW"/>
    <n v="5"/>
    <n v="0.64807265995330521"/>
    <x v="5"/>
    <x v="1"/>
    <n v="0"/>
    <x v="0"/>
    <m/>
  </r>
  <r>
    <s v="PPT1_BOI04"/>
    <s v="S1CS00207-WS"/>
    <n v="540"/>
    <s v="207197394"/>
    <s v="NW"/>
    <n v="5"/>
    <n v="0.64807265995330521"/>
    <x v="12"/>
    <x v="1"/>
    <n v="0"/>
    <x v="0"/>
    <m/>
  </r>
  <r>
    <s v="PPT1_BOI04"/>
    <s v="S1CS00207-WS"/>
    <n v="540"/>
    <s v="207197219"/>
    <s v="NW"/>
    <n v="5"/>
    <n v="0.64807265995330521"/>
    <x v="8"/>
    <x v="1"/>
    <n v="0"/>
    <x v="0"/>
    <m/>
  </r>
  <r>
    <s v="PPT1_BOI04"/>
    <s v="S1CS00207-WS"/>
    <n v="540"/>
    <s v="207197353"/>
    <s v="NW"/>
    <n v="5"/>
    <n v="0.64807265995330521"/>
    <x v="0"/>
    <x v="1"/>
    <n v="0"/>
    <x v="0"/>
    <m/>
  </r>
  <r>
    <s v="PPT1_BOI04"/>
    <s v="S1CS00207-WS"/>
    <n v="540"/>
    <s v="207197390"/>
    <s v="NW"/>
    <n v="5"/>
    <n v="0.64807265995330521"/>
    <x v="5"/>
    <x v="1"/>
    <n v="0"/>
    <x v="0"/>
    <m/>
  </r>
  <r>
    <s v="PPT1_BOI04"/>
    <s v="S1CS00207-WS"/>
    <n v="540"/>
    <s v="207197389"/>
    <s v="NW"/>
    <n v="5"/>
    <n v="0.64807265995330521"/>
    <x v="12"/>
    <x v="1"/>
    <n v="0"/>
    <x v="0"/>
    <m/>
  </r>
  <r>
    <s v="PPT1_BOI04"/>
    <s v="S1CS00207-WS"/>
    <n v="540"/>
    <s v="207201163"/>
    <s v="NW"/>
    <n v="5"/>
    <n v="0.64807265995330521"/>
    <x v="8"/>
    <x v="1"/>
    <n v="0"/>
    <x v="0"/>
    <m/>
  </r>
  <r>
    <s v="PPT1_BOI04"/>
    <s v="S1CS00207-WS"/>
    <n v="540"/>
    <s v="207201136"/>
    <s v="NW"/>
    <n v="5"/>
    <n v="0.64807265995330521"/>
    <x v="0"/>
    <x v="1"/>
    <n v="0"/>
    <x v="0"/>
    <m/>
  </r>
  <r>
    <s v="PPT1_BOI04"/>
    <s v="S1CS00207-WS"/>
    <n v="540"/>
    <s v="207201131"/>
    <s v="NW"/>
    <n v="5"/>
    <n v="0.64807265995330521"/>
    <x v="5"/>
    <x v="1"/>
    <n v="0"/>
    <x v="0"/>
    <m/>
  </r>
  <r>
    <s v="PPT1_BOI04"/>
    <s v="S1CS00207-WS"/>
    <n v="540"/>
    <s v="207201195"/>
    <s v="NW"/>
    <n v="5"/>
    <n v="0.64807265995330521"/>
    <x v="12"/>
    <x v="1"/>
    <n v="0"/>
    <x v="0"/>
    <m/>
  </r>
  <r>
    <s v="PPT1_BOI04"/>
    <s v="S1CS00207-WS"/>
    <n v="540"/>
    <s v="207201231"/>
    <s v="NW"/>
    <n v="5"/>
    <n v="0.64807265995330521"/>
    <x v="10"/>
    <x v="1"/>
    <n v="0"/>
    <x v="0"/>
    <m/>
  </r>
  <r>
    <s v="PPT1_BOI04"/>
    <s v="S1CS00207-WS"/>
    <n v="540"/>
    <s v="207197420"/>
    <s v="NW"/>
    <n v="5"/>
    <n v="0.64807265995330521"/>
    <x v="8"/>
    <x v="1"/>
    <n v="0"/>
    <x v="0"/>
    <m/>
  </r>
  <r>
    <s v="PPT1_BOI04"/>
    <s v="S1CS00207-WS"/>
    <n v="540"/>
    <s v="207201106"/>
    <s v="NW"/>
    <n v="5"/>
    <n v="0.64807265995330521"/>
    <x v="0"/>
    <x v="1"/>
    <n v="0"/>
    <x v="0"/>
    <m/>
  </r>
  <r>
    <s v="PPT1_BOI04"/>
    <s v="S1CS00207-WS"/>
    <n v="540"/>
    <s v="207201015"/>
    <s v="NW"/>
    <n v="5"/>
    <n v="0.64807265995330521"/>
    <x v="5"/>
    <x v="1"/>
    <n v="0"/>
    <x v="0"/>
    <m/>
  </r>
  <r>
    <s v="PPT1_BOI04"/>
    <s v="S1CS00207-WS"/>
    <n v="180"/>
    <s v="207197860"/>
    <s v="NW"/>
    <n v="5"/>
    <n v="0.21602421998443508"/>
    <x v="12"/>
    <x v="1"/>
    <n v="0"/>
    <x v="0"/>
    <m/>
  </r>
  <r>
    <s v="PPT1_BOI04"/>
    <s v="S1CS00207-WS"/>
    <n v="540"/>
    <s v="207197802"/>
    <s v="NW"/>
    <n v="5"/>
    <n v="0.64807265995330521"/>
    <x v="10"/>
    <x v="1"/>
    <n v="0"/>
    <x v="0"/>
    <m/>
  </r>
  <r>
    <s v="PPT1_BOI04"/>
    <s v="S1CS00207-WS"/>
    <n v="540"/>
    <s v="207201042"/>
    <s v="NW"/>
    <n v="5"/>
    <n v="0.64807265995330521"/>
    <x v="12"/>
    <x v="1"/>
    <n v="0"/>
    <x v="0"/>
    <m/>
  </r>
  <r>
    <s v="PPT1_BOI04"/>
    <s v="S1CS00207-WS"/>
    <n v="540"/>
    <s v="207201067"/>
    <s v="NW"/>
    <n v="5"/>
    <n v="0.64807265995330521"/>
    <x v="8"/>
    <x v="1"/>
    <n v="0"/>
    <x v="0"/>
    <m/>
  </r>
  <r>
    <s v="PPT1_BOI04"/>
    <s v="S1CS00208-WS"/>
    <n v="540"/>
    <s v="207201091"/>
    <s v="NW"/>
    <n v="5"/>
    <n v="0.6769916428402224"/>
    <x v="2"/>
    <x v="1"/>
    <n v="0"/>
    <x v="0"/>
    <m/>
  </r>
  <r>
    <s v="PPT1_BOI04"/>
    <s v="S1CS00208-WS"/>
    <n v="540"/>
    <s v="207201205"/>
    <s v="NW"/>
    <n v="5"/>
    <n v="0.6769916428402224"/>
    <x v="14"/>
    <x v="1"/>
    <n v="0"/>
    <x v="0"/>
    <m/>
  </r>
  <r>
    <s v="PPT1_BOI04"/>
    <s v="S1CS00208-WS"/>
    <n v="540"/>
    <s v="207201119"/>
    <s v="NW"/>
    <n v="5"/>
    <n v="0.6769916428402224"/>
    <x v="0"/>
    <x v="1"/>
    <n v="0"/>
    <x v="0"/>
    <m/>
  </r>
  <r>
    <s v="PPT1_BOI04"/>
    <s v="S1CS00208-WS"/>
    <n v="540"/>
    <s v="207201177"/>
    <s v="NW"/>
    <n v="5"/>
    <n v="0.6769916428402224"/>
    <x v="2"/>
    <x v="1"/>
    <n v="0"/>
    <x v="0"/>
    <m/>
  </r>
  <r>
    <s v="PPT1_BOI04"/>
    <s v="S1CS00208-WS"/>
    <n v="540"/>
    <s v="207201169"/>
    <s v="NW"/>
    <n v="5"/>
    <n v="0.6769916428402224"/>
    <x v="5"/>
    <x v="1"/>
    <n v="0"/>
    <x v="0"/>
    <m/>
  </r>
  <r>
    <s v="PPT1_BOI04"/>
    <s v="S1CS00208-WS"/>
    <n v="540"/>
    <s v="207197989"/>
    <s v="NW"/>
    <n v="5"/>
    <n v="0.6769916428402224"/>
    <x v="14"/>
    <x v="1"/>
    <n v="0"/>
    <x v="0"/>
    <m/>
  </r>
  <r>
    <s v="PPT1_BOI04"/>
    <s v="S1CS00208-WS"/>
    <n v="540"/>
    <s v="207201122"/>
    <s v="NW"/>
    <n v="5"/>
    <n v="0.6769916428402224"/>
    <x v="10"/>
    <x v="1"/>
    <n v="0"/>
    <x v="0"/>
    <m/>
  </r>
  <r>
    <s v="PPT1_BOI04"/>
    <s v="S1CS00208-WS"/>
    <n v="540"/>
    <s v="207201126"/>
    <s v="NW"/>
    <n v="5"/>
    <n v="0.6769916428402224"/>
    <x v="0"/>
    <x v="1"/>
    <n v="0"/>
    <x v="0"/>
    <m/>
  </r>
  <r>
    <s v="PPT1_BOI04"/>
    <s v="S1CS00208-WS"/>
    <n v="540"/>
    <s v="207201141"/>
    <s v="NW"/>
    <n v="5"/>
    <n v="0.6769916428402224"/>
    <x v="2"/>
    <x v="1"/>
    <n v="0"/>
    <x v="0"/>
    <m/>
  </r>
  <r>
    <s v="PPT1_BOI04"/>
    <s v="S1CS00208-WS"/>
    <n v="540"/>
    <s v="207198893"/>
    <s v="NW"/>
    <n v="5"/>
    <n v="0.6769916428402224"/>
    <x v="5"/>
    <x v="1"/>
    <n v="0"/>
    <x v="0"/>
    <m/>
  </r>
  <r>
    <s v="PPT1_BOI04"/>
    <s v="S1CS00208-WS"/>
    <n v="540"/>
    <s v="207198950"/>
    <s v="NW"/>
    <n v="5"/>
    <n v="0.6769916428402224"/>
    <x v="14"/>
    <x v="1"/>
    <n v="0"/>
    <x v="0"/>
    <m/>
  </r>
  <r>
    <s v="PPT1_BOI04"/>
    <s v="S1CS00208-WS"/>
    <n v="540"/>
    <s v="207198839"/>
    <s v="NW"/>
    <n v="5"/>
    <n v="0.6769916428402224"/>
    <x v="10"/>
    <x v="1"/>
    <n v="0"/>
    <x v="0"/>
    <m/>
  </r>
  <r>
    <s v="PPT1_BOI04"/>
    <s v="S1CS00208-WS"/>
    <n v="540"/>
    <s v="207198188"/>
    <s v="NW"/>
    <n v="5"/>
    <n v="0.6769916428402224"/>
    <x v="0"/>
    <x v="1"/>
    <n v="0"/>
    <x v="0"/>
    <m/>
  </r>
  <r>
    <s v="PPT1_BOI04"/>
    <s v="S1CS00208-WS"/>
    <n v="540"/>
    <s v="207198323"/>
    <s v="NW"/>
    <n v="5"/>
    <n v="0.6769916428402224"/>
    <x v="2"/>
    <x v="1"/>
    <n v="0"/>
    <x v="0"/>
    <m/>
  </r>
  <r>
    <s v="PPT1_BOI04"/>
    <s v="S1CS00208-WS"/>
    <n v="540"/>
    <s v="207198278"/>
    <s v="NW"/>
    <n v="5"/>
    <n v="0.6769916428402224"/>
    <x v="5"/>
    <x v="1"/>
    <n v="0"/>
    <x v="0"/>
    <m/>
  </r>
  <r>
    <s v="PPT1_BOI04"/>
    <s v="S1CS00208-WS"/>
    <n v="540"/>
    <s v="207199029"/>
    <s v="NW"/>
    <n v="5"/>
    <n v="0.6769916428402224"/>
    <x v="14"/>
    <x v="1"/>
    <n v="0"/>
    <x v="0"/>
    <m/>
  </r>
  <r>
    <s v="PPT1_BOI04"/>
    <s v="S1CS00208-WS"/>
    <n v="540"/>
    <s v="207198390"/>
    <s v="NW"/>
    <n v="5"/>
    <n v="0.6769916428402224"/>
    <x v="10"/>
    <x v="1"/>
    <n v="0"/>
    <x v="0"/>
    <m/>
  </r>
  <r>
    <s v="PPT1_BOI04"/>
    <s v="S1CS00208-WS"/>
    <n v="540"/>
    <s v="207201084"/>
    <s v="NW"/>
    <n v="5"/>
    <n v="0.6769916428402224"/>
    <x v="0"/>
    <x v="1"/>
    <n v="0"/>
    <x v="0"/>
    <m/>
  </r>
  <r>
    <s v="PPT1_BOI04"/>
    <s v="S1CS00208-WS"/>
    <n v="540"/>
    <s v="207199138"/>
    <s v="NW"/>
    <n v="5"/>
    <n v="0.6769916428402224"/>
    <x v="2"/>
    <x v="1"/>
    <n v="0"/>
    <x v="0"/>
    <m/>
  </r>
  <r>
    <s v="PPT1_BOI04"/>
    <s v="S1CS00208-WS"/>
    <n v="180"/>
    <s v="207199183"/>
    <s v="NW"/>
    <n v="5"/>
    <n v="0.22566388094674081"/>
    <x v="5"/>
    <x v="1"/>
    <n v="0"/>
    <x v="0"/>
    <m/>
  </r>
  <r>
    <s v="PPT1_BOI04"/>
    <s v="S1CS00208-WS"/>
    <n v="540"/>
    <s v="207199069"/>
    <s v="NW"/>
    <n v="5"/>
    <n v="0.6769916428402224"/>
    <x v="5"/>
    <x v="1"/>
    <n v="0"/>
    <x v="0"/>
    <m/>
  </r>
  <r>
    <s v="PPT1_BOI04"/>
    <s v="S1CS00226-WS"/>
    <n v="300"/>
    <s v="207197243"/>
    <s v="NW"/>
    <n v="9"/>
    <n v="0.18572599929593422"/>
    <x v="12"/>
    <x v="1"/>
    <n v="0"/>
    <x v="0"/>
    <m/>
  </r>
  <r>
    <s v="PPT1_BOI04"/>
    <s v="S1CS00226-WS"/>
    <n v="200"/>
    <s v="207197301"/>
    <s v="NW"/>
    <n v="9"/>
    <n v="0.12381733286395614"/>
    <x v="8"/>
    <x v="1"/>
    <n v="0"/>
    <x v="0"/>
    <m/>
  </r>
  <r>
    <s v="PPT1_BOI04"/>
    <s v="S1CS00226-WS"/>
    <n v="300"/>
    <s v="207197252"/>
    <s v="NW"/>
    <n v="9"/>
    <n v="0.18572599929593422"/>
    <x v="12"/>
    <x v="1"/>
    <n v="0"/>
    <x v="0"/>
    <m/>
  </r>
  <r>
    <s v="PPT1_BOI04"/>
    <s v="S1CS00226-WS"/>
    <n v="300"/>
    <s v="207197251"/>
    <s v="NW"/>
    <n v="9"/>
    <n v="0.18572599929593422"/>
    <x v="8"/>
    <x v="1"/>
    <n v="0"/>
    <x v="0"/>
    <m/>
  </r>
  <r>
    <s v="PPT1_BOI04"/>
    <s v="S1CS00226-WS"/>
    <n v="300"/>
    <s v="207197249"/>
    <s v="NW"/>
    <n v="9"/>
    <n v="0.18572599929593422"/>
    <x v="12"/>
    <x v="1"/>
    <n v="0"/>
    <x v="0"/>
    <m/>
  </r>
  <r>
    <s v="PPT1_BOI04"/>
    <s v="S1CS00226-WS"/>
    <n v="300"/>
    <s v="207197274"/>
    <s v="NW"/>
    <n v="9"/>
    <n v="0.18572599929593422"/>
    <x v="8"/>
    <x v="1"/>
    <n v="0"/>
    <x v="0"/>
    <m/>
  </r>
  <r>
    <s v="PPT1_BOI04"/>
    <s v="S1CS00226-WS"/>
    <n v="300"/>
    <s v="207197277"/>
    <s v="NW"/>
    <n v="9"/>
    <n v="0.18572599929593422"/>
    <x v="12"/>
    <x v="1"/>
    <n v="0"/>
    <x v="0"/>
    <m/>
  </r>
  <r>
    <s v="PPT1_BOI04"/>
    <s v="S1CS00226-WS"/>
    <n v="300"/>
    <s v="207197269"/>
    <s v="NW"/>
    <n v="9"/>
    <n v="0.18572599929593422"/>
    <x v="8"/>
    <x v="1"/>
    <n v="0"/>
    <x v="0"/>
    <m/>
  </r>
  <r>
    <s v="PPT1_BOI04"/>
    <s v="S1CS00226-WS"/>
    <n v="300"/>
    <s v="207197262"/>
    <s v="NW"/>
    <n v="9"/>
    <n v="0.18572599929593422"/>
    <x v="15"/>
    <x v="1"/>
    <n v="0"/>
    <x v="0"/>
    <m/>
  </r>
  <r>
    <s v="PPT1_BOI04"/>
    <s v="S1CS00226-WS"/>
    <n v="300"/>
    <s v="207197282"/>
    <s v="NW"/>
    <n v="9"/>
    <n v="0.18572599929593422"/>
    <x v="12"/>
    <x v="1"/>
    <n v="0"/>
    <x v="0"/>
    <m/>
  </r>
  <r>
    <s v="PPT1_BOI04"/>
    <s v="S1CS00226-WS"/>
    <n v="300"/>
    <s v="207197258"/>
    <s v="NW"/>
    <n v="9"/>
    <n v="0.18572599929593422"/>
    <x v="8"/>
    <x v="1"/>
    <n v="0"/>
    <x v="0"/>
    <m/>
  </r>
  <r>
    <s v="PPT1_BOI04"/>
    <s v="S1CS00227-WS"/>
    <n v="600"/>
    <s v="207197329"/>
    <s v="NW"/>
    <n v="9"/>
    <n v="0.323327998122586"/>
    <x v="13"/>
    <x v="1"/>
    <n v="0"/>
    <x v="0"/>
    <m/>
  </r>
  <r>
    <s v="PPT1_BOI04"/>
    <s v="S1CS00227-WS"/>
    <n v="600"/>
    <s v="207197407"/>
    <s v="NW"/>
    <n v="9"/>
    <n v="0.323327998122586"/>
    <x v="15"/>
    <x v="1"/>
    <n v="0"/>
    <x v="0"/>
    <m/>
  </r>
  <r>
    <s v="PPT1_BOI04"/>
    <s v="S1CS00227-WS"/>
    <n v="600"/>
    <s v="207197335"/>
    <s v="NW"/>
    <n v="9"/>
    <n v="0.323327998122586"/>
    <x v="12"/>
    <x v="1"/>
    <n v="0"/>
    <x v="0"/>
    <m/>
  </r>
  <r>
    <s v="PPT1_BOI04"/>
    <s v="S1CS00227-WS"/>
    <n v="200"/>
    <s v="207197467"/>
    <s v="NW"/>
    <n v="9"/>
    <n v="0.10777599937419532"/>
    <x v="8"/>
    <x v="1"/>
    <n v="0"/>
    <x v="0"/>
    <m/>
  </r>
  <r>
    <s v="PPT1_BOI04"/>
    <s v="S1CS00227-WS"/>
    <n v="200"/>
    <s v="207201633"/>
    <s v="NW"/>
    <n v="9"/>
    <n v="0.10777599937419532"/>
    <x v="8"/>
    <x v="1"/>
    <n v="0"/>
    <x v="0"/>
    <m/>
  </r>
  <r>
    <s v="PPT1_BOI04"/>
    <s v="S1CS00227-WS"/>
    <n v="600"/>
    <s v="207197363"/>
    <s v="NW"/>
    <n v="9"/>
    <n v="0.323327998122586"/>
    <x v="13"/>
    <x v="1"/>
    <n v="0"/>
    <x v="0"/>
    <m/>
  </r>
  <r>
    <s v="PPT1_BOI04"/>
    <s v="S1CS00227-WS"/>
    <n v="600"/>
    <s v="207197432"/>
    <s v="NW"/>
    <n v="9"/>
    <n v="0.323327998122586"/>
    <x v="15"/>
    <x v="1"/>
    <n v="0"/>
    <x v="0"/>
    <m/>
  </r>
  <r>
    <s v="PPT1_BOI04"/>
    <s v="S1CS00256-WS"/>
    <n v="540"/>
    <s v="207197941"/>
    <s v="NW"/>
    <n v="5"/>
    <n v="0.54158710713790392"/>
    <x v="8"/>
    <x v="1"/>
    <n v="0"/>
    <x v="0"/>
    <m/>
  </r>
  <r>
    <s v="PPT1_BOI04"/>
    <s v="S1CS00256-WS"/>
    <n v="540"/>
    <s v="207201753"/>
    <s v="NW"/>
    <n v="5"/>
    <n v="0.54158710713790392"/>
    <x v="12"/>
    <x v="1"/>
    <n v="0"/>
    <x v="0"/>
    <m/>
  </r>
  <r>
    <s v="PPT1_BOI04"/>
    <s v="S1CS00256-WS"/>
    <n v="540"/>
    <s v="207197894"/>
    <s v="NW"/>
    <n v="5"/>
    <n v="0.54158710713790392"/>
    <x v="11"/>
    <x v="1"/>
    <n v="0"/>
    <x v="0"/>
    <m/>
  </r>
  <r>
    <s v="PPT1_BOI04"/>
    <s v="S1CS00256-WS"/>
    <n v="540"/>
    <s v="207201749"/>
    <s v="NW"/>
    <n v="5"/>
    <n v="0.54158710713790392"/>
    <x v="13"/>
    <x v="1"/>
    <n v="0"/>
    <x v="0"/>
    <m/>
  </r>
  <r>
    <s v="PPT1_BOI04"/>
    <s v="S1CS00256-WS"/>
    <n v="540"/>
    <s v="207201756"/>
    <s v="NW"/>
    <n v="5"/>
    <n v="0.54158710713790392"/>
    <x v="15"/>
    <x v="1"/>
    <n v="0"/>
    <x v="0"/>
    <m/>
  </r>
  <r>
    <s v="PPT1_BOI04"/>
    <s v="S1CS00256-WS"/>
    <n v="540"/>
    <s v="207201755"/>
    <s v="NW"/>
    <n v="5"/>
    <n v="0.54158710713790392"/>
    <x v="8"/>
    <x v="1"/>
    <n v="0"/>
    <x v="0"/>
    <m/>
  </r>
  <r>
    <s v="PPT1_BOI04"/>
    <s v="S1CS00256-WS"/>
    <n v="540"/>
    <s v="207201754"/>
    <s v="NW"/>
    <n v="5"/>
    <n v="0.54158710713790392"/>
    <x v="12"/>
    <x v="1"/>
    <n v="0"/>
    <x v="0"/>
    <m/>
  </r>
  <r>
    <s v="PPT1_BOI04"/>
    <s v="S1CS00256-WS"/>
    <n v="360"/>
    <s v="207201802"/>
    <s v="NW"/>
    <n v="5"/>
    <n v="0.36105807142526924"/>
    <x v="11"/>
    <x v="1"/>
    <n v="0"/>
    <x v="0"/>
    <m/>
  </r>
  <r>
    <s v="PPT1_BOI04"/>
    <s v="S1CS00256-WS"/>
    <n v="540"/>
    <s v="207198107"/>
    <s v="NW"/>
    <n v="5"/>
    <n v="0.54158710713790392"/>
    <x v="13"/>
    <x v="1"/>
    <n v="0"/>
    <x v="0"/>
    <m/>
  </r>
  <r>
    <s v="PPT1_BOI04"/>
    <s v="S1CS00256-WS"/>
    <n v="540"/>
    <s v="207198011"/>
    <s v="NW"/>
    <n v="5"/>
    <n v="0.54158710713790392"/>
    <x v="15"/>
    <x v="1"/>
    <n v="0"/>
    <x v="0"/>
    <m/>
  </r>
  <r>
    <s v="PPT1_BOI04"/>
    <s v="S1CS00256-WS"/>
    <n v="540"/>
    <s v="207198207"/>
    <s v="NW"/>
    <n v="5"/>
    <n v="0.54158710713790392"/>
    <x v="8"/>
    <x v="1"/>
    <n v="0"/>
    <x v="0"/>
    <m/>
  </r>
  <r>
    <s v="PPT1_BOI04"/>
    <s v="S1CS00256-WS"/>
    <n v="180"/>
    <s v="207198289"/>
    <s v="NW"/>
    <n v="5"/>
    <n v="0.18052903571263462"/>
    <x v="11"/>
    <x v="1"/>
    <n v="0"/>
    <x v="0"/>
    <m/>
  </r>
  <r>
    <s v="PPT1_BOI04"/>
    <s v="S1CS00256-WS"/>
    <n v="540"/>
    <s v="207197839"/>
    <s v="NW"/>
    <n v="5"/>
    <n v="0.54158710713790392"/>
    <x v="12"/>
    <x v="1"/>
    <n v="0"/>
    <x v="0"/>
    <m/>
  </r>
  <r>
    <s v="PPT1_BOI04"/>
    <s v="S1CS00257-WS"/>
    <n v="540"/>
    <s v="207200436"/>
    <s v="NW"/>
    <n v="5"/>
    <n v="0.65563562661862418"/>
    <x v="16"/>
    <x v="1"/>
    <n v="0"/>
    <x v="0"/>
    <m/>
  </r>
  <r>
    <s v="PPT1_BOI04"/>
    <s v="S1CS00257-WS"/>
    <n v="540"/>
    <s v="207197290"/>
    <s v="NW"/>
    <n v="5"/>
    <n v="0.65563562661862418"/>
    <x v="14"/>
    <x v="1"/>
    <n v="0"/>
    <x v="0"/>
    <m/>
  </r>
  <r>
    <s v="PPT1_BOI04"/>
    <s v="S1CS00257-WS"/>
    <n v="540"/>
    <s v="207197207"/>
    <s v="NW"/>
    <n v="5"/>
    <n v="0.65563562661862418"/>
    <x v="10"/>
    <x v="1"/>
    <n v="0"/>
    <x v="0"/>
    <m/>
  </r>
  <r>
    <s v="PPT1_BOI04"/>
    <s v="S1CS00257-WS"/>
    <n v="360"/>
    <s v="207200806"/>
    <s v="NW"/>
    <n v="5"/>
    <n v="0.43709041774574942"/>
    <x v="3"/>
    <x v="1"/>
    <n v="0"/>
    <x v="0"/>
    <m/>
  </r>
  <r>
    <s v="PPT1_BOI04"/>
    <s v="S1CS00257-WS"/>
    <n v="540"/>
    <s v="207200800"/>
    <s v="NW"/>
    <n v="5"/>
    <n v="0.65563562661862418"/>
    <x v="0"/>
    <x v="1"/>
    <n v="0"/>
    <x v="0"/>
    <m/>
  </r>
  <r>
    <s v="PPT1_BOI04"/>
    <s v="S1CS00257-WS"/>
    <n v="540"/>
    <s v="207197294"/>
    <s v="NW"/>
    <n v="5"/>
    <n v="0.65563562661862418"/>
    <x v="16"/>
    <x v="1"/>
    <n v="0"/>
    <x v="0"/>
    <m/>
  </r>
  <r>
    <s v="PPT1_BOI04"/>
    <s v="S1CS00257-WS"/>
    <n v="540"/>
    <s v="207197317"/>
    <s v="NW"/>
    <n v="5"/>
    <n v="0.65563562661862418"/>
    <x v="3"/>
    <x v="1"/>
    <n v="0"/>
    <x v="0"/>
    <m/>
  </r>
  <r>
    <s v="PPT1_BOI04"/>
    <s v="S1CS00257-WS"/>
    <n v="540"/>
    <s v="207200799"/>
    <s v="NW"/>
    <n v="5"/>
    <n v="0.65563562661862418"/>
    <x v="14"/>
    <x v="1"/>
    <n v="0"/>
    <x v="0"/>
    <m/>
  </r>
  <r>
    <s v="PPT1_BOI04"/>
    <s v="S1CS00257-WS"/>
    <n v="540"/>
    <s v="207197289"/>
    <s v="NW"/>
    <n v="5"/>
    <n v="0.65563562661862418"/>
    <x v="10"/>
    <x v="1"/>
    <n v="0"/>
    <x v="0"/>
    <m/>
  </r>
  <r>
    <s v="PPT1_BOI04"/>
    <s v="S1CS00257-WS"/>
    <n v="540"/>
    <s v="207197292"/>
    <s v="NW"/>
    <n v="5"/>
    <n v="0.65563562661862418"/>
    <x v="0"/>
    <x v="1"/>
    <n v="0"/>
    <x v="0"/>
    <m/>
  </r>
  <r>
    <s v="PPT1_BOI04"/>
    <s v="S1CS00257-WS"/>
    <n v="540"/>
    <s v="207200798"/>
    <s v="NW"/>
    <n v="5"/>
    <n v="0.65563562661862418"/>
    <x v="16"/>
    <x v="1"/>
    <n v="0"/>
    <x v="0"/>
    <m/>
  </r>
  <r>
    <s v="PPT1_BOI04"/>
    <s v="S1CS00257-WS"/>
    <n v="540"/>
    <s v="207200797"/>
    <s v="NW"/>
    <n v="5"/>
    <n v="0.65563562661862418"/>
    <x v="3"/>
    <x v="1"/>
    <n v="0"/>
    <x v="0"/>
    <m/>
  </r>
  <r>
    <s v="PPT1_BOI04"/>
    <s v="S1CS00280-WS"/>
    <n v="180"/>
    <s v="207201041"/>
    <s v="NW"/>
    <n v="2"/>
    <n v="0.14185994901486038"/>
    <x v="2"/>
    <x v="1"/>
    <n v="0"/>
    <x v="0"/>
    <m/>
  </r>
  <r>
    <s v="PPT1_BOI04"/>
    <s v="S1CS00280-WS"/>
    <n v="540"/>
    <s v="207198456"/>
    <s v="NW"/>
    <n v="2"/>
    <n v="0.42557984704458107"/>
    <x v="17"/>
    <x v="1"/>
    <n v="0"/>
    <x v="0"/>
    <m/>
  </r>
  <r>
    <s v="PPT1_BOI04"/>
    <s v="S1CS00280-WS"/>
    <n v="180"/>
    <s v="207198451"/>
    <s v="NW"/>
    <n v="2"/>
    <n v="0.14185994901486038"/>
    <x v="2"/>
    <x v="1"/>
    <n v="0"/>
    <x v="0"/>
    <m/>
  </r>
  <r>
    <s v="PPT1_BOI04"/>
    <s v="S1CS00281-WS"/>
    <n v="540"/>
    <s v="207198534"/>
    <s v="NW"/>
    <n v="3"/>
    <n v="0.63920553459013019"/>
    <x v="11"/>
    <x v="1"/>
    <n v="0"/>
    <x v="0"/>
    <m/>
  </r>
  <r>
    <s v="PPT1_BOI04"/>
    <s v="S1CS00284-WS"/>
    <n v="300"/>
    <s v="207201962"/>
    <s v="NW"/>
    <n v="3"/>
    <n v="0.44679666548380148"/>
    <x v="13"/>
    <x v="1"/>
    <n v="0"/>
    <x v="0"/>
    <m/>
  </r>
  <r>
    <s v="PPT1_BOI04"/>
    <s v="S1CS00284-WS"/>
    <n v="300"/>
    <s v="207201960"/>
    <s v="NW"/>
    <n v="3"/>
    <n v="0.44679666548380148"/>
    <x v="2"/>
    <x v="1"/>
    <n v="0"/>
    <x v="0"/>
    <m/>
  </r>
  <r>
    <s v="PPT1_BOI04"/>
    <s v="S1CS00284-WS"/>
    <n v="300"/>
    <s v="207201958"/>
    <s v="NW"/>
    <n v="3"/>
    <n v="0.44679666548380148"/>
    <x v="5"/>
    <x v="1"/>
    <n v="0"/>
    <x v="0"/>
    <m/>
  </r>
  <r>
    <s v="PPT1_BOI04"/>
    <s v="S1CS00284-WS"/>
    <n v="300"/>
    <s v="207201899"/>
    <s v="NW"/>
    <n v="3"/>
    <n v="0.44679666548380148"/>
    <x v="13"/>
    <x v="1"/>
    <n v="0"/>
    <x v="0"/>
    <m/>
  </r>
  <r>
    <s v="PPT1_BOI04"/>
    <s v="S1CS00284-WS"/>
    <n v="300"/>
    <s v="207201927"/>
    <s v="NW"/>
    <n v="3"/>
    <n v="0.44679666548380148"/>
    <x v="2"/>
    <x v="1"/>
    <n v="0"/>
    <x v="0"/>
    <m/>
  </r>
  <r>
    <s v="PPT1_BOI04"/>
    <s v="S1CS00284-WS"/>
    <n v="300"/>
    <s v="207201847"/>
    <s v="NW"/>
    <n v="3"/>
    <n v="0.44679666548380148"/>
    <x v="5"/>
    <x v="1"/>
    <n v="0"/>
    <x v="0"/>
    <m/>
  </r>
  <r>
    <s v="PPT1_BOI04"/>
    <s v="S1CS00284-WS"/>
    <n v="300"/>
    <s v="207201853"/>
    <s v="NW"/>
    <n v="3"/>
    <n v="0.44679666548380148"/>
    <x v="13"/>
    <x v="1"/>
    <n v="0"/>
    <x v="0"/>
    <m/>
  </r>
  <r>
    <s v="PPT1_BOI04"/>
    <s v="S1CS00284-WS"/>
    <n v="300"/>
    <s v="207201854"/>
    <s v="NW"/>
    <n v="3"/>
    <n v="0.44679666548380148"/>
    <x v="2"/>
    <x v="1"/>
    <n v="0"/>
    <x v="0"/>
    <m/>
  </r>
  <r>
    <s v="PPT1_BOI04"/>
    <s v="S1CS00284-WS"/>
    <n v="300"/>
    <s v="207201855"/>
    <s v="NW"/>
    <n v="3"/>
    <n v="0.44679666548380148"/>
    <x v="5"/>
    <x v="1"/>
    <n v="0"/>
    <x v="0"/>
    <m/>
  </r>
  <r>
    <s v="PPT1_BOI04"/>
    <s v="S1CS00284-WS"/>
    <n v="300"/>
    <s v="207201964"/>
    <s v="NW"/>
    <n v="3"/>
    <n v="0.44679666548380148"/>
    <x v="13"/>
    <x v="1"/>
    <n v="0"/>
    <x v="0"/>
    <m/>
  </r>
  <r>
    <s v="PPT1_BOI04"/>
    <s v="S1CS00284-WS"/>
    <n v="300"/>
    <s v="207201851"/>
    <s v="NW"/>
    <n v="3"/>
    <n v="0.44679666548380148"/>
    <x v="2"/>
    <x v="1"/>
    <n v="0"/>
    <x v="0"/>
    <m/>
  </r>
  <r>
    <s v="PPT1_BOI04"/>
    <s v="S1CS00284-WS"/>
    <n v="300"/>
    <s v="207201897"/>
    <s v="NW"/>
    <n v="3"/>
    <n v="0.44679666548380148"/>
    <x v="5"/>
    <x v="1"/>
    <n v="0"/>
    <x v="0"/>
    <m/>
  </r>
  <r>
    <s v="PPT1_BOI04"/>
    <s v="S1CS00284-WS"/>
    <n v="300"/>
    <s v="207201936"/>
    <s v="NW"/>
    <n v="3"/>
    <n v="0.44679666548380148"/>
    <x v="13"/>
    <x v="1"/>
    <n v="0"/>
    <x v="0"/>
    <m/>
  </r>
  <r>
    <s v="PPT1_BOI04"/>
    <s v="S1CS00284-WS"/>
    <n v="300"/>
    <s v="207197552"/>
    <s v="NW"/>
    <n v="3"/>
    <n v="0.44679666548380148"/>
    <x v="2"/>
    <x v="1"/>
    <n v="0"/>
    <x v="0"/>
    <m/>
  </r>
  <r>
    <s v="PPT1_BOI04"/>
    <s v="S1CS00284-WS"/>
    <n v="300"/>
    <s v="207201898"/>
    <s v="NW"/>
    <n v="3"/>
    <n v="0.44679666548380148"/>
    <x v="5"/>
    <x v="1"/>
    <n v="0"/>
    <x v="0"/>
    <m/>
  </r>
  <r>
    <s v="PPT1_BOI04"/>
    <s v="S1CS00284-WS"/>
    <n v="300"/>
    <s v="207201835"/>
    <s v="NW"/>
    <n v="3"/>
    <n v="0.44679666548380148"/>
    <x v="13"/>
    <x v="1"/>
    <n v="0"/>
    <x v="0"/>
    <m/>
  </r>
  <r>
    <s v="PPT1_BOI04"/>
    <s v="S1CS00284-WS"/>
    <n v="300"/>
    <s v="207201929"/>
    <s v="NW"/>
    <n v="3"/>
    <n v="0.44679666548380148"/>
    <x v="2"/>
    <x v="1"/>
    <n v="0"/>
    <x v="0"/>
    <m/>
  </r>
  <r>
    <s v="PPT1_BOI04"/>
    <s v="S1CS00284-WS"/>
    <n v="300"/>
    <s v="207197578"/>
    <s v="NW"/>
    <n v="3"/>
    <n v="0.44679666548380148"/>
    <x v="5"/>
    <x v="1"/>
    <n v="0"/>
    <x v="0"/>
    <m/>
  </r>
  <r>
    <s v="PPT1_BOI04"/>
    <s v="S1CS00284-WS"/>
    <n v="100"/>
    <s v="207197661"/>
    <s v="NW"/>
    <n v="3"/>
    <n v="0.14893222182793384"/>
    <x v="13"/>
    <x v="1"/>
    <n v="0"/>
    <x v="0"/>
    <m/>
  </r>
  <r>
    <s v="PPT1_BOI04"/>
    <s v="S1CS00284-WS"/>
    <n v="300"/>
    <s v="207201931"/>
    <s v="NW"/>
    <n v="3"/>
    <n v="0.44679666548380148"/>
    <x v="2"/>
    <x v="1"/>
    <n v="0"/>
    <x v="0"/>
    <m/>
  </r>
  <r>
    <s v="PPT1_BOI04"/>
    <s v="S1CS00284-WS"/>
    <n v="300"/>
    <s v="207197648"/>
    <s v="NW"/>
    <n v="3"/>
    <n v="0.44679666548380148"/>
    <x v="5"/>
    <x v="1"/>
    <n v="0"/>
    <x v="0"/>
    <m/>
  </r>
  <r>
    <s v="PPT1_BOI04"/>
    <s v="S1CS00284-WS"/>
    <n v="300"/>
    <s v="207197615"/>
    <s v="NW"/>
    <n v="3"/>
    <n v="0.44679666548380148"/>
    <x v="13"/>
    <x v="1"/>
    <n v="0"/>
    <x v="0"/>
    <m/>
  </r>
  <r>
    <s v="PPT1_BOI04"/>
    <s v="S1CS00291-WS"/>
    <n v="690"/>
    <s v="207198324"/>
    <s v="NW"/>
    <n v="4"/>
    <n v="0.39167213128443001"/>
    <x v="15"/>
    <x v="1"/>
    <n v="0"/>
    <x v="0"/>
    <m/>
  </r>
  <r>
    <s v="PPT1_BOI04"/>
    <s v="S1CS00291-WS"/>
    <n v="690"/>
    <s v="207197969"/>
    <s v="NW"/>
    <n v="4"/>
    <n v="0.39167213128443001"/>
    <x v="17"/>
    <x v="1"/>
    <n v="0"/>
    <x v="0"/>
    <m/>
  </r>
  <r>
    <s v="PPT1_BOI04"/>
    <s v="S1CS00291-WS"/>
    <n v="690"/>
    <s v="207198283"/>
    <s v="NW"/>
    <n v="4"/>
    <n v="0.39167213128443001"/>
    <x v="8"/>
    <x v="1"/>
    <n v="0"/>
    <x v="0"/>
    <m/>
  </r>
  <r>
    <s v="PPT1_BOI04"/>
    <s v="S1CS00291-WS"/>
    <n v="690"/>
    <s v="207198388"/>
    <s v="NW"/>
    <n v="4"/>
    <n v="0.39167213128443001"/>
    <x v="12"/>
    <x v="1"/>
    <n v="0"/>
    <x v="0"/>
    <m/>
  </r>
  <r>
    <s v="PPT1_BOI04"/>
    <s v="S1CS00291-WS"/>
    <n v="690"/>
    <s v="207198601"/>
    <s v="NW"/>
    <n v="4"/>
    <n v="0.39167213128443001"/>
    <x v="15"/>
    <x v="1"/>
    <n v="0"/>
    <x v="0"/>
    <m/>
  </r>
  <r>
    <s v="PPT1_BOI04"/>
    <s v="S1CS00291-WS"/>
    <n v="690"/>
    <s v="207198606"/>
    <s v="NW"/>
    <n v="4"/>
    <n v="0.39167213128443001"/>
    <x v="17"/>
    <x v="1"/>
    <n v="0"/>
    <x v="0"/>
    <m/>
  </r>
  <r>
    <s v="PPT1_BOI04"/>
    <s v="S1CS00291-WS"/>
    <n v="690"/>
    <s v="207198648"/>
    <s v="NW"/>
    <n v="4"/>
    <n v="0.39167213128443001"/>
    <x v="8"/>
    <x v="1"/>
    <n v="0"/>
    <x v="0"/>
    <m/>
  </r>
  <r>
    <s v="PPT1_BOI04"/>
    <s v="S1CS00291-WS"/>
    <n v="690"/>
    <s v="207198420"/>
    <s v="NW"/>
    <n v="4"/>
    <n v="0.39167213128443001"/>
    <x v="12"/>
    <x v="1"/>
    <n v="0"/>
    <x v="0"/>
    <m/>
  </r>
  <r>
    <s v="PPT1_BOI04"/>
    <s v="S1CS00291-WS"/>
    <n v="690"/>
    <s v="207198597"/>
    <s v="NW"/>
    <n v="4"/>
    <n v="0.39167213128443001"/>
    <x v="15"/>
    <x v="1"/>
    <n v="0"/>
    <x v="0"/>
    <m/>
  </r>
  <r>
    <s v="PPT1_BOI04"/>
    <s v="S1CS00291-WS"/>
    <n v="690"/>
    <s v="207198652"/>
    <s v="NW"/>
    <n v="4"/>
    <n v="0.39167213128443001"/>
    <x v="17"/>
    <x v="1"/>
    <n v="0"/>
    <x v="0"/>
    <m/>
  </r>
  <r>
    <s v="PPT1_BOI04"/>
    <s v="S1CS00291-WS"/>
    <n v="690"/>
    <s v="207197614"/>
    <s v="NW"/>
    <n v="4"/>
    <n v="0.39167213128443001"/>
    <x v="8"/>
    <x v="1"/>
    <n v="0"/>
    <x v="0"/>
    <m/>
  </r>
  <r>
    <s v="PPT1_BOI04"/>
    <s v="S1CS00291-WS"/>
    <n v="690"/>
    <s v="207197621"/>
    <s v="NW"/>
    <n v="4"/>
    <n v="0.39167213128443001"/>
    <x v="12"/>
    <x v="1"/>
    <n v="0"/>
    <x v="0"/>
    <m/>
  </r>
  <r>
    <s v="PPT1_BOI04"/>
    <s v="S1CS00291-WS"/>
    <n v="690"/>
    <s v="207197535"/>
    <s v="NW"/>
    <n v="4"/>
    <n v="0.39167213128443001"/>
    <x v="15"/>
    <x v="1"/>
    <n v="0"/>
    <x v="0"/>
    <m/>
  </r>
  <r>
    <s v="PPT1_BOI04"/>
    <s v="S1CS00291-WS"/>
    <n v="690"/>
    <s v="207197571"/>
    <s v="NW"/>
    <n v="4"/>
    <n v="0.39167213128443001"/>
    <x v="17"/>
    <x v="1"/>
    <n v="0"/>
    <x v="0"/>
    <m/>
  </r>
  <r>
    <s v="PPT1_BOI04"/>
    <s v="S1CS00291-WS"/>
    <n v="690"/>
    <s v="207197676"/>
    <s v="NW"/>
    <n v="4"/>
    <n v="0.39167213128443001"/>
    <x v="8"/>
    <x v="1"/>
    <n v="0"/>
    <x v="0"/>
    <m/>
  </r>
  <r>
    <s v="PPT1_BOI04"/>
    <s v="S1CS00291-WS"/>
    <n v="690"/>
    <s v="207197696"/>
    <s v="NW"/>
    <n v="4"/>
    <n v="0.39167213128443001"/>
    <x v="12"/>
    <x v="1"/>
    <n v="0"/>
    <x v="0"/>
    <m/>
  </r>
  <r>
    <s v="PPT1_BOI04"/>
    <s v="S1CS00291-WS"/>
    <n v="690"/>
    <s v="207197647"/>
    <s v="NW"/>
    <n v="4"/>
    <n v="0.39167213128443001"/>
    <x v="15"/>
    <x v="1"/>
    <n v="0"/>
    <x v="0"/>
    <m/>
  </r>
  <r>
    <s v="PPT1_BOI04"/>
    <s v="S1CS00291-WS"/>
    <n v="690"/>
    <s v="207197670"/>
    <s v="NW"/>
    <n v="4"/>
    <n v="0.39167213128443001"/>
    <x v="17"/>
    <x v="1"/>
    <n v="0"/>
    <x v="0"/>
    <m/>
  </r>
  <r>
    <s v="PPT1_BOI04"/>
    <s v="S1CS00291-WS"/>
    <n v="690"/>
    <s v="207197880"/>
    <s v="NW"/>
    <n v="4"/>
    <n v="0.39167213128443001"/>
    <x v="8"/>
    <x v="1"/>
    <n v="0"/>
    <x v="0"/>
    <m/>
  </r>
  <r>
    <s v="PPT1_BOI04"/>
    <s v="S1CS00291-WS"/>
    <n v="690"/>
    <s v="207197857"/>
    <s v="NW"/>
    <n v="4"/>
    <n v="0.39167213128443001"/>
    <x v="12"/>
    <x v="1"/>
    <n v="0"/>
    <x v="0"/>
    <m/>
  </r>
  <r>
    <s v="PPT1_BOI04"/>
    <s v="S1CS00291-WS"/>
    <n v="690"/>
    <s v="207197931"/>
    <s v="NW"/>
    <n v="4"/>
    <n v="0.39167213128443001"/>
    <x v="15"/>
    <x v="1"/>
    <n v="0"/>
    <x v="0"/>
    <m/>
  </r>
  <r>
    <s v="PPT1_BOI04"/>
    <s v="S1CS00291-WS"/>
    <n v="690"/>
    <s v="207197910"/>
    <s v="NW"/>
    <n v="4"/>
    <n v="0.39167213128443001"/>
    <x v="17"/>
    <x v="1"/>
    <n v="0"/>
    <x v="0"/>
    <m/>
  </r>
  <r>
    <s v="PPT1_BOI04"/>
    <s v="S1CS00291-WS"/>
    <n v="690"/>
    <s v="207197726"/>
    <s v="NW"/>
    <n v="4"/>
    <n v="0.39167213128443001"/>
    <x v="8"/>
    <x v="1"/>
    <n v="0"/>
    <x v="0"/>
    <m/>
  </r>
  <r>
    <s v="PPT1_BOI04"/>
    <s v="S1CS00291-WS"/>
    <n v="690"/>
    <s v="207197532"/>
    <s v="NW"/>
    <n v="4"/>
    <n v="0.39167213128443001"/>
    <x v="12"/>
    <x v="1"/>
    <n v="0"/>
    <x v="0"/>
    <m/>
  </r>
  <r>
    <s v="PPT1_BOI04"/>
    <s v="S1CS00291-WS"/>
    <n v="230"/>
    <s v="207197778"/>
    <s v="NW"/>
    <n v="4"/>
    <n v="0.13055737709481"/>
    <x v="15"/>
    <x v="1"/>
    <n v="0"/>
    <x v="0"/>
    <m/>
  </r>
  <r>
    <s v="PPT1_BOI04"/>
    <s v="S1CS00291-WS"/>
    <n v="230"/>
    <s v="207197756"/>
    <s v="NW"/>
    <n v="4"/>
    <n v="0.13055737709481"/>
    <x v="15"/>
    <x v="1"/>
    <n v="0"/>
    <x v="0"/>
    <m/>
  </r>
  <r>
    <s v="PPT1_BOI04"/>
    <s v="S1CS00291-WS"/>
    <n v="690"/>
    <s v="207198656"/>
    <s v="NW"/>
    <n v="4"/>
    <n v="0.39167213128443001"/>
    <x v="17"/>
    <x v="1"/>
    <n v="0"/>
    <x v="0"/>
    <m/>
  </r>
  <r>
    <s v="PPT1_BOI04"/>
    <s v="S1CS00291-WS"/>
    <n v="690"/>
    <s v="207199379"/>
    <s v="NW"/>
    <n v="4"/>
    <n v="0.39167213128443001"/>
    <x v="8"/>
    <x v="1"/>
    <n v="0"/>
    <x v="0"/>
    <m/>
  </r>
  <r>
    <s v="PPT1_BOI04"/>
    <s v="S1CS00291-WS"/>
    <n v="690"/>
    <s v="207199382"/>
    <s v="NW"/>
    <n v="4"/>
    <n v="0.39167213128443001"/>
    <x v="15"/>
    <x v="1"/>
    <n v="0"/>
    <x v="0"/>
    <m/>
  </r>
  <r>
    <s v="PPT1_BOI04"/>
    <s v="S1CS00291-WS"/>
    <n v="690"/>
    <s v="207199427"/>
    <s v="NW"/>
    <n v="4"/>
    <n v="0.39167213128443001"/>
    <x v="12"/>
    <x v="1"/>
    <n v="0"/>
    <x v="0"/>
    <m/>
  </r>
  <r>
    <s v="PPT1_BOI04"/>
    <s v="S1CS00291-WS"/>
    <n v="690"/>
    <s v="207199355"/>
    <s v="NW"/>
    <n v="4"/>
    <n v="0.39167213128443001"/>
    <x v="17"/>
    <x v="1"/>
    <n v="0"/>
    <x v="0"/>
    <m/>
  </r>
  <r>
    <s v="PPT1_BOI04"/>
    <s v="S1CS00291-WS"/>
    <n v="690"/>
    <s v="207199273"/>
    <s v="NW"/>
    <n v="4"/>
    <n v="0.39167213128443001"/>
    <x v="8"/>
    <x v="1"/>
    <n v="0"/>
    <x v="0"/>
    <m/>
  </r>
  <r>
    <s v="PPT1_BOI04"/>
    <s v="S1CS00291-WS"/>
    <n v="690"/>
    <s v="207199307"/>
    <s v="NW"/>
    <n v="4"/>
    <n v="0.39167213128443001"/>
    <x v="15"/>
    <x v="1"/>
    <n v="0"/>
    <x v="0"/>
    <m/>
  </r>
  <r>
    <s v="PPT1_BOI04"/>
    <s v="S1CS00291-WS"/>
    <n v="690"/>
    <s v="207199351"/>
    <s v="NW"/>
    <n v="4"/>
    <n v="0.39167213128443001"/>
    <x v="12"/>
    <x v="1"/>
    <n v="0"/>
    <x v="0"/>
    <m/>
  </r>
  <r>
    <s v="PPT1_BOI04"/>
    <s v="S1CS00291-WS"/>
    <n v="690"/>
    <s v="207201208"/>
    <s v="NW"/>
    <n v="4"/>
    <n v="0.39167213128443001"/>
    <x v="17"/>
    <x v="1"/>
    <n v="0"/>
    <x v="0"/>
    <m/>
  </r>
  <r>
    <s v="PPT1_BOI04"/>
    <s v="S1CS00291-WS"/>
    <n v="690"/>
    <s v="207201220"/>
    <s v="NW"/>
    <n v="4"/>
    <n v="0.39167213128443001"/>
    <x v="8"/>
    <x v="1"/>
    <n v="0"/>
    <x v="0"/>
    <m/>
  </r>
  <r>
    <s v="PPT1_BOI04"/>
    <s v="S1CS00291-WS"/>
    <n v="460"/>
    <s v="207201337"/>
    <s v="NW"/>
    <n v="4"/>
    <n v="0.26111475418961999"/>
    <x v="15"/>
    <x v="1"/>
    <n v="0"/>
    <x v="0"/>
    <m/>
  </r>
  <r>
    <s v="PPT1_BOI04"/>
    <s v="S1CS00291-WS"/>
    <n v="690"/>
    <s v="207201206"/>
    <s v="NW"/>
    <n v="4"/>
    <n v="0.39167213128443001"/>
    <x v="12"/>
    <x v="1"/>
    <n v="0"/>
    <x v="0"/>
    <m/>
  </r>
  <r>
    <s v="PPT1_BOI04"/>
    <s v="S1CS00291-WS"/>
    <n v="690"/>
    <s v="207199429"/>
    <s v="NW"/>
    <n v="4"/>
    <n v="0.39167213128443001"/>
    <x v="15"/>
    <x v="1"/>
    <n v="0"/>
    <x v="0"/>
    <m/>
  </r>
  <r>
    <s v="PPT1_BOI04"/>
    <s v="S1CS00291-WS"/>
    <n v="690"/>
    <s v="207199431"/>
    <s v="NW"/>
    <n v="4"/>
    <n v="0.39167213128443001"/>
    <x v="17"/>
    <x v="1"/>
    <n v="0"/>
    <x v="0"/>
    <m/>
  </r>
  <r>
    <s v="PPT1_BOI04"/>
    <s v="S1CS00291-WS"/>
    <n v="690"/>
    <s v="207199434"/>
    <s v="NW"/>
    <n v="4"/>
    <n v="0.39167213128443001"/>
    <x v="8"/>
    <x v="1"/>
    <n v="0"/>
    <x v="0"/>
    <m/>
  </r>
  <r>
    <s v="PPT1_BOI04"/>
    <s v="S1CS00291-WS"/>
    <n v="690"/>
    <s v="207199028"/>
    <s v="NW"/>
    <n v="4"/>
    <n v="0.39167213128443001"/>
    <x v="12"/>
    <x v="1"/>
    <n v="0"/>
    <x v="0"/>
    <m/>
  </r>
  <r>
    <s v="PPT1_BOI04"/>
    <s v="S1CS00291-WS"/>
    <n v="690"/>
    <s v="207199031"/>
    <s v="NW"/>
    <n v="4"/>
    <n v="0.39167213128443001"/>
    <x v="15"/>
    <x v="1"/>
    <n v="0"/>
    <x v="0"/>
    <m/>
  </r>
  <r>
    <s v="PPT1_BOI04"/>
    <s v="S1CS00291-WS"/>
    <n v="690"/>
    <s v="207199033"/>
    <s v="NW"/>
    <n v="4"/>
    <n v="0.39167213128443001"/>
    <x v="17"/>
    <x v="1"/>
    <n v="0"/>
    <x v="0"/>
    <m/>
  </r>
  <r>
    <s v="PPT1_BOI04"/>
    <s v="S1CS00291-WS"/>
    <n v="690"/>
    <s v="207199001"/>
    <s v="NW"/>
    <n v="4"/>
    <n v="0.39167213128443001"/>
    <x v="8"/>
    <x v="1"/>
    <n v="0"/>
    <x v="0"/>
    <m/>
  </r>
  <r>
    <s v="PPT1_BOI04"/>
    <s v="S1CS00291-WS"/>
    <n v="690"/>
    <s v="207198689"/>
    <s v="NW"/>
    <n v="4"/>
    <n v="0.39167213128443001"/>
    <x v="12"/>
    <x v="1"/>
    <n v="0"/>
    <x v="0"/>
    <m/>
  </r>
  <r>
    <s v="PPT1_BOI04"/>
    <s v="S1CS00291-WS"/>
    <n v="690"/>
    <s v="207198955"/>
    <s v="NW"/>
    <n v="4"/>
    <n v="0.39167213128443001"/>
    <x v="15"/>
    <x v="1"/>
    <n v="0"/>
    <x v="0"/>
    <m/>
  </r>
  <r>
    <s v="PPT1_BOI04"/>
    <s v="S1CS00291-WS"/>
    <n v="690"/>
    <s v="207198997"/>
    <s v="NW"/>
    <n v="4"/>
    <n v="0.39167213128443001"/>
    <x v="17"/>
    <x v="1"/>
    <n v="0"/>
    <x v="0"/>
    <m/>
  </r>
  <r>
    <s v="PPT1_BOI04"/>
    <s v="S1CS00291-WS"/>
    <n v="690"/>
    <s v="207199271"/>
    <s v="NW"/>
    <n v="4"/>
    <n v="0.39167213128443001"/>
    <x v="8"/>
    <x v="1"/>
    <n v="0"/>
    <x v="0"/>
    <m/>
  </r>
  <r>
    <s v="PPT1_BOI04"/>
    <s v="S1CS00291-WS"/>
    <n v="690"/>
    <s v="207199269"/>
    <s v="NW"/>
    <n v="4"/>
    <n v="0.39167213128443001"/>
    <x v="12"/>
    <x v="1"/>
    <n v="0"/>
    <x v="0"/>
    <m/>
  </r>
  <r>
    <s v="PPT1_BOI04"/>
    <s v="S1CS00291-WS"/>
    <n v="690"/>
    <s v="207199246"/>
    <s v="NW"/>
    <n v="4"/>
    <n v="0.39167213128443001"/>
    <x v="15"/>
    <x v="1"/>
    <n v="0"/>
    <x v="0"/>
    <m/>
  </r>
  <r>
    <s v="PPT1_BOI04"/>
    <s v="S1CS00291-WS"/>
    <n v="690"/>
    <s v="207199268"/>
    <s v="NW"/>
    <n v="4"/>
    <n v="0.39167213128443001"/>
    <x v="17"/>
    <x v="1"/>
    <n v="0"/>
    <x v="0"/>
    <m/>
  </r>
  <r>
    <s v="PPT1_BOI04"/>
    <s v="S1CS00291-WS"/>
    <n v="690"/>
    <s v="207199035"/>
    <s v="NW"/>
    <n v="4"/>
    <n v="0.39167213128443001"/>
    <x v="8"/>
    <x v="1"/>
    <n v="0"/>
    <x v="0"/>
    <m/>
  </r>
  <r>
    <s v="PPT1_BOI04"/>
    <s v="S1CS00291-WS"/>
    <n v="690"/>
    <s v="207199242"/>
    <s v="NW"/>
    <n v="4"/>
    <n v="0.39167213128443001"/>
    <x v="12"/>
    <x v="1"/>
    <n v="0"/>
    <x v="0"/>
    <m/>
  </r>
  <r>
    <s v="PPT1_BOI04"/>
    <s v="S1CS00291-WS"/>
    <n v="690"/>
    <s v="207199244"/>
    <s v="NW"/>
    <n v="4"/>
    <n v="0.39167213128443001"/>
    <x v="15"/>
    <x v="1"/>
    <n v="0"/>
    <x v="0"/>
    <m/>
  </r>
  <r>
    <s v="PPT1_BOI04"/>
    <s v="S1CS00292-WS"/>
    <n v="280"/>
    <s v="207201339"/>
    <s v="NW"/>
    <n v="4"/>
    <n v="0.24815496551062025"/>
    <x v="11"/>
    <x v="1"/>
    <n v="0"/>
    <x v="0"/>
    <m/>
  </r>
  <r>
    <s v="PPT1_BOI04"/>
    <s v="S1CS00292-WS"/>
    <n v="840"/>
    <s v="207201144"/>
    <s v="NW"/>
    <n v="4"/>
    <n v="0.74446489653186076"/>
    <x v="14"/>
    <x v="1"/>
    <n v="0"/>
    <x v="0"/>
    <m/>
  </r>
  <r>
    <s v="PPT1_BOI04"/>
    <s v="S1CS00292-WS"/>
    <n v="840"/>
    <s v="207201178"/>
    <s v="NW"/>
    <n v="4"/>
    <n v="0.74446489653186076"/>
    <x v="11"/>
    <x v="1"/>
    <n v="0"/>
    <x v="0"/>
    <m/>
  </r>
  <r>
    <s v="PPT1_BOI04"/>
    <s v="S1CS00292-WS"/>
    <n v="840"/>
    <s v="207201180"/>
    <s v="NW"/>
    <n v="4"/>
    <n v="0.74446489653186076"/>
    <x v="10"/>
    <x v="1"/>
    <n v="0"/>
    <x v="0"/>
    <m/>
  </r>
  <r>
    <s v="PPT1_BOI04"/>
    <s v="S1CS00292-WS"/>
    <n v="840"/>
    <s v="207199093"/>
    <s v="NW"/>
    <n v="4"/>
    <n v="0.74446489653186076"/>
    <x v="0"/>
    <x v="1"/>
    <n v="0"/>
    <x v="0"/>
    <m/>
  </r>
  <r>
    <s v="PPT1_BOI04"/>
    <s v="S1CS00292-WS"/>
    <n v="840"/>
    <s v="207199096"/>
    <s v="NW"/>
    <n v="4"/>
    <n v="0.74446489653186076"/>
    <x v="14"/>
    <x v="1"/>
    <n v="0"/>
    <x v="0"/>
    <m/>
  </r>
  <r>
    <s v="PPT1_BOI04"/>
    <s v="S1CS00292-WS"/>
    <n v="840"/>
    <s v="207199091"/>
    <s v="NW"/>
    <n v="4"/>
    <n v="0.74446489653186076"/>
    <x v="11"/>
    <x v="1"/>
    <n v="0"/>
    <x v="0"/>
    <m/>
  </r>
  <r>
    <s v="PPT1_BOI04"/>
    <s v="S1CS00292-WS"/>
    <n v="840"/>
    <s v="207198288"/>
    <s v="NW"/>
    <n v="4"/>
    <n v="0.74446489653186076"/>
    <x v="10"/>
    <x v="1"/>
    <n v="0"/>
    <x v="0"/>
    <m/>
  </r>
  <r>
    <s v="PPT1_BOI04"/>
    <s v="S1CS00292-WS"/>
    <n v="840"/>
    <s v="207199087"/>
    <s v="NW"/>
    <n v="4"/>
    <n v="0.74446489653186076"/>
    <x v="0"/>
    <x v="1"/>
    <n v="0"/>
    <x v="0"/>
    <m/>
  </r>
  <r>
    <s v="PPT1_BOI04"/>
    <s v="S1CS00292-WS"/>
    <n v="840"/>
    <s v="207199131"/>
    <s v="NW"/>
    <n v="4"/>
    <n v="0.74446489653186076"/>
    <x v="14"/>
    <x v="1"/>
    <n v="0"/>
    <x v="0"/>
    <m/>
  </r>
  <r>
    <s v="PPT1_BOI04"/>
    <s v="S1CS00292-WS"/>
    <n v="840"/>
    <s v="207199135"/>
    <s v="NW"/>
    <n v="4"/>
    <n v="0.74446489653186076"/>
    <x v="11"/>
    <x v="1"/>
    <n v="0"/>
    <x v="0"/>
    <m/>
  </r>
  <r>
    <s v="PPT1_BOI04"/>
    <s v="S1CS00292-WS"/>
    <n v="840"/>
    <s v="207199128"/>
    <s v="NW"/>
    <n v="4"/>
    <n v="0.74446489653186076"/>
    <x v="10"/>
    <x v="1"/>
    <n v="0"/>
    <x v="0"/>
    <m/>
  </r>
  <r>
    <s v="PPT1_BOI04"/>
    <s v="S1CS00292-WS"/>
    <n v="840"/>
    <s v="207199122"/>
    <s v="NW"/>
    <n v="4"/>
    <n v="0.74446489653186076"/>
    <x v="0"/>
    <x v="1"/>
    <n v="0"/>
    <x v="0"/>
    <m/>
  </r>
  <r>
    <s v="PPT1_BOI04"/>
    <s v="S1CS00292-WS"/>
    <n v="840"/>
    <s v="207199125"/>
    <s v="NW"/>
    <n v="4"/>
    <n v="0.74446489653186076"/>
    <x v="14"/>
    <x v="1"/>
    <n v="0"/>
    <x v="0"/>
    <m/>
  </r>
  <r>
    <s v="PPT1_BOI04"/>
    <s v="S1CS00292-WS"/>
    <n v="840"/>
    <s v="207198238"/>
    <s v="NW"/>
    <n v="4"/>
    <n v="0.74446489653186076"/>
    <x v="11"/>
    <x v="1"/>
    <n v="0"/>
    <x v="0"/>
    <m/>
  </r>
  <r>
    <s v="PPT1_BOI04"/>
    <s v="S1CS00292-WS"/>
    <n v="840"/>
    <s v="207198240"/>
    <s v="NW"/>
    <n v="4"/>
    <n v="0.74446489653186076"/>
    <x v="10"/>
    <x v="1"/>
    <n v="0"/>
    <x v="0"/>
    <m/>
  </r>
  <r>
    <s v="PPT1_BOI04"/>
    <s v="S1CS00292-WS"/>
    <n v="840"/>
    <s v="207198215"/>
    <s v="NW"/>
    <n v="4"/>
    <n v="0.74446489653186076"/>
    <x v="0"/>
    <x v="1"/>
    <n v="0"/>
    <x v="0"/>
    <m/>
  </r>
  <r>
    <s v="PPT1_BOI04"/>
    <s v="S1CS00292-WS"/>
    <n v="840"/>
    <s v="207198209"/>
    <s v="NW"/>
    <n v="4"/>
    <n v="0.74446489653186076"/>
    <x v="14"/>
    <x v="1"/>
    <n v="0"/>
    <x v="0"/>
    <m/>
  </r>
  <r>
    <s v="PPT1_BOI04"/>
    <s v="S1CS00292-WS"/>
    <n v="840"/>
    <s v="207198212"/>
    <s v="NW"/>
    <n v="4"/>
    <n v="0.74446489653186076"/>
    <x v="11"/>
    <x v="1"/>
    <n v="0"/>
    <x v="0"/>
    <m/>
  </r>
  <r>
    <s v="PPT1_BOI04"/>
    <s v="S1CS00292-WS"/>
    <n v="840"/>
    <s v="207198261"/>
    <s v="NW"/>
    <n v="4"/>
    <n v="0.74446489653186076"/>
    <x v="10"/>
    <x v="1"/>
    <n v="0"/>
    <x v="0"/>
    <m/>
  </r>
  <r>
    <s v="PPT1_BOI04"/>
    <s v="S1CS00292-WS"/>
    <n v="840"/>
    <s v="207198265"/>
    <s v="NW"/>
    <n v="4"/>
    <n v="0.74446489653186076"/>
    <x v="0"/>
    <x v="1"/>
    <n v="0"/>
    <x v="0"/>
    <m/>
  </r>
  <r>
    <s v="PPT1_BOI04"/>
    <s v="S1CS00292-WS"/>
    <n v="840"/>
    <s v="207198258"/>
    <s v="NW"/>
    <n v="4"/>
    <n v="0.74446489653186076"/>
    <x v="14"/>
    <x v="1"/>
    <n v="0"/>
    <x v="0"/>
    <m/>
  </r>
  <r>
    <s v="PPT1_BOI04"/>
    <s v="S1CS00292-WS"/>
    <n v="560"/>
    <s v="207198244"/>
    <s v="NW"/>
    <n v="4"/>
    <n v="0.49630993102124049"/>
    <x v="11"/>
    <x v="1"/>
    <n v="0"/>
    <x v="0"/>
    <m/>
  </r>
  <r>
    <s v="PPT1_BOI04"/>
    <s v="S1CS00292-WS"/>
    <n v="840"/>
    <s v="207198246"/>
    <s v="NW"/>
    <n v="4"/>
    <n v="0.74446489653186076"/>
    <x v="10"/>
    <x v="1"/>
    <n v="0"/>
    <x v="0"/>
    <m/>
  </r>
  <r>
    <s v="PPT1_BOI04"/>
    <s v="S1CS00292-WS"/>
    <n v="840"/>
    <s v="207199151"/>
    <s v="NW"/>
    <n v="4"/>
    <n v="0.74446489653186076"/>
    <x v="0"/>
    <x v="1"/>
    <n v="0"/>
    <x v="0"/>
    <m/>
  </r>
  <r>
    <s v="PPT1_BOI04"/>
    <s v="S1CS00292-WS"/>
    <n v="840"/>
    <s v="207199332"/>
    <s v="NW"/>
    <n v="4"/>
    <n v="0.74446489653186076"/>
    <x v="11"/>
    <x v="1"/>
    <n v="0"/>
    <x v="0"/>
    <m/>
  </r>
  <r>
    <s v="PPT1_BOI04"/>
    <s v="S1CS00292-WS"/>
    <n v="840"/>
    <s v="207199260"/>
    <s v="NW"/>
    <n v="4"/>
    <n v="0.74446489653186076"/>
    <x v="14"/>
    <x v="1"/>
    <n v="0"/>
    <x v="0"/>
    <m/>
  </r>
  <r>
    <s v="PPT1_BOI04"/>
    <s v="S1CS00292-WS"/>
    <n v="840"/>
    <s v="207199296"/>
    <s v="NW"/>
    <n v="4"/>
    <n v="0.74446489653186076"/>
    <x v="10"/>
    <x v="1"/>
    <n v="0"/>
    <x v="0"/>
    <m/>
  </r>
  <r>
    <s v="PPT1_BOI04"/>
    <s v="S1CS00292-WS"/>
    <n v="840"/>
    <s v="207199254"/>
    <s v="NW"/>
    <n v="4"/>
    <n v="0.74446489653186076"/>
    <x v="0"/>
    <x v="1"/>
    <n v="0"/>
    <x v="0"/>
    <m/>
  </r>
  <r>
    <s v="PPT1_BOI04"/>
    <s v="S1CS00292-WS"/>
    <n v="840"/>
    <s v="207199257"/>
    <s v="NW"/>
    <n v="4"/>
    <n v="0.74446489653186076"/>
    <x v="11"/>
    <x v="1"/>
    <n v="0"/>
    <x v="0"/>
    <m/>
  </r>
  <r>
    <s v="PPT1_BOI04"/>
    <s v="S1CS00292-WS"/>
    <n v="840"/>
    <s v="207199292"/>
    <s v="NW"/>
    <n v="4"/>
    <n v="0.74446489653186076"/>
    <x v="14"/>
    <x v="1"/>
    <n v="0"/>
    <x v="0"/>
    <m/>
  </r>
  <r>
    <s v="PPT1_BOI04"/>
    <s v="S1CS00292-WS"/>
    <n v="840"/>
    <s v="207199293"/>
    <s v="NW"/>
    <n v="4"/>
    <n v="0.74446489653186076"/>
    <x v="10"/>
    <x v="1"/>
    <n v="0"/>
    <x v="0"/>
    <m/>
  </r>
  <r>
    <s v="PPT1_BOI04"/>
    <s v="S1CS00292-WS"/>
    <n v="840"/>
    <s v="207199289"/>
    <s v="NW"/>
    <n v="4"/>
    <n v="0.74446489653186076"/>
    <x v="0"/>
    <x v="1"/>
    <n v="0"/>
    <x v="0"/>
    <m/>
  </r>
  <r>
    <s v="PPT1_BOI04"/>
    <s v="S1CS00292-WS"/>
    <n v="840"/>
    <s v="207199263"/>
    <s v="NW"/>
    <n v="4"/>
    <n v="0.74446489653186076"/>
    <x v="11"/>
    <x v="1"/>
    <n v="0"/>
    <x v="0"/>
    <m/>
  </r>
  <r>
    <s v="PPT1_BOI04"/>
    <s v="S1CS00292-WS"/>
    <n v="840"/>
    <s v="207199266"/>
    <s v="NW"/>
    <n v="4"/>
    <n v="0.74446489653186076"/>
    <x v="14"/>
    <x v="1"/>
    <n v="0"/>
    <x v="0"/>
    <m/>
  </r>
  <r>
    <s v="PPT1_BOI04"/>
    <s v="S1CS00292-WS"/>
    <n v="840"/>
    <s v="207199206"/>
    <s v="NW"/>
    <n v="4"/>
    <n v="0.74446489653186076"/>
    <x v="10"/>
    <x v="1"/>
    <n v="0"/>
    <x v="0"/>
    <m/>
  </r>
  <r>
    <s v="PPT1_BOI04"/>
    <s v="S1CS00292-WS"/>
    <n v="840"/>
    <s v="207199219"/>
    <s v="NW"/>
    <n v="4"/>
    <n v="0.74446489653186076"/>
    <x v="0"/>
    <x v="1"/>
    <n v="0"/>
    <x v="0"/>
    <m/>
  </r>
  <r>
    <s v="PPT1_BOI04"/>
    <s v="S1CS00292-WS"/>
    <n v="840"/>
    <s v="207199222"/>
    <s v="NW"/>
    <n v="4"/>
    <n v="0.74446489653186076"/>
    <x v="11"/>
    <x v="1"/>
    <n v="0"/>
    <x v="0"/>
    <m/>
  </r>
  <r>
    <s v="PPT1_BOI04"/>
    <s v="S1CS00292-WS"/>
    <n v="840"/>
    <s v="207199203"/>
    <s v="NW"/>
    <n v="4"/>
    <n v="0.74446489653186076"/>
    <x v="14"/>
    <x v="1"/>
    <n v="0"/>
    <x v="0"/>
    <m/>
  </r>
  <r>
    <s v="PPT1_BOI04"/>
    <s v="S1CS00292-WS"/>
    <n v="840"/>
    <s v="207199156"/>
    <s v="NW"/>
    <n v="4"/>
    <n v="0.74446489653186076"/>
    <x v="10"/>
    <x v="1"/>
    <n v="0"/>
    <x v="0"/>
    <m/>
  </r>
  <r>
    <s v="PPT1_BOI04"/>
    <s v="S1CS00292-WS"/>
    <n v="840"/>
    <s v="207199195"/>
    <s v="NW"/>
    <n v="4"/>
    <n v="0.74446489653186076"/>
    <x v="0"/>
    <x v="1"/>
    <n v="0"/>
    <x v="0"/>
    <m/>
  </r>
  <r>
    <s v="PPT1_BOI04"/>
    <s v="S1CS00292-WS"/>
    <n v="840"/>
    <s v="207199201"/>
    <s v="NW"/>
    <n v="4"/>
    <n v="0.74446489653186076"/>
    <x v="11"/>
    <x v="1"/>
    <n v="0"/>
    <x v="0"/>
    <m/>
  </r>
  <r>
    <s v="PPT1_BOI04"/>
    <s v="S1CS00292-WS"/>
    <n v="840"/>
    <s v="207199249"/>
    <s v="NW"/>
    <n v="4"/>
    <n v="0.74446489653186076"/>
    <x v="14"/>
    <x v="1"/>
    <n v="0"/>
    <x v="0"/>
    <m/>
  </r>
  <r>
    <s v="PPT1_BOI04"/>
    <s v="S1CS00292-WS"/>
    <n v="840"/>
    <s v="207199226"/>
    <s v="NW"/>
    <n v="4"/>
    <n v="0.74446489653186076"/>
    <x v="10"/>
    <x v="1"/>
    <n v="0"/>
    <x v="0"/>
    <m/>
  </r>
  <r>
    <s v="PPT1_BOI04"/>
    <s v="S1CS00292-WS"/>
    <n v="840"/>
    <s v="207199251"/>
    <s v="NW"/>
    <n v="4"/>
    <n v="0.74446489653186076"/>
    <x v="0"/>
    <x v="1"/>
    <n v="0"/>
    <x v="0"/>
    <m/>
  </r>
  <r>
    <s v="PPT1_BOI04"/>
    <s v="S1CS00475-WS"/>
    <n v="600"/>
    <s v="207201876"/>
    <s v="NW"/>
    <n v="13"/>
    <n v="0.22314827273525728"/>
    <x v="16"/>
    <x v="1"/>
    <n v="0"/>
    <x v="0"/>
    <m/>
  </r>
  <r>
    <s v="PPT1_BOI04"/>
    <s v="S1CS00475-WS"/>
    <n v="900"/>
    <s v="207201836"/>
    <s v="NW"/>
    <n v="13"/>
    <n v="0.33472240910288592"/>
    <x v="16"/>
    <x v="1"/>
    <n v="0"/>
    <x v="0"/>
    <m/>
  </r>
  <r>
    <s v="PPT1_BOI04"/>
    <s v="S1CS00475-WS"/>
    <n v="900"/>
    <s v="207201834"/>
    <s v="NW"/>
    <n v="13"/>
    <n v="0.33472240910288592"/>
    <x v="3"/>
    <x v="1"/>
    <n v="0"/>
    <x v="0"/>
    <m/>
  </r>
  <r>
    <s v="PPT1_BOI04"/>
    <s v="S1CS00475-WS"/>
    <n v="900"/>
    <s v="207201852"/>
    <s v="NW"/>
    <n v="13"/>
    <n v="0.33472240910288592"/>
    <x v="16"/>
    <x v="1"/>
    <n v="0"/>
    <x v="0"/>
    <m/>
  </r>
  <r>
    <s v="PPT1_BOI04"/>
    <s v="S1CS00475-WS"/>
    <n v="900"/>
    <s v="207201850"/>
    <s v="NW"/>
    <n v="13"/>
    <n v="0.33472240910288592"/>
    <x v="3"/>
    <x v="1"/>
    <n v="0"/>
    <x v="0"/>
    <m/>
  </r>
  <r>
    <s v="PPT1_BOI04"/>
    <s v="S1CS00475-WS"/>
    <n v="600"/>
    <s v="207197245"/>
    <s v="NW"/>
    <n v="13"/>
    <n v="0.22314827273525728"/>
    <x v="16"/>
    <x v="1"/>
    <n v="0"/>
    <x v="0"/>
    <m/>
  </r>
  <r>
    <s v="PPT1_BOI04"/>
    <s v="S1CS00475-WS"/>
    <n v="900"/>
    <s v="207197241"/>
    <s v="NW"/>
    <n v="13"/>
    <n v="0.33472240910288592"/>
    <x v="3"/>
    <x v="1"/>
    <n v="0"/>
    <x v="0"/>
    <m/>
  </r>
  <r>
    <s v="PPT1_BOI04"/>
    <s v="S1CS00475-WS"/>
    <n v="900"/>
    <s v="207197244"/>
    <s v="NW"/>
    <n v="13"/>
    <n v="0.33472240910288592"/>
    <x v="6"/>
    <x v="1"/>
    <n v="0"/>
    <x v="0"/>
    <m/>
  </r>
  <r>
    <s v="PPT1_BOI04"/>
    <s v="S1CS00475-WS"/>
    <n v="900"/>
    <s v="207197223"/>
    <s v="NW"/>
    <n v="13"/>
    <n v="0.33472240910288592"/>
    <x v="16"/>
    <x v="1"/>
    <n v="0"/>
    <x v="0"/>
    <m/>
  </r>
  <r>
    <s v="PPT1_BOI04"/>
    <s v="S1CS00475-WS"/>
    <n v="900"/>
    <s v="207197225"/>
    <s v="NW"/>
    <n v="13"/>
    <n v="0.33472240910288592"/>
    <x v="3"/>
    <x v="1"/>
    <n v="0"/>
    <x v="0"/>
    <m/>
  </r>
  <r>
    <s v="PPT1_BOI04"/>
    <s v="S1CS00475-WS"/>
    <n v="900"/>
    <s v="207197226"/>
    <s v="NW"/>
    <n v="13"/>
    <n v="0.33472240910288592"/>
    <x v="6"/>
    <x v="1"/>
    <n v="0"/>
    <x v="0"/>
    <m/>
  </r>
  <r>
    <s v="PPT1_BOI04"/>
    <s v="S1CS00489-WS"/>
    <n v="450"/>
    <s v="207197179"/>
    <s v="NW"/>
    <n v="14"/>
    <n v="0.52642387838994509"/>
    <x v="16"/>
    <x v="1"/>
    <n v="0"/>
    <x v="0"/>
    <m/>
  </r>
  <r>
    <s v="PPT1_BOI04"/>
    <s v="S1CS00489-WS"/>
    <n v="450"/>
    <s v="207197186"/>
    <s v="NW"/>
    <n v="14"/>
    <n v="0.52642387838994509"/>
    <x v="3"/>
    <x v="1"/>
    <n v="0"/>
    <x v="0"/>
    <m/>
  </r>
  <r>
    <s v="PPT1_BOI04"/>
    <s v="S1CS00489-WS"/>
    <n v="450"/>
    <s v="207197180"/>
    <s v="NW"/>
    <n v="14"/>
    <n v="0.52642387838994509"/>
    <x v="6"/>
    <x v="1"/>
    <n v="0"/>
    <x v="0"/>
    <m/>
  </r>
  <r>
    <s v="PPT1_BOI04"/>
    <s v="S1CS00489-WS"/>
    <n v="450"/>
    <s v="207197181"/>
    <s v="NW"/>
    <n v="14"/>
    <n v="0.52642387838994509"/>
    <x v="4"/>
    <x v="1"/>
    <n v="0"/>
    <x v="0"/>
    <m/>
  </r>
  <r>
    <s v="PPT1_BOI04"/>
    <s v="S1CS00489-WS"/>
    <n v="450"/>
    <s v="207197184"/>
    <s v="NW"/>
    <n v="14"/>
    <n v="0.52642387838994509"/>
    <x v="16"/>
    <x v="1"/>
    <n v="0"/>
    <x v="0"/>
    <m/>
  </r>
  <r>
    <s v="PPT1_BOI04"/>
    <s v="S1CS00491-WS"/>
    <n v="900"/>
    <s v="207199645"/>
    <s v="NW"/>
    <n v="6"/>
    <n v="0.56383821427717284"/>
    <x v="2"/>
    <x v="1"/>
    <n v="0"/>
    <x v="0"/>
    <m/>
  </r>
  <r>
    <s v="PPT1_BOI04"/>
    <s v="S1CS00491-WS"/>
    <n v="600"/>
    <s v="207200339"/>
    <s v="NW"/>
    <n v="6"/>
    <n v="0.37589214285144856"/>
    <x v="5"/>
    <x v="1"/>
    <n v="0"/>
    <x v="0"/>
    <m/>
  </r>
  <r>
    <s v="PPT1_BOI04"/>
    <s v="S1CS00491-WS"/>
    <n v="900"/>
    <s v="207199606"/>
    <s v="NW"/>
    <n v="6"/>
    <n v="0.56383821427717284"/>
    <x v="3"/>
    <x v="1"/>
    <n v="0"/>
    <x v="0"/>
    <m/>
  </r>
  <r>
    <s v="PPT1_BOI04"/>
    <s v="S1CS00739-WS"/>
    <n v="450"/>
    <s v="207197388"/>
    <s v="NW"/>
    <n v="5"/>
    <n v="0.39449929940751965"/>
    <x v="6"/>
    <x v="1"/>
    <n v="0"/>
    <x v="0"/>
    <m/>
  </r>
  <r>
    <s v="PPT1_BOI04"/>
    <s v="S1CS00739-WS"/>
    <n v="450"/>
    <s v="207197220"/>
    <s v="NW"/>
    <n v="5"/>
    <n v="0.39449929940751965"/>
    <x v="13"/>
    <x v="1"/>
    <n v="0"/>
    <x v="0"/>
    <m/>
  </r>
  <r>
    <s v="PPT1_BOI04"/>
    <s v="S1CS00739-WS"/>
    <n v="300"/>
    <s v="207197395"/>
    <s v="NW"/>
    <n v="5"/>
    <n v="0.26299953293834644"/>
    <x v="4"/>
    <x v="1"/>
    <n v="0"/>
    <x v="0"/>
    <m/>
  </r>
  <r>
    <s v="PPT1_BOI04"/>
    <s v="S1CS00739-WS"/>
    <n v="450"/>
    <s v="207197391"/>
    <s v="NW"/>
    <n v="5"/>
    <n v="0.39449929940751965"/>
    <x v="5"/>
    <x v="1"/>
    <n v="0"/>
    <x v="0"/>
    <m/>
  </r>
  <r>
    <s v="PPT1_BOI04"/>
    <s v="S1CS01332-WS"/>
    <n v="1160"/>
    <s v="207201310"/>
    <s v="NW"/>
    <n v="24"/>
    <n v="0.27342463914435211"/>
    <x v="1"/>
    <x v="1"/>
    <n v="0"/>
    <x v="0"/>
    <m/>
  </r>
  <r>
    <s v="PPT1_BOI04"/>
    <s v="S1CS01332-WS"/>
    <n v="1160"/>
    <s v="207201424"/>
    <s v="NW"/>
    <n v="24"/>
    <n v="0.27342463914435211"/>
    <x v="16"/>
    <x v="1"/>
    <n v="0"/>
    <x v="0"/>
    <m/>
  </r>
  <r>
    <s v="PPT1_BOI04"/>
    <s v="S1CS01332-WS"/>
    <n v="1740"/>
    <s v="207201283"/>
    <s v="NW"/>
    <n v="24"/>
    <n v="0.41013695871652817"/>
    <x v="6"/>
    <x v="1"/>
    <n v="0"/>
    <x v="0"/>
    <m/>
  </r>
  <r>
    <s v="PPT1_BOI04"/>
    <s v="S1CS01332-WS"/>
    <n v="1740"/>
    <s v="207197537"/>
    <s v="NW"/>
    <n v="24"/>
    <n v="0.41013695871652817"/>
    <x v="13"/>
    <x v="1"/>
    <n v="0"/>
    <x v="0"/>
    <m/>
  </r>
  <r>
    <s v="PPT1_BOI04"/>
    <s v="S1CS01332-WS"/>
    <n v="1160"/>
    <s v="207197594"/>
    <s v="NW"/>
    <n v="24"/>
    <n v="0.27342463914435211"/>
    <x v="2"/>
    <x v="1"/>
    <n v="0"/>
    <x v="0"/>
    <m/>
  </r>
  <r>
    <s v="PPT1_BOI04"/>
    <s v="S1CS03006-WS"/>
    <n v="810"/>
    <s v="207197229"/>
    <s v="NW"/>
    <n v="3"/>
    <n v="1.018536571630589"/>
    <x v="4"/>
    <x v="1"/>
    <n v="0"/>
    <x v="0"/>
    <m/>
  </r>
  <r>
    <s v="PPT1_BOI04"/>
    <s v="S1CS03006-WS"/>
    <n v="810"/>
    <s v="207197228"/>
    <s v="NW"/>
    <n v="3"/>
    <n v="1.018536571630589"/>
    <x v="3"/>
    <x v="1"/>
    <n v="0"/>
    <x v="0"/>
    <m/>
  </r>
  <r>
    <s v="PPT1_BOI04"/>
    <s v="S1CS03007-WS"/>
    <n v="450"/>
    <s v="207197237"/>
    <s v="NW"/>
    <n v="2"/>
    <n v="0.74736820944967997"/>
    <x v="1"/>
    <x v="1"/>
    <n v="0"/>
    <x v="0"/>
    <m/>
  </r>
  <r>
    <s v="PPT1_BOI04"/>
    <s v="S1CS03007-WS"/>
    <n v="450"/>
    <s v="207197233"/>
    <s v="NW"/>
    <n v="2"/>
    <n v="0.74736820944967997"/>
    <x v="16"/>
    <x v="1"/>
    <n v="0"/>
    <x v="0"/>
    <m/>
  </r>
  <r>
    <s v="PPT1_BOI04"/>
    <s v="S1CS03007-WS"/>
    <n v="450"/>
    <s v="207197585"/>
    <s v="NW"/>
    <n v="2"/>
    <n v="0.74736820944967997"/>
    <x v="1"/>
    <x v="1"/>
    <n v="0"/>
    <x v="0"/>
    <m/>
  </r>
  <r>
    <s v="PPT1_BOI04"/>
    <s v="S1CS03007-WS"/>
    <n v="450"/>
    <s v="207197616"/>
    <s v="NW"/>
    <n v="2"/>
    <n v="0.74736820944967997"/>
    <x v="16"/>
    <x v="1"/>
    <n v="0"/>
    <x v="0"/>
    <m/>
  </r>
  <r>
    <s v="PPT1_BOI04"/>
    <s v="S1CS03007-WS"/>
    <n v="300"/>
    <s v="207197649"/>
    <s v="NW"/>
    <n v="2"/>
    <n v="0.49824547296645327"/>
    <x v="1"/>
    <x v="1"/>
    <n v="0"/>
    <x v="0"/>
    <m/>
  </r>
  <r>
    <s v="PPT1_BOI04"/>
    <s v="S1CS03009-WS"/>
    <n v="750"/>
    <s v="207201355"/>
    <s v="NW"/>
    <n v="8"/>
    <n v="0.65988839048585524"/>
    <x v="5"/>
    <x v="1"/>
    <n v="0"/>
    <x v="0"/>
    <m/>
  </r>
  <r>
    <s v="PPT1_BOI04"/>
    <s v="S1CS03009-WS"/>
    <n v="750"/>
    <s v="207201381"/>
    <s v="NW"/>
    <n v="8"/>
    <n v="0.65988839048585524"/>
    <x v="2"/>
    <x v="1"/>
    <n v="0"/>
    <x v="0"/>
    <m/>
  </r>
  <r>
    <s v="PPT1_BOI04"/>
    <s v="S1CS03009-WS"/>
    <n v="750"/>
    <s v="207197708"/>
    <s v="NW"/>
    <n v="8"/>
    <n v="0.65988839048585524"/>
    <x v="6"/>
    <x v="1"/>
    <n v="0"/>
    <x v="0"/>
    <m/>
  </r>
  <r>
    <s v="PPT1_BOI04"/>
    <s v="S1CS03009-WS"/>
    <n v="750"/>
    <s v="207197732"/>
    <s v="NW"/>
    <n v="8"/>
    <n v="0.65988839048585524"/>
    <x v="9"/>
    <x v="1"/>
    <n v="0"/>
    <x v="0"/>
    <m/>
  </r>
  <r>
    <s v="PPT1_BOI04"/>
    <s v="S1CS03009-WS"/>
    <n v="750"/>
    <s v="207198547"/>
    <s v="NW"/>
    <n v="8"/>
    <n v="0.65988839048585524"/>
    <x v="13"/>
    <x v="1"/>
    <n v="0"/>
    <x v="0"/>
    <m/>
  </r>
  <r>
    <s v="PPT1_BOI04"/>
    <s v="S1CS03009-WS"/>
    <n v="750"/>
    <s v="207201453"/>
    <s v="NW"/>
    <n v="8"/>
    <n v="0.65988839048585524"/>
    <x v="5"/>
    <x v="1"/>
    <n v="0"/>
    <x v="0"/>
    <m/>
  </r>
  <r>
    <s v="PPT1_BOI04"/>
    <s v="S1CS03009-WS"/>
    <n v="750"/>
    <s v="207201491"/>
    <s v="NW"/>
    <n v="8"/>
    <n v="0.65988839048585524"/>
    <x v="2"/>
    <x v="1"/>
    <n v="0"/>
    <x v="0"/>
    <m/>
  </r>
  <r>
    <s v="PPT1_BOI04"/>
    <s v="S1CS03037-WS"/>
    <n v="1050"/>
    <s v="207198810"/>
    <s v="NW"/>
    <n v="5"/>
    <n v="0.46836177892435554"/>
    <x v="6"/>
    <x v="1"/>
    <n v="0"/>
    <x v="0"/>
    <m/>
  </r>
  <r>
    <s v="PPT1_BOI04"/>
    <s v="S1CS03037-WS"/>
    <n v="1050"/>
    <s v="207201803"/>
    <s v="NW"/>
    <n v="5"/>
    <n v="0.46836177892435554"/>
    <x v="9"/>
    <x v="1"/>
    <n v="0"/>
    <x v="0"/>
    <m/>
  </r>
  <r>
    <s v="PPT1_BOI04"/>
    <s v="S1CS03037-WS"/>
    <n v="1050"/>
    <s v="207198709"/>
    <s v="NW"/>
    <n v="5"/>
    <n v="0.46836177892435554"/>
    <x v="13"/>
    <x v="1"/>
    <n v="0"/>
    <x v="0"/>
    <m/>
  </r>
  <r>
    <s v="PPT1_BOI04"/>
    <s v="S1CS03037-WS"/>
    <n v="1050"/>
    <s v="207201804"/>
    <s v="NW"/>
    <n v="5"/>
    <n v="0.46836177892435554"/>
    <x v="4"/>
    <x v="1"/>
    <n v="0"/>
    <x v="0"/>
    <m/>
  </r>
  <r>
    <s v="PPT1_BOI04"/>
    <s v="S1CS03037-WS"/>
    <n v="1050"/>
    <s v="207201833"/>
    <s v="NW"/>
    <n v="5"/>
    <n v="0.46836177892435554"/>
    <x v="3"/>
    <x v="1"/>
    <n v="0"/>
    <x v="0"/>
    <m/>
  </r>
  <r>
    <s v="PPT1_BOI04"/>
    <s v="S1CS03038-WS"/>
    <n v="200"/>
    <s v="207197217"/>
    <s v="NW"/>
    <n v="5"/>
    <n v="0.23269296031550205"/>
    <x v="6"/>
    <x v="1"/>
    <n v="0"/>
    <x v="0"/>
    <m/>
  </r>
  <r>
    <s v="PPT1_BOI04"/>
    <s v="S1CS03048-WS"/>
    <n v="900"/>
    <s v="207197354"/>
    <s v="NW"/>
    <n v="6"/>
    <n v="1.1323573302335812"/>
    <x v="9"/>
    <x v="1"/>
    <n v="0"/>
    <x v="0"/>
    <m/>
  </r>
  <r>
    <s v="PPT1_BOI04"/>
    <s v="S1CS03048-WS"/>
    <n v="300"/>
    <s v="207197393"/>
    <s v="NW"/>
    <n v="6"/>
    <n v="0.37745244341119372"/>
    <x v="13"/>
    <x v="1"/>
    <n v="0"/>
    <x v="0"/>
    <m/>
  </r>
  <r>
    <s v="PPT1_BOI04"/>
    <s v="S1CS03059-WS"/>
    <n v="360"/>
    <s v="207197481"/>
    <s v="NW"/>
    <n v="5"/>
    <n v="0.4487773998292488"/>
    <x v="4"/>
    <x v="1"/>
    <n v="0"/>
    <x v="0"/>
    <m/>
  </r>
  <r>
    <s v="PPT1_BOI04"/>
    <s v="S1CS03059-WS"/>
    <n v="360"/>
    <s v="207197877"/>
    <s v="NW"/>
    <n v="5"/>
    <n v="0.4487773998292488"/>
    <x v="3"/>
    <x v="1"/>
    <n v="0"/>
    <x v="0"/>
    <m/>
  </r>
  <r>
    <s v="PPT1_BOI04"/>
    <s v="S1CS03059-WS"/>
    <n v="360"/>
    <s v="207197743"/>
    <s v="NW"/>
    <n v="5"/>
    <n v="0.4487773998292488"/>
    <x v="5"/>
    <x v="1"/>
    <n v="0"/>
    <x v="0"/>
    <m/>
  </r>
  <r>
    <s v="PPT1_BOI04"/>
    <s v="S1CS03059-WS"/>
    <n v="360"/>
    <s v="207197995"/>
    <s v="NW"/>
    <n v="5"/>
    <n v="0.4487773998292488"/>
    <x v="2"/>
    <x v="1"/>
    <n v="0"/>
    <x v="0"/>
    <m/>
  </r>
  <r>
    <s v="PPT1_BOI04"/>
    <s v="S1CS03059-WS"/>
    <n v="360"/>
    <s v="207197396"/>
    <s v="NW"/>
    <n v="5"/>
    <n v="0.4487773998292488"/>
    <x v="17"/>
    <x v="1"/>
    <n v="0"/>
    <x v="0"/>
    <m/>
  </r>
  <r>
    <s v="PPT1_BOI04"/>
    <s v="S1CS03059-WS"/>
    <n v="360"/>
    <s v="207197355"/>
    <s v="NW"/>
    <n v="5"/>
    <n v="0.4487773998292488"/>
    <x v="4"/>
    <x v="1"/>
    <n v="0"/>
    <x v="0"/>
    <m/>
  </r>
  <r>
    <s v="PPT1_BOI04"/>
    <s v="S1CS03059-WS"/>
    <n v="360"/>
    <s v="207197786"/>
    <s v="NW"/>
    <n v="5"/>
    <n v="0.4487773998292488"/>
    <x v="3"/>
    <x v="1"/>
    <n v="0"/>
    <x v="0"/>
    <m/>
  </r>
  <r>
    <s v="PPT1_BOI04"/>
    <s v="S1CS03059-WS"/>
    <n v="360"/>
    <s v="207197460"/>
    <s v="NW"/>
    <n v="5"/>
    <n v="0.4487773998292488"/>
    <x v="5"/>
    <x v="1"/>
    <n v="0"/>
    <x v="0"/>
    <m/>
  </r>
  <r>
    <s v="PPT1_BOI04"/>
    <s v="S1CS03059-WS"/>
    <n v="360"/>
    <s v="207197832"/>
    <s v="NW"/>
    <n v="5"/>
    <n v="0.4487773998292488"/>
    <x v="2"/>
    <x v="1"/>
    <n v="0"/>
    <x v="0"/>
    <m/>
  </r>
  <r>
    <s v="PPT1_BOI04"/>
    <s v="S1CS03059-WS"/>
    <n v="360"/>
    <s v="207197418"/>
    <s v="NW"/>
    <n v="5"/>
    <n v="0.4487773998292488"/>
    <x v="17"/>
    <x v="1"/>
    <n v="0"/>
    <x v="0"/>
    <m/>
  </r>
  <r>
    <s v="PPT1_BOI04"/>
    <s v="S1CS03059-WS"/>
    <n v="360"/>
    <s v="207200828"/>
    <s v="NW"/>
    <n v="5"/>
    <n v="0.4487773998292488"/>
    <x v="4"/>
    <x v="1"/>
    <n v="0"/>
    <x v="0"/>
    <m/>
  </r>
  <r>
    <s v="PPT1_BOI04"/>
    <s v="S1CS03059-WS"/>
    <n v="360"/>
    <s v="207200829"/>
    <s v="NW"/>
    <n v="5"/>
    <n v="0.4487773998292488"/>
    <x v="3"/>
    <x v="1"/>
    <n v="0"/>
    <x v="0"/>
    <m/>
  </r>
  <r>
    <s v="PPT1_BOI04"/>
    <s v="S1CS03059-WS"/>
    <n v="120"/>
    <s v="207200933"/>
    <s v="NW"/>
    <n v="5"/>
    <n v="0.14959246660974959"/>
    <x v="5"/>
    <x v="1"/>
    <n v="0"/>
    <x v="0"/>
    <m/>
  </r>
  <r>
    <s v="PPT1_BOI04"/>
    <s v="S1CS03059-WS"/>
    <n v="360"/>
    <s v="207197935"/>
    <s v="NW"/>
    <n v="5"/>
    <n v="0.4487773998292488"/>
    <x v="2"/>
    <x v="1"/>
    <n v="0"/>
    <x v="0"/>
    <m/>
  </r>
  <r>
    <s v="PPT1_BOI04"/>
    <s v="S1CS03059-WS"/>
    <n v="360"/>
    <s v="207197987"/>
    <s v="NW"/>
    <n v="5"/>
    <n v="0.4487773998292488"/>
    <x v="17"/>
    <x v="1"/>
    <n v="0"/>
    <x v="0"/>
    <m/>
  </r>
  <r>
    <s v="PPT1_BOI04"/>
    <s v="S1CS03059-WS"/>
    <n v="120"/>
    <s v="207201259"/>
    <s v="NW"/>
    <n v="5"/>
    <n v="0.14959246660974959"/>
    <x v="5"/>
    <x v="1"/>
    <n v="0"/>
    <x v="0"/>
    <m/>
  </r>
  <r>
    <s v="PPT1_BOI04"/>
    <s v="S1CS03059-WS"/>
    <n v="360"/>
    <s v="207197907"/>
    <s v="NW"/>
    <n v="5"/>
    <n v="0.4487773998292488"/>
    <x v="5"/>
    <x v="1"/>
    <n v="0"/>
    <x v="0"/>
    <m/>
  </r>
  <r>
    <s v="PPT1_BOI04"/>
    <s v="S1CS03059-WS"/>
    <n v="360"/>
    <s v="207198094"/>
    <s v="NW"/>
    <n v="5"/>
    <n v="0.4487773998292488"/>
    <x v="4"/>
    <x v="1"/>
    <n v="0"/>
    <x v="0"/>
    <m/>
  </r>
  <r>
    <s v="PPT1_BOI04"/>
    <s v="S1CS03059-WS"/>
    <n v="360"/>
    <s v="207198280"/>
    <s v="NW"/>
    <n v="5"/>
    <n v="0.4487773998292488"/>
    <x v="3"/>
    <x v="1"/>
    <n v="0"/>
    <x v="0"/>
    <m/>
  </r>
  <r>
    <s v="PPT1_BOI04"/>
    <s v="S1CS03059-WS"/>
    <n v="360"/>
    <s v="207198193"/>
    <s v="NW"/>
    <n v="5"/>
    <n v="0.4487773998292488"/>
    <x v="2"/>
    <x v="1"/>
    <n v="0"/>
    <x v="0"/>
    <m/>
  </r>
  <r>
    <s v="PPT1_BOI04"/>
    <s v="S1CS03059-WS"/>
    <n v="360"/>
    <s v="207200826"/>
    <s v="NW"/>
    <n v="5"/>
    <n v="0.4487773998292488"/>
    <x v="17"/>
    <x v="1"/>
    <n v="0"/>
    <x v="0"/>
    <m/>
  </r>
  <r>
    <s v="PPT1_BOI04"/>
    <s v="S1CS03059-WS"/>
    <n v="360"/>
    <s v="207200827"/>
    <s v="NW"/>
    <n v="5"/>
    <n v="0.4487773998292488"/>
    <x v="5"/>
    <x v="1"/>
    <n v="0"/>
    <x v="0"/>
    <m/>
  </r>
  <r>
    <s v="PPT1_BOI04"/>
    <s v="S1CS03059-WS"/>
    <n v="360"/>
    <s v="207200823"/>
    <s v="NW"/>
    <n v="5"/>
    <n v="0.4487773998292488"/>
    <x v="4"/>
    <x v="1"/>
    <n v="0"/>
    <x v="0"/>
    <m/>
  </r>
  <r>
    <s v="PPT1_BOI04"/>
    <s v="S1CS03060-WS"/>
    <n v="250"/>
    <s v="207198419"/>
    <s v="NW"/>
    <n v="7"/>
    <n v="0.16083464522191945"/>
    <x v="16"/>
    <x v="1"/>
    <n v="0"/>
    <x v="0"/>
    <m/>
  </r>
  <r>
    <s v="PPT1_BOI04"/>
    <s v="S1CS03167-WS"/>
    <n v="450"/>
    <s v="207199971"/>
    <s v="NW"/>
    <n v="3"/>
    <n v="0.66963689452306274"/>
    <x v="8"/>
    <x v="1"/>
    <n v="0"/>
    <x v="0"/>
    <m/>
  </r>
  <r>
    <s v="PPT1_BOI04"/>
    <s v="S1CS03167-WS"/>
    <n v="450"/>
    <s v="207198766"/>
    <s v="NW"/>
    <n v="3"/>
    <n v="0.66963689452306274"/>
    <x v="6"/>
    <x v="1"/>
    <n v="0"/>
    <x v="0"/>
    <m/>
  </r>
  <r>
    <s v="PPT1_BOI04"/>
    <s v="S1CS03167-WS"/>
    <n v="450"/>
    <s v="207200004"/>
    <s v="NW"/>
    <n v="3"/>
    <n v="0.66963689452306274"/>
    <x v="12"/>
    <x v="1"/>
    <n v="0"/>
    <x v="0"/>
    <m/>
  </r>
  <r>
    <s v="PPT1_BOI04"/>
    <s v="S1CS03167-WS"/>
    <n v="450"/>
    <s v="207199953"/>
    <s v="NW"/>
    <n v="3"/>
    <n v="0.66963689452306274"/>
    <x v="8"/>
    <x v="1"/>
    <n v="0"/>
    <x v="0"/>
    <m/>
  </r>
  <r>
    <s v="PPT1_BOI04"/>
    <s v="S1CS03167-WS"/>
    <n v="450"/>
    <s v="207198760"/>
    <s v="NW"/>
    <n v="3"/>
    <n v="0.66963689452306274"/>
    <x v="6"/>
    <x v="1"/>
    <n v="0"/>
    <x v="0"/>
    <m/>
  </r>
  <r>
    <s v="PPT1_BOI04"/>
    <s v="S1CS03168-WS"/>
    <n v="600"/>
    <s v="207200112"/>
    <s v="NW"/>
    <n v="4"/>
    <n v="0.78379367229172436"/>
    <x v="16"/>
    <x v="1"/>
    <n v="0"/>
    <x v="0"/>
    <m/>
  </r>
  <r>
    <s v="PPT1_BOI04"/>
    <s v="S1CS03168-WS"/>
    <n v="600"/>
    <s v="207200080"/>
    <s v="NW"/>
    <n v="4"/>
    <n v="0.78379367229172436"/>
    <x v="13"/>
    <x v="1"/>
    <n v="0"/>
    <x v="0"/>
    <m/>
  </r>
  <r>
    <s v="PPT1_BOI04"/>
    <s v="S1CS03168-WS"/>
    <n v="400"/>
    <s v="207200530"/>
    <s v="NW"/>
    <n v="4"/>
    <n v="0.5225291148611495"/>
    <x v="15"/>
    <x v="1"/>
    <n v="0"/>
    <x v="0"/>
    <m/>
  </r>
  <r>
    <s v="PPT1_BOI04"/>
    <s v="S1CS03168-WS"/>
    <n v="600"/>
    <s v="207200514"/>
    <s v="NW"/>
    <n v="4"/>
    <n v="0.78379367229172436"/>
    <x v="1"/>
    <x v="1"/>
    <n v="0"/>
    <x v="0"/>
    <m/>
  </r>
  <r>
    <s v="PPT1_BOI04"/>
    <s v="S1CS03168-WS"/>
    <n v="600"/>
    <s v="207201604"/>
    <s v="NW"/>
    <n v="4"/>
    <n v="0.78379367229172436"/>
    <x v="15"/>
    <x v="1"/>
    <n v="0"/>
    <x v="0"/>
    <m/>
  </r>
  <r>
    <s v="PPT1_BOI04"/>
    <s v="S1CS03168-WS"/>
    <n v="200"/>
    <s v="207201606"/>
    <s v="NW"/>
    <n v="4"/>
    <n v="0.26126455743057475"/>
    <x v="16"/>
    <x v="1"/>
    <n v="0"/>
    <x v="0"/>
    <m/>
  </r>
  <r>
    <s v="PPT1_BOI04"/>
    <s v="S1CS03168-WS"/>
    <n v="600"/>
    <s v="207201603"/>
    <s v="NW"/>
    <n v="4"/>
    <n v="0.78379367229172436"/>
    <x v="13"/>
    <x v="1"/>
    <n v="0"/>
    <x v="0"/>
    <m/>
  </r>
  <r>
    <s v="PPT1_BOI04"/>
    <s v="S1CS03168-WS"/>
    <n v="600"/>
    <s v="207201601"/>
    <s v="NW"/>
    <n v="4"/>
    <n v="0.78379367229172436"/>
    <x v="16"/>
    <x v="1"/>
    <n v="0"/>
    <x v="0"/>
    <m/>
  </r>
  <r>
    <s v="PPT1_BOI04"/>
    <s v="S1CS03169-WS"/>
    <n v="600"/>
    <s v="207197536"/>
    <s v="NW"/>
    <n v="6"/>
    <n v="0.77000064254470735"/>
    <x v="12"/>
    <x v="1"/>
    <n v="0"/>
    <x v="0"/>
    <m/>
  </r>
  <r>
    <s v="PPT1_BOI04"/>
    <s v="S1CS03169-WS"/>
    <n v="400"/>
    <s v="207197572"/>
    <s v="NW"/>
    <n v="6"/>
    <n v="0.51333376169647149"/>
    <x v="9"/>
    <x v="1"/>
    <n v="0"/>
    <x v="0"/>
    <m/>
  </r>
  <r>
    <s v="PPT1_BOI04"/>
    <s v="S1CS03169-WS"/>
    <n v="200"/>
    <s v="207200865"/>
    <s v="NW"/>
    <n v="6"/>
    <n v="0.25666688084823575"/>
    <x v="1"/>
    <x v="1"/>
    <n v="0"/>
    <x v="0"/>
    <m/>
  </r>
  <r>
    <s v="PPT1_BOI04"/>
    <s v="S1CS03169-WS"/>
    <n v="600"/>
    <s v="207197531"/>
    <s v="NW"/>
    <n v="6"/>
    <n v="0.77000064254470735"/>
    <x v="8"/>
    <x v="1"/>
    <n v="0"/>
    <x v="0"/>
    <m/>
  </r>
  <r>
    <s v="PPT1_BOI04"/>
    <s v="S1CS03169-WS"/>
    <n v="600"/>
    <s v="207197183"/>
    <s v="NW"/>
    <n v="6"/>
    <n v="0.77000064254470735"/>
    <x v="6"/>
    <x v="1"/>
    <n v="0"/>
    <x v="0"/>
    <m/>
  </r>
  <r>
    <s v="PPT1_BOI04"/>
    <s v="S1CS03182-WS"/>
    <n v="200"/>
    <s v="207197477"/>
    <s v="NW"/>
    <n v="3"/>
    <n v="0.2196188301532708"/>
    <x v="9"/>
    <x v="1"/>
    <n v="0"/>
    <x v="0"/>
    <m/>
  </r>
  <r>
    <s v="PPT1_BOI04"/>
    <s v="S1CS03205-WS"/>
    <n v="600"/>
    <s v="207200836"/>
    <s v="NW"/>
    <n v="5"/>
    <n v="1.0103610646164034"/>
    <x v="1"/>
    <x v="1"/>
    <n v="0"/>
    <x v="0"/>
    <m/>
  </r>
  <r>
    <s v="PPT1_BOI04"/>
    <s v="S1CS03205-WS"/>
    <n v="600"/>
    <s v="207200838"/>
    <s v="NW"/>
    <n v="5"/>
    <n v="1.0103610646164034"/>
    <x v="12"/>
    <x v="1"/>
    <n v="0"/>
    <x v="0"/>
    <m/>
  </r>
  <r>
    <s v="PPT1_BOI04"/>
    <s v="S1CS03205-WS"/>
    <n v="400"/>
    <s v="207197619"/>
    <s v="NW"/>
    <n v="5"/>
    <n v="0.67357404307760227"/>
    <x v="15"/>
    <x v="1"/>
    <n v="0"/>
    <x v="0"/>
    <m/>
  </r>
  <r>
    <s v="PPT1_BOI04"/>
    <s v="S1CS03205-WS"/>
    <n v="600"/>
    <s v="207197236"/>
    <s v="NW"/>
    <n v="5"/>
    <n v="1.0103610646164034"/>
    <x v="7"/>
    <x v="1"/>
    <n v="0"/>
    <x v="0"/>
    <m/>
  </r>
  <r>
    <s v="PPT1_BOI04"/>
    <s v="S1CS03205-WS"/>
    <n v="600"/>
    <s v="207197608"/>
    <s v="NW"/>
    <n v="5"/>
    <n v="1.0103610646164034"/>
    <x v="3"/>
    <x v="1"/>
    <n v="0"/>
    <x v="0"/>
    <m/>
  </r>
  <r>
    <s v="PPT1_BOI04"/>
    <s v="S1CS03205-WS"/>
    <n v="600"/>
    <s v="207200883"/>
    <s v="NW"/>
    <n v="5"/>
    <n v="1.0103610646164034"/>
    <x v="15"/>
    <x v="1"/>
    <n v="0"/>
    <x v="0"/>
    <m/>
  </r>
  <r>
    <s v="PPT1_BOI04"/>
    <s v="S1CS03205-WS"/>
    <n v="600"/>
    <s v="207200886"/>
    <s v="NW"/>
    <n v="5"/>
    <n v="1.0103610646164034"/>
    <x v="1"/>
    <x v="1"/>
    <n v="0"/>
    <x v="0"/>
    <m/>
  </r>
  <r>
    <s v="PPT1_BOI04"/>
    <s v="S1CS03205-WS"/>
    <n v="600"/>
    <s v="207200882"/>
    <s v="NW"/>
    <n v="5"/>
    <n v="1.0103610646164034"/>
    <x v="12"/>
    <x v="1"/>
    <n v="0"/>
    <x v="0"/>
    <m/>
  </r>
  <r>
    <s v="PPT1_BOI04"/>
    <s v="S1CS03205-WS"/>
    <n v="400"/>
    <s v="207200841"/>
    <s v="NW"/>
    <n v="5"/>
    <n v="0.67357404307760227"/>
    <x v="7"/>
    <x v="1"/>
    <n v="0"/>
    <x v="0"/>
    <m/>
  </r>
  <r>
    <s v="PPT1_BOI04"/>
    <s v="S1CS03205-WS"/>
    <n v="600"/>
    <s v="207200844"/>
    <s v="NW"/>
    <n v="5"/>
    <n v="1.0103610646164034"/>
    <x v="3"/>
    <x v="1"/>
    <n v="0"/>
    <x v="0"/>
    <m/>
  </r>
  <r>
    <s v="PPT1_BOI04"/>
    <s v="S1CS03305-WS"/>
    <n v="270"/>
    <s v="207200397"/>
    <s v="NW"/>
    <n v="3"/>
    <n v="0.39500014711940212"/>
    <x v="9"/>
    <x v="1"/>
    <n v="0"/>
    <x v="0"/>
    <m/>
  </r>
  <r>
    <s v="PPT1_BOI04"/>
    <s v="S1CS03305-WS"/>
    <n v="270"/>
    <s v="207201579"/>
    <s v="NW"/>
    <n v="3"/>
    <n v="0.39500014711940212"/>
    <x v="2"/>
    <x v="1"/>
    <n v="0"/>
    <x v="0"/>
    <m/>
  </r>
  <r>
    <s v="PPT1_BOI04"/>
    <s v="S1CS03305-WS"/>
    <n v="270"/>
    <s v="207201511"/>
    <s v="NW"/>
    <n v="3"/>
    <n v="0.39500014711940212"/>
    <x v="17"/>
    <x v="1"/>
    <n v="0"/>
    <x v="0"/>
    <m/>
  </r>
  <r>
    <s v="PPT1_BOI04"/>
    <s v="S1CS03305-WS"/>
    <n v="270"/>
    <s v="207201583"/>
    <s v="NW"/>
    <n v="3"/>
    <n v="0.39500014711940212"/>
    <x v="9"/>
    <x v="1"/>
    <n v="0"/>
    <x v="0"/>
    <m/>
  </r>
  <r>
    <s v="PPT1_BOI04"/>
    <s v="S1CS03305-WS"/>
    <n v="270"/>
    <s v="207201574"/>
    <s v="NW"/>
    <n v="3"/>
    <n v="0.39500014711940212"/>
    <x v="2"/>
    <x v="1"/>
    <n v="0"/>
    <x v="0"/>
    <m/>
  </r>
  <r>
    <s v="PPT1_BOI04"/>
    <s v="S1CS03305-WS"/>
    <n v="270"/>
    <s v="207201576"/>
    <s v="NW"/>
    <n v="3"/>
    <n v="0.39500014711940212"/>
    <x v="17"/>
    <x v="1"/>
    <n v="0"/>
    <x v="0"/>
    <m/>
  </r>
  <r>
    <s v="PPT1_BOI04"/>
    <s v="S1CS03305-WS"/>
    <n v="270"/>
    <s v="207201578"/>
    <s v="NW"/>
    <n v="3"/>
    <n v="0.39500014711940212"/>
    <x v="9"/>
    <x v="1"/>
    <n v="0"/>
    <x v="0"/>
    <m/>
  </r>
  <r>
    <s v="PPT1_BOI04"/>
    <s v="S1CS03305-WS"/>
    <n v="270"/>
    <s v="207201570"/>
    <s v="NW"/>
    <n v="3"/>
    <n v="0.39500014711940212"/>
    <x v="2"/>
    <x v="1"/>
    <n v="0"/>
    <x v="0"/>
    <m/>
  </r>
  <r>
    <s v="PPT1_BOI04"/>
    <s v="S1CS03305-WS"/>
    <n v="270"/>
    <s v="207201516"/>
    <s v="NW"/>
    <n v="3"/>
    <n v="0.39500014711940212"/>
    <x v="17"/>
    <x v="1"/>
    <n v="0"/>
    <x v="0"/>
    <m/>
  </r>
  <r>
    <s v="PPT1_BOI04"/>
    <s v="S1CS03305-WS"/>
    <n v="270"/>
    <s v="207201550"/>
    <s v="NW"/>
    <n v="3"/>
    <n v="0.39500014711940212"/>
    <x v="9"/>
    <x v="1"/>
    <n v="0"/>
    <x v="0"/>
    <m/>
  </r>
  <r>
    <s v="PPT1_BOI04"/>
    <s v="S1CS03305-WS"/>
    <n v="270"/>
    <s v="207201554"/>
    <s v="NW"/>
    <n v="3"/>
    <n v="0.39500014711940212"/>
    <x v="2"/>
    <x v="1"/>
    <n v="0"/>
    <x v="0"/>
    <m/>
  </r>
  <r>
    <s v="PPT1_BOI04"/>
    <s v="S1CS03305-WS"/>
    <n v="270"/>
    <s v="207201535"/>
    <s v="NW"/>
    <n v="3"/>
    <n v="0.39500014711940212"/>
    <x v="17"/>
    <x v="1"/>
    <n v="0"/>
    <x v="0"/>
    <m/>
  </r>
  <r>
    <s v="PPT1_BOI04"/>
    <s v="S1CS03305-WS"/>
    <n v="270"/>
    <s v="207201549"/>
    <s v="NW"/>
    <n v="3"/>
    <n v="0.39500014711940212"/>
    <x v="9"/>
    <x v="1"/>
    <n v="0"/>
    <x v="0"/>
    <m/>
  </r>
  <r>
    <s v="PPT1_BOI04"/>
    <s v="S1CS03305-WS"/>
    <n v="270"/>
    <s v="207201598"/>
    <s v="NW"/>
    <n v="3"/>
    <n v="0.39500014711940212"/>
    <x v="2"/>
    <x v="1"/>
    <n v="0"/>
    <x v="0"/>
    <m/>
  </r>
  <r>
    <s v="PPT1_BOI04"/>
    <s v="S1CS03305-WS"/>
    <n v="270"/>
    <s v="207201585"/>
    <s v="NW"/>
    <n v="3"/>
    <n v="0.39500014711940212"/>
    <x v="17"/>
    <x v="1"/>
    <n v="0"/>
    <x v="0"/>
    <m/>
  </r>
  <r>
    <s v="PPT1_BOI04"/>
    <s v="S1CS03305-WS"/>
    <n v="270"/>
    <s v="207201568"/>
    <s v="NW"/>
    <n v="3"/>
    <n v="0.39500014711940212"/>
    <x v="9"/>
    <x v="1"/>
    <n v="0"/>
    <x v="0"/>
    <m/>
  </r>
  <r>
    <s v="PPT1_BOI04"/>
    <s v="S1CS03305-WS"/>
    <n v="270"/>
    <s v="207201599"/>
    <s v="NW"/>
    <n v="3"/>
    <n v="0.39500014711940212"/>
    <x v="2"/>
    <x v="1"/>
    <n v="0"/>
    <x v="0"/>
    <m/>
  </r>
  <r>
    <s v="PPT1_BOI04"/>
    <s v="S1CS03305-WS"/>
    <n v="270"/>
    <s v="207200360"/>
    <s v="NW"/>
    <n v="3"/>
    <n v="0.39500014711940212"/>
    <x v="17"/>
    <x v="1"/>
    <n v="0"/>
    <x v="0"/>
    <m/>
  </r>
  <r>
    <s v="PPT1_BOI04"/>
    <s v="S1CS03305-WS"/>
    <n v="270"/>
    <s v="207200399"/>
    <s v="NW"/>
    <n v="3"/>
    <n v="0.39500014711940212"/>
    <x v="9"/>
    <x v="1"/>
    <n v="0"/>
    <x v="0"/>
    <m/>
  </r>
  <r>
    <s v="PPT1_BOI04"/>
    <s v="S1CS03305-WS"/>
    <n v="270"/>
    <s v="207200341"/>
    <s v="NW"/>
    <n v="3"/>
    <n v="0.39500014711940212"/>
    <x v="2"/>
    <x v="1"/>
    <n v="0"/>
    <x v="0"/>
    <m/>
  </r>
  <r>
    <s v="PPT1_BOI04"/>
    <s v="S1CS03305-WS"/>
    <n v="270"/>
    <s v="207198885"/>
    <s v="NW"/>
    <n v="3"/>
    <n v="0.39500014711940212"/>
    <x v="17"/>
    <x v="1"/>
    <n v="0"/>
    <x v="0"/>
    <m/>
  </r>
  <r>
    <s v="PPT1_BOI04"/>
    <s v="S1CS03305-WS"/>
    <n v="270"/>
    <s v="207198906"/>
    <s v="NW"/>
    <n v="3"/>
    <n v="0.39500014711940212"/>
    <x v="9"/>
    <x v="1"/>
    <n v="0"/>
    <x v="0"/>
    <m/>
  </r>
  <r>
    <s v="PPT1_BOI04"/>
    <s v="S1CS03305-WS"/>
    <n v="270"/>
    <s v="207200405"/>
    <s v="NW"/>
    <n v="3"/>
    <n v="0.39500014711940212"/>
    <x v="2"/>
    <x v="1"/>
    <n v="0"/>
    <x v="0"/>
    <m/>
  </r>
  <r>
    <s v="PPT1_BOI04"/>
    <s v="S1CS03305-WS"/>
    <n v="270"/>
    <s v="207200492"/>
    <s v="NW"/>
    <n v="3"/>
    <n v="0.39500014711940212"/>
    <x v="17"/>
    <x v="1"/>
    <n v="0"/>
    <x v="0"/>
    <m/>
  </r>
  <r>
    <s v="PPT1_BOI04"/>
    <s v="S1CS03305-WS"/>
    <n v="270"/>
    <s v="207198023"/>
    <s v="NW"/>
    <n v="3"/>
    <n v="0.39500014711940212"/>
    <x v="9"/>
    <x v="1"/>
    <n v="0"/>
    <x v="0"/>
    <m/>
  </r>
  <r>
    <s v="PPT1_BOI04"/>
    <s v="S1CS03305-WS"/>
    <n v="270"/>
    <s v="207200468"/>
    <s v="NW"/>
    <n v="3"/>
    <n v="0.39500014711940212"/>
    <x v="2"/>
    <x v="1"/>
    <n v="0"/>
    <x v="0"/>
    <m/>
  </r>
  <r>
    <s v="PPT1_BOI04"/>
    <s v="S1CS03305-WS"/>
    <n v="270"/>
    <s v="207200421"/>
    <s v="NW"/>
    <n v="3"/>
    <n v="0.39500014711940212"/>
    <x v="17"/>
    <x v="1"/>
    <n v="0"/>
    <x v="0"/>
    <m/>
  </r>
  <r>
    <s v="PPT1_BOI04"/>
    <s v="S1CS03305-WS"/>
    <n v="270"/>
    <s v="207200448"/>
    <s v="NW"/>
    <n v="3"/>
    <n v="0.39500014711940212"/>
    <x v="9"/>
    <x v="1"/>
    <n v="0"/>
    <x v="0"/>
    <m/>
  </r>
  <r>
    <s v="PPT1_BOI04"/>
    <s v="S1CS03305-WS"/>
    <n v="270"/>
    <s v="207198298"/>
    <s v="NW"/>
    <n v="3"/>
    <n v="0.39500014711940212"/>
    <x v="2"/>
    <x v="1"/>
    <n v="0"/>
    <x v="0"/>
    <m/>
  </r>
  <r>
    <s v="PPT1_BOI04"/>
    <s v="S1CS03305-WS"/>
    <n v="270"/>
    <s v="207197381"/>
    <s v="NW"/>
    <n v="3"/>
    <n v="0.39500014711940212"/>
    <x v="17"/>
    <x v="1"/>
    <n v="0"/>
    <x v="0"/>
    <m/>
  </r>
  <r>
    <s v="PPT1_BOI04"/>
    <s v="S1CS03305-WS"/>
    <n v="270"/>
    <s v="207197362"/>
    <s v="NW"/>
    <n v="3"/>
    <n v="0.39500014711940212"/>
    <x v="9"/>
    <x v="1"/>
    <n v="0"/>
    <x v="0"/>
    <m/>
  </r>
  <r>
    <s v="PPT1_BOI04"/>
    <s v="S1CS03305-WS"/>
    <n v="270"/>
    <s v="207197431"/>
    <s v="NW"/>
    <n v="3"/>
    <n v="0.39500014711940212"/>
    <x v="2"/>
    <x v="1"/>
    <n v="0"/>
    <x v="0"/>
    <m/>
  </r>
  <r>
    <s v="PPT1_BOI04"/>
    <s v="S1CS03305-WS"/>
    <n v="270"/>
    <s v="207197924"/>
    <s v="NW"/>
    <n v="3"/>
    <n v="0.39500014711940212"/>
    <x v="17"/>
    <x v="1"/>
    <n v="0"/>
    <x v="0"/>
    <m/>
  </r>
  <r>
    <s v="PPT1_BOI04"/>
    <s v="S1CS03305-WS"/>
    <n v="270"/>
    <s v="207198112"/>
    <s v="NW"/>
    <n v="3"/>
    <n v="0.39500014711940212"/>
    <x v="9"/>
    <x v="1"/>
    <n v="0"/>
    <x v="0"/>
    <m/>
  </r>
  <r>
    <s v="PPT1_BOI04"/>
    <s v="S1CS03305-WS"/>
    <n v="270"/>
    <s v="207198156"/>
    <s v="NW"/>
    <n v="3"/>
    <n v="0.39500014711940212"/>
    <x v="2"/>
    <x v="1"/>
    <n v="0"/>
    <x v="0"/>
    <m/>
  </r>
  <r>
    <s v="PPT1_BOI04"/>
    <s v="S1CS03305-WS"/>
    <n v="270"/>
    <s v="207201509"/>
    <s v="NW"/>
    <n v="3"/>
    <n v="0.39500014711940212"/>
    <x v="17"/>
    <x v="1"/>
    <n v="0"/>
    <x v="0"/>
    <m/>
  </r>
  <r>
    <s v="PPT1_BOI04"/>
    <s v="S1CS03305-WS"/>
    <n v="270"/>
    <s v="207198296"/>
    <s v="NW"/>
    <n v="3"/>
    <n v="0.39500014711940212"/>
    <x v="9"/>
    <x v="1"/>
    <n v="0"/>
    <x v="0"/>
    <m/>
  </r>
  <r>
    <s v="PPT1_BOI04"/>
    <s v="S1CS03305-WS"/>
    <n v="270"/>
    <s v="207201506"/>
    <s v="NW"/>
    <n v="3"/>
    <n v="0.39500014711940212"/>
    <x v="2"/>
    <x v="1"/>
    <n v="0"/>
    <x v="0"/>
    <m/>
  </r>
  <r>
    <s v="PPT1_BOI04"/>
    <s v="S1CS03305-WS"/>
    <n v="270"/>
    <s v="207198290"/>
    <s v="NW"/>
    <n v="3"/>
    <n v="0.39500014711940212"/>
    <x v="17"/>
    <x v="1"/>
    <n v="0"/>
    <x v="0"/>
    <m/>
  </r>
  <r>
    <s v="PPT1_BOI04"/>
    <s v="S1CS03305-WS"/>
    <n v="270"/>
    <s v="207201504"/>
    <s v="NW"/>
    <n v="3"/>
    <n v="0.39500014711940212"/>
    <x v="9"/>
    <x v="1"/>
    <n v="0"/>
    <x v="0"/>
    <m/>
  </r>
  <r>
    <s v="PPT1_BOI04"/>
    <s v="S1CS03305-WS"/>
    <n v="270"/>
    <s v="207197454"/>
    <s v="NW"/>
    <n v="3"/>
    <n v="0.39500014711940212"/>
    <x v="2"/>
    <x v="1"/>
    <n v="0"/>
    <x v="0"/>
    <m/>
  </r>
  <r>
    <s v="PPT1_BOI04"/>
    <s v="S1CS03306-WS"/>
    <n v="285"/>
    <s v="207199060"/>
    <s v="NW"/>
    <n v="3"/>
    <n v="0.46449376947040505"/>
    <x v="13"/>
    <x v="1"/>
    <n v="0"/>
    <x v="0"/>
    <m/>
  </r>
  <r>
    <s v="PPT1_BOI04"/>
    <s v="S1CS03306-WS"/>
    <n v="285"/>
    <s v="207199014"/>
    <s v="NW"/>
    <n v="3"/>
    <n v="0.46449376947040505"/>
    <x v="16"/>
    <x v="1"/>
    <n v="0"/>
    <x v="0"/>
    <m/>
  </r>
  <r>
    <s v="PPT1_BOI04"/>
    <s v="S1CS03306-WS"/>
    <n v="190"/>
    <s v="207199090"/>
    <s v="NW"/>
    <n v="3"/>
    <n v="0.30966251298027003"/>
    <x v="5"/>
    <x v="1"/>
    <n v="0"/>
    <x v="0"/>
    <m/>
  </r>
  <r>
    <s v="PPT1_BOI04"/>
    <s v="S1CS03307-WS"/>
    <n v="270"/>
    <s v="207197235"/>
    <s v="NW"/>
    <n v="3"/>
    <n v="0.38218958611481979"/>
    <x v="4"/>
    <x v="1"/>
    <n v="0"/>
    <x v="0"/>
    <m/>
  </r>
  <r>
    <s v="PPT1_BOI04"/>
    <s v="S1CS03307-WS"/>
    <n v="270"/>
    <s v="207197231"/>
    <s v="NW"/>
    <n v="3"/>
    <n v="0.38218958611481979"/>
    <x v="8"/>
    <x v="1"/>
    <n v="0"/>
    <x v="0"/>
    <m/>
  </r>
  <r>
    <s v="PPT1_BOI04"/>
    <s v="S1CS03307-WS"/>
    <n v="270"/>
    <s v="207197230"/>
    <s v="NW"/>
    <n v="3"/>
    <n v="0.38218958611481979"/>
    <x v="6"/>
    <x v="1"/>
    <n v="0"/>
    <x v="0"/>
    <m/>
  </r>
  <r>
    <s v="PPT1_BOI04"/>
    <s v="S1CS03307-WS"/>
    <n v="270"/>
    <s v="207197238"/>
    <s v="NW"/>
    <n v="3"/>
    <n v="0.38218958611481979"/>
    <x v="4"/>
    <x v="1"/>
    <n v="0"/>
    <x v="0"/>
    <m/>
  </r>
  <r>
    <s v="PPT1_BOI04"/>
    <s v="S1CS03307-WS"/>
    <n v="180"/>
    <s v="207197656"/>
    <s v="NW"/>
    <n v="3"/>
    <n v="0.25479305740987984"/>
    <x v="8"/>
    <x v="1"/>
    <n v="0"/>
    <x v="0"/>
    <m/>
  </r>
  <r>
    <s v="PPT1_BOI04"/>
    <s v="S1CS03307-WS"/>
    <n v="270"/>
    <s v="207197623"/>
    <s v="NW"/>
    <n v="3"/>
    <n v="0.38218958611481979"/>
    <x v="6"/>
    <x v="1"/>
    <n v="0"/>
    <x v="0"/>
    <m/>
  </r>
  <r>
    <s v="PPT1_BOI04"/>
    <s v="S1CS03307-WS"/>
    <n v="270"/>
    <s v="207197611"/>
    <s v="NW"/>
    <n v="3"/>
    <n v="0.38218958611481979"/>
    <x v="8"/>
    <x v="1"/>
    <n v="0"/>
    <x v="0"/>
    <m/>
  </r>
  <r>
    <s v="PPT1_BOI04"/>
    <s v="S1CS03308-WS"/>
    <n v="300"/>
    <s v="207197749"/>
    <s v="NW"/>
    <n v="3"/>
    <n v="0.49331316864704106"/>
    <x v="13"/>
    <x v="1"/>
    <n v="0"/>
    <x v="0"/>
    <m/>
  </r>
  <r>
    <s v="PPT1_BOI04"/>
    <s v="S1CS03308-WS"/>
    <n v="100"/>
    <s v="207198514"/>
    <s v="NW"/>
    <n v="3"/>
    <n v="0.16443772288234701"/>
    <x v="5"/>
    <x v="1"/>
    <n v="0"/>
    <x v="0"/>
    <m/>
  </r>
  <r>
    <s v="PPT1_BOI04"/>
    <s v="S1CS03308-WS"/>
    <n v="100"/>
    <s v="207198551"/>
    <s v="NW"/>
    <n v="3"/>
    <n v="0.16443772288234701"/>
    <x v="16"/>
    <x v="1"/>
    <n v="0"/>
    <x v="0"/>
    <m/>
  </r>
  <r>
    <s v="PPT1_BOI04"/>
    <s v="S1CS03308-WS"/>
    <n v="300"/>
    <s v="207197685"/>
    <s v="NW"/>
    <n v="3"/>
    <n v="0.49331316864704106"/>
    <x v="5"/>
    <x v="1"/>
    <n v="0"/>
    <x v="0"/>
    <m/>
  </r>
  <r>
    <s v="PPT1_BOI04"/>
    <s v="S1CS03308-WS"/>
    <n v="300"/>
    <s v="207197716"/>
    <s v="NW"/>
    <n v="3"/>
    <n v="0.49331316864704106"/>
    <x v="16"/>
    <x v="1"/>
    <n v="0"/>
    <x v="0"/>
    <m/>
  </r>
  <r>
    <s v="PPT1_BOI04"/>
    <s v="S1CS03309-WS"/>
    <n v="200"/>
    <s v="207198966"/>
    <s v="NW"/>
    <n v="4"/>
    <n v="0.33179043743641917"/>
    <x v="13"/>
    <x v="1"/>
    <n v="0"/>
    <x v="0"/>
    <m/>
  </r>
  <r>
    <s v="PPT1_BOI04"/>
    <s v="S1CS03309-WS"/>
    <n v="300"/>
    <s v="207198789"/>
    <s v="NW"/>
    <n v="4"/>
    <n v="0.49768565615462873"/>
    <x v="4"/>
    <x v="1"/>
    <n v="0"/>
    <x v="0"/>
    <m/>
  </r>
  <r>
    <s v="PPT1_BOI04"/>
    <s v="S1CS03310-WS"/>
    <n v="85"/>
    <s v="207201530"/>
    <s v="NW"/>
    <n v="5"/>
    <n v="8.5184944889232589E-2"/>
    <x v="6"/>
    <x v="1"/>
    <n v="0"/>
    <x v="0"/>
    <m/>
  </r>
  <r>
    <s v="PPT1_BOI04"/>
    <s v="S1CS03310-WS"/>
    <n v="85"/>
    <s v="207199133"/>
    <s v="NW"/>
    <n v="5"/>
    <n v="8.5184944889232589E-2"/>
    <x v="5"/>
    <x v="1"/>
    <n v="0"/>
    <x v="0"/>
    <m/>
  </r>
  <r>
    <s v="PPT1_BOI04"/>
    <s v="S1CS03310-WS"/>
    <n v="255"/>
    <s v="207199041"/>
    <s v="NW"/>
    <n v="5"/>
    <n v="0.25555483466769774"/>
    <x v="6"/>
    <x v="1"/>
    <n v="0"/>
    <x v="0"/>
    <m/>
  </r>
  <r>
    <s v="PPT1_BOI04"/>
    <s v="S1CS03311-WS"/>
    <n v="270"/>
    <s v="207197246"/>
    <s v="NW"/>
    <n v="2"/>
    <n v="0.53652969554234498"/>
    <x v="5"/>
    <x v="1"/>
    <n v="0"/>
    <x v="0"/>
    <m/>
  </r>
  <r>
    <s v="PPT1_BOI04"/>
    <s v="S1CS03311-WS"/>
    <n v="180"/>
    <s v="207197276"/>
    <s v="NW"/>
    <n v="2"/>
    <n v="0.35768646369489665"/>
    <x v="13"/>
    <x v="1"/>
    <n v="0"/>
    <x v="0"/>
    <m/>
  </r>
  <r>
    <s v="PPT1_BOI04"/>
    <s v="S1CS03311-WS"/>
    <n v="270"/>
    <s v="207197254"/>
    <s v="NW"/>
    <n v="2"/>
    <n v="0.53652969554234498"/>
    <x v="13"/>
    <x v="1"/>
    <n v="0"/>
    <x v="0"/>
    <m/>
  </r>
  <r>
    <s v="PPT1_BOI04"/>
    <s v="S1CS03311-WS"/>
    <n v="90"/>
    <s v="207197257"/>
    <s v="NW"/>
    <n v="2"/>
    <n v="0.17884323184744833"/>
    <x v="5"/>
    <x v="1"/>
    <n v="0"/>
    <x v="0"/>
    <m/>
  </r>
  <r>
    <s v="PPT1_BOI04"/>
    <s v="S1CS03311-WS"/>
    <n v="270"/>
    <s v="207197271"/>
    <s v="NW"/>
    <n v="2"/>
    <n v="0.53652969554234498"/>
    <x v="5"/>
    <x v="1"/>
    <n v="0"/>
    <x v="0"/>
    <m/>
  </r>
  <r>
    <s v="PPT1_BOI04"/>
    <s v="S1CS03312-WS"/>
    <n v="100"/>
    <s v="207197266"/>
    <s v="NW"/>
    <n v="4"/>
    <n v="0.12302508735600262"/>
    <x v="16"/>
    <x v="1"/>
    <n v="0"/>
    <x v="0"/>
    <m/>
  </r>
  <r>
    <s v="PPT1_BOI04"/>
    <s v="S1CS03313-WS"/>
    <n v="100"/>
    <s v="207197357"/>
    <s v="NW"/>
    <n v="2"/>
    <n v="0.16589521871820959"/>
    <x v="8"/>
    <x v="1"/>
    <n v="0"/>
    <x v="0"/>
    <m/>
  </r>
  <r>
    <s v="PPT1_BOI04"/>
    <s v="S1CS03313-WS"/>
    <n v="300"/>
    <s v="207197331"/>
    <s v="NW"/>
    <n v="2"/>
    <n v="0.49768565615462873"/>
    <x v="16"/>
    <x v="1"/>
    <n v="0"/>
    <x v="0"/>
    <m/>
  </r>
  <r>
    <s v="PPT1_BOI04"/>
    <s v="S1CS03314-WS"/>
    <n v="360"/>
    <s v="207197554"/>
    <s v="NW"/>
    <n v="3"/>
    <n v="0.61296459190498398"/>
    <x v="6"/>
    <x v="1"/>
    <n v="0"/>
    <x v="0"/>
    <m/>
  </r>
  <r>
    <s v="PPT1_BOI04"/>
    <s v="S1CS03314-WS"/>
    <n v="360"/>
    <s v="207197841"/>
    <s v="NW"/>
    <n v="3"/>
    <n v="0.61296459190498398"/>
    <x v="15"/>
    <x v="1"/>
    <n v="0"/>
    <x v="0"/>
    <m/>
  </r>
  <r>
    <s v="PPT1_BOI04"/>
    <s v="S1CS03314-WS"/>
    <n v="360"/>
    <s v="207197889"/>
    <s v="NW"/>
    <n v="3"/>
    <n v="0.61296459190498398"/>
    <x v="8"/>
    <x v="1"/>
    <n v="0"/>
    <x v="0"/>
    <m/>
  </r>
  <r>
    <s v="PPT1_BOI04"/>
    <s v="S1CS03314-WS"/>
    <n v="360"/>
    <s v="207197771"/>
    <s v="NW"/>
    <n v="3"/>
    <n v="0.61296459190498398"/>
    <x v="6"/>
    <x v="1"/>
    <n v="0"/>
    <x v="0"/>
    <m/>
  </r>
  <r>
    <s v="PPT1_BOI04"/>
    <s v="S1CS03315-WS"/>
    <n v="300"/>
    <s v="207197273"/>
    <s v="NW"/>
    <n v="4"/>
    <n v="0.45180128145186815"/>
    <x v="7"/>
    <x v="1"/>
    <n v="0"/>
    <x v="0"/>
    <m/>
  </r>
  <r>
    <s v="PPT1_BOI04"/>
    <s v="S1CS03315-WS"/>
    <n v="300"/>
    <s v="207197267"/>
    <s v="NW"/>
    <n v="4"/>
    <n v="0.45180128145186815"/>
    <x v="4"/>
    <x v="1"/>
    <n v="0"/>
    <x v="0"/>
    <m/>
  </r>
  <r>
    <s v="PPT1_BOI04"/>
    <s v="S1CS03315-WS"/>
    <n v="300"/>
    <s v="207197288"/>
    <s v="NW"/>
    <n v="4"/>
    <n v="0.45180128145186815"/>
    <x v="11"/>
    <x v="1"/>
    <n v="0"/>
    <x v="0"/>
    <m/>
  </r>
  <r>
    <s v="PPT1_BOI04"/>
    <s v="S1CS03315-WS"/>
    <n v="300"/>
    <s v="207197248"/>
    <s v="NW"/>
    <n v="4"/>
    <n v="0.45180128145186815"/>
    <x v="1"/>
    <x v="1"/>
    <n v="0"/>
    <x v="0"/>
    <m/>
  </r>
  <r>
    <s v="PPT1_BOI04"/>
    <s v="S1CS03316-WS"/>
    <n v="360"/>
    <s v="207197283"/>
    <s v="NW"/>
    <n v="3"/>
    <n v="0.44233724815958181"/>
    <x v="12"/>
    <x v="1"/>
    <n v="0"/>
    <x v="0"/>
    <m/>
  </r>
  <r>
    <s v="PPT1_BOI04"/>
    <s v="S1CS03317-WS"/>
    <n v="240"/>
    <s v="207197442"/>
    <s v="NW"/>
    <n v="3"/>
    <n v="0.34606984240106448"/>
    <x v="14"/>
    <x v="1"/>
    <n v="0"/>
    <x v="0"/>
    <m/>
  </r>
  <r>
    <s v="PPT1_BOI04"/>
    <s v="S1CS03317-WS"/>
    <n v="240"/>
    <s v="207197551"/>
    <s v="NW"/>
    <n v="3"/>
    <n v="0.34606984240106448"/>
    <x v="10"/>
    <x v="1"/>
    <n v="0"/>
    <x v="0"/>
    <m/>
  </r>
  <r>
    <s v="PPT1_BOI04"/>
    <s v="S1CS03317-WS"/>
    <n v="240"/>
    <s v="207197343"/>
    <s v="NW"/>
    <n v="3"/>
    <n v="0.34606984240106448"/>
    <x v="3"/>
    <x v="1"/>
    <n v="0"/>
    <x v="0"/>
    <m/>
  </r>
  <r>
    <s v="PPT1_BOI04"/>
    <s v="S1CS03317-WS"/>
    <n v="80"/>
    <s v="207197543"/>
    <s v="NW"/>
    <n v="3"/>
    <n v="0.11535661413368815"/>
    <x v="14"/>
    <x v="1"/>
    <n v="0"/>
    <x v="0"/>
    <m/>
  </r>
  <r>
    <s v="PPT1_BOI04"/>
    <s v="S1CS03317-WS"/>
    <n v="240"/>
    <s v="207197519"/>
    <s v="NW"/>
    <n v="3"/>
    <n v="0.34606984240106448"/>
    <x v="10"/>
    <x v="1"/>
    <n v="0"/>
    <x v="0"/>
    <m/>
  </r>
  <r>
    <s v="PPT1_BOI04"/>
    <s v="S1CS03317-WS"/>
    <n v="240"/>
    <s v="207197473"/>
    <s v="NW"/>
    <n v="3"/>
    <n v="0.34606984240106448"/>
    <x v="3"/>
    <x v="1"/>
    <n v="0"/>
    <x v="0"/>
    <m/>
  </r>
  <r>
    <s v="PPT1_BOI04"/>
    <s v="S1CS03317-WS"/>
    <n v="240"/>
    <s v="207197490"/>
    <s v="NW"/>
    <n v="3"/>
    <n v="0.34606984240106448"/>
    <x v="14"/>
    <x v="1"/>
    <n v="0"/>
    <x v="0"/>
    <m/>
  </r>
  <r>
    <s v="PPT1_BOI04"/>
    <s v="S1CS03317-WS"/>
    <n v="240"/>
    <s v="207197565"/>
    <s v="NW"/>
    <n v="3"/>
    <n v="0.34606984240106448"/>
    <x v="10"/>
    <x v="1"/>
    <n v="0"/>
    <x v="0"/>
    <m/>
  </r>
  <r>
    <s v="PPT1_BOI04"/>
    <s v="S1CS03317-WS"/>
    <n v="240"/>
    <s v="207198054"/>
    <s v="NW"/>
    <n v="3"/>
    <n v="0.34606984240106448"/>
    <x v="3"/>
    <x v="1"/>
    <n v="0"/>
    <x v="0"/>
    <m/>
  </r>
  <r>
    <s v="PPT1_BOI04"/>
    <s v="S1CS03317-WS"/>
    <n v="240"/>
    <s v="207197373"/>
    <s v="NW"/>
    <n v="3"/>
    <n v="0.34606984240106448"/>
    <x v="14"/>
    <x v="1"/>
    <n v="0"/>
    <x v="0"/>
    <m/>
  </r>
  <r>
    <s v="PPT1_BOI04"/>
    <s v="S1CS03317-WS"/>
    <n v="240"/>
    <s v="207197401"/>
    <s v="NW"/>
    <n v="3"/>
    <n v="0.34606984240106448"/>
    <x v="10"/>
    <x v="1"/>
    <n v="0"/>
    <x v="0"/>
    <m/>
  </r>
  <r>
    <s v="PPT1_BOI04"/>
    <s v="S1CS03317-WS"/>
    <n v="240"/>
    <s v="207197314"/>
    <s v="NW"/>
    <n v="3"/>
    <n v="0.34606984240106448"/>
    <x v="3"/>
    <x v="1"/>
    <n v="0"/>
    <x v="0"/>
    <m/>
  </r>
  <r>
    <s v="PPT1_BOI04"/>
    <s v="S1CS03317-WS"/>
    <n v="240"/>
    <s v="207197966"/>
    <s v="NW"/>
    <n v="3"/>
    <n v="0.34606984240106448"/>
    <x v="14"/>
    <x v="1"/>
    <n v="0"/>
    <x v="0"/>
    <m/>
  </r>
  <r>
    <s v="PPT1_BOI04"/>
    <s v="S1CS03317-WS"/>
    <n v="240"/>
    <s v="207198014"/>
    <s v="NW"/>
    <n v="3"/>
    <n v="0.34606984240106448"/>
    <x v="10"/>
    <x v="1"/>
    <n v="0"/>
    <x v="0"/>
    <m/>
  </r>
  <r>
    <s v="PPT1_BOI04"/>
    <s v="S1CS03317-WS"/>
    <n v="240"/>
    <s v="207197876"/>
    <s v="NW"/>
    <n v="3"/>
    <n v="0.34606984240106448"/>
    <x v="3"/>
    <x v="1"/>
    <n v="0"/>
    <x v="0"/>
    <m/>
  </r>
  <r>
    <s v="PPT1_BOI04"/>
    <s v="S1CS03317-WS"/>
    <n v="240"/>
    <s v="207197846"/>
    <s v="NW"/>
    <n v="3"/>
    <n v="0.34606984240106448"/>
    <x v="14"/>
    <x v="1"/>
    <n v="0"/>
    <x v="0"/>
    <m/>
  </r>
  <r>
    <s v="PPT1_BOI04"/>
    <s v="S1CS03317-WS"/>
    <n v="240"/>
    <s v="207197819"/>
    <s v="NW"/>
    <n v="3"/>
    <n v="0.34606984240106448"/>
    <x v="10"/>
    <x v="1"/>
    <n v="0"/>
    <x v="0"/>
    <m/>
  </r>
  <r>
    <s v="PPT1_BOI04"/>
    <s v="S1CS03317-WS"/>
    <n v="240"/>
    <s v="207197428"/>
    <s v="NW"/>
    <n v="3"/>
    <n v="0.34606984240106448"/>
    <x v="3"/>
    <x v="1"/>
    <n v="0"/>
    <x v="0"/>
    <m/>
  </r>
  <r>
    <s v="PPT1_BOI04"/>
    <s v="S1CS03317-WS"/>
    <n v="240"/>
    <s v="207197939"/>
    <s v="NW"/>
    <n v="3"/>
    <n v="0.34606984240106448"/>
    <x v="14"/>
    <x v="1"/>
    <n v="0"/>
    <x v="0"/>
    <m/>
  </r>
  <r>
    <s v="PPT1_BOI04"/>
    <s v="S1CS03317-WS"/>
    <n v="240"/>
    <s v="207197920"/>
    <s v="NW"/>
    <n v="3"/>
    <n v="0.34606984240106448"/>
    <x v="10"/>
    <x v="1"/>
    <n v="0"/>
    <x v="0"/>
    <m/>
  </r>
  <r>
    <s v="PPT1_BOI04"/>
    <s v="S1CS03317-WS"/>
    <n v="240"/>
    <s v="207201019"/>
    <s v="NW"/>
    <n v="3"/>
    <n v="0.34606984240106448"/>
    <x v="3"/>
    <x v="1"/>
    <n v="0"/>
    <x v="0"/>
    <m/>
  </r>
  <r>
    <s v="PPT1_BOI04"/>
    <s v="S1CS03317-WS"/>
    <n v="240"/>
    <s v="207201021"/>
    <s v="NW"/>
    <n v="3"/>
    <n v="0.34606984240106448"/>
    <x v="14"/>
    <x v="1"/>
    <n v="0"/>
    <x v="0"/>
    <m/>
  </r>
  <r>
    <s v="PPT1_BOI04"/>
    <s v="S1CS03317-WS"/>
    <n v="240"/>
    <s v="207201023"/>
    <s v="NW"/>
    <n v="3"/>
    <n v="0.34606984240106448"/>
    <x v="10"/>
    <x v="1"/>
    <n v="0"/>
    <x v="0"/>
    <m/>
  </r>
  <r>
    <s v="PPT1_BOI04"/>
    <s v="S1CS03317-WS"/>
    <n v="240"/>
    <s v="207200984"/>
    <s v="NW"/>
    <n v="3"/>
    <n v="0.34606984240106448"/>
    <x v="3"/>
    <x v="1"/>
    <n v="0"/>
    <x v="0"/>
    <m/>
  </r>
  <r>
    <s v="PPT1_BOI04"/>
    <s v="S1CS03317-WS"/>
    <n v="240"/>
    <s v="207200978"/>
    <s v="NW"/>
    <n v="3"/>
    <n v="0.34606984240106448"/>
    <x v="14"/>
    <x v="1"/>
    <n v="0"/>
    <x v="0"/>
    <m/>
  </r>
  <r>
    <s v="PPT1_BOI04"/>
    <s v="S1CS03317-WS"/>
    <n v="240"/>
    <s v="207200980"/>
    <s v="NW"/>
    <n v="3"/>
    <n v="0.34606984240106448"/>
    <x v="10"/>
    <x v="1"/>
    <n v="0"/>
    <x v="0"/>
    <m/>
  </r>
  <r>
    <s v="PPT1_BOI04"/>
    <s v="S1CS03317-WS"/>
    <n v="240"/>
    <s v="207200982"/>
    <s v="NW"/>
    <n v="3"/>
    <n v="0.34606984240106448"/>
    <x v="3"/>
    <x v="1"/>
    <n v="0"/>
    <x v="0"/>
    <m/>
  </r>
  <r>
    <s v="PPT1_BOI04"/>
    <s v="S1CS03317-WS"/>
    <n v="240"/>
    <s v="207201052"/>
    <s v="NW"/>
    <n v="3"/>
    <n v="0.34606984240106448"/>
    <x v="14"/>
    <x v="1"/>
    <n v="0"/>
    <x v="0"/>
    <m/>
  </r>
  <r>
    <s v="PPT1_BOI04"/>
    <s v="S1CS03317-WS"/>
    <n v="240"/>
    <s v="207201054"/>
    <s v="NW"/>
    <n v="3"/>
    <n v="0.34606984240106448"/>
    <x v="10"/>
    <x v="1"/>
    <n v="0"/>
    <x v="0"/>
    <m/>
  </r>
  <r>
    <s v="PPT1_BOI04"/>
    <s v="S1CS03317-WS"/>
    <n v="240"/>
    <s v="207198446"/>
    <s v="NW"/>
    <n v="3"/>
    <n v="0.34606984240106448"/>
    <x v="3"/>
    <x v="1"/>
    <n v="0"/>
    <x v="0"/>
    <m/>
  </r>
  <r>
    <s v="PPT1_BOI04"/>
    <s v="S1CS03317-WS"/>
    <n v="240"/>
    <s v="207201050"/>
    <s v="NW"/>
    <n v="3"/>
    <n v="0.34606984240106448"/>
    <x v="14"/>
    <x v="1"/>
    <n v="0"/>
    <x v="0"/>
    <m/>
  </r>
  <r>
    <s v="PPT1_BOI04"/>
    <s v="S1CS03317-WS"/>
    <n v="240"/>
    <s v="207201025"/>
    <s v="NW"/>
    <n v="3"/>
    <n v="0.34606984240106448"/>
    <x v="10"/>
    <x v="1"/>
    <n v="0"/>
    <x v="0"/>
    <m/>
  </r>
  <r>
    <s v="PPT1_BOI04"/>
    <s v="S1CS03317-WS"/>
    <n v="240"/>
    <s v="207201029"/>
    <s v="NW"/>
    <n v="3"/>
    <n v="0.34606984240106448"/>
    <x v="3"/>
    <x v="1"/>
    <n v="0"/>
    <x v="0"/>
    <m/>
  </r>
  <r>
    <s v="PPT1_BOI04"/>
    <s v="S1CS03317-WS"/>
    <n v="240"/>
    <s v="207201031"/>
    <s v="NW"/>
    <n v="3"/>
    <n v="0.34606984240106448"/>
    <x v="14"/>
    <x v="1"/>
    <n v="0"/>
    <x v="0"/>
    <m/>
  </r>
  <r>
    <s v="PPT1_BOI04"/>
    <s v="S1CS03317-WS"/>
    <n v="240"/>
    <s v="207200910"/>
    <s v="NW"/>
    <n v="3"/>
    <n v="0.34606984240106448"/>
    <x v="10"/>
    <x v="1"/>
    <n v="0"/>
    <x v="0"/>
    <m/>
  </r>
  <r>
    <s v="PPT1_BOI04"/>
    <s v="S1CS03317-WS"/>
    <n v="240"/>
    <s v="207200912"/>
    <s v="NW"/>
    <n v="3"/>
    <n v="0.34606984240106448"/>
    <x v="3"/>
    <x v="1"/>
    <n v="0"/>
    <x v="0"/>
    <m/>
  </r>
  <r>
    <s v="PPT1_BOI04"/>
    <s v="S1CS03317-WS"/>
    <n v="240"/>
    <s v="207200917"/>
    <s v="NW"/>
    <n v="3"/>
    <n v="0.34606984240106448"/>
    <x v="14"/>
    <x v="1"/>
    <n v="0"/>
    <x v="0"/>
    <m/>
  </r>
  <r>
    <s v="PPT1_BOI04"/>
    <s v="S1CS03317-WS"/>
    <n v="240"/>
    <s v="207200908"/>
    <s v="NW"/>
    <n v="3"/>
    <n v="0.34606984240106448"/>
    <x v="10"/>
    <x v="1"/>
    <n v="0"/>
    <x v="0"/>
    <m/>
  </r>
  <r>
    <s v="PPT1_BOI04"/>
    <s v="S1CS03317-WS"/>
    <n v="240"/>
    <s v="207198903"/>
    <s v="NW"/>
    <n v="3"/>
    <n v="0.34606984240106448"/>
    <x v="3"/>
    <x v="1"/>
    <n v="0"/>
    <x v="0"/>
    <m/>
  </r>
  <r>
    <s v="PPT1_BOI04"/>
    <s v="S1CS03317-WS"/>
    <n v="240"/>
    <s v="207198963"/>
    <s v="NW"/>
    <n v="3"/>
    <n v="0.34606984240106448"/>
    <x v="14"/>
    <x v="1"/>
    <n v="0"/>
    <x v="0"/>
    <m/>
  </r>
  <r>
    <s v="PPT1_BOI04"/>
    <s v="S1CS03317-WS"/>
    <n v="240"/>
    <s v="207200893"/>
    <s v="NW"/>
    <n v="3"/>
    <n v="0.34606984240106448"/>
    <x v="10"/>
    <x v="1"/>
    <n v="0"/>
    <x v="0"/>
    <m/>
  </r>
  <r>
    <s v="PPT1_BOI04"/>
    <s v="S1CS03317-WS"/>
    <n v="240"/>
    <s v="207200972"/>
    <s v="NW"/>
    <n v="3"/>
    <n v="0.34606984240106448"/>
    <x v="3"/>
    <x v="1"/>
    <n v="0"/>
    <x v="0"/>
    <m/>
  </r>
  <r>
    <s v="PPT1_BOI04"/>
    <s v="S1CS03317-WS"/>
    <n v="240"/>
    <s v="207200974"/>
    <s v="NW"/>
    <n v="3"/>
    <n v="0.34606984240106448"/>
    <x v="14"/>
    <x v="1"/>
    <n v="0"/>
    <x v="0"/>
    <m/>
  </r>
  <r>
    <s v="PPT1_BOI04"/>
    <s v="S1CS03317-WS"/>
    <n v="240"/>
    <s v="207200976"/>
    <s v="NW"/>
    <n v="3"/>
    <n v="0.34606984240106448"/>
    <x v="10"/>
    <x v="1"/>
    <n v="0"/>
    <x v="0"/>
    <m/>
  </r>
  <r>
    <s v="PPT1_BOI04"/>
    <s v="S1CS03317-WS"/>
    <n v="240"/>
    <s v="207200970"/>
    <s v="NW"/>
    <n v="3"/>
    <n v="0.34606984240106448"/>
    <x v="3"/>
    <x v="1"/>
    <n v="0"/>
    <x v="0"/>
    <m/>
  </r>
  <r>
    <s v="PPT1_BOI04"/>
    <s v="S1CS03317-WS"/>
    <n v="240"/>
    <s v="207200919"/>
    <s v="NW"/>
    <n v="3"/>
    <n v="0.34606984240106448"/>
    <x v="14"/>
    <x v="1"/>
    <n v="0"/>
    <x v="0"/>
    <m/>
  </r>
  <r>
    <s v="PPT1_BOI04"/>
    <s v="S1CS03317-WS"/>
    <n v="240"/>
    <s v="207200953"/>
    <s v="NW"/>
    <n v="3"/>
    <n v="0.34606984240106448"/>
    <x v="10"/>
    <x v="1"/>
    <n v="0"/>
    <x v="0"/>
    <m/>
  </r>
  <r>
    <s v="PPT1_BOI04"/>
    <s v="S1CS03317-WS"/>
    <n v="240"/>
    <s v="207200967"/>
    <s v="NW"/>
    <n v="3"/>
    <n v="0.34606984240106448"/>
    <x v="3"/>
    <x v="1"/>
    <n v="0"/>
    <x v="0"/>
    <m/>
  </r>
  <r>
    <s v="PPT1_BOI04"/>
    <s v="S1CS03317-WS"/>
    <n v="240"/>
    <s v="207198299"/>
    <s v="NW"/>
    <n v="3"/>
    <n v="0.34606984240106448"/>
    <x v="14"/>
    <x v="1"/>
    <n v="0"/>
    <x v="0"/>
    <m/>
  </r>
  <r>
    <s v="PPT1_BOI04"/>
    <s v="S1CS03317-WS"/>
    <n v="240"/>
    <s v="207198832"/>
    <s v="NW"/>
    <n v="3"/>
    <n v="0.34606984240106448"/>
    <x v="10"/>
    <x v="1"/>
    <n v="0"/>
    <x v="0"/>
    <m/>
  </r>
  <r>
    <s v="PPT1_BOI04"/>
    <s v="S1CS03317-WS"/>
    <n v="240"/>
    <s v="207198154"/>
    <s v="NW"/>
    <n v="3"/>
    <n v="0.34606984240106448"/>
    <x v="3"/>
    <x v="1"/>
    <n v="0"/>
    <x v="0"/>
    <m/>
  </r>
  <r>
    <s v="PPT1_BOI04"/>
    <s v="S1CS03317-WS"/>
    <n v="240"/>
    <s v="207198245"/>
    <s v="NW"/>
    <n v="3"/>
    <n v="0.34606984240106448"/>
    <x v="14"/>
    <x v="1"/>
    <n v="0"/>
    <x v="0"/>
    <m/>
  </r>
  <r>
    <s v="PPT1_BOI04"/>
    <s v="S1CS03317-WS"/>
    <n v="240"/>
    <s v="207198352"/>
    <s v="NW"/>
    <n v="3"/>
    <n v="0.34606984240106448"/>
    <x v="10"/>
    <x v="1"/>
    <n v="0"/>
    <x v="0"/>
    <m/>
  </r>
  <r>
    <s v="PPT1_BOI04"/>
    <s v="S1CS03317-WS"/>
    <n v="240"/>
    <s v="207198399"/>
    <s v="NW"/>
    <n v="3"/>
    <n v="0.34606984240106448"/>
    <x v="3"/>
    <x v="1"/>
    <n v="0"/>
    <x v="0"/>
    <m/>
  </r>
  <r>
    <s v="PPT1_BOI04"/>
    <s v="S1CS03318-WS"/>
    <n v="225"/>
    <s v="207197701"/>
    <s v="NW"/>
    <n v="3"/>
    <n v="0.36998487648528078"/>
    <x v="16"/>
    <x v="1"/>
    <n v="0"/>
    <x v="0"/>
    <m/>
  </r>
  <r>
    <s v="PPT1_BOI04"/>
    <s v="S1CS03318-WS"/>
    <n v="75"/>
    <s v="207197807"/>
    <s v="NW"/>
    <n v="3"/>
    <n v="0.12332829216176026"/>
    <x v="7"/>
    <x v="1"/>
    <n v="0"/>
    <x v="0"/>
    <m/>
  </r>
  <r>
    <s v="PPT1_BOI04"/>
    <s v="S1CS03320-WS"/>
    <n v="170"/>
    <s v="207197352"/>
    <s v="NW"/>
    <n v="3"/>
    <n v="0.28202187182095628"/>
    <x v="0"/>
    <x v="1"/>
    <n v="0"/>
    <x v="0"/>
    <m/>
  </r>
  <r>
    <s v="PPT1_BOI04"/>
    <s v="S1CS03322-WS"/>
    <n v="80"/>
    <s v="207197508"/>
    <s v="NW"/>
    <n v="3"/>
    <n v="0.1362143537566631"/>
    <x v="4"/>
    <x v="1"/>
    <n v="0"/>
    <x v="0"/>
    <m/>
  </r>
  <r>
    <s v="PPT1_BOI04"/>
    <s v="S1CS03322-WS"/>
    <n v="240"/>
    <s v="207197462"/>
    <s v="NW"/>
    <n v="3"/>
    <n v="0.40864306126998928"/>
    <x v="11"/>
    <x v="1"/>
    <n v="0"/>
    <x v="0"/>
    <m/>
  </r>
  <r>
    <s v="PPT1_BOI04"/>
    <s v="S1CS03323-WS"/>
    <n v="300"/>
    <s v="207200899"/>
    <s v="NW"/>
    <n v="3"/>
    <n v="0.39394932783598424"/>
    <x v="7"/>
    <x v="1"/>
    <n v="0"/>
    <x v="0"/>
    <m/>
  </r>
  <r>
    <s v="PPT1_BOI04"/>
    <s v="S1CS03323-WS"/>
    <n v="300"/>
    <s v="207200989"/>
    <s v="NW"/>
    <n v="3"/>
    <n v="0.39394932783598424"/>
    <x v="15"/>
    <x v="1"/>
    <n v="0"/>
    <x v="0"/>
    <m/>
  </r>
  <r>
    <s v="PPT1_BOI04"/>
    <s v="S1CS03323-WS"/>
    <n v="300"/>
    <s v="207197804"/>
    <s v="NW"/>
    <n v="3"/>
    <n v="0.39394932783598424"/>
    <x v="8"/>
    <x v="1"/>
    <n v="0"/>
    <x v="0"/>
    <m/>
  </r>
  <r>
    <s v="PPT1_BOI04"/>
    <s v="S1CS03323-WS"/>
    <n v="300"/>
    <s v="207200905"/>
    <s v="NW"/>
    <n v="3"/>
    <n v="0.39394932783598424"/>
    <x v="7"/>
    <x v="1"/>
    <n v="0"/>
    <x v="0"/>
    <m/>
  </r>
  <r>
    <s v="PPT1_BOI04"/>
    <s v="S1CS03323-WS"/>
    <n v="300"/>
    <s v="207200992"/>
    <s v="NW"/>
    <n v="3"/>
    <n v="0.39394932783598424"/>
    <x v="15"/>
    <x v="1"/>
    <n v="0"/>
    <x v="0"/>
    <m/>
  </r>
  <r>
    <s v="PPT1_BOI04"/>
    <s v="S1CS03323-WS"/>
    <n v="300"/>
    <s v="207200903"/>
    <s v="NW"/>
    <n v="3"/>
    <n v="0.39394932783598424"/>
    <x v="8"/>
    <x v="1"/>
    <n v="0"/>
    <x v="0"/>
    <m/>
  </r>
  <r>
    <s v="PPT1_BOI04"/>
    <s v="S1CS03323-WS"/>
    <n v="300"/>
    <s v="207200901"/>
    <s v="NW"/>
    <n v="3"/>
    <n v="0.39394932783598424"/>
    <x v="7"/>
    <x v="1"/>
    <n v="0"/>
    <x v="0"/>
    <m/>
  </r>
  <r>
    <s v="PPT1_BOI04"/>
    <s v="S1CS03323-WS"/>
    <n v="300"/>
    <s v="207200902"/>
    <s v="NW"/>
    <n v="3"/>
    <n v="0.39394932783598424"/>
    <x v="15"/>
    <x v="1"/>
    <n v="0"/>
    <x v="0"/>
    <m/>
  </r>
  <r>
    <s v="PPT1_BOI04"/>
    <s v="S1CS03323-WS"/>
    <n v="300"/>
    <s v="207197928"/>
    <s v="NW"/>
    <n v="3"/>
    <n v="0.39394932783598424"/>
    <x v="8"/>
    <x v="1"/>
    <n v="0"/>
    <x v="0"/>
    <m/>
  </r>
  <r>
    <s v="PPT1_BOI04"/>
    <s v="S1CS03323-WS"/>
    <n v="200"/>
    <s v="207197976"/>
    <s v="NW"/>
    <n v="3"/>
    <n v="0.26263288522398948"/>
    <x v="7"/>
    <x v="1"/>
    <n v="0"/>
    <x v="0"/>
    <m/>
  </r>
  <r>
    <s v="PPT1_BOI04"/>
    <s v="S1CS03323-WS"/>
    <n v="300"/>
    <s v="207197426"/>
    <s v="NW"/>
    <n v="3"/>
    <n v="0.39394932783598424"/>
    <x v="15"/>
    <x v="1"/>
    <n v="0"/>
    <x v="0"/>
    <m/>
  </r>
  <r>
    <s v="PPT1_BOI04"/>
    <s v="S1CS03323-WS"/>
    <n v="300"/>
    <s v="207197392"/>
    <s v="NW"/>
    <n v="3"/>
    <n v="0.39394932783598424"/>
    <x v="8"/>
    <x v="1"/>
    <n v="0"/>
    <x v="0"/>
    <m/>
  </r>
  <r>
    <s v="PPT1_BOI04"/>
    <s v="S1CS03323-WS"/>
    <n v="300"/>
    <s v="207197863"/>
    <s v="NW"/>
    <n v="3"/>
    <n v="0.39394932783598424"/>
    <x v="7"/>
    <x v="1"/>
    <n v="0"/>
    <x v="0"/>
    <m/>
  </r>
  <r>
    <s v="PPT1_BOI04"/>
    <s v="S1CS03323-WS"/>
    <n v="300"/>
    <s v="207197909"/>
    <s v="NW"/>
    <n v="3"/>
    <n v="0.39394932783598424"/>
    <x v="15"/>
    <x v="1"/>
    <n v="0"/>
    <x v="0"/>
    <m/>
  </r>
  <r>
    <s v="PPT1_BOI04"/>
    <s v="S1CS03323-WS"/>
    <n v="100"/>
    <s v="207198029"/>
    <s v="NW"/>
    <n v="3"/>
    <n v="0.13131644261199474"/>
    <x v="8"/>
    <x v="1"/>
    <n v="0"/>
    <x v="0"/>
    <m/>
  </r>
  <r>
    <s v="PPT1_BOI04"/>
    <s v="S1CS03323-WS"/>
    <n v="300"/>
    <s v="207197479"/>
    <s v="NW"/>
    <n v="3"/>
    <n v="0.39394932783598424"/>
    <x v="8"/>
    <x v="1"/>
    <n v="0"/>
    <x v="0"/>
    <m/>
  </r>
  <r>
    <s v="PPT1_BOI04"/>
    <s v="S1CS03323-WS"/>
    <n v="300"/>
    <s v="207197780"/>
    <s v="NW"/>
    <n v="3"/>
    <n v="0.39394932783598424"/>
    <x v="7"/>
    <x v="1"/>
    <n v="0"/>
    <x v="0"/>
    <m/>
  </r>
  <r>
    <s v="PPT1_BOI04"/>
    <s v="S1CS03323-WS"/>
    <n v="300"/>
    <s v="207200859"/>
    <s v="NW"/>
    <n v="3"/>
    <n v="0.39394932783598424"/>
    <x v="15"/>
    <x v="1"/>
    <n v="0"/>
    <x v="0"/>
    <m/>
  </r>
  <r>
    <s v="PPT1_BOI04"/>
    <s v="S1CS03323-WS"/>
    <n v="300"/>
    <s v="207200846"/>
    <s v="NW"/>
    <n v="3"/>
    <n v="0.39394932783598424"/>
    <x v="8"/>
    <x v="1"/>
    <n v="0"/>
    <x v="0"/>
    <m/>
  </r>
  <r>
    <s v="PPT1_BOI04"/>
    <s v="S1CS03323-WS"/>
    <n v="300"/>
    <s v="207200857"/>
    <s v="NW"/>
    <n v="3"/>
    <n v="0.39394932783598424"/>
    <x v="7"/>
    <x v="1"/>
    <n v="0"/>
    <x v="0"/>
    <m/>
  </r>
  <r>
    <s v="PPT1_BOI04"/>
    <s v="S1CS03324-WS"/>
    <n v="300"/>
    <s v="207199140"/>
    <s v="NW"/>
    <n v="3"/>
    <n v="0.49768565615462873"/>
    <x v="4"/>
    <x v="1"/>
    <n v="0"/>
    <x v="0"/>
    <m/>
  </r>
  <r>
    <s v="PPT1_BOI04"/>
    <s v="S1CS03324-WS"/>
    <n v="300"/>
    <s v="207199238"/>
    <s v="NW"/>
    <n v="3"/>
    <n v="0.49768565615462873"/>
    <x v="1"/>
    <x v="1"/>
    <n v="0"/>
    <x v="0"/>
    <m/>
  </r>
  <r>
    <s v="PPT1_BOI04"/>
    <s v="S1CS03324-WS"/>
    <n v="100"/>
    <s v="207199308"/>
    <s v="NW"/>
    <n v="3"/>
    <n v="0.16589521871820959"/>
    <x v="13"/>
    <x v="1"/>
    <n v="0"/>
    <x v="0"/>
    <m/>
  </r>
  <r>
    <s v="PPT1_BOI04"/>
    <s v="S1CS03324-WS"/>
    <n v="300"/>
    <s v="207199068"/>
    <s v="NW"/>
    <n v="3"/>
    <n v="0.49768565615462873"/>
    <x v="13"/>
    <x v="1"/>
    <n v="0"/>
    <x v="0"/>
    <m/>
  </r>
  <r>
    <s v="PPT1_BOI04"/>
    <s v="S1CS03324-WS"/>
    <n v="300"/>
    <s v="207198954"/>
    <s v="NW"/>
    <n v="3"/>
    <n v="0.49768565615462873"/>
    <x v="4"/>
    <x v="1"/>
    <n v="0"/>
    <x v="0"/>
    <m/>
  </r>
  <r>
    <s v="PPT1_BOI04"/>
    <s v="S1CS03324-WS"/>
    <n v="300"/>
    <s v="207198844"/>
    <s v="NW"/>
    <n v="3"/>
    <n v="0.49768565615462873"/>
    <x v="1"/>
    <x v="1"/>
    <n v="0"/>
    <x v="0"/>
    <m/>
  </r>
  <r>
    <s v="PPT1_BOI04"/>
    <s v="S1CS03324-WS"/>
    <n v="300"/>
    <s v="207198907"/>
    <s v="NW"/>
    <n v="3"/>
    <n v="0.49768565615462873"/>
    <x v="13"/>
    <x v="1"/>
    <n v="0"/>
    <x v="0"/>
    <m/>
  </r>
  <r>
    <s v="PPT1_BOI04"/>
    <s v="S1CS03324-WS"/>
    <n v="300"/>
    <s v="207198837"/>
    <s v="NW"/>
    <n v="3"/>
    <n v="0.49768565615462873"/>
    <x v="4"/>
    <x v="1"/>
    <n v="0"/>
    <x v="0"/>
    <m/>
  </r>
  <r>
    <s v="PPT1_BOI04"/>
    <s v="S1CS03324-WS"/>
    <n v="300"/>
    <s v="207199030"/>
    <s v="NW"/>
    <n v="3"/>
    <n v="0.49768565615462873"/>
    <x v="1"/>
    <x v="1"/>
    <n v="0"/>
    <x v="0"/>
    <m/>
  </r>
  <r>
    <s v="PPT1_BOI04"/>
    <s v="S1CS03324-WS"/>
    <n v="300"/>
    <s v="207198387"/>
    <s v="NW"/>
    <n v="3"/>
    <n v="0.49768565615462873"/>
    <x v="13"/>
    <x v="1"/>
    <n v="0"/>
    <x v="0"/>
    <m/>
  </r>
  <r>
    <s v="PPT1_BOI04"/>
    <s v="S1CS03326-WS"/>
    <n v="190"/>
    <s v="207199460"/>
    <s v="NW"/>
    <n v="3"/>
    <n v="0.19124629268013685"/>
    <x v="12"/>
    <x v="1"/>
    <n v="0"/>
    <x v="0"/>
    <m/>
  </r>
  <r>
    <s v="PPT1_BOI04"/>
    <s v="S1CS03330-WS"/>
    <n v="100"/>
    <s v="207197268"/>
    <s v="NW"/>
    <n v="4"/>
    <n v="0.17026794219582889"/>
    <x v="0"/>
    <x v="1"/>
    <n v="0"/>
    <x v="0"/>
    <m/>
  </r>
  <r>
    <s v="PPT1_BOI04"/>
    <s v="S1CS03344-WS"/>
    <n v="300"/>
    <s v="207197414"/>
    <s v="NW"/>
    <n v="5"/>
    <n v="0.31826782830597539"/>
    <x v="16"/>
    <x v="1"/>
    <n v="0"/>
    <x v="0"/>
    <m/>
  </r>
  <r>
    <s v="PPT1_BOI04"/>
    <s v="S1CS03344-WS"/>
    <n v="300"/>
    <s v="207197359"/>
    <s v="NW"/>
    <n v="5"/>
    <n v="0.31826782830597539"/>
    <x v="12"/>
    <x v="1"/>
    <n v="0"/>
    <x v="0"/>
    <m/>
  </r>
  <r>
    <s v="PPT1_BOI04"/>
    <s v="S1CS03344-WS"/>
    <n v="100"/>
    <s v="207197475"/>
    <s v="NW"/>
    <n v="5"/>
    <n v="0.1060892761019918"/>
    <x v="0"/>
    <x v="1"/>
    <n v="0"/>
    <x v="0"/>
    <m/>
  </r>
  <r>
    <s v="PPT1_BOI04"/>
    <s v="S1CS03344-WS"/>
    <n v="300"/>
    <s v="207197455"/>
    <s v="NW"/>
    <n v="5"/>
    <n v="0.31826782830597539"/>
    <x v="11"/>
    <x v="1"/>
    <n v="0"/>
    <x v="0"/>
    <m/>
  </r>
  <r>
    <s v="PPT1_BOI04"/>
    <s v="S1CS03344-WS"/>
    <n v="300"/>
    <s v="207197451"/>
    <s v="NW"/>
    <n v="5"/>
    <n v="0.31826782830597539"/>
    <x v="5"/>
    <x v="1"/>
    <n v="0"/>
    <x v="0"/>
    <m/>
  </r>
  <r>
    <s v="PPT1_BOI04"/>
    <s v="S1CS03356-WS"/>
    <n v="100"/>
    <s v="207201280"/>
    <s v="NW"/>
    <n v="3"/>
    <n v="0.14741695181738151"/>
    <x v="0"/>
    <x v="1"/>
    <n v="0"/>
    <x v="0"/>
    <m/>
  </r>
  <r>
    <s v="PPT1_BOI04"/>
    <s v="S1CS03356-WS"/>
    <n v="300"/>
    <s v="207200904"/>
    <s v="NW"/>
    <n v="3"/>
    <n v="0.44225085545214454"/>
    <x v="16"/>
    <x v="1"/>
    <n v="0"/>
    <x v="0"/>
    <m/>
  </r>
  <r>
    <s v="PPT1_BOI04"/>
    <s v="S1CS03356-WS"/>
    <n v="300"/>
    <s v="207198448"/>
    <s v="NW"/>
    <n v="3"/>
    <n v="0.44225085545214454"/>
    <x v="6"/>
    <x v="1"/>
    <n v="0"/>
    <x v="0"/>
    <m/>
  </r>
  <r>
    <s v="PPT1_BOI04"/>
    <s v="S1CS03356-WS"/>
    <n v="300"/>
    <s v="207200990"/>
    <s v="NW"/>
    <n v="3"/>
    <n v="0.44225085545214454"/>
    <x v="0"/>
    <x v="1"/>
    <n v="0"/>
    <x v="0"/>
    <m/>
  </r>
  <r>
    <s v="PPT1_BOI04"/>
    <s v="S1CS03356-WS"/>
    <n v="300"/>
    <s v="207200900"/>
    <s v="NW"/>
    <n v="3"/>
    <n v="0.44225085545214454"/>
    <x v="16"/>
    <x v="1"/>
    <n v="0"/>
    <x v="0"/>
    <m/>
  </r>
  <r>
    <s v="PPT1_BOI04"/>
    <s v="S1CS03356-WS"/>
    <n v="100"/>
    <s v="207200066"/>
    <s v="NW"/>
    <n v="3"/>
    <n v="0.14741695181738151"/>
    <x v="6"/>
    <x v="1"/>
    <n v="0"/>
    <x v="0"/>
    <m/>
  </r>
  <r>
    <s v="PPT1_BOI04"/>
    <s v="S1CS03356-WS"/>
    <n v="300"/>
    <s v="207200858"/>
    <s v="NW"/>
    <n v="3"/>
    <n v="0.44225085545214454"/>
    <x v="0"/>
    <x v="1"/>
    <n v="0"/>
    <x v="0"/>
    <m/>
  </r>
  <r>
    <s v="PPT1_BOI04"/>
    <s v="S1CS03356-WS"/>
    <n v="300"/>
    <s v="207200898"/>
    <s v="NW"/>
    <n v="3"/>
    <n v="0.44225085545214454"/>
    <x v="6"/>
    <x v="1"/>
    <n v="0"/>
    <x v="0"/>
    <m/>
  </r>
  <r>
    <s v="PPT1_BOI04"/>
    <s v="S1CS03356-WS"/>
    <n v="300"/>
    <s v="207201075"/>
    <s v="NW"/>
    <n v="3"/>
    <n v="0.44225085545214454"/>
    <x v="16"/>
    <x v="1"/>
    <n v="0"/>
    <x v="0"/>
    <m/>
  </r>
  <r>
    <s v="PPT1_BOI04"/>
    <s v="S1CS03356-WS"/>
    <n v="300"/>
    <s v="207201097"/>
    <s v="NW"/>
    <n v="3"/>
    <n v="0.44225085545214454"/>
    <x v="0"/>
    <x v="1"/>
    <n v="0"/>
    <x v="0"/>
    <m/>
  </r>
  <r>
    <s v="PPT1_BOI04"/>
    <s v="S1CS03356-WS"/>
    <n v="300"/>
    <s v="207201098"/>
    <s v="NW"/>
    <n v="3"/>
    <n v="0.44225085545214454"/>
    <x v="6"/>
    <x v="1"/>
    <n v="0"/>
    <x v="0"/>
    <m/>
  </r>
  <r>
    <s v="PPT1_BOI04"/>
    <s v="S1CS03356-WS"/>
    <n v="300"/>
    <s v="207201074"/>
    <s v="NW"/>
    <n v="3"/>
    <n v="0.44225085545214454"/>
    <x v="16"/>
    <x v="1"/>
    <n v="0"/>
    <x v="0"/>
    <m/>
  </r>
  <r>
    <s v="PPT1_BOI04"/>
    <s v="S1CS03356-WS"/>
    <n v="300"/>
    <s v="207200991"/>
    <s v="NW"/>
    <n v="3"/>
    <n v="0.44225085545214454"/>
    <x v="0"/>
    <x v="1"/>
    <n v="0"/>
    <x v="0"/>
    <m/>
  </r>
  <r>
    <s v="PPT1_BOI04"/>
    <s v="S1CS03356-WS"/>
    <n v="300"/>
    <s v="207200993"/>
    <s v="NW"/>
    <n v="3"/>
    <n v="0.44225085545214454"/>
    <x v="6"/>
    <x v="1"/>
    <n v="0"/>
    <x v="0"/>
    <m/>
  </r>
  <r>
    <s v="PPT1_BOI04"/>
    <s v="S1CS03356-WS"/>
    <n v="300"/>
    <s v="207200994"/>
    <s v="NW"/>
    <n v="3"/>
    <n v="0.44225085545214454"/>
    <x v="16"/>
    <x v="1"/>
    <n v="0"/>
    <x v="0"/>
    <m/>
  </r>
  <r>
    <s v="PPT1_BOI04"/>
    <s v="S1CS03356-WS"/>
    <n v="300"/>
    <s v="207198478"/>
    <s v="NW"/>
    <n v="3"/>
    <n v="0.44225085545214454"/>
    <x v="0"/>
    <x v="1"/>
    <n v="0"/>
    <x v="0"/>
    <m/>
  </r>
  <r>
    <s v="PPT1_BOI04"/>
    <s v="S1CS03356-WS"/>
    <n v="300"/>
    <s v="207198452"/>
    <s v="NW"/>
    <n v="3"/>
    <n v="0.44225085545214454"/>
    <x v="6"/>
    <x v="1"/>
    <n v="0"/>
    <x v="0"/>
    <m/>
  </r>
  <r>
    <s v="PPT1_BOI04"/>
    <s v="S1CS03356-WS"/>
    <n v="300"/>
    <s v="207198696"/>
    <s v="NW"/>
    <n v="3"/>
    <n v="0.44225085545214454"/>
    <x v="16"/>
    <x v="1"/>
    <n v="0"/>
    <x v="0"/>
    <m/>
  </r>
  <r>
    <s v="PPT1_BOI04"/>
    <s v="S1CS03356-WS"/>
    <n v="300"/>
    <s v="207198530"/>
    <s v="NW"/>
    <n v="3"/>
    <n v="0.44225085545214454"/>
    <x v="0"/>
    <x v="1"/>
    <n v="0"/>
    <x v="0"/>
    <m/>
  </r>
  <r>
    <s v="PPT1_BOI04"/>
    <s v="S1CS03356-WS"/>
    <n v="300"/>
    <s v="207198604"/>
    <s v="NW"/>
    <n v="3"/>
    <n v="0.44225085545214454"/>
    <x v="6"/>
    <x v="1"/>
    <n v="0"/>
    <x v="0"/>
    <m/>
  </r>
  <r>
    <s v="PPT1_BOI04"/>
    <s v="S1CS03356-WS"/>
    <n v="300"/>
    <s v="207198649"/>
    <s v="NW"/>
    <n v="3"/>
    <n v="0.44225085545214454"/>
    <x v="16"/>
    <x v="1"/>
    <n v="0"/>
    <x v="0"/>
    <m/>
  </r>
  <r>
    <s v="PPT1_BOI04"/>
    <s v="S1CS03356-WS"/>
    <n v="300"/>
    <s v="207198690"/>
    <s v="NW"/>
    <n v="3"/>
    <n v="0.44225085545214454"/>
    <x v="0"/>
    <x v="1"/>
    <n v="0"/>
    <x v="0"/>
    <m/>
  </r>
  <r>
    <s v="PPT1_BOI04"/>
    <s v="S1CS03356-WS"/>
    <n v="300"/>
    <s v="207200027"/>
    <s v="NW"/>
    <n v="3"/>
    <n v="0.44225085545214454"/>
    <x v="6"/>
    <x v="1"/>
    <n v="0"/>
    <x v="0"/>
    <m/>
  </r>
  <r>
    <s v="PPT1_BOI04"/>
    <s v="S1CS03356-WS"/>
    <n v="300"/>
    <s v="207200035"/>
    <s v="NW"/>
    <n v="3"/>
    <n v="0.44225085545214454"/>
    <x v="16"/>
    <x v="1"/>
    <n v="0"/>
    <x v="0"/>
    <m/>
  </r>
  <r>
    <s v="PPT1_BOI04"/>
    <s v="S1CS03356-WS"/>
    <n v="200"/>
    <s v="207200061"/>
    <s v="NW"/>
    <n v="3"/>
    <n v="0.29483390363476303"/>
    <x v="0"/>
    <x v="1"/>
    <n v="0"/>
    <x v="0"/>
    <m/>
  </r>
  <r>
    <s v="PPT1_BOI04"/>
    <s v="S1CS03356-WS"/>
    <n v="300"/>
    <s v="207200002"/>
    <s v="NW"/>
    <n v="3"/>
    <n v="0.44225085545214454"/>
    <x v="6"/>
    <x v="1"/>
    <n v="0"/>
    <x v="0"/>
    <m/>
  </r>
  <r>
    <s v="PPT1_BOI04"/>
    <s v="S1CS03356-WS"/>
    <n v="300"/>
    <s v="207198818"/>
    <s v="NW"/>
    <n v="3"/>
    <n v="0.44225085545214454"/>
    <x v="0"/>
    <x v="1"/>
    <n v="0"/>
    <x v="0"/>
    <m/>
  </r>
  <r>
    <s v="PPT1_BOI04"/>
    <s v="S1CS03356-WS"/>
    <n v="300"/>
    <s v="207199955"/>
    <s v="NW"/>
    <n v="3"/>
    <n v="0.44225085545214454"/>
    <x v="16"/>
    <x v="1"/>
    <n v="0"/>
    <x v="0"/>
    <m/>
  </r>
  <r>
    <s v="PPT1_BOI04"/>
    <s v="S1CS03356-WS"/>
    <n v="300"/>
    <s v="207199975"/>
    <s v="NW"/>
    <n v="3"/>
    <n v="0.44225085545214454"/>
    <x v="6"/>
    <x v="1"/>
    <n v="0"/>
    <x v="0"/>
    <m/>
  </r>
  <r>
    <s v="PPT1_BOI04"/>
    <s v="S1CS03356-WS"/>
    <n v="300"/>
    <s v="207197326"/>
    <s v="NW"/>
    <n v="3"/>
    <n v="0.44225085545214454"/>
    <x v="0"/>
    <x v="1"/>
    <n v="0"/>
    <x v="0"/>
    <m/>
  </r>
  <r>
    <s v="PPT1_BOI04"/>
    <s v="S1CS03356-WS"/>
    <n v="300"/>
    <s v="207197325"/>
    <s v="NW"/>
    <n v="3"/>
    <n v="0.44225085545214454"/>
    <x v="16"/>
    <x v="1"/>
    <n v="0"/>
    <x v="0"/>
    <m/>
  </r>
  <r>
    <s v="PPT1_BOI04"/>
    <s v="S1CS03356-WS"/>
    <n v="300"/>
    <s v="207198483"/>
    <s v="NW"/>
    <n v="3"/>
    <n v="0.44225085545214454"/>
    <x v="6"/>
    <x v="1"/>
    <n v="0"/>
    <x v="0"/>
    <m/>
  </r>
  <r>
    <s v="PPT1_BOI04"/>
    <s v="S1CS03356-WS"/>
    <n v="300"/>
    <s v="207197349"/>
    <s v="NW"/>
    <n v="3"/>
    <n v="0.44225085545214454"/>
    <x v="0"/>
    <x v="1"/>
    <n v="0"/>
    <x v="0"/>
    <m/>
  </r>
  <r>
    <s v="PPT1_BOI04"/>
    <s v="S1CS03356-WS"/>
    <n v="300"/>
    <s v="207197323"/>
    <s v="NW"/>
    <n v="3"/>
    <n v="0.44225085545214454"/>
    <x v="16"/>
    <x v="1"/>
    <n v="0"/>
    <x v="0"/>
    <m/>
  </r>
  <r>
    <s v="PPT1_BOI04"/>
    <s v="S1CS03356-WS"/>
    <n v="300"/>
    <s v="207197320"/>
    <s v="NW"/>
    <n v="3"/>
    <n v="0.44225085545214454"/>
    <x v="6"/>
    <x v="1"/>
    <n v="0"/>
    <x v="0"/>
    <m/>
  </r>
  <r>
    <s v="PPT1_BOI04"/>
    <s v="S1CS03356-WS"/>
    <n v="300"/>
    <s v="207200906"/>
    <s v="NW"/>
    <n v="3"/>
    <n v="0.44225085545214454"/>
    <x v="0"/>
    <x v="1"/>
    <n v="0"/>
    <x v="0"/>
    <m/>
  </r>
  <r>
    <s v="PPT1_BOI04"/>
    <s v="S1CS03357-WS"/>
    <n v="300"/>
    <s v="207201223"/>
    <s v="NW"/>
    <n v="2"/>
    <n v="0.50653656973785877"/>
    <x v="12"/>
    <x v="1"/>
    <n v="0"/>
    <x v="0"/>
    <m/>
  </r>
  <r>
    <s v="PPT1_BOI04"/>
    <s v="S1CS03357-WS"/>
    <n v="300"/>
    <s v="207201248"/>
    <s v="NW"/>
    <n v="2"/>
    <n v="0.50653656973785877"/>
    <x v="11"/>
    <x v="1"/>
    <n v="0"/>
    <x v="0"/>
    <m/>
  </r>
  <r>
    <s v="PPT1_BOI04"/>
    <s v="S1CS03357-WS"/>
    <n v="300"/>
    <s v="207201250"/>
    <s v="NW"/>
    <n v="2"/>
    <n v="0.50653656973785877"/>
    <x v="12"/>
    <x v="1"/>
    <n v="0"/>
    <x v="0"/>
    <m/>
  </r>
  <r>
    <s v="PPT1_BOI04"/>
    <s v="S1CS03357-WS"/>
    <n v="200"/>
    <s v="207199743"/>
    <s v="NW"/>
    <n v="2"/>
    <n v="0.33769104649190584"/>
    <x v="11"/>
    <x v="1"/>
    <n v="0"/>
    <x v="0"/>
    <m/>
  </r>
  <r>
    <s v="PPT1_BOI04"/>
    <s v="S1CS03357-WS"/>
    <n v="100"/>
    <s v="207199760"/>
    <s v="NW"/>
    <n v="2"/>
    <n v="0.16884552324595292"/>
    <x v="11"/>
    <x v="1"/>
    <n v="0"/>
    <x v="0"/>
    <m/>
  </r>
  <r>
    <s v="PPT1_BOI04"/>
    <s v="S1CS03357-WS"/>
    <n v="300"/>
    <s v="207201221"/>
    <s v="NW"/>
    <n v="2"/>
    <n v="0.50653656973785877"/>
    <x v="12"/>
    <x v="1"/>
    <n v="0"/>
    <x v="0"/>
    <m/>
  </r>
  <r>
    <s v="PPT1_BOI04"/>
    <s v="S1CS03357-WS"/>
    <n v="300"/>
    <s v="207201252"/>
    <s v="NW"/>
    <n v="2"/>
    <n v="0.50653656973785877"/>
    <x v="11"/>
    <x v="1"/>
    <n v="0"/>
    <x v="0"/>
    <m/>
  </r>
  <r>
    <s v="PPT1_BOI04"/>
    <s v="S1CS03357-WS"/>
    <n v="300"/>
    <s v="207201323"/>
    <s v="NW"/>
    <n v="2"/>
    <n v="0.50653656973785877"/>
    <x v="12"/>
    <x v="1"/>
    <n v="0"/>
    <x v="0"/>
    <m/>
  </r>
  <r>
    <s v="PPT1_BOI04"/>
    <s v="S1CS03357-WS"/>
    <n v="300"/>
    <s v="207201295"/>
    <s v="NW"/>
    <n v="2"/>
    <n v="0.50653656973785877"/>
    <x v="11"/>
    <x v="1"/>
    <n v="0"/>
    <x v="0"/>
    <m/>
  </r>
  <r>
    <s v="PPT1_BOI04"/>
    <s v="S1CS03357-WS"/>
    <n v="300"/>
    <s v="207201219"/>
    <s v="NW"/>
    <n v="2"/>
    <n v="0.50653656973785877"/>
    <x v="12"/>
    <x v="1"/>
    <n v="0"/>
    <x v="0"/>
    <m/>
  </r>
  <r>
    <s v="PPT1_BOI04"/>
    <s v="S1CS03357-WS"/>
    <n v="100"/>
    <s v="207201346"/>
    <s v="NW"/>
    <n v="2"/>
    <n v="0.16884552324595292"/>
    <x v="11"/>
    <x v="1"/>
    <n v="0"/>
    <x v="0"/>
    <m/>
  </r>
  <r>
    <s v="PPT1_BOI04"/>
    <s v="S1CS03357-WS"/>
    <n v="300"/>
    <s v="207201291"/>
    <s v="NW"/>
    <n v="2"/>
    <n v="0.50653656973785877"/>
    <x v="11"/>
    <x v="1"/>
    <n v="0"/>
    <x v="0"/>
    <m/>
  </r>
  <r>
    <s v="PPT1_BOI04"/>
    <s v="S1CS03357-WS"/>
    <n v="300"/>
    <s v="207201256"/>
    <s v="NW"/>
    <n v="2"/>
    <n v="0.50653656973785877"/>
    <x v="12"/>
    <x v="1"/>
    <n v="0"/>
    <x v="0"/>
    <m/>
  </r>
  <r>
    <s v="PPT1_BOI04"/>
    <s v="S1CS03357-WS"/>
    <n v="300"/>
    <s v="207201294"/>
    <s v="NW"/>
    <n v="2"/>
    <n v="0.50653656973785877"/>
    <x v="11"/>
    <x v="1"/>
    <n v="0"/>
    <x v="0"/>
    <m/>
  </r>
  <r>
    <s v="PPT1_BOI04"/>
    <s v="S1CS03357-WS"/>
    <n v="300"/>
    <s v="207201293"/>
    <s v="NW"/>
    <n v="2"/>
    <n v="0.50653656973785877"/>
    <x v="12"/>
    <x v="1"/>
    <n v="0"/>
    <x v="0"/>
    <m/>
  </r>
  <r>
    <s v="PPT1_BOI04"/>
    <s v="S1CS03357-WS"/>
    <n v="300"/>
    <s v="207197823"/>
    <s v="NW"/>
    <n v="2"/>
    <n v="0.50653656973785877"/>
    <x v="11"/>
    <x v="1"/>
    <n v="0"/>
    <x v="0"/>
    <m/>
  </r>
  <r>
    <s v="PPT1_BOI04"/>
    <s v="S1CS03357-WS"/>
    <n v="300"/>
    <s v="207201218"/>
    <s v="NW"/>
    <n v="2"/>
    <n v="0.50653656973785877"/>
    <x v="12"/>
    <x v="1"/>
    <n v="0"/>
    <x v="0"/>
    <m/>
  </r>
  <r>
    <s v="PPT1_BOI04"/>
    <s v="S1CS03357-WS"/>
    <n v="300"/>
    <s v="207197584"/>
    <s v="NW"/>
    <n v="2"/>
    <n v="0.50653656973785877"/>
    <x v="11"/>
    <x v="1"/>
    <n v="0"/>
    <x v="0"/>
    <m/>
  </r>
  <r>
    <s v="PPT1_BOI04"/>
    <s v="S1CS03357-WS"/>
    <n v="300"/>
    <s v="207198594"/>
    <s v="NW"/>
    <n v="2"/>
    <n v="0.50653656973785877"/>
    <x v="12"/>
    <x v="1"/>
    <n v="0"/>
    <x v="0"/>
    <m/>
  </r>
  <r>
    <s v="PPT1_BOI04"/>
    <s v="S1CS03357-WS"/>
    <n v="300"/>
    <s v="207198543"/>
    <s v="NW"/>
    <n v="2"/>
    <n v="0.50653656973785877"/>
    <x v="11"/>
    <x v="1"/>
    <n v="0"/>
    <x v="0"/>
    <m/>
  </r>
  <r>
    <s v="PPT1_BOI04"/>
    <s v="S1CS03357-WS"/>
    <n v="300"/>
    <s v="207197867"/>
    <s v="NW"/>
    <n v="2"/>
    <n v="0.50653656973785877"/>
    <x v="12"/>
    <x v="1"/>
    <n v="0"/>
    <x v="0"/>
    <m/>
  </r>
  <r>
    <s v="PPT1_BOI04"/>
    <s v="S1CS03357-WS"/>
    <n v="300"/>
    <s v="207197770"/>
    <s v="NW"/>
    <n v="2"/>
    <n v="0.50653656973785877"/>
    <x v="11"/>
    <x v="1"/>
    <n v="0"/>
    <x v="0"/>
    <m/>
  </r>
  <r>
    <s v="PPT1_BOI04"/>
    <s v="S1CS03357-WS"/>
    <n v="300"/>
    <s v="207197775"/>
    <s v="NW"/>
    <n v="2"/>
    <n v="0.50653656973785877"/>
    <x v="12"/>
    <x v="1"/>
    <n v="0"/>
    <x v="0"/>
    <m/>
  </r>
  <r>
    <s v="PPT1_BOI04"/>
    <s v="S1CS03357-WS"/>
    <n v="300"/>
    <s v="207197791"/>
    <s v="NW"/>
    <n v="2"/>
    <n v="0.50653656973785877"/>
    <x v="11"/>
    <x v="1"/>
    <n v="0"/>
    <x v="0"/>
    <m/>
  </r>
  <r>
    <s v="PPT1_BOI04"/>
    <s v="S1CS03357-WS"/>
    <n v="300"/>
    <s v="207197651"/>
    <s v="NW"/>
    <n v="2"/>
    <n v="0.50653656973785877"/>
    <x v="12"/>
    <x v="1"/>
    <n v="0"/>
    <x v="0"/>
    <m/>
  </r>
  <r>
    <s v="PPT1_BOI04"/>
    <s v="S1CS03357-WS"/>
    <n v="300"/>
    <s v="207197682"/>
    <s v="NW"/>
    <n v="2"/>
    <n v="0.50653656973785877"/>
    <x v="11"/>
    <x v="1"/>
    <n v="0"/>
    <x v="0"/>
    <m/>
  </r>
  <r>
    <s v="PPT1_BOI04"/>
    <s v="S1CS03357-WS"/>
    <n v="300"/>
    <s v="207197736"/>
    <s v="NW"/>
    <n v="2"/>
    <n v="0.50653656973785877"/>
    <x v="12"/>
    <x v="1"/>
    <n v="0"/>
    <x v="0"/>
    <m/>
  </r>
  <r>
    <s v="PPT1_BOI04"/>
    <s v="S1CS03357-WS"/>
    <n v="300"/>
    <s v="207199716"/>
    <s v="NW"/>
    <n v="2"/>
    <n v="0.50653656973785877"/>
    <x v="11"/>
    <x v="1"/>
    <n v="0"/>
    <x v="0"/>
    <m/>
  </r>
  <r>
    <s v="PPT1_BOI04"/>
    <s v="S1CS03357-WS"/>
    <n v="300"/>
    <s v="207199651"/>
    <s v="NW"/>
    <n v="2"/>
    <n v="0.50653656973785877"/>
    <x v="12"/>
    <x v="1"/>
    <n v="0"/>
    <x v="0"/>
    <m/>
  </r>
  <r>
    <s v="PPT1_BOI04"/>
    <s v="S1CS03357-WS"/>
    <n v="300"/>
    <s v="207199687"/>
    <s v="NW"/>
    <n v="2"/>
    <n v="0.50653656973785877"/>
    <x v="11"/>
    <x v="1"/>
    <n v="0"/>
    <x v="0"/>
    <m/>
  </r>
  <r>
    <s v="PPT1_BOI04"/>
    <s v="S1CS03357-WS"/>
    <n v="300"/>
    <s v="207199711"/>
    <s v="NW"/>
    <n v="2"/>
    <n v="0.50653656973785877"/>
    <x v="12"/>
    <x v="1"/>
    <n v="0"/>
    <x v="0"/>
    <m/>
  </r>
  <r>
    <s v="PPT1_BOI04"/>
    <s v="S1CS03357-WS"/>
    <n v="300"/>
    <s v="207199695"/>
    <s v="NW"/>
    <n v="2"/>
    <n v="0.50653656973785877"/>
    <x v="11"/>
    <x v="1"/>
    <n v="0"/>
    <x v="0"/>
    <m/>
  </r>
  <r>
    <s v="PPT1_BOI04"/>
    <s v="S1CS03357-WS"/>
    <n v="300"/>
    <s v="207198708"/>
    <s v="NW"/>
    <n v="2"/>
    <n v="0.50653656973785877"/>
    <x v="12"/>
    <x v="1"/>
    <n v="0"/>
    <x v="0"/>
    <m/>
  </r>
  <r>
    <s v="PPT1_BOI04"/>
    <s v="S1CS03357-WS"/>
    <n v="300"/>
    <s v="207198660"/>
    <s v="NW"/>
    <n v="2"/>
    <n v="0.50653656973785877"/>
    <x v="11"/>
    <x v="1"/>
    <n v="0"/>
    <x v="0"/>
    <m/>
  </r>
  <r>
    <s v="PPT1_BOI04"/>
    <s v="S1CS03357-WS"/>
    <n v="300"/>
    <s v="207198733"/>
    <s v="NW"/>
    <n v="2"/>
    <n v="0.50653656973785877"/>
    <x v="12"/>
    <x v="1"/>
    <n v="0"/>
    <x v="0"/>
    <m/>
  </r>
  <r>
    <s v="PPT1_BOI04"/>
    <s v="S1CS03357-WS"/>
    <n v="300"/>
    <s v="207198794"/>
    <s v="NW"/>
    <n v="2"/>
    <n v="0.50653656973785877"/>
    <x v="11"/>
    <x v="1"/>
    <n v="0"/>
    <x v="0"/>
    <m/>
  </r>
  <r>
    <s v="PPT1_BOI04"/>
    <s v="S1CS03358-WS"/>
    <n v="600"/>
    <s v="207201946"/>
    <s v="NW"/>
    <n v="3"/>
    <n v="0.3896550477138615"/>
    <x v="18"/>
    <x v="1"/>
    <n v="0"/>
    <x v="0"/>
    <m/>
  </r>
  <r>
    <s v="PPT1_BOI04"/>
    <s v="S1CS03358-WS"/>
    <n v="200"/>
    <s v="207200657"/>
    <s v="NW"/>
    <n v="3"/>
    <n v="0.12988501590462051"/>
    <x v="5"/>
    <x v="1"/>
    <n v="0"/>
    <x v="0"/>
    <m/>
  </r>
  <r>
    <s v="PPT1_BOI04"/>
    <s v="S1CS03358-WS"/>
    <n v="600"/>
    <s v="207201944"/>
    <s v="NW"/>
    <n v="3"/>
    <n v="0.3896550477138615"/>
    <x v="5"/>
    <x v="1"/>
    <n v="0"/>
    <x v="0"/>
    <m/>
  </r>
  <r>
    <s v="PPT1_BOI04"/>
    <s v="S1CS03358-WS"/>
    <n v="600"/>
    <s v="207201942"/>
    <s v="NW"/>
    <n v="3"/>
    <n v="0.3896550477138615"/>
    <x v="18"/>
    <x v="1"/>
    <n v="0"/>
    <x v="0"/>
    <m/>
  </r>
  <r>
    <s v="PPT1_BOI04"/>
    <s v="S1CS03358-WS"/>
    <n v="400"/>
    <s v="207202016"/>
    <s v="NW"/>
    <n v="3"/>
    <n v="0.25977003180924102"/>
    <x v="5"/>
    <x v="1"/>
    <n v="0"/>
    <x v="0"/>
    <m/>
  </r>
  <r>
    <s v="PPT1_BOI04"/>
    <s v="S1CS03358-WS"/>
    <n v="600"/>
    <s v="207200409"/>
    <s v="NW"/>
    <n v="3"/>
    <n v="0.3896550477138615"/>
    <x v="18"/>
    <x v="1"/>
    <n v="0"/>
    <x v="0"/>
    <m/>
  </r>
  <r>
    <s v="PPT1_BOI04"/>
    <s v="S1CS03358-WS"/>
    <n v="600"/>
    <s v="207200413"/>
    <s v="NW"/>
    <n v="3"/>
    <n v="0.3896550477138615"/>
    <x v="5"/>
    <x v="1"/>
    <n v="0"/>
    <x v="0"/>
    <m/>
  </r>
  <r>
    <s v="PPT1_BOI04"/>
    <s v="S1CS03358-WS"/>
    <n v="600"/>
    <s v="207200437"/>
    <s v="NW"/>
    <n v="3"/>
    <n v="0.3896550477138615"/>
    <x v="4"/>
    <x v="1"/>
    <n v="0"/>
    <x v="0"/>
    <m/>
  </r>
  <r>
    <s v="PPT1_BOI04"/>
    <s v="S1CS03358-WS"/>
    <n v="600"/>
    <s v="207200395"/>
    <s v="NW"/>
    <n v="3"/>
    <n v="0.3896550477138615"/>
    <x v="18"/>
    <x v="1"/>
    <n v="0"/>
    <x v="0"/>
    <m/>
  </r>
  <r>
    <s v="PPT1_BOI04"/>
    <s v="S1CS03358-WS"/>
    <n v="600"/>
    <s v="207200381"/>
    <s v="NW"/>
    <n v="3"/>
    <n v="0.3896550477138615"/>
    <x v="5"/>
    <x v="1"/>
    <n v="0"/>
    <x v="0"/>
    <m/>
  </r>
  <r>
    <s v="PPT1_BOI04"/>
    <s v="S1CS03358-WS"/>
    <n v="600"/>
    <s v="207200385"/>
    <s v="NW"/>
    <n v="3"/>
    <n v="0.3896550477138615"/>
    <x v="4"/>
    <x v="1"/>
    <n v="0"/>
    <x v="0"/>
    <m/>
  </r>
  <r>
    <s v="PPT1_BOI04"/>
    <s v="S1CS03358-WS"/>
    <n v="600"/>
    <s v="207200391"/>
    <s v="NW"/>
    <n v="3"/>
    <n v="0.3896550477138615"/>
    <x v="18"/>
    <x v="1"/>
    <n v="0"/>
    <x v="0"/>
    <m/>
  </r>
  <r>
    <s v="PPT1_BOI04"/>
    <s v="S1CS03358-WS"/>
    <n v="600"/>
    <s v="207201892"/>
    <s v="NW"/>
    <n v="3"/>
    <n v="0.3896550477138615"/>
    <x v="5"/>
    <x v="1"/>
    <n v="0"/>
    <x v="0"/>
    <m/>
  </r>
  <r>
    <s v="PPT1_BOI04"/>
    <s v="S1CS03358-WS"/>
    <n v="600"/>
    <s v="207201894"/>
    <s v="NW"/>
    <n v="3"/>
    <n v="0.3896550477138615"/>
    <x v="4"/>
    <x v="1"/>
    <n v="0"/>
    <x v="0"/>
    <m/>
  </r>
  <r>
    <s v="PPT1_BOI04"/>
    <s v="S1CS03358-WS"/>
    <n v="600"/>
    <s v="207201896"/>
    <s v="NW"/>
    <n v="3"/>
    <n v="0.3896550477138615"/>
    <x v="18"/>
    <x v="1"/>
    <n v="0"/>
    <x v="0"/>
    <m/>
  </r>
  <r>
    <s v="PPT1_BOI04"/>
    <s v="S1CS03358-WS"/>
    <n v="600"/>
    <s v="207200377"/>
    <s v="NW"/>
    <n v="3"/>
    <n v="0.3896550477138615"/>
    <x v="5"/>
    <x v="1"/>
    <n v="0"/>
    <x v="0"/>
    <m/>
  </r>
  <r>
    <s v="PPT1_BOI04"/>
    <s v="S1CS03358-WS"/>
    <n v="600"/>
    <s v="207200441"/>
    <s v="NW"/>
    <n v="3"/>
    <n v="0.3896550477138615"/>
    <x v="4"/>
    <x v="1"/>
    <n v="0"/>
    <x v="0"/>
    <m/>
  </r>
  <r>
    <s v="PPT1_BOI04"/>
    <s v="S1CS03358-WS"/>
    <n v="600"/>
    <s v="207200645"/>
    <s v="NW"/>
    <n v="3"/>
    <n v="0.3896550477138615"/>
    <x v="18"/>
    <x v="1"/>
    <n v="0"/>
    <x v="0"/>
    <m/>
  </r>
  <r>
    <s v="PPT1_BOI04"/>
    <s v="S1CS03358-WS"/>
    <n v="200"/>
    <s v="207200660"/>
    <s v="NW"/>
    <n v="3"/>
    <n v="0.12988501590462051"/>
    <x v="5"/>
    <x v="1"/>
    <n v="0"/>
    <x v="0"/>
    <m/>
  </r>
  <r>
    <s v="PPT1_BOI04"/>
    <s v="S1CS03623-WS"/>
    <n v="330"/>
    <s v="207200840"/>
    <s v="NW"/>
    <n v="4"/>
    <n v="0.40066621626693699"/>
    <x v="1"/>
    <x v="1"/>
    <n v="0"/>
    <x v="0"/>
    <m/>
  </r>
  <r>
    <s v="PPT1_BOI04"/>
    <s v="S1CS03623-WS"/>
    <n v="330"/>
    <s v="207200843"/>
    <s v="NW"/>
    <n v="4"/>
    <n v="0.40066621626693699"/>
    <x v="13"/>
    <x v="1"/>
    <n v="0"/>
    <x v="0"/>
    <m/>
  </r>
  <r>
    <s v="PPT1_BOI04"/>
    <s v="S1CS03623-WS"/>
    <n v="330"/>
    <s v="207200881"/>
    <s v="NW"/>
    <n v="4"/>
    <n v="0.40066621626693699"/>
    <x v="1"/>
    <x v="1"/>
    <n v="0"/>
    <x v="0"/>
    <m/>
  </r>
  <r>
    <s v="PPT1_BOI04"/>
    <s v="S1CS03623-WS"/>
    <n v="330"/>
    <s v="207197510"/>
    <s v="NW"/>
    <n v="4"/>
    <n v="0.40066621626693699"/>
    <x v="13"/>
    <x v="1"/>
    <n v="0"/>
    <x v="0"/>
    <m/>
  </r>
  <r>
    <s v="PPT1_BOI04"/>
    <s v="S1CS03623-WS"/>
    <n v="330"/>
    <s v="207197533"/>
    <s v="NW"/>
    <n v="4"/>
    <n v="0.40066621626693699"/>
    <x v="1"/>
    <x v="1"/>
    <n v="0"/>
    <x v="0"/>
    <m/>
  </r>
  <r>
    <s v="PPT1_BOI04"/>
    <s v="S1CS03623-WS"/>
    <n v="330"/>
    <s v="207197529"/>
    <s v="NW"/>
    <n v="4"/>
    <n v="0.40066621626693699"/>
    <x v="15"/>
    <x v="1"/>
    <n v="0"/>
    <x v="0"/>
    <m/>
  </r>
  <r>
    <s v="PPT1_BOI04"/>
    <s v="S1CS03623-WS"/>
    <n v="330"/>
    <s v="207197515"/>
    <s v="NW"/>
    <n v="4"/>
    <n v="0.40066621626693699"/>
    <x v="8"/>
    <x v="1"/>
    <n v="0"/>
    <x v="0"/>
    <m/>
  </r>
  <r>
    <s v="PPT1_BOI04"/>
    <s v="S1CS03623-WS"/>
    <n v="330"/>
    <s v="207200884"/>
    <s v="NW"/>
    <n v="4"/>
    <n v="0.40066621626693699"/>
    <x v="13"/>
    <x v="1"/>
    <n v="0"/>
    <x v="0"/>
    <m/>
  </r>
  <r>
    <s v="PPT1_BOI04"/>
    <s v="S1CS03623-WS"/>
    <n v="110"/>
    <s v="207201558"/>
    <s v="NW"/>
    <n v="4"/>
    <n v="0.13355540542231231"/>
    <x v="1"/>
    <x v="1"/>
    <n v="0"/>
    <x v="0"/>
    <m/>
  </r>
  <r>
    <s v="PPT1_BOI04"/>
    <s v="S1CS03623-WS"/>
    <n v="330"/>
    <s v="207197182"/>
    <s v="NW"/>
    <n v="4"/>
    <n v="0.40066621626693699"/>
    <x v="15"/>
    <x v="1"/>
    <n v="0"/>
    <x v="0"/>
    <m/>
  </r>
  <r>
    <s v="PPT1_BOI04"/>
    <s v="S1CS03623-WS"/>
    <n v="220"/>
    <s v="207197569"/>
    <s v="NW"/>
    <n v="4"/>
    <n v="0.26711081084462462"/>
    <x v="1"/>
    <x v="1"/>
    <n v="0"/>
    <x v="0"/>
    <m/>
  </r>
  <r>
    <s v="PPT1_BOI04"/>
    <s v="S1CS03623-WS"/>
    <n v="110"/>
    <s v="207200959"/>
    <s v="NW"/>
    <n v="4"/>
    <n v="0.13355540542231231"/>
    <x v="8"/>
    <x v="1"/>
    <n v="0"/>
    <x v="0"/>
    <m/>
  </r>
  <r>
    <s v="PPT1_BOI04"/>
    <s v="S1CS03623-WS"/>
    <n v="330"/>
    <s v="207200885"/>
    <s v="NW"/>
    <n v="4"/>
    <n v="0.40066621626693699"/>
    <x v="13"/>
    <x v="1"/>
    <n v="0"/>
    <x v="0"/>
    <m/>
  </r>
  <r>
    <s v="PPT1_BOI04"/>
    <s v="S1CS03623-WS"/>
    <n v="330"/>
    <s v="207197185"/>
    <s v="NW"/>
    <n v="4"/>
    <n v="0.40066621626693699"/>
    <x v="8"/>
    <x v="1"/>
    <n v="0"/>
    <x v="0"/>
    <m/>
  </r>
  <r>
    <s v="PPT1_BOI04"/>
    <s v="S1CS03623-WS"/>
    <n v="330"/>
    <s v="207200897"/>
    <s v="NW"/>
    <n v="4"/>
    <n v="0.40066621626693699"/>
    <x v="1"/>
    <x v="1"/>
    <n v="0"/>
    <x v="0"/>
    <m/>
  </r>
  <r>
    <s v="PPT1_BOI04"/>
    <s v="S1CS03624-WS"/>
    <n v="540"/>
    <s v="207197600"/>
    <s v="NW"/>
    <n v="2"/>
    <n v="0.65563562661862418"/>
    <x v="7"/>
    <x v="1"/>
    <n v="0"/>
    <x v="0"/>
    <m/>
  </r>
  <r>
    <s v="PPT1_BOI04"/>
    <s v="S1CS03624-WS"/>
    <n v="180"/>
    <s v="207197605"/>
    <s v="NW"/>
    <n v="2"/>
    <n v="0.21854520887287471"/>
    <x v="17"/>
    <x v="1"/>
    <n v="0"/>
    <x v="0"/>
    <m/>
  </r>
  <r>
    <s v="PPT1_BOI04"/>
    <s v="S1CS03624-WS"/>
    <n v="540"/>
    <s v="207197575"/>
    <s v="NW"/>
    <n v="2"/>
    <n v="0.65563562661862418"/>
    <x v="17"/>
    <x v="1"/>
    <n v="0"/>
    <x v="0"/>
    <m/>
  </r>
  <r>
    <s v="PPT1_BOI04"/>
    <s v="S1CS03625-WS"/>
    <n v="360"/>
    <s v="207197669"/>
    <s v="NW"/>
    <n v="3"/>
    <n v="0.40218102684714302"/>
    <x v="4"/>
    <x v="1"/>
    <n v="0"/>
    <x v="0"/>
    <m/>
  </r>
  <r>
    <s v="PPT1_BOI04"/>
    <s v="S1CS03625-WS"/>
    <n v="180"/>
    <s v="207197671"/>
    <s v="NW"/>
    <n v="3"/>
    <n v="0.20109051342357151"/>
    <x v="15"/>
    <x v="1"/>
    <n v="0"/>
    <x v="0"/>
    <m/>
  </r>
  <r>
    <s v="PPT1_BOI04"/>
    <s v="S1CS03625-WS"/>
    <n v="180"/>
    <s v="207201903"/>
    <s v="NW"/>
    <n v="3"/>
    <n v="0.20109051342357151"/>
    <x v="5"/>
    <x v="1"/>
    <n v="0"/>
    <x v="0"/>
    <m/>
  </r>
  <r>
    <s v="PPT1_BOI04"/>
    <s v="S1CS03625-WS"/>
    <n v="540"/>
    <s v="207197632"/>
    <s v="NW"/>
    <n v="3"/>
    <n v="0.6032715402707145"/>
    <x v="15"/>
    <x v="1"/>
    <n v="0"/>
    <x v="0"/>
    <m/>
  </r>
  <r>
    <s v="PPT1_BOI04"/>
    <s v="S1CS03626-WS"/>
    <n v="400"/>
    <s v="207197718"/>
    <s v="NW"/>
    <n v="5"/>
    <n v="0.48565601971749933"/>
    <x v="7"/>
    <x v="1"/>
    <n v="0"/>
    <x v="0"/>
    <m/>
  </r>
  <r>
    <s v="PPT1_BOI04"/>
    <s v="S1CS03626-WS"/>
    <n v="600"/>
    <s v="207197689"/>
    <s v="NW"/>
    <n v="5"/>
    <n v="0.72848402957624903"/>
    <x v="9"/>
    <x v="1"/>
    <n v="0"/>
    <x v="0"/>
    <m/>
  </r>
  <r>
    <s v="PPT1_BOI04"/>
    <s v="S1CS03683-WS"/>
    <n v="210"/>
    <s v="207199356"/>
    <s v="NW"/>
    <n v="8"/>
    <n v="0.2683956698455367"/>
    <x v="13"/>
    <x v="1"/>
    <n v="0"/>
    <x v="0"/>
    <m/>
  </r>
  <r>
    <s v="PPT1_BOI04"/>
    <s v="S1CS03683-WS"/>
    <n v="210"/>
    <s v="207199428"/>
    <s v="NW"/>
    <n v="8"/>
    <n v="0.2683956698455367"/>
    <x v="5"/>
    <x v="1"/>
    <n v="0"/>
    <x v="0"/>
    <m/>
  </r>
  <r>
    <s v="PPT1_BOI04"/>
    <s v="S1CS03683-WS"/>
    <n v="210"/>
    <s v="207199400"/>
    <s v="NW"/>
    <n v="8"/>
    <n v="0.2683956698455367"/>
    <x v="2"/>
    <x v="1"/>
    <n v="0"/>
    <x v="0"/>
    <m/>
  </r>
  <r>
    <s v="PPT1_BOI04"/>
    <s v="S1CS03683-WS"/>
    <n v="210"/>
    <s v="207199318"/>
    <s v="NW"/>
    <n v="8"/>
    <n v="0.2683956698455367"/>
    <x v="18"/>
    <x v="1"/>
    <n v="0"/>
    <x v="0"/>
    <m/>
  </r>
  <r>
    <s v="PPT1_BOI04"/>
    <s v="S1CS03683-WS"/>
    <n v="210"/>
    <s v="207199274"/>
    <s v="NW"/>
    <n v="8"/>
    <n v="0.2683956698455367"/>
    <x v="8"/>
    <x v="1"/>
    <n v="0"/>
    <x v="0"/>
    <m/>
  </r>
  <r>
    <s v="PPT1_BOI04"/>
    <s v="S1CS03683-WS"/>
    <n v="210"/>
    <s v="207199350"/>
    <s v="NW"/>
    <n v="8"/>
    <n v="0.2683956698455367"/>
    <x v="4"/>
    <x v="1"/>
    <n v="0"/>
    <x v="0"/>
    <m/>
  </r>
  <r>
    <s v="PPT1_BOI04"/>
    <s v="S1CS03683-WS"/>
    <n v="210"/>
    <s v="207199334"/>
    <s v="NW"/>
    <n v="8"/>
    <n v="0.2683956698455367"/>
    <x v="1"/>
    <x v="1"/>
    <n v="0"/>
    <x v="0"/>
    <m/>
  </r>
  <r>
    <s v="PPT1_BOI04"/>
    <s v="S1CS03683-WS"/>
    <n v="210"/>
    <s v="207199487"/>
    <s v="NW"/>
    <n v="8"/>
    <n v="0.2683956698455367"/>
    <x v="13"/>
    <x v="1"/>
    <n v="0"/>
    <x v="0"/>
    <m/>
  </r>
  <r>
    <s v="PPT1_BOI04"/>
    <s v="S1CS03683-WS"/>
    <n v="210"/>
    <s v="207199491"/>
    <s v="NW"/>
    <n v="8"/>
    <n v="0.2683956698455367"/>
    <x v="5"/>
    <x v="1"/>
    <n v="0"/>
    <x v="0"/>
    <m/>
  </r>
  <r>
    <s v="PPT1_BOI04"/>
    <s v="S1CS03683-WS"/>
    <n v="210"/>
    <s v="207199496"/>
    <s v="NW"/>
    <n v="8"/>
    <n v="0.2683956698455367"/>
    <x v="2"/>
    <x v="1"/>
    <n v="0"/>
    <x v="0"/>
    <m/>
  </r>
  <r>
    <s v="PPT1_BOI04"/>
    <s v="S1CS03683-WS"/>
    <n v="210"/>
    <s v="207199464"/>
    <s v="NW"/>
    <n v="8"/>
    <n v="0.2683956698455367"/>
    <x v="18"/>
    <x v="1"/>
    <n v="0"/>
    <x v="0"/>
    <m/>
  </r>
  <r>
    <s v="PPT1_BOI04"/>
    <s v="S1CS03683-WS"/>
    <n v="210"/>
    <s v="207199433"/>
    <s v="NW"/>
    <n v="8"/>
    <n v="0.2683956698455367"/>
    <x v="8"/>
    <x v="1"/>
    <n v="0"/>
    <x v="0"/>
    <m/>
  </r>
  <r>
    <s v="PPT1_BOI04"/>
    <s v="S1CS03683-WS"/>
    <n v="210"/>
    <s v="207199439"/>
    <s v="NW"/>
    <n v="8"/>
    <n v="0.2683956698455367"/>
    <x v="7"/>
    <x v="1"/>
    <n v="0"/>
    <x v="0"/>
    <m/>
  </r>
  <r>
    <s v="PPT1_BOI04"/>
    <s v="S1CS03683-WS"/>
    <n v="210"/>
    <s v="207199458"/>
    <s v="NW"/>
    <n v="8"/>
    <n v="0.2683956698455367"/>
    <x v="4"/>
    <x v="1"/>
    <n v="0"/>
    <x v="0"/>
    <m/>
  </r>
  <r>
    <s v="PPT1_BOI04"/>
    <s v="S1CS03683-WS"/>
    <n v="210"/>
    <s v="207198418"/>
    <s v="NW"/>
    <n v="8"/>
    <n v="0.2683956698455367"/>
    <x v="1"/>
    <x v="1"/>
    <n v="0"/>
    <x v="0"/>
    <m/>
  </r>
  <r>
    <s v="PPT1_BOI04"/>
    <s v="S1CS03683-WS"/>
    <n v="210"/>
    <s v="207198838"/>
    <s v="NW"/>
    <n v="8"/>
    <n v="0.2683956698455367"/>
    <x v="13"/>
    <x v="1"/>
    <n v="0"/>
    <x v="0"/>
    <m/>
  </r>
  <r>
    <s v="PPT1_BOI04"/>
    <s v="S1CS03683-WS"/>
    <n v="210"/>
    <s v="207198891"/>
    <s v="NW"/>
    <n v="8"/>
    <n v="0.2683956698455367"/>
    <x v="5"/>
    <x v="1"/>
    <n v="0"/>
    <x v="0"/>
    <m/>
  </r>
  <r>
    <s v="PPT1_BOI04"/>
    <s v="S1CS03683-WS"/>
    <n v="210"/>
    <s v="207198027"/>
    <s v="NW"/>
    <n v="8"/>
    <n v="0.2683956698455367"/>
    <x v="2"/>
    <x v="1"/>
    <n v="0"/>
    <x v="0"/>
    <m/>
  </r>
  <r>
    <s v="PPT1_BOI04"/>
    <s v="S1CS03683-WS"/>
    <n v="210"/>
    <s v="207198337"/>
    <s v="NW"/>
    <n v="8"/>
    <n v="0.2683956698455367"/>
    <x v="18"/>
    <x v="1"/>
    <n v="0"/>
    <x v="0"/>
    <m/>
  </r>
  <r>
    <s v="PPT1_BOI04"/>
    <s v="S1CS03683-WS"/>
    <n v="210"/>
    <s v="207198284"/>
    <s v="NW"/>
    <n v="8"/>
    <n v="0.2683956698455367"/>
    <x v="8"/>
    <x v="1"/>
    <n v="0"/>
    <x v="0"/>
    <m/>
  </r>
  <r>
    <s v="PPT1_BOI04"/>
    <s v="S1CS03683-WS"/>
    <n v="210"/>
    <s v="207198252"/>
    <s v="NW"/>
    <n v="8"/>
    <n v="0.2683956698455367"/>
    <x v="7"/>
    <x v="1"/>
    <n v="0"/>
    <x v="0"/>
    <m/>
  </r>
  <r>
    <s v="PPT1_BOI04"/>
    <s v="S1CS03683-WS"/>
    <n v="210"/>
    <s v="207199210"/>
    <s v="NW"/>
    <n v="8"/>
    <n v="0.2683956698455367"/>
    <x v="4"/>
    <x v="1"/>
    <n v="0"/>
    <x v="0"/>
    <m/>
  </r>
  <r>
    <s v="PPT1_BOI04"/>
    <s v="S1CS03683-WS"/>
    <n v="210"/>
    <s v="207199241"/>
    <s v="NW"/>
    <n v="8"/>
    <n v="0.2683956698455367"/>
    <x v="1"/>
    <x v="1"/>
    <n v="0"/>
    <x v="0"/>
    <m/>
  </r>
  <r>
    <s v="PPT1_BOI04"/>
    <s v="S1CS03683-WS"/>
    <n v="210"/>
    <s v="207199255"/>
    <s v="NW"/>
    <n v="8"/>
    <n v="0.2683956698455367"/>
    <x v="13"/>
    <x v="1"/>
    <n v="0"/>
    <x v="0"/>
    <m/>
  </r>
  <r>
    <s v="PPT1_BOI04"/>
    <s v="S1CS03683-WS"/>
    <n v="210"/>
    <s v="207199142"/>
    <s v="NW"/>
    <n v="8"/>
    <n v="0.2683956698455367"/>
    <x v="5"/>
    <x v="1"/>
    <n v="0"/>
    <x v="0"/>
    <m/>
  </r>
  <r>
    <s v="PPT1_BOI04"/>
    <s v="S1CS03683-WS"/>
    <n v="210"/>
    <s v="207198998"/>
    <s v="NW"/>
    <n v="8"/>
    <n v="0.2683956698455367"/>
    <x v="2"/>
    <x v="1"/>
    <n v="0"/>
    <x v="0"/>
    <m/>
  </r>
  <r>
    <s v="PPT1_BOI04"/>
    <s v="S1CS03683-WS"/>
    <n v="210"/>
    <s v="207199027"/>
    <s v="NW"/>
    <n v="8"/>
    <n v="0.2683956698455367"/>
    <x v="18"/>
    <x v="1"/>
    <n v="0"/>
    <x v="0"/>
    <m/>
  </r>
  <r>
    <s v="PPT1_BOI04"/>
    <s v="S1CS03683-WS"/>
    <n v="210"/>
    <s v="207199074"/>
    <s v="NW"/>
    <n v="8"/>
    <n v="0.2683956698455367"/>
    <x v="8"/>
    <x v="1"/>
    <n v="0"/>
    <x v="0"/>
    <m/>
  </r>
  <r>
    <s v="PPT1_BOI04"/>
    <s v="S1CS03683-WS"/>
    <n v="210"/>
    <s v="207200136"/>
    <s v="NW"/>
    <n v="8"/>
    <n v="0.2683956698455367"/>
    <x v="7"/>
    <x v="1"/>
    <n v="0"/>
    <x v="0"/>
    <m/>
  </r>
  <r>
    <s v="PPT1_BOI04"/>
    <s v="S1CS03683-WS"/>
    <n v="210"/>
    <s v="207200188"/>
    <s v="NW"/>
    <n v="8"/>
    <n v="0.2683956698455367"/>
    <x v="4"/>
    <x v="1"/>
    <n v="0"/>
    <x v="0"/>
    <m/>
  </r>
  <r>
    <s v="PPT1_BOI04"/>
    <s v="S1CS03683-WS"/>
    <n v="210"/>
    <s v="207199902"/>
    <s v="NW"/>
    <n v="8"/>
    <n v="0.2683956698455367"/>
    <x v="1"/>
    <x v="1"/>
    <n v="0"/>
    <x v="0"/>
    <m/>
  </r>
  <r>
    <s v="PPT1_BOI04"/>
    <s v="S1CS03683-WS"/>
    <n v="210"/>
    <s v="207199947"/>
    <s v="NW"/>
    <n v="8"/>
    <n v="0.2683956698455367"/>
    <x v="13"/>
    <x v="1"/>
    <n v="0"/>
    <x v="0"/>
    <m/>
  </r>
  <r>
    <s v="PPT1_BOI04"/>
    <s v="S1CS03683-WS"/>
    <n v="210"/>
    <s v="207200194"/>
    <s v="NW"/>
    <n v="8"/>
    <n v="0.2683956698455367"/>
    <x v="5"/>
    <x v="1"/>
    <n v="0"/>
    <x v="0"/>
    <m/>
  </r>
  <r>
    <s v="PPT1_BOI04"/>
    <s v="S1CS03683-WS"/>
    <n v="210"/>
    <s v="207200287"/>
    <s v="NW"/>
    <n v="8"/>
    <n v="0.2683956698455367"/>
    <x v="2"/>
    <x v="1"/>
    <n v="0"/>
    <x v="0"/>
    <m/>
  </r>
  <r>
    <s v="PPT1_BOI04"/>
    <s v="S1CS03683-WS"/>
    <n v="210"/>
    <s v="207200307"/>
    <s v="NW"/>
    <n v="8"/>
    <n v="0.2683956698455367"/>
    <x v="18"/>
    <x v="1"/>
    <n v="0"/>
    <x v="0"/>
    <m/>
  </r>
  <r>
    <s v="PPT1_BOI04"/>
    <s v="S1CS03683-WS"/>
    <n v="210"/>
    <s v="207200239"/>
    <s v="NW"/>
    <n v="8"/>
    <n v="0.2683956698455367"/>
    <x v="8"/>
    <x v="1"/>
    <n v="0"/>
    <x v="0"/>
    <m/>
  </r>
  <r>
    <s v="PPT1_BOI04"/>
    <s v="S1CS03683-WS"/>
    <n v="210"/>
    <s v="207200257"/>
    <s v="NW"/>
    <n v="8"/>
    <n v="0.2683956698455367"/>
    <x v="7"/>
    <x v="1"/>
    <n v="0"/>
    <x v="0"/>
    <m/>
  </r>
  <r>
    <s v="PPT1_BOI04"/>
    <s v="S1CS03683-WS"/>
    <n v="210"/>
    <s v="207199732"/>
    <s v="NW"/>
    <n v="8"/>
    <n v="0.2683956698455367"/>
    <x v="4"/>
    <x v="1"/>
    <n v="0"/>
    <x v="0"/>
    <m/>
  </r>
  <r>
    <s v="PPT1_BOI04"/>
    <s v="S1CS03683-WS"/>
    <n v="210"/>
    <s v="207199752"/>
    <s v="NW"/>
    <n v="8"/>
    <n v="0.2683956698455367"/>
    <x v="1"/>
    <x v="1"/>
    <n v="0"/>
    <x v="0"/>
    <m/>
  </r>
  <r>
    <s v="PPT1_BOI04"/>
    <s v="S1CS03683-WS"/>
    <n v="210"/>
    <s v="207199531"/>
    <s v="NW"/>
    <n v="8"/>
    <n v="0.2683956698455367"/>
    <x v="13"/>
    <x v="1"/>
    <n v="0"/>
    <x v="0"/>
    <m/>
  </r>
  <r>
    <s v="PPT1_BOI04"/>
    <s v="S1CS03683-WS"/>
    <n v="210"/>
    <s v="207199529"/>
    <s v="NW"/>
    <n v="8"/>
    <n v="0.2683956698455367"/>
    <x v="5"/>
    <x v="1"/>
    <n v="0"/>
    <x v="0"/>
    <m/>
  </r>
  <r>
    <s v="PPT1_BOI04"/>
    <s v="S1CS03683-WS"/>
    <n v="210"/>
    <s v="207199383"/>
    <s v="NW"/>
    <n v="8"/>
    <n v="0.2683956698455367"/>
    <x v="2"/>
    <x v="1"/>
    <n v="0"/>
    <x v="0"/>
    <m/>
  </r>
  <r>
    <s v="PPT1_BOI04"/>
    <s v="S1CS03683-WS"/>
    <n v="210"/>
    <s v="207199861"/>
    <s v="NW"/>
    <n v="8"/>
    <n v="0.2683956698455367"/>
    <x v="18"/>
    <x v="1"/>
    <n v="0"/>
    <x v="0"/>
    <m/>
  </r>
  <r>
    <s v="PPT1_BOI04"/>
    <s v="S1CS03683-WS"/>
    <n v="210"/>
    <s v="207199815"/>
    <s v="NW"/>
    <n v="8"/>
    <n v="0.2683956698455367"/>
    <x v="8"/>
    <x v="1"/>
    <n v="0"/>
    <x v="0"/>
    <m/>
  </r>
  <r>
    <s v="PPT1_BOI04"/>
    <s v="S1CS03683-WS"/>
    <n v="210"/>
    <s v="207199842"/>
    <s v="NW"/>
    <n v="8"/>
    <n v="0.2683956698455367"/>
    <x v="7"/>
    <x v="1"/>
    <n v="0"/>
    <x v="0"/>
    <m/>
  </r>
  <r>
    <s v="PPT1_BOI04"/>
    <s v="S1CS03713-WS"/>
    <n v="160"/>
    <s v="207197422"/>
    <s v="NW"/>
    <n v="3"/>
    <n v="0.19426240788699975"/>
    <x v="17"/>
    <x v="1"/>
    <n v="0"/>
    <x v="0"/>
    <m/>
  </r>
  <r>
    <s v="PPT1_BOI04"/>
    <s v="S1CS03799-WS"/>
    <n v="330"/>
    <s v="207197275"/>
    <s v="NW"/>
    <n v="9"/>
    <n v="0.39425476166032075"/>
    <x v="15"/>
    <x v="1"/>
    <n v="0"/>
    <x v="0"/>
    <m/>
  </r>
  <r>
    <s v="PPT1_BOI04"/>
    <s v="S1CS03876-WS"/>
    <n v="300"/>
    <s v="207198529"/>
    <s v="NW"/>
    <n v="1"/>
    <n v="0.12147011519252655"/>
    <x v="9"/>
    <x v="1"/>
    <n v="0"/>
    <x v="0"/>
    <m/>
  </r>
  <r>
    <s v="PPT1_BOI04"/>
    <s v="S1CS03876-WS"/>
    <n v="900"/>
    <s v="207198485"/>
    <s v="NW"/>
    <n v="1"/>
    <n v="0.36441034557757968"/>
    <x v="9"/>
    <x v="1"/>
    <n v="0"/>
    <x v="0"/>
    <m/>
  </r>
  <r>
    <s v="PPT1_BOI04"/>
    <s v="S1CS03876-WS"/>
    <n v="900"/>
    <s v="207198453"/>
    <s v="NW"/>
    <n v="1"/>
    <n v="0.36441034557757968"/>
    <x v="9"/>
    <x v="1"/>
    <n v="0"/>
    <x v="0"/>
    <m/>
  </r>
  <r>
    <s v="PPT1_BOI04"/>
    <s v="S1CS03922-WS"/>
    <n v="420"/>
    <s v="207199599"/>
    <s v="NW"/>
    <n v="5"/>
    <n v="0.23462354907605174"/>
    <x v="17"/>
    <x v="1"/>
    <n v="0"/>
    <x v="0"/>
    <m/>
  </r>
  <r>
    <s v="PPT1_BOI04"/>
    <s v="S1CS03922-WS"/>
    <n v="420"/>
    <s v="207199603"/>
    <s v="NW"/>
    <n v="5"/>
    <n v="0.23462354907605174"/>
    <x v="17"/>
    <x v="1"/>
    <n v="0"/>
    <x v="0"/>
    <m/>
  </r>
  <r>
    <s v="PPT1_BOI04"/>
    <s v="S1CS03922-WS"/>
    <n v="420"/>
    <s v="207199727"/>
    <s v="NW"/>
    <n v="5"/>
    <n v="0.23462354907605174"/>
    <x v="15"/>
    <x v="1"/>
    <n v="0"/>
    <x v="0"/>
    <m/>
  </r>
  <r>
    <s v="PPT1_BOI04"/>
    <s v="S1CS03922-WS"/>
    <n v="420"/>
    <s v="207208061"/>
    <s v="NW"/>
    <n v="5"/>
    <n v="0.23462354907605174"/>
    <x v="17"/>
    <x v="1"/>
    <n v="0"/>
    <x v="0"/>
    <m/>
  </r>
  <r>
    <s v="PPT1_BOI04"/>
    <s v="S1CS03922-WS"/>
    <n v="420"/>
    <s v="207199731"/>
    <s v="NW"/>
    <n v="5"/>
    <n v="0.23462354907605174"/>
    <x v="15"/>
    <x v="1"/>
    <n v="0"/>
    <x v="0"/>
    <m/>
  </r>
  <r>
    <s v="PPT1_BOI04"/>
    <s v="S1CS03922-WS"/>
    <n v="420"/>
    <s v="207199683"/>
    <s v="NW"/>
    <n v="5"/>
    <n v="0.23462354907605174"/>
    <x v="17"/>
    <x v="1"/>
    <n v="0"/>
    <x v="0"/>
    <m/>
  </r>
  <r>
    <s v="PPT1_BOI04"/>
    <s v="S1CS03922-WS"/>
    <n v="280"/>
    <s v="207199638"/>
    <s v="NW"/>
    <n v="5"/>
    <n v="0.15641569938403449"/>
    <x v="15"/>
    <x v="1"/>
    <n v="0"/>
    <x v="0"/>
    <m/>
  </r>
  <r>
    <s v="PPT1_BOI04"/>
    <s v="S1CS03922-WS"/>
    <n v="420"/>
    <s v="207199642"/>
    <s v="NW"/>
    <n v="5"/>
    <n v="0.23462354907605174"/>
    <x v="4"/>
    <x v="1"/>
    <n v="0"/>
    <x v="0"/>
    <m/>
  </r>
  <r>
    <s v="PPT1_BOI04"/>
    <s v="S1CS03922-WS"/>
    <n v="420"/>
    <s v="207199678"/>
    <s v="NW"/>
    <n v="5"/>
    <n v="0.23462354907605174"/>
    <x v="9"/>
    <x v="1"/>
    <n v="0"/>
    <x v="0"/>
    <m/>
  </r>
  <r>
    <s v="PPT1_BOI04"/>
    <s v="S1CS03922-WS"/>
    <n v="420"/>
    <s v="207208058"/>
    <s v="NW"/>
    <n v="5"/>
    <n v="0.23462354907605174"/>
    <x v="1"/>
    <x v="1"/>
    <n v="0"/>
    <x v="0"/>
    <m/>
  </r>
  <r>
    <s v="PPT1_BOI04"/>
    <s v="S1CS03922-WS"/>
    <n v="420"/>
    <s v="207208059"/>
    <s v="NW"/>
    <n v="5"/>
    <n v="0.23462354907605174"/>
    <x v="15"/>
    <x v="1"/>
    <n v="0"/>
    <x v="0"/>
    <m/>
  </r>
  <r>
    <s v="PPT1_BOI04"/>
    <s v="S1CS03922-WS"/>
    <n v="420"/>
    <s v="207201413"/>
    <s v="NW"/>
    <n v="5"/>
    <n v="0.23462354907605174"/>
    <x v="17"/>
    <x v="1"/>
    <n v="0"/>
    <x v="0"/>
    <m/>
  </r>
  <r>
    <s v="PPT1_BOI04"/>
    <s v="S1CS03922-WS"/>
    <n v="420"/>
    <s v="207208057"/>
    <s v="NW"/>
    <n v="5"/>
    <n v="0.23462354907605174"/>
    <x v="4"/>
    <x v="1"/>
    <n v="0"/>
    <x v="0"/>
    <m/>
  </r>
  <r>
    <s v="PPT1_BOI04"/>
    <s v="S1CS03922-WS"/>
    <n v="420"/>
    <s v="207208060"/>
    <s v="NW"/>
    <n v="5"/>
    <n v="0.23462354907605174"/>
    <x v="9"/>
    <x v="1"/>
    <n v="0"/>
    <x v="0"/>
    <m/>
  </r>
  <r>
    <s v="PPT1_BOI04"/>
    <s v="S1CS03922-WS"/>
    <n v="420"/>
    <s v="207199495"/>
    <s v="NW"/>
    <n v="5"/>
    <n v="0.23462354907605174"/>
    <x v="1"/>
    <x v="1"/>
    <n v="0"/>
    <x v="0"/>
    <m/>
  </r>
  <r>
    <s v="PPT1_BOI04"/>
    <s v="S1CS03922-WS"/>
    <n v="420"/>
    <s v="207199532"/>
    <s v="NW"/>
    <n v="5"/>
    <n v="0.23462354907605174"/>
    <x v="15"/>
    <x v="1"/>
    <n v="0"/>
    <x v="0"/>
    <m/>
  </r>
  <r>
    <s v="PPT1_BOI04"/>
    <s v="S1CS03922-WS"/>
    <n v="420"/>
    <s v="207197892"/>
    <s v="NW"/>
    <n v="5"/>
    <n v="0.23462354907605174"/>
    <x v="17"/>
    <x v="1"/>
    <n v="0"/>
    <x v="0"/>
    <m/>
  </r>
  <r>
    <s v="PPT1_BOI04"/>
    <s v="S1CS03922-WS"/>
    <n v="420"/>
    <s v="207198295"/>
    <s v="NW"/>
    <n v="5"/>
    <n v="0.23462354907605174"/>
    <x v="4"/>
    <x v="1"/>
    <n v="0"/>
    <x v="0"/>
    <m/>
  </r>
  <r>
    <s v="PPT1_BOI04"/>
    <s v="S1CS03922-WS"/>
    <n v="420"/>
    <s v="207201434"/>
    <s v="NW"/>
    <n v="5"/>
    <n v="0.23462354907605174"/>
    <x v="9"/>
    <x v="1"/>
    <n v="0"/>
    <x v="0"/>
    <m/>
  </r>
  <r>
    <s v="PPT1_BOI04"/>
    <s v="S1CS03922-WS"/>
    <n v="420"/>
    <s v="207201443"/>
    <s v="NW"/>
    <n v="5"/>
    <n v="0.23462354907605174"/>
    <x v="1"/>
    <x v="1"/>
    <n v="0"/>
    <x v="0"/>
    <m/>
  </r>
  <r>
    <s v="PPT1_BOI04"/>
    <s v="S1CS03922-WS"/>
    <n v="420"/>
    <s v="207201430"/>
    <s v="NW"/>
    <n v="5"/>
    <n v="0.23462354907605174"/>
    <x v="15"/>
    <x v="1"/>
    <n v="0"/>
    <x v="0"/>
    <m/>
  </r>
  <r>
    <s v="PPT1_BOI04"/>
    <s v="S1CS03922-WS"/>
    <n v="420"/>
    <s v="207201432"/>
    <s v="NW"/>
    <n v="5"/>
    <n v="0.23462354907605174"/>
    <x v="17"/>
    <x v="1"/>
    <n v="0"/>
    <x v="0"/>
    <m/>
  </r>
  <r>
    <s v="PPT1_BOI04"/>
    <s v="S1CS03922-WS"/>
    <n v="420"/>
    <s v="207201437"/>
    <s v="NW"/>
    <n v="5"/>
    <n v="0.23462354907605174"/>
    <x v="4"/>
    <x v="1"/>
    <n v="0"/>
    <x v="0"/>
    <m/>
  </r>
  <r>
    <s v="PPT1_BOI04"/>
    <s v="S1CS03922-WS"/>
    <n v="420"/>
    <s v="207201435"/>
    <s v="NW"/>
    <n v="5"/>
    <n v="0.23462354907605174"/>
    <x v="9"/>
    <x v="1"/>
    <n v="0"/>
    <x v="0"/>
    <m/>
  </r>
  <r>
    <s v="PPT1_BOI04"/>
    <s v="S1CS03922-WS"/>
    <n v="420"/>
    <s v="207201441"/>
    <s v="NW"/>
    <n v="5"/>
    <n v="0.23462354907605174"/>
    <x v="1"/>
    <x v="1"/>
    <n v="0"/>
    <x v="0"/>
    <m/>
  </r>
  <r>
    <s v="PPT1_BOI04"/>
    <s v="S1CS03922-WS"/>
    <n v="420"/>
    <s v="207201439"/>
    <s v="NW"/>
    <n v="5"/>
    <n v="0.23462354907605174"/>
    <x v="15"/>
    <x v="1"/>
    <n v="0"/>
    <x v="0"/>
    <m/>
  </r>
  <r>
    <s v="PPT1_BOI04"/>
    <s v="S1CS03922-WS"/>
    <n v="420"/>
    <s v="207201428"/>
    <s v="NW"/>
    <n v="5"/>
    <n v="0.23462354907605174"/>
    <x v="17"/>
    <x v="1"/>
    <n v="0"/>
    <x v="0"/>
    <m/>
  </r>
  <r>
    <s v="PPT1_BOI04"/>
    <s v="S1CS03922-WS"/>
    <n v="420"/>
    <s v="207208064"/>
    <s v="NW"/>
    <n v="5"/>
    <n v="0.23462354907605174"/>
    <x v="4"/>
    <x v="1"/>
    <n v="0"/>
    <x v="0"/>
    <m/>
  </r>
  <r>
    <s v="PPT1_BOI04"/>
    <s v="S1CS03922-WS"/>
    <n v="420"/>
    <s v="207208065"/>
    <s v="NW"/>
    <n v="5"/>
    <n v="0.23462354907605174"/>
    <x v="9"/>
    <x v="1"/>
    <n v="0"/>
    <x v="0"/>
    <m/>
  </r>
  <r>
    <s v="PPT1_BOI04"/>
    <s v="S1CS03922-WS"/>
    <n v="420"/>
    <s v="207208062"/>
    <s v="NW"/>
    <n v="5"/>
    <n v="0.23462354907605174"/>
    <x v="1"/>
    <x v="1"/>
    <n v="0"/>
    <x v="0"/>
    <m/>
  </r>
  <r>
    <s v="PPT1_BOI04"/>
    <s v="S1CS03922-WS"/>
    <n v="420"/>
    <s v="207208063"/>
    <s v="NW"/>
    <n v="5"/>
    <n v="0.23462354907605174"/>
    <x v="15"/>
    <x v="1"/>
    <n v="0"/>
    <x v="0"/>
    <m/>
  </r>
  <r>
    <s v="PPT1_BOI04"/>
    <s v="S1CS03922-WS"/>
    <n v="420"/>
    <s v="207201427"/>
    <s v="NW"/>
    <n v="5"/>
    <n v="0.23462354907605174"/>
    <x v="17"/>
    <x v="1"/>
    <n v="0"/>
    <x v="0"/>
    <m/>
  </r>
  <r>
    <s v="PPT1_BOI04"/>
    <s v="S1CS03922-WS"/>
    <n v="420"/>
    <s v="207201415"/>
    <s v="NW"/>
    <n v="5"/>
    <n v="0.23462354907605174"/>
    <x v="4"/>
    <x v="1"/>
    <n v="0"/>
    <x v="0"/>
    <m/>
  </r>
  <r>
    <s v="PPT1_BOI04"/>
    <s v="S1CS03922-WS"/>
    <n v="420"/>
    <s v="207208066"/>
    <s v="NW"/>
    <n v="5"/>
    <n v="0.23462354907605174"/>
    <x v="9"/>
    <x v="1"/>
    <n v="0"/>
    <x v="0"/>
    <m/>
  </r>
  <r>
    <s v="PPT1_BOI04"/>
    <s v="S1CS03987-WS"/>
    <n v="185"/>
    <s v="207197259"/>
    <s v="NW"/>
    <n v="28"/>
    <n v="0.12432238520735331"/>
    <x v="13"/>
    <x v="1"/>
    <n v="0"/>
    <x v="0"/>
    <m/>
  </r>
  <r>
    <s v="PPT1_BOI04"/>
    <s v="S1CS03987-WS"/>
    <n v="370"/>
    <s v="207197281"/>
    <s v="NW"/>
    <n v="28"/>
    <n v="0.24864477041470662"/>
    <x v="5"/>
    <x v="1"/>
    <n v="0"/>
    <x v="0"/>
    <m/>
  </r>
  <r>
    <s v="PPT1_BOI04"/>
    <s v="S1CS03987-WS"/>
    <n v="185"/>
    <s v="207200866"/>
    <s v="NW"/>
    <n v="28"/>
    <n v="0.12432238520735331"/>
    <x v="2"/>
    <x v="1"/>
    <n v="0"/>
    <x v="0"/>
    <m/>
  </r>
  <r>
    <s v="PPT1_BOI04"/>
    <s v="S1CS03988-WS"/>
    <n v="185"/>
    <s v="207201664"/>
    <s v="NW"/>
    <n v="25"/>
    <n v="0.13817844522103237"/>
    <x v="18"/>
    <x v="1"/>
    <n v="0"/>
    <x v="0"/>
    <m/>
  </r>
  <r>
    <s v="PPT1_BOI04"/>
    <s v="S1CS03988-WS"/>
    <n v="185"/>
    <s v="207197334"/>
    <s v="NW"/>
    <n v="25"/>
    <n v="0.13817844522103237"/>
    <x v="8"/>
    <x v="1"/>
    <n v="0"/>
    <x v="0"/>
    <m/>
  </r>
  <r>
    <s v="PPT1_BOI04"/>
    <s v="S1CS03988-WS"/>
    <n v="370"/>
    <s v="207197327"/>
    <s v="NW"/>
    <n v="25"/>
    <n v="0.27635689044206474"/>
    <x v="13"/>
    <x v="1"/>
    <n v="0"/>
    <x v="0"/>
    <m/>
  </r>
  <r>
    <s v="PPT1_BOI04"/>
    <s v="S1CS03991-WS"/>
    <n v="480"/>
    <s v="207198330"/>
    <s v="NW"/>
    <n v="3"/>
    <n v="0.33692218315242317"/>
    <x v="7"/>
    <x v="1"/>
    <n v="0"/>
    <x v="0"/>
    <m/>
  </r>
  <r>
    <s v="PPT1_BOI04"/>
    <s v="S1CS03992-WS"/>
    <n v="500"/>
    <s v="207197421"/>
    <s v="NW"/>
    <n v="2"/>
    <n v="0.29979523195899238"/>
    <x v="2"/>
    <x v="1"/>
    <n v="0"/>
    <x v="0"/>
    <m/>
  </r>
  <r>
    <s v="PPT1_BOI04"/>
    <s v="S1CS04042-WS"/>
    <n v="270"/>
    <s v="207200963"/>
    <s v="NW"/>
    <n v="5"/>
    <n v="0.34202327628393187"/>
    <x v="18"/>
    <x v="1"/>
    <n v="0"/>
    <x v="0"/>
    <m/>
  </r>
  <r>
    <s v="PPT1_BOI04"/>
    <s v="S1CS04042-WS"/>
    <n v="270"/>
    <s v="207200964"/>
    <s v="NW"/>
    <n v="5"/>
    <n v="0.34202327628393187"/>
    <x v="8"/>
    <x v="1"/>
    <n v="0"/>
    <x v="0"/>
    <m/>
  </r>
  <r>
    <s v="PPT1_BOI04"/>
    <s v="S1CS04042-WS"/>
    <n v="270"/>
    <s v="207200961"/>
    <s v="NW"/>
    <n v="5"/>
    <n v="0.34202327628393187"/>
    <x v="5"/>
    <x v="1"/>
    <n v="0"/>
    <x v="0"/>
    <m/>
  </r>
  <r>
    <s v="PPT1_BOI04"/>
    <s v="S1CS04042-WS"/>
    <n v="270"/>
    <s v="207200962"/>
    <s v="NW"/>
    <n v="5"/>
    <n v="0.34202327628393187"/>
    <x v="13"/>
    <x v="1"/>
    <n v="0"/>
    <x v="0"/>
    <m/>
  </r>
  <r>
    <s v="PPT1_BOI04"/>
    <s v="S1CS04042-WS"/>
    <n v="270"/>
    <s v="207201071"/>
    <s v="NW"/>
    <n v="5"/>
    <n v="0.34202327628393187"/>
    <x v="16"/>
    <x v="1"/>
    <n v="0"/>
    <x v="0"/>
    <m/>
  </r>
  <r>
    <s v="PPT1_BOI04"/>
    <s v="S1CS04042-WS"/>
    <n v="90"/>
    <s v="207201496"/>
    <s v="NW"/>
    <n v="5"/>
    <n v="0.11400775876131063"/>
    <x v="18"/>
    <x v="1"/>
    <n v="0"/>
    <x v="0"/>
    <m/>
  </r>
  <r>
    <s v="PPT1_BOI04"/>
    <s v="S1CS04042-WS"/>
    <n v="270"/>
    <s v="207201068"/>
    <s v="NW"/>
    <n v="5"/>
    <n v="0.34202327628393187"/>
    <x v="8"/>
    <x v="1"/>
    <n v="0"/>
    <x v="0"/>
    <m/>
  </r>
  <r>
    <s v="PPT1_BOI04"/>
    <s v="S1CS04042-WS"/>
    <n v="270"/>
    <s v="207201070"/>
    <s v="NW"/>
    <n v="5"/>
    <n v="0.34202327628393187"/>
    <x v="5"/>
    <x v="1"/>
    <n v="0"/>
    <x v="0"/>
    <m/>
  </r>
  <r>
    <s v="PPT1_BOI04"/>
    <s v="S1CS04042-WS"/>
    <n v="270"/>
    <s v="207197667"/>
    <s v="NW"/>
    <n v="5"/>
    <n v="0.34202327628393187"/>
    <x v="18"/>
    <x v="1"/>
    <n v="0"/>
    <x v="0"/>
    <m/>
  </r>
  <r>
    <s v="PPT1_BOI04"/>
    <s v="S1CS04042-WS"/>
    <n v="270"/>
    <s v="207197633"/>
    <s v="NW"/>
    <n v="5"/>
    <n v="0.34202327628393187"/>
    <x v="13"/>
    <x v="1"/>
    <n v="0"/>
    <x v="0"/>
    <m/>
  </r>
  <r>
    <s v="PPT1_BOI04"/>
    <s v="S1CS04042-WS"/>
    <n v="270"/>
    <s v="207197628"/>
    <s v="NW"/>
    <n v="5"/>
    <n v="0.34202327628393187"/>
    <x v="16"/>
    <x v="1"/>
    <n v="0"/>
    <x v="0"/>
    <m/>
  </r>
  <r>
    <s v="PPT1_BOI04"/>
    <s v="S1CS04042-WS"/>
    <n v="90"/>
    <s v="207200960"/>
    <s v="NW"/>
    <n v="5"/>
    <n v="0.11400775876131063"/>
    <x v="8"/>
    <x v="1"/>
    <n v="0"/>
    <x v="0"/>
    <m/>
  </r>
  <r>
    <s v="PPT1_BOI04"/>
    <s v="S1CS04042-WS"/>
    <n v="180"/>
    <s v="207197694"/>
    <s v="NW"/>
    <n v="5"/>
    <n v="0.22801551752262125"/>
    <x v="5"/>
    <x v="1"/>
    <n v="0"/>
    <x v="0"/>
    <m/>
  </r>
  <r>
    <s v="PPT1_BOI04"/>
    <s v="S1CS04042-WS"/>
    <n v="270"/>
    <s v="207197687"/>
    <s v="NW"/>
    <n v="5"/>
    <n v="0.34202327628393187"/>
    <x v="18"/>
    <x v="1"/>
    <n v="0"/>
    <x v="0"/>
    <m/>
  </r>
  <r>
    <s v="PPT1_BOI04"/>
    <s v="S1CS04043-WS"/>
    <n v="300"/>
    <s v="207201462"/>
    <s v="NW"/>
    <n v="34"/>
    <n v="0.3302613073877515"/>
    <x v="2"/>
    <x v="1"/>
    <n v="0"/>
    <x v="0"/>
    <m/>
  </r>
  <r>
    <s v="PPT1_BOI04"/>
    <s v="S1CS04043-WS"/>
    <n v="300"/>
    <s v="207201457"/>
    <s v="NW"/>
    <n v="34"/>
    <n v="0.3302613073877515"/>
    <x v="7"/>
    <x v="1"/>
    <n v="0"/>
    <x v="0"/>
    <m/>
  </r>
  <r>
    <s v="PPT1_BOI04"/>
    <s v="S1CS04043-WS"/>
    <n v="300"/>
    <s v="207208173"/>
    <s v="NW"/>
    <n v="34"/>
    <n v="0.3302613073877515"/>
    <x v="6"/>
    <x v="1"/>
    <n v="0"/>
    <x v="0"/>
    <m/>
  </r>
  <r>
    <s v="PPT1_BOI04"/>
    <s v="S1CS04043-WS"/>
    <n v="300"/>
    <s v="207201466"/>
    <s v="NW"/>
    <n v="34"/>
    <n v="0.3302613073877515"/>
    <x v="14"/>
    <x v="1"/>
    <n v="0"/>
    <x v="0"/>
    <m/>
  </r>
  <r>
    <s v="PPT1_BOI04"/>
    <s v="S1CS04043-WS"/>
    <n v="300"/>
    <s v="207201476"/>
    <s v="NW"/>
    <n v="34"/>
    <n v="0.3302613073877515"/>
    <x v="2"/>
    <x v="1"/>
    <n v="0"/>
    <x v="0"/>
    <m/>
  </r>
  <r>
    <s v="PPT1_BOI04"/>
    <s v="S1CS04043-WS"/>
    <n v="300"/>
    <s v="207201473"/>
    <s v="NW"/>
    <n v="34"/>
    <n v="0.3302613073877515"/>
    <x v="0"/>
    <x v="1"/>
    <n v="0"/>
    <x v="0"/>
    <m/>
  </r>
  <r>
    <s v="PPT1_BOI04"/>
    <s v="S1CS04043-WS"/>
    <n v="300"/>
    <s v="207201471"/>
    <s v="NW"/>
    <n v="34"/>
    <n v="0.3302613073877515"/>
    <x v="7"/>
    <x v="1"/>
    <n v="0"/>
    <x v="0"/>
    <m/>
  </r>
  <r>
    <s v="PPT1_BOI04"/>
    <s v="S1CS04043-WS"/>
    <n v="300"/>
    <s v="207208171"/>
    <s v="NW"/>
    <n v="34"/>
    <n v="0.3302613073877515"/>
    <x v="6"/>
    <x v="1"/>
    <n v="0"/>
    <x v="0"/>
    <m/>
  </r>
  <r>
    <s v="PPT1_BOI04"/>
    <s v="S1CS04043-WS"/>
    <n v="300"/>
    <s v="207208170"/>
    <s v="NW"/>
    <n v="34"/>
    <n v="0.3302613073877515"/>
    <x v="10"/>
    <x v="1"/>
    <n v="0"/>
    <x v="0"/>
    <m/>
  </r>
  <r>
    <s v="PPT1_BOI04"/>
    <s v="S1CS04043-WS"/>
    <n v="300"/>
    <s v="207208167"/>
    <s v="NW"/>
    <n v="34"/>
    <n v="0.3302613073877515"/>
    <x v="8"/>
    <x v="1"/>
    <n v="0"/>
    <x v="0"/>
    <m/>
  </r>
  <r>
    <s v="PPT1_BOI04"/>
    <s v="S1CS04043-WS"/>
    <n v="300"/>
    <s v="207208172"/>
    <s v="NW"/>
    <n v="34"/>
    <n v="0.3302613073877515"/>
    <x v="3"/>
    <x v="1"/>
    <n v="0"/>
    <x v="0"/>
    <m/>
  </r>
  <r>
    <s v="PPT1_BOI04"/>
    <s v="S1CS04043-WS"/>
    <n v="300"/>
    <s v="207201534"/>
    <s v="NW"/>
    <n v="34"/>
    <n v="0.3302613073877515"/>
    <x v="13"/>
    <x v="1"/>
    <n v="0"/>
    <x v="0"/>
    <m/>
  </r>
  <r>
    <s v="PPT1_BOI04"/>
    <s v="S1CS04043-WS"/>
    <n v="300"/>
    <s v="207208177"/>
    <s v="NW"/>
    <n v="34"/>
    <n v="0.3302613073877515"/>
    <x v="14"/>
    <x v="1"/>
    <n v="0"/>
    <x v="0"/>
    <m/>
  </r>
  <r>
    <s v="PPT1_BOI04"/>
    <s v="S1CS04043-WS"/>
    <n v="300"/>
    <s v="207208168"/>
    <s v="NW"/>
    <n v="34"/>
    <n v="0.3302613073877515"/>
    <x v="16"/>
    <x v="1"/>
    <n v="0"/>
    <x v="0"/>
    <m/>
  </r>
  <r>
    <s v="PPT1_BOI04"/>
    <s v="S1CS04043-WS"/>
    <n v="300"/>
    <s v="207201501"/>
    <s v="NW"/>
    <n v="34"/>
    <n v="0.3302613073877515"/>
    <x v="1"/>
    <x v="1"/>
    <n v="0"/>
    <x v="0"/>
    <m/>
  </r>
  <r>
    <s v="PPT1_BOI04"/>
    <s v="S1CS04043-WS"/>
    <n v="300"/>
    <s v="207201499"/>
    <s v="NW"/>
    <n v="34"/>
    <n v="0.3302613073877515"/>
    <x v="2"/>
    <x v="1"/>
    <n v="0"/>
    <x v="0"/>
    <m/>
  </r>
  <r>
    <s v="PPT1_BOI04"/>
    <s v="S1CS04043-WS"/>
    <n v="300"/>
    <s v="207201497"/>
    <s v="NW"/>
    <n v="34"/>
    <n v="0.3302613073877515"/>
    <x v="0"/>
    <x v="1"/>
    <n v="0"/>
    <x v="0"/>
    <m/>
  </r>
  <r>
    <s v="PPT1_BOI04"/>
    <s v="S1CS04043-WS"/>
    <n v="300"/>
    <s v="207208179"/>
    <s v="NW"/>
    <n v="34"/>
    <n v="0.3302613073877515"/>
    <x v="7"/>
    <x v="1"/>
    <n v="0"/>
    <x v="0"/>
    <m/>
  </r>
  <r>
    <s v="PPT1_BOI04"/>
    <s v="S1CS04043-WS"/>
    <n v="300"/>
    <s v="207201529"/>
    <s v="NW"/>
    <n v="34"/>
    <n v="0.3302613073877515"/>
    <x v="5"/>
    <x v="1"/>
    <n v="0"/>
    <x v="0"/>
    <m/>
  </r>
  <r>
    <s v="PPT1_BOI04"/>
    <s v="S1CS04043-WS"/>
    <n v="300"/>
    <s v="207201528"/>
    <s v="NW"/>
    <n v="34"/>
    <n v="0.3302613073877515"/>
    <x v="15"/>
    <x v="1"/>
    <n v="0"/>
    <x v="0"/>
    <m/>
  </r>
  <r>
    <s v="PPT1_BOI04"/>
    <s v="S1CS04043-WS"/>
    <n v="300"/>
    <s v="207208178"/>
    <s v="NW"/>
    <n v="34"/>
    <n v="0.3302613073877515"/>
    <x v="17"/>
    <x v="1"/>
    <n v="0"/>
    <x v="0"/>
    <m/>
  </r>
  <r>
    <s v="PPT1_BOI04"/>
    <s v="S1CS04043-WS"/>
    <n v="300"/>
    <s v="207201531"/>
    <s v="NW"/>
    <n v="34"/>
    <n v="0.3302613073877515"/>
    <x v="4"/>
    <x v="1"/>
    <n v="0"/>
    <x v="0"/>
    <m/>
  </r>
  <r>
    <s v="PPT1_BOI04"/>
    <s v="S1CS04043-WS"/>
    <n v="300"/>
    <s v="207201482"/>
    <s v="NW"/>
    <n v="34"/>
    <n v="0.3302613073877515"/>
    <x v="6"/>
    <x v="1"/>
    <n v="0"/>
    <x v="0"/>
    <m/>
  </r>
  <r>
    <s v="PPT1_BOI04"/>
    <s v="S1CS04043-WS"/>
    <n v="300"/>
    <s v="207201480"/>
    <s v="NW"/>
    <n v="34"/>
    <n v="0.3302613073877515"/>
    <x v="9"/>
    <x v="1"/>
    <n v="0"/>
    <x v="0"/>
    <m/>
  </r>
  <r>
    <s v="PPT1_BOI04"/>
    <s v="S1CS04043-WS"/>
    <n v="300"/>
    <s v="207201485"/>
    <s v="NW"/>
    <n v="34"/>
    <n v="0.3302613073877515"/>
    <x v="18"/>
    <x v="1"/>
    <n v="0"/>
    <x v="0"/>
    <m/>
  </r>
  <r>
    <s v="PPT1_BOI04"/>
    <s v="S1CS04043-WS"/>
    <n v="300"/>
    <s v="207208176"/>
    <s v="NW"/>
    <n v="34"/>
    <n v="0.3302613073877515"/>
    <x v="10"/>
    <x v="1"/>
    <n v="0"/>
    <x v="0"/>
    <m/>
  </r>
  <r>
    <s v="PPT1_BOI04"/>
    <s v="S1CS04043-WS"/>
    <n v="300"/>
    <s v="207208175"/>
    <s v="NW"/>
    <n v="34"/>
    <n v="0.3302613073877515"/>
    <x v="8"/>
    <x v="1"/>
    <n v="0"/>
    <x v="0"/>
    <m/>
  </r>
  <r>
    <s v="PPT1_BOI04"/>
    <s v="S1CS04043-WS"/>
    <n v="300"/>
    <s v="207208174"/>
    <s v="NW"/>
    <n v="34"/>
    <n v="0.3302613073877515"/>
    <x v="3"/>
    <x v="1"/>
    <n v="0"/>
    <x v="0"/>
    <m/>
  </r>
  <r>
    <s v="PPT1_BOI04"/>
    <s v="S1CS04043-WS"/>
    <n v="300"/>
    <s v="207198148"/>
    <s v="NW"/>
    <n v="34"/>
    <n v="0.3302613073877515"/>
    <x v="13"/>
    <x v="1"/>
    <n v="0"/>
    <x v="0"/>
    <m/>
  </r>
  <r>
    <s v="PPT1_BOI04"/>
    <s v="S1CS04043-WS"/>
    <n v="100"/>
    <s v="207198051"/>
    <s v="NW"/>
    <n v="34"/>
    <n v="0.11008710246258382"/>
    <x v="14"/>
    <x v="1"/>
    <n v="0"/>
    <x v="0"/>
    <m/>
  </r>
  <r>
    <s v="PPT1_BOI04"/>
    <s v="S1CS04043-WS"/>
    <n v="300"/>
    <s v="207198010"/>
    <s v="NW"/>
    <n v="34"/>
    <n v="0.3302613073877515"/>
    <x v="16"/>
    <x v="1"/>
    <n v="0"/>
    <x v="0"/>
    <m/>
  </r>
  <r>
    <s v="PPT1_BOI04"/>
    <s v="S1CS04043-WS"/>
    <n v="300"/>
    <s v="207200494"/>
    <s v="NW"/>
    <n v="34"/>
    <n v="0.3302613073877515"/>
    <x v="1"/>
    <x v="1"/>
    <n v="0"/>
    <x v="0"/>
    <m/>
  </r>
  <r>
    <s v="PPT1_BOI04"/>
    <s v="S1CS04043-WS"/>
    <n v="300"/>
    <s v="207200470"/>
    <s v="NW"/>
    <n v="34"/>
    <n v="0.3302613073877515"/>
    <x v="2"/>
    <x v="1"/>
    <n v="0"/>
    <x v="0"/>
    <m/>
  </r>
  <r>
    <s v="PPT1_BOI04"/>
    <s v="S1CS04043-WS"/>
    <n v="100"/>
    <s v="207198181"/>
    <s v="NW"/>
    <n v="34"/>
    <n v="0.11008710246258382"/>
    <x v="0"/>
    <x v="1"/>
    <n v="0"/>
    <x v="0"/>
    <m/>
  </r>
  <r>
    <s v="PPT1_BOI04"/>
    <s v="S1CS04043-WS"/>
    <n v="300"/>
    <s v="207197964"/>
    <s v="NW"/>
    <n v="34"/>
    <n v="0.3302613073877515"/>
    <x v="7"/>
    <x v="1"/>
    <n v="0"/>
    <x v="0"/>
    <m/>
  </r>
  <r>
    <s v="PPT1_BOI04"/>
    <s v="S1CS04043-WS"/>
    <n v="300"/>
    <s v="207197378"/>
    <s v="NW"/>
    <n v="34"/>
    <n v="0.3302613073877515"/>
    <x v="14"/>
    <x v="1"/>
    <n v="0"/>
    <x v="0"/>
    <m/>
  </r>
  <r>
    <s v="PPT1_BOI04"/>
    <s v="S1CS04043-WS"/>
    <n v="200"/>
    <s v="207202114"/>
    <s v="NW"/>
    <n v="34"/>
    <n v="0.22017420492516765"/>
    <x v="5"/>
    <x v="1"/>
    <n v="0"/>
    <x v="0"/>
    <m/>
  </r>
  <r>
    <s v="PPT1_BOI04"/>
    <s v="S1CS04043-WS"/>
    <n v="100"/>
    <s v="207208186"/>
    <s v="NW"/>
    <n v="34"/>
    <n v="0.11008710246258382"/>
    <x v="15"/>
    <x v="1"/>
    <n v="0"/>
    <x v="0"/>
    <m/>
  </r>
  <r>
    <s v="PPT1_BOI04"/>
    <s v="S1CS04043-WS"/>
    <n v="300"/>
    <s v="207197452"/>
    <s v="NW"/>
    <n v="34"/>
    <n v="0.3302613073877515"/>
    <x v="17"/>
    <x v="1"/>
    <n v="0"/>
    <x v="0"/>
    <m/>
  </r>
  <r>
    <s v="PPT1_BOI04"/>
    <s v="S1CS04043-WS"/>
    <n v="300"/>
    <s v="207197427"/>
    <s v="NW"/>
    <n v="34"/>
    <n v="0.3302613073877515"/>
    <x v="0"/>
    <x v="1"/>
    <n v="0"/>
    <x v="0"/>
    <m/>
  </r>
  <r>
    <s v="PPT1_BOI04"/>
    <s v="S1CS04043-WS"/>
    <n v="300"/>
    <s v="207208169"/>
    <s v="NW"/>
    <n v="34"/>
    <n v="0.3302613073877515"/>
    <x v="4"/>
    <x v="1"/>
    <n v="0"/>
    <x v="0"/>
    <m/>
  </r>
  <r>
    <s v="PPT1_BOI04"/>
    <s v="S1CS04044-WS"/>
    <n v="360"/>
    <s v="207199147"/>
    <s v="NW"/>
    <n v="5"/>
    <n v="0.60835823895056962"/>
    <x v="6"/>
    <x v="1"/>
    <n v="0"/>
    <x v="0"/>
    <m/>
  </r>
  <r>
    <s v="PPT1_BOI04"/>
    <s v="S1CS04044-WS"/>
    <n v="360"/>
    <s v="207199042"/>
    <s v="NW"/>
    <n v="5"/>
    <n v="0.60835823895056962"/>
    <x v="15"/>
    <x v="1"/>
    <n v="0"/>
    <x v="0"/>
    <m/>
  </r>
  <r>
    <s v="PPT1_BOI04"/>
    <s v="S1CS04044-WS"/>
    <n v="360"/>
    <s v="207199127"/>
    <s v="NW"/>
    <n v="5"/>
    <n v="0.60835823895056962"/>
    <x v="9"/>
    <x v="1"/>
    <n v="0"/>
    <x v="0"/>
    <m/>
  </r>
  <r>
    <s v="PPT1_BOI04"/>
    <s v="S1CS04044-WS"/>
    <n v="360"/>
    <s v="207199132"/>
    <s v="NW"/>
    <n v="5"/>
    <n v="0.60835823895056962"/>
    <x v="18"/>
    <x v="1"/>
    <n v="0"/>
    <x v="0"/>
    <m/>
  </r>
  <r>
    <s v="PPT1_BOI04"/>
    <s v="S1CS04044-WS"/>
    <n v="240"/>
    <s v="207199066"/>
    <s v="NW"/>
    <n v="5"/>
    <n v="0.40557215930037976"/>
    <x v="10"/>
    <x v="1"/>
    <n v="0"/>
    <x v="0"/>
    <m/>
  </r>
  <r>
    <s v="PPT1_BOI04"/>
    <s v="S1CS04044-WS"/>
    <n v="360"/>
    <s v="207199117"/>
    <s v="NW"/>
    <n v="5"/>
    <n v="0.60835823895056962"/>
    <x v="10"/>
    <x v="1"/>
    <n v="0"/>
    <x v="0"/>
    <m/>
  </r>
  <r>
    <s v="PPT1_BOI04"/>
    <s v="S1CS04044-WS"/>
    <n v="360"/>
    <s v="207199121"/>
    <s v="NW"/>
    <n v="5"/>
    <n v="0.60835823895056962"/>
    <x v="6"/>
    <x v="1"/>
    <n v="0"/>
    <x v="0"/>
    <m/>
  </r>
  <r>
    <s v="PPT1_BOI04"/>
    <s v="S1CS04044-WS"/>
    <n v="120"/>
    <s v="207199089"/>
    <s v="NW"/>
    <n v="5"/>
    <n v="0.20278607965018988"/>
    <x v="15"/>
    <x v="1"/>
    <n v="0"/>
    <x v="0"/>
    <m/>
  </r>
  <r>
    <s v="PPT1_BOI04"/>
    <s v="S1CS04055-WS"/>
    <n v="750"/>
    <s v="207197260"/>
    <s v="NW"/>
    <n v="3"/>
    <n v="1.2498107037659549"/>
    <x v="8"/>
    <x v="1"/>
    <n v="0"/>
    <x v="0"/>
    <m/>
  </r>
  <r>
    <s v="PPT1_BOI04"/>
    <s v="S1CS04055-WS"/>
    <n v="750"/>
    <s v="207197286"/>
    <s v="NW"/>
    <n v="3"/>
    <n v="1.2498107037659549"/>
    <x v="3"/>
    <x v="1"/>
    <n v="0"/>
    <x v="0"/>
    <m/>
  </r>
  <r>
    <s v="PPT1_BOI04"/>
    <s v="S1CS04055-WS"/>
    <n v="250"/>
    <s v="207197306"/>
    <s v="NW"/>
    <n v="3"/>
    <n v="0.416603567921985"/>
    <x v="13"/>
    <x v="1"/>
    <n v="0"/>
    <x v="0"/>
    <m/>
  </r>
  <r>
    <s v="PPT1_BOI04"/>
    <s v="S1CS04085-WS"/>
    <n v="100"/>
    <s v="207197370"/>
    <s v="NW"/>
    <n v="1"/>
    <n v="0.1791044079018656"/>
    <x v="5"/>
    <x v="1"/>
    <n v="0"/>
    <x v="0"/>
    <m/>
  </r>
  <r>
    <s v="PPT1_BOI04"/>
    <s v="S1CS04085-WS"/>
    <n v="300"/>
    <s v="207198960"/>
    <s v="NW"/>
    <n v="1"/>
    <n v="0.53731322370559687"/>
    <x v="5"/>
    <x v="1"/>
    <n v="0"/>
    <x v="0"/>
    <m/>
  </r>
  <r>
    <s v="PPT1_BOI04"/>
    <s v="S1CS04085-WS"/>
    <n v="300"/>
    <s v="207197315"/>
    <s v="NW"/>
    <n v="1"/>
    <n v="0.53731322370559687"/>
    <x v="5"/>
    <x v="1"/>
    <n v="0"/>
    <x v="0"/>
    <m/>
  </r>
  <r>
    <s v="PPT1_BOI04"/>
    <s v="S1CS04085-WS"/>
    <n v="300"/>
    <s v="207197342"/>
    <s v="NW"/>
    <n v="1"/>
    <n v="0.53731322370559687"/>
    <x v="5"/>
    <x v="1"/>
    <n v="0"/>
    <x v="0"/>
    <m/>
  </r>
  <r>
    <s v="PPT1_BOI04"/>
    <s v="S1CS04089-WS"/>
    <n v="300"/>
    <s v="207201423"/>
    <s v="NW"/>
    <n v="7"/>
    <n v="0.36424201478812451"/>
    <x v="16"/>
    <x v="1"/>
    <n v="0"/>
    <x v="0"/>
    <m/>
  </r>
  <r>
    <s v="PPT1_BOI04"/>
    <s v="S1CS04089-WS"/>
    <n v="300"/>
    <s v="207197239"/>
    <s v="NW"/>
    <n v="7"/>
    <n v="0.36424201478812451"/>
    <x v="1"/>
    <x v="1"/>
    <n v="0"/>
    <x v="0"/>
    <m/>
  </r>
  <r>
    <s v="PPT1_BOI04"/>
    <s v="S1CS04089-WS"/>
    <n v="600"/>
    <s v="207197232"/>
    <s v="NW"/>
    <n v="7"/>
    <n v="0.72848402957624903"/>
    <x v="2"/>
    <x v="1"/>
    <n v="0"/>
    <x v="0"/>
    <m/>
  </r>
  <r>
    <s v="PPT1_BOI04"/>
    <s v="S1CS04089-WS"/>
    <n v="900"/>
    <s v="207200966"/>
    <s v="NW"/>
    <n v="7"/>
    <n v="1.0927260443643736"/>
    <x v="7"/>
    <x v="1"/>
    <n v="0"/>
    <x v="0"/>
    <m/>
  </r>
  <r>
    <s v="PPT1_BOI04"/>
    <s v="S1CS04089-WS"/>
    <n v="900"/>
    <s v="207200879"/>
    <s v="NW"/>
    <n v="7"/>
    <n v="1.0927260443643736"/>
    <x v="14"/>
    <x v="1"/>
    <n v="0"/>
    <x v="0"/>
    <m/>
  </r>
  <r>
    <s v="PPT1_BOI04"/>
    <s v="S1CS04090-WS"/>
    <n v="300"/>
    <s v="207201707"/>
    <s v="NW"/>
    <n v="3"/>
    <n v="0.35986939056566186"/>
    <x v="17"/>
    <x v="1"/>
    <n v="0"/>
    <x v="0"/>
    <m/>
  </r>
  <r>
    <s v="PPT1_BOI04"/>
    <s v="S1CS04090-WS"/>
    <n v="450"/>
    <s v="207201686"/>
    <s v="NW"/>
    <n v="3"/>
    <n v="0.53980408584849282"/>
    <x v="0"/>
    <x v="1"/>
    <n v="0"/>
    <x v="0"/>
    <m/>
  </r>
  <r>
    <s v="PPT1_BOI04"/>
    <s v="S1CS04090-WS"/>
    <n v="150"/>
    <s v="207197666"/>
    <s v="NW"/>
    <n v="3"/>
    <n v="0.17993469528283093"/>
    <x v="4"/>
    <x v="1"/>
    <n v="0"/>
    <x v="0"/>
    <m/>
  </r>
  <r>
    <s v="PPT1_BOI04"/>
    <s v="S1CS04090-WS"/>
    <n v="450"/>
    <s v="207201716"/>
    <s v="NW"/>
    <n v="3"/>
    <n v="0.53980408584849282"/>
    <x v="4"/>
    <x v="1"/>
    <n v="0"/>
    <x v="0"/>
    <m/>
  </r>
  <r>
    <s v="PPT1_BOI04"/>
    <s v="S1CS04090-WS"/>
    <n v="450"/>
    <s v="207197662"/>
    <s v="NW"/>
    <n v="3"/>
    <n v="0.53980408584849282"/>
    <x v="17"/>
    <x v="1"/>
    <n v="0"/>
    <x v="0"/>
    <m/>
  </r>
  <r>
    <s v="PPT1_BOI04"/>
    <s v="S1CS04090-WS"/>
    <n v="450"/>
    <s v="207201711"/>
    <s v="NW"/>
    <n v="3"/>
    <n v="0.53980408584849282"/>
    <x v="0"/>
    <x v="1"/>
    <n v="0"/>
    <x v="0"/>
    <m/>
  </r>
  <r>
    <s v="PPT1_BOI04"/>
    <s v="S1CS04090-WS"/>
    <n v="450"/>
    <s v="207201714"/>
    <s v="NW"/>
    <n v="3"/>
    <n v="0.53980408584849282"/>
    <x v="4"/>
    <x v="1"/>
    <n v="0"/>
    <x v="0"/>
    <m/>
  </r>
  <r>
    <s v="PPT1_BOI04"/>
    <s v="S1CS04091-WS"/>
    <n v="480"/>
    <s v="207198541"/>
    <s v="NW"/>
    <n v="3"/>
    <n v="0.57579102490505896"/>
    <x v="16"/>
    <x v="1"/>
    <n v="0"/>
    <x v="0"/>
    <m/>
  </r>
  <r>
    <s v="PPT1_BOI04"/>
    <s v="S1CS04091-WS"/>
    <n v="720"/>
    <s v="207200924"/>
    <s v="NW"/>
    <n v="3"/>
    <n v="0.86368653735758849"/>
    <x v="1"/>
    <x v="1"/>
    <n v="0"/>
    <x v="0"/>
    <m/>
  </r>
  <r>
    <s v="PPT1_BOI04"/>
    <s v="S1CS04091-WS"/>
    <n v="720"/>
    <s v="207200937"/>
    <s v="NW"/>
    <n v="3"/>
    <n v="0.86368653735758849"/>
    <x v="13"/>
    <x v="1"/>
    <n v="0"/>
    <x v="0"/>
    <m/>
  </r>
  <r>
    <s v="PPT1_BOI04"/>
    <s v="S1CS04091-WS"/>
    <n v="240"/>
    <s v="207198588"/>
    <s v="NW"/>
    <n v="3"/>
    <n v="0.28789551245252948"/>
    <x v="16"/>
    <x v="1"/>
    <n v="0"/>
    <x v="0"/>
    <m/>
  </r>
  <r>
    <s v="PPT1_BOI04"/>
    <s v="S1CS04091-WS"/>
    <n v="720"/>
    <s v="207200894"/>
    <s v="NW"/>
    <n v="3"/>
    <n v="0.86368653735758849"/>
    <x v="16"/>
    <x v="1"/>
    <n v="0"/>
    <x v="0"/>
    <m/>
  </r>
  <r>
    <s v="PPT1_BOI04"/>
    <s v="S1CS04098-WS"/>
    <n v="500"/>
    <s v="207198668"/>
    <s v="NW"/>
    <n v="7"/>
    <n v="0.49718631219519227"/>
    <x v="9"/>
    <x v="1"/>
    <n v="0"/>
    <x v="0"/>
    <m/>
  </r>
  <r>
    <s v="PPT1_BOI04"/>
    <s v="S1CS04098-WS"/>
    <n v="750"/>
    <s v="207198645"/>
    <s v="NW"/>
    <n v="7"/>
    <n v="0.74577946829278841"/>
    <x v="18"/>
    <x v="1"/>
    <n v="0"/>
    <x v="0"/>
    <m/>
  </r>
  <r>
    <s v="PPT1_BOI04"/>
    <s v="S1CS04099-WS"/>
    <n v="450"/>
    <s v="207197293"/>
    <s v="NW"/>
    <n v="7"/>
    <n v="0.52571710993059806"/>
    <x v="15"/>
    <x v="1"/>
    <n v="0"/>
    <x v="0"/>
    <m/>
  </r>
  <r>
    <s v="PPT1_BOI04"/>
    <s v="S1CS04099-WS"/>
    <n v="450"/>
    <s v="207197291"/>
    <s v="NW"/>
    <n v="7"/>
    <n v="0.52571710993059806"/>
    <x v="2"/>
    <x v="1"/>
    <n v="0"/>
    <x v="0"/>
    <m/>
  </r>
  <r>
    <s v="PPT1_BOI04"/>
    <s v="S1CS04099-WS"/>
    <n v="300"/>
    <s v="207197319"/>
    <s v="NW"/>
    <n v="7"/>
    <n v="0.35047807328706532"/>
    <x v="10"/>
    <x v="1"/>
    <n v="0"/>
    <x v="0"/>
    <m/>
  </r>
  <r>
    <s v="PPT1_BOI04"/>
    <s v="S1CS04100-WS"/>
    <n v="900"/>
    <s v="207197322"/>
    <s v="NW"/>
    <n v="5"/>
    <n v="1.0796081716969856"/>
    <x v="17"/>
    <x v="1"/>
    <n v="0"/>
    <x v="0"/>
    <m/>
  </r>
  <r>
    <s v="PPT1_BOI04"/>
    <s v="S1CS04100-WS"/>
    <n v="300"/>
    <s v="207197348"/>
    <s v="NW"/>
    <n v="5"/>
    <n v="0.35986939056566186"/>
    <x v="9"/>
    <x v="1"/>
    <n v="0"/>
    <x v="0"/>
    <m/>
  </r>
  <r>
    <s v="PPT1_BOI04"/>
    <s v="S1CS04308-WS"/>
    <n v="225"/>
    <s v="207197850"/>
    <s v="NW"/>
    <n v="4"/>
    <n v="0.3551225758826132"/>
    <x v="6"/>
    <x v="1"/>
    <n v="0"/>
    <x v="0"/>
    <m/>
  </r>
  <r>
    <s v="PPT1_BOI04"/>
    <s v="S1CS04308-WS"/>
    <n v="225"/>
    <s v="207197814"/>
    <s v="NW"/>
    <n v="4"/>
    <n v="0.3551225758826132"/>
    <x v="7"/>
    <x v="1"/>
    <n v="0"/>
    <x v="0"/>
    <m/>
  </r>
  <r>
    <s v="PPT1_BOI04"/>
    <s v="S1CS04308-WS"/>
    <n v="225"/>
    <s v="207197905"/>
    <s v="NW"/>
    <n v="4"/>
    <n v="0.3551225758826132"/>
    <x v="14"/>
    <x v="1"/>
    <n v="0"/>
    <x v="0"/>
    <m/>
  </r>
  <r>
    <s v="PPT1_BOI04"/>
    <s v="S1CS04308-WS"/>
    <n v="225"/>
    <s v="207197855"/>
    <s v="NW"/>
    <n v="4"/>
    <n v="0.3551225758826132"/>
    <x v="8"/>
    <x v="1"/>
    <n v="0"/>
    <x v="0"/>
    <m/>
  </r>
  <r>
    <s v="PPT1_BOI04"/>
    <s v="S1CS04308-WS"/>
    <n v="225"/>
    <s v="207197922"/>
    <s v="NW"/>
    <n v="4"/>
    <n v="0.3551225758826132"/>
    <x v="6"/>
    <x v="1"/>
    <n v="0"/>
    <x v="0"/>
    <m/>
  </r>
  <r>
    <s v="PPT1_BOI04"/>
    <s v="S1CS04308-WS"/>
    <n v="225"/>
    <s v="207197588"/>
    <s v="NW"/>
    <n v="4"/>
    <n v="0.3551225758826132"/>
    <x v="7"/>
    <x v="1"/>
    <n v="0"/>
    <x v="0"/>
    <m/>
  </r>
  <r>
    <s v="PPT1_BOI04"/>
    <s v="S1CS04308-WS"/>
    <n v="225"/>
    <s v="207197637"/>
    <s v="NW"/>
    <n v="4"/>
    <n v="0.3551225758826132"/>
    <x v="14"/>
    <x v="1"/>
    <n v="0"/>
    <x v="0"/>
    <m/>
  </r>
  <r>
    <s v="PPT1_BOI04"/>
    <s v="S1CS04308-WS"/>
    <n v="225"/>
    <s v="207197646"/>
    <s v="NW"/>
    <n v="4"/>
    <n v="0.3551225758826132"/>
    <x v="8"/>
    <x v="1"/>
    <n v="0"/>
    <x v="0"/>
    <m/>
  </r>
  <r>
    <s v="PPT1_BOI04"/>
    <s v="S1CS04308-WS"/>
    <n v="225"/>
    <s v="207197760"/>
    <s v="NW"/>
    <n v="4"/>
    <n v="0.3551225758826132"/>
    <x v="6"/>
    <x v="1"/>
    <n v="0"/>
    <x v="0"/>
    <m/>
  </r>
  <r>
    <s v="PPT1_BOI04"/>
    <s v="S1CS04308-WS"/>
    <n v="225"/>
    <s v="207197705"/>
    <s v="NW"/>
    <n v="4"/>
    <n v="0.3551225758826132"/>
    <x v="7"/>
    <x v="1"/>
    <n v="0"/>
    <x v="0"/>
    <m/>
  </r>
  <r>
    <s v="PPT1_BOI04"/>
    <s v="S1CS04308-WS"/>
    <n v="225"/>
    <s v="207197980"/>
    <s v="NW"/>
    <n v="4"/>
    <n v="0.3551225758826132"/>
    <x v="14"/>
    <x v="1"/>
    <n v="0"/>
    <x v="0"/>
    <m/>
  </r>
  <r>
    <s v="PPT1_BOI04"/>
    <s v="S1CS04308-WS"/>
    <n v="225"/>
    <s v="207198113"/>
    <s v="NW"/>
    <n v="4"/>
    <n v="0.3551225758826132"/>
    <x v="8"/>
    <x v="1"/>
    <n v="0"/>
    <x v="0"/>
    <m/>
  </r>
  <r>
    <s v="PPT1_BOI04"/>
    <s v="S1CS04308-WS"/>
    <n v="225"/>
    <s v="207201194"/>
    <s v="NW"/>
    <n v="4"/>
    <n v="0.3551225758826132"/>
    <x v="6"/>
    <x v="1"/>
    <n v="0"/>
    <x v="0"/>
    <m/>
  </r>
  <r>
    <s v="PPT1_BOI04"/>
    <s v="S1CS04308-WS"/>
    <n v="225"/>
    <s v="207198130"/>
    <s v="NW"/>
    <n v="4"/>
    <n v="0.3551225758826132"/>
    <x v="7"/>
    <x v="1"/>
    <n v="0"/>
    <x v="0"/>
    <m/>
  </r>
  <r>
    <s v="PPT1_BOI04"/>
    <s v="S1CS04308-WS"/>
    <n v="225"/>
    <s v="207198210"/>
    <s v="NW"/>
    <n v="4"/>
    <n v="0.3551225758826132"/>
    <x v="14"/>
    <x v="1"/>
    <n v="0"/>
    <x v="0"/>
    <m/>
  </r>
  <r>
    <s v="PPT1_BOI04"/>
    <s v="S1CS04308-WS"/>
    <n v="225"/>
    <s v="207198199"/>
    <s v="NW"/>
    <n v="4"/>
    <n v="0.3551225758826132"/>
    <x v="8"/>
    <x v="1"/>
    <n v="0"/>
    <x v="0"/>
    <m/>
  </r>
  <r>
    <s v="PPT1_BOI04"/>
    <s v="S1CS04308-WS"/>
    <n v="225"/>
    <s v="207198024"/>
    <s v="NW"/>
    <n v="4"/>
    <n v="0.3551225758826132"/>
    <x v="6"/>
    <x v="1"/>
    <n v="0"/>
    <x v="0"/>
    <m/>
  </r>
  <r>
    <s v="PPT1_BOI04"/>
    <s v="S1CS04308-WS"/>
    <n v="225"/>
    <s v="207197999"/>
    <s v="NW"/>
    <n v="4"/>
    <n v="0.3551225758826132"/>
    <x v="7"/>
    <x v="1"/>
    <n v="0"/>
    <x v="0"/>
    <m/>
  </r>
  <r>
    <s v="PPT1_BOI04"/>
    <s v="S1CS04308-WS"/>
    <n v="225"/>
    <s v="207198059"/>
    <s v="NW"/>
    <n v="4"/>
    <n v="0.3551225758826132"/>
    <x v="14"/>
    <x v="1"/>
    <n v="0"/>
    <x v="0"/>
    <m/>
  </r>
  <r>
    <s v="PPT1_BOI04"/>
    <s v="S1CS04308-WS"/>
    <n v="225"/>
    <s v="207201162"/>
    <s v="NW"/>
    <n v="4"/>
    <n v="0.3551225758826132"/>
    <x v="8"/>
    <x v="1"/>
    <n v="0"/>
    <x v="0"/>
    <m/>
  </r>
  <r>
    <s v="PPT1_BOI04"/>
    <s v="S1CS04308-WS"/>
    <n v="225"/>
    <s v="207198084"/>
    <s v="NW"/>
    <n v="4"/>
    <n v="0.3551225758826132"/>
    <x v="6"/>
    <x v="1"/>
    <n v="0"/>
    <x v="0"/>
    <m/>
  </r>
  <r>
    <s v="PPT1_BOI04"/>
    <s v="S1CS04308-WS"/>
    <n v="225"/>
    <s v="207201349"/>
    <s v="NW"/>
    <n v="4"/>
    <n v="0.3551225758826132"/>
    <x v="7"/>
    <x v="1"/>
    <n v="0"/>
    <x v="0"/>
    <m/>
  </r>
  <r>
    <s v="PPT1_BOI04"/>
    <s v="S1CS04308-WS"/>
    <n v="225"/>
    <s v="207201353"/>
    <s v="NW"/>
    <n v="4"/>
    <n v="0.3551225758826132"/>
    <x v="14"/>
    <x v="1"/>
    <n v="0"/>
    <x v="0"/>
    <m/>
  </r>
  <r>
    <s v="PPT1_BOI04"/>
    <s v="S1CS04308-WS"/>
    <n v="225"/>
    <s v="207201313"/>
    <s v="NW"/>
    <n v="4"/>
    <n v="0.3551225758826132"/>
    <x v="8"/>
    <x v="1"/>
    <n v="0"/>
    <x v="0"/>
    <m/>
  </r>
  <r>
    <s v="PPT1_BOI04"/>
    <s v="S1CS04308-WS"/>
    <n v="225"/>
    <s v="207201257"/>
    <s v="NW"/>
    <n v="4"/>
    <n v="0.3551225758826132"/>
    <x v="6"/>
    <x v="1"/>
    <n v="0"/>
    <x v="0"/>
    <m/>
  </r>
  <r>
    <s v="PPT1_BOI04"/>
    <s v="S1CS04308-WS"/>
    <n v="225"/>
    <s v="207201157"/>
    <s v="NW"/>
    <n v="4"/>
    <n v="0.3551225758826132"/>
    <x v="7"/>
    <x v="1"/>
    <n v="0"/>
    <x v="0"/>
    <m/>
  </r>
  <r>
    <s v="PPT1_BOI04"/>
    <s v="S1CS04308-WS"/>
    <n v="225"/>
    <s v="207201488"/>
    <s v="NW"/>
    <n v="4"/>
    <n v="0.3551225758826132"/>
    <x v="14"/>
    <x v="1"/>
    <n v="0"/>
    <x v="0"/>
    <m/>
  </r>
  <r>
    <s v="PPT1_BOI04"/>
    <s v="S1CS04308-WS"/>
    <n v="225"/>
    <s v="207201492"/>
    <s v="NW"/>
    <n v="4"/>
    <n v="0.3551225758826132"/>
    <x v="8"/>
    <x v="1"/>
    <n v="0"/>
    <x v="0"/>
    <m/>
  </r>
  <r>
    <s v="PPT1_BOI04"/>
    <s v="S1CS04308-WS"/>
    <n v="225"/>
    <s v="207201452"/>
    <s v="NW"/>
    <n v="4"/>
    <n v="0.3551225758826132"/>
    <x v="6"/>
    <x v="1"/>
    <n v="0"/>
    <x v="0"/>
    <m/>
  </r>
  <r>
    <s v="PPT1_BOI04"/>
    <s v="S1CS04308-WS"/>
    <n v="225"/>
    <s v="207201379"/>
    <s v="NW"/>
    <n v="4"/>
    <n v="0.3551225758826132"/>
    <x v="7"/>
    <x v="1"/>
    <n v="0"/>
    <x v="0"/>
    <m/>
  </r>
  <r>
    <s v="PPT1_BOI04"/>
    <s v="S1CS04308-WS"/>
    <n v="225"/>
    <s v="207201384"/>
    <s v="NW"/>
    <n v="4"/>
    <n v="0.3551225758826132"/>
    <x v="14"/>
    <x v="1"/>
    <n v="0"/>
    <x v="0"/>
    <m/>
  </r>
  <r>
    <s v="PPT1_BOI04"/>
    <s v="S1CS04308-WS"/>
    <n v="225"/>
    <s v="207201233"/>
    <s v="NW"/>
    <n v="4"/>
    <n v="0.3551225758826132"/>
    <x v="8"/>
    <x v="1"/>
    <n v="0"/>
    <x v="0"/>
    <m/>
  </r>
  <r>
    <s v="PPT1_BOI04"/>
    <s v="S1CS04308-WS"/>
    <n v="225"/>
    <s v="207197403"/>
    <s v="NW"/>
    <n v="4"/>
    <n v="0.3551225758826132"/>
    <x v="6"/>
    <x v="1"/>
    <n v="0"/>
    <x v="0"/>
    <m/>
  </r>
  <r>
    <s v="PPT1_BOI04"/>
    <s v="S1CS04308-WS"/>
    <n v="225"/>
    <s v="207197376"/>
    <s v="NW"/>
    <n v="4"/>
    <n v="0.3551225758826132"/>
    <x v="7"/>
    <x v="1"/>
    <n v="0"/>
    <x v="0"/>
    <m/>
  </r>
  <r>
    <s v="PPT1_BOI04"/>
    <s v="S1CS04308-WS"/>
    <n v="225"/>
    <s v="207197439"/>
    <s v="NW"/>
    <n v="4"/>
    <n v="0.3551225758826132"/>
    <x v="14"/>
    <x v="1"/>
    <n v="0"/>
    <x v="0"/>
    <m/>
  </r>
  <r>
    <s v="PPT1_BOI04"/>
    <s v="S1CS04308-WS"/>
    <n v="225"/>
    <s v="207197495"/>
    <s v="NW"/>
    <n v="4"/>
    <n v="0.3551225758826132"/>
    <x v="8"/>
    <x v="1"/>
    <n v="0"/>
    <x v="0"/>
    <m/>
  </r>
  <r>
    <s v="PPT1_BOI04"/>
    <s v="S1CS04308-WS"/>
    <n v="225"/>
    <s v="207197487"/>
    <s v="NW"/>
    <n v="4"/>
    <n v="0.3551225758826132"/>
    <x v="6"/>
    <x v="1"/>
    <n v="0"/>
    <x v="0"/>
    <m/>
  </r>
  <r>
    <s v="PPT1_BOI04"/>
    <s v="S1CS04308-WS"/>
    <n v="225"/>
    <s v="207197307"/>
    <s v="NW"/>
    <n v="4"/>
    <n v="0.3551225758826132"/>
    <x v="7"/>
    <x v="1"/>
    <n v="0"/>
    <x v="0"/>
    <m/>
  </r>
  <r>
    <s v="PPT1_BOI04"/>
    <s v="S1CS04308-WS"/>
    <n v="225"/>
    <s v="207201229"/>
    <s v="NW"/>
    <n v="4"/>
    <n v="0.3551225758826132"/>
    <x v="14"/>
    <x v="1"/>
    <n v="0"/>
    <x v="0"/>
    <m/>
  </r>
  <r>
    <s v="PPT1_BOI04"/>
    <s v="S1CS04308-WS"/>
    <n v="225"/>
    <s v="207197313"/>
    <s v="NW"/>
    <n v="4"/>
    <n v="0.3551225758826132"/>
    <x v="8"/>
    <x v="1"/>
    <n v="0"/>
    <x v="0"/>
    <m/>
  </r>
  <r>
    <s v="PPT1_BOI04"/>
    <s v="S1CS04308-WS"/>
    <n v="225"/>
    <s v="207197368"/>
    <s v="NW"/>
    <n v="4"/>
    <n v="0.3551225758826132"/>
    <x v="6"/>
    <x v="1"/>
    <n v="0"/>
    <x v="0"/>
    <m/>
  </r>
  <r>
    <s v="PPT1_BOI04"/>
    <s v="S1CS04308-WS"/>
    <n v="225"/>
    <s v="207197339"/>
    <s v="NW"/>
    <n v="4"/>
    <n v="0.3551225758826132"/>
    <x v="7"/>
    <x v="1"/>
    <n v="0"/>
    <x v="0"/>
    <m/>
  </r>
  <r>
    <s v="PPT1_BOI04"/>
    <s v="S1CS04308-WS"/>
    <n v="225"/>
    <s v="207198836"/>
    <s v="NW"/>
    <n v="4"/>
    <n v="0.3551225758826132"/>
    <x v="14"/>
    <x v="1"/>
    <n v="0"/>
    <x v="0"/>
    <m/>
  </r>
  <r>
    <s v="PPT1_BOI04"/>
    <s v="S1CS04308-WS"/>
    <n v="225"/>
    <s v="207198490"/>
    <s v="NW"/>
    <n v="4"/>
    <n v="0.3551225758826132"/>
    <x v="8"/>
    <x v="1"/>
    <n v="0"/>
    <x v="0"/>
    <m/>
  </r>
  <r>
    <s v="PPT1_BOI04"/>
    <s v="S1CS04308-WS"/>
    <n v="225"/>
    <s v="207201043"/>
    <s v="NW"/>
    <n v="4"/>
    <n v="0.3551225758826132"/>
    <x v="6"/>
    <x v="1"/>
    <n v="0"/>
    <x v="0"/>
    <m/>
  </r>
  <r>
    <s v="PPT1_BOI04"/>
    <s v="S1CS04308-WS"/>
    <n v="225"/>
    <s v="207201016"/>
    <s v="NW"/>
    <n v="4"/>
    <n v="0.3551225758826132"/>
    <x v="7"/>
    <x v="1"/>
    <n v="0"/>
    <x v="0"/>
    <m/>
  </r>
  <r>
    <s v="PPT1_BOI04"/>
    <s v="S1CS04308-WS"/>
    <n v="225"/>
    <s v="207198428"/>
    <s v="NW"/>
    <n v="4"/>
    <n v="0.3551225758826132"/>
    <x v="14"/>
    <x v="1"/>
    <n v="0"/>
    <x v="0"/>
    <m/>
  </r>
  <r>
    <s v="PPT1_BOI04"/>
    <s v="S1CS04308-WS"/>
    <n v="75"/>
    <s v="207198268"/>
    <s v="NW"/>
    <n v="4"/>
    <n v="0.11837419196087107"/>
    <x v="8"/>
    <x v="1"/>
    <n v="0"/>
    <x v="0"/>
    <m/>
  </r>
  <r>
    <s v="PPT1_BOI04"/>
    <s v="S1CS04308-WS"/>
    <n v="225"/>
    <s v="207198266"/>
    <s v="NW"/>
    <n v="4"/>
    <n v="0.3551225758826132"/>
    <x v="8"/>
    <x v="1"/>
    <n v="0"/>
    <x v="0"/>
    <m/>
  </r>
  <r>
    <s v="PPT1_BOI04"/>
    <s v="S1CS04308-WS"/>
    <n v="225"/>
    <s v="207198374"/>
    <s v="NW"/>
    <n v="4"/>
    <n v="0.3551225758826132"/>
    <x v="6"/>
    <x v="1"/>
    <n v="0"/>
    <x v="0"/>
    <m/>
  </r>
  <r>
    <s v="PPT1_BOI04"/>
    <s v="S1CS04308-WS"/>
    <n v="225"/>
    <s v="207198334"/>
    <s v="NW"/>
    <n v="4"/>
    <n v="0.3551225758826132"/>
    <x v="7"/>
    <x v="1"/>
    <n v="0"/>
    <x v="0"/>
    <m/>
  </r>
  <r>
    <s v="PPT1_BOI04"/>
    <s v="S1CS04308-WS"/>
    <n v="225"/>
    <s v="207198938"/>
    <s v="NW"/>
    <n v="4"/>
    <n v="0.3551225758826132"/>
    <x v="14"/>
    <x v="1"/>
    <n v="0"/>
    <x v="0"/>
    <m/>
  </r>
  <r>
    <s v="PPT1_BOI04"/>
    <s v="S1CS04308-WS"/>
    <n v="225"/>
    <s v="207198900"/>
    <s v="NW"/>
    <n v="4"/>
    <n v="0.3551225758826132"/>
    <x v="8"/>
    <x v="1"/>
    <n v="0"/>
    <x v="0"/>
    <m/>
  </r>
  <r>
    <s v="PPT1_BOI04"/>
    <s v="S1CS04308-WS"/>
    <n v="225"/>
    <s v="207200958"/>
    <s v="NW"/>
    <n v="4"/>
    <n v="0.3551225758826132"/>
    <x v="6"/>
    <x v="1"/>
    <n v="0"/>
    <x v="0"/>
    <m/>
  </r>
  <r>
    <s v="PPT1_BOI04"/>
    <s v="S1CS04308-WS"/>
    <n v="225"/>
    <s v="207201014"/>
    <s v="NW"/>
    <n v="4"/>
    <n v="0.3551225758826132"/>
    <x v="7"/>
    <x v="1"/>
    <n v="0"/>
    <x v="0"/>
    <m/>
  </r>
  <r>
    <s v="PPT1_BOI04"/>
    <s v="S1CS04308-WS"/>
    <n v="225"/>
    <s v="207201009"/>
    <s v="NW"/>
    <n v="4"/>
    <n v="0.3551225758826132"/>
    <x v="14"/>
    <x v="1"/>
    <n v="0"/>
    <x v="0"/>
    <m/>
  </r>
  <r>
    <s v="PPT1_BOI04"/>
    <s v="S1CS04308-WS"/>
    <n v="225"/>
    <s v="207201103"/>
    <s v="NW"/>
    <n v="4"/>
    <n v="0.3551225758826132"/>
    <x v="8"/>
    <x v="1"/>
    <n v="0"/>
    <x v="0"/>
    <m/>
  </r>
  <r>
    <s v="PPT1_BOI04"/>
    <s v="S1CS04308-WS"/>
    <n v="225"/>
    <s v="207201105"/>
    <s v="NW"/>
    <n v="4"/>
    <n v="0.3551225758826132"/>
    <x v="6"/>
    <x v="1"/>
    <n v="0"/>
    <x v="0"/>
    <m/>
  </r>
  <r>
    <s v="PPT1_BOI04"/>
    <s v="S1CS04308-WS"/>
    <n v="225"/>
    <s v="207201133"/>
    <s v="NW"/>
    <n v="4"/>
    <n v="0.3551225758826132"/>
    <x v="7"/>
    <x v="1"/>
    <n v="0"/>
    <x v="0"/>
    <m/>
  </r>
  <r>
    <s v="PPT1_BOI04"/>
    <s v="S1CS04308-WS"/>
    <n v="225"/>
    <s v="207201129"/>
    <s v="NW"/>
    <n v="4"/>
    <n v="0.3551225758826132"/>
    <x v="14"/>
    <x v="1"/>
    <n v="0"/>
    <x v="0"/>
    <m/>
  </r>
  <r>
    <s v="PPT1_BOI04"/>
    <s v="S1CS04393-WS"/>
    <n v="700"/>
    <s v="207198447"/>
    <s v="NW"/>
    <n v="3"/>
    <n v="0.51956090131407551"/>
    <x v="3"/>
    <x v="1"/>
    <n v="0"/>
    <x v="0"/>
    <m/>
  </r>
  <r>
    <s v="PPT1_BOI04"/>
    <s v="S1CS04432-WS"/>
    <n v="240"/>
    <s v="207201069"/>
    <s v="NW"/>
    <n v="8"/>
    <n v="0.30665275244972467"/>
    <x v="15"/>
    <x v="1"/>
    <n v="0"/>
    <x v="0"/>
    <m/>
  </r>
  <r>
    <s v="PPT1_BOI04"/>
    <s v="S1CS04432-WS"/>
    <n v="240"/>
    <s v="207201072"/>
    <s v="NW"/>
    <n v="8"/>
    <n v="0.30665275244972467"/>
    <x v="0"/>
    <x v="1"/>
    <n v="0"/>
    <x v="0"/>
    <m/>
  </r>
  <r>
    <s v="PPT1_BOI04"/>
    <s v="S1CS04432-WS"/>
    <n v="240"/>
    <s v="207198913"/>
    <s v="NW"/>
    <n v="8"/>
    <n v="0.30665275244972467"/>
    <x v="1"/>
    <x v="1"/>
    <n v="0"/>
    <x v="0"/>
    <m/>
  </r>
  <r>
    <s v="PPT1_BOI04"/>
    <s v="S1CS04432-WS"/>
    <n v="80"/>
    <s v="207199003"/>
    <s v="NW"/>
    <n v="8"/>
    <n v="0.10221758414990822"/>
    <x v="13"/>
    <x v="1"/>
    <n v="0"/>
    <x v="0"/>
    <m/>
  </r>
  <r>
    <s v="PPT1_BOI04"/>
    <s v="S1CS04432-WS"/>
    <n v="240"/>
    <s v="207201073"/>
    <s v="NW"/>
    <n v="8"/>
    <n v="0.30665275244972467"/>
    <x v="2"/>
    <x v="1"/>
    <n v="0"/>
    <x v="0"/>
    <m/>
  </r>
  <r>
    <s v="PPT1_BOI04"/>
    <s v="S1CS04432-WS"/>
    <n v="240"/>
    <s v="207201419"/>
    <s v="NW"/>
    <n v="8"/>
    <n v="0.30665275244972467"/>
    <x v="18"/>
    <x v="1"/>
    <n v="0"/>
    <x v="0"/>
    <m/>
  </r>
  <r>
    <s v="PPT1_BOI04"/>
    <s v="S1CS04432-WS"/>
    <n v="240"/>
    <s v="207201420"/>
    <s v="NW"/>
    <n v="8"/>
    <n v="0.30665275244972467"/>
    <x v="10"/>
    <x v="1"/>
    <n v="0"/>
    <x v="0"/>
    <m/>
  </r>
  <r>
    <s v="PPT1_BOI04"/>
    <s v="S1CS04432-WS"/>
    <n v="240"/>
    <s v="207201417"/>
    <s v="NW"/>
    <n v="8"/>
    <n v="0.30665275244972467"/>
    <x v="13"/>
    <x v="1"/>
    <n v="0"/>
    <x v="0"/>
    <m/>
  </r>
  <r>
    <s v="PPT1_BOI04"/>
    <s v="S1CS04432-WS"/>
    <n v="240"/>
    <s v="207201418"/>
    <s v="NW"/>
    <n v="8"/>
    <n v="0.30665275244972467"/>
    <x v="9"/>
    <x v="1"/>
    <n v="0"/>
    <x v="0"/>
    <m/>
  </r>
  <r>
    <s v="PPT1_BOI04"/>
    <s v="S1CS04432-WS"/>
    <n v="240"/>
    <s v="207198034"/>
    <s v="NW"/>
    <n v="8"/>
    <n v="0.30665275244972467"/>
    <x v="15"/>
    <x v="1"/>
    <n v="0"/>
    <x v="0"/>
    <m/>
  </r>
  <r>
    <s v="PPT1_BOI04"/>
    <s v="S1CS04432-WS"/>
    <n v="240"/>
    <s v="207198138"/>
    <s v="NW"/>
    <n v="8"/>
    <n v="0.30665275244972467"/>
    <x v="0"/>
    <x v="1"/>
    <n v="0"/>
    <x v="0"/>
    <m/>
  </r>
  <r>
    <s v="PPT1_BOI04"/>
    <s v="S1CS04432-WS"/>
    <n v="240"/>
    <s v="207197930"/>
    <s v="NW"/>
    <n v="8"/>
    <n v="0.30665275244972467"/>
    <x v="1"/>
    <x v="1"/>
    <n v="0"/>
    <x v="0"/>
    <m/>
  </r>
  <r>
    <s v="PPT1_BOI04"/>
    <s v="S1CS04432-WS"/>
    <n v="240"/>
    <s v="207197993"/>
    <s v="NW"/>
    <n v="8"/>
    <n v="0.30665275244972467"/>
    <x v="2"/>
    <x v="1"/>
    <n v="0"/>
    <x v="0"/>
    <m/>
  </r>
  <r>
    <s v="PPT1_BOI04"/>
    <s v="S1CS04432-WS"/>
    <n v="240"/>
    <s v="207198145"/>
    <s v="NW"/>
    <n v="8"/>
    <n v="0.30665275244972467"/>
    <x v="18"/>
    <x v="1"/>
    <n v="0"/>
    <x v="0"/>
    <m/>
  </r>
  <r>
    <s v="PPT1_BOI04"/>
    <s v="S1CS04432-WS"/>
    <n v="240"/>
    <s v="207198339"/>
    <s v="NW"/>
    <n v="8"/>
    <n v="0.30665275244972467"/>
    <x v="10"/>
    <x v="1"/>
    <n v="0"/>
    <x v="0"/>
    <m/>
  </r>
  <r>
    <s v="PPT1_BOI04"/>
    <s v="S1CS04432-WS"/>
    <n v="240"/>
    <s v="207198422"/>
    <s v="NW"/>
    <n v="8"/>
    <n v="0.30665275244972467"/>
    <x v="13"/>
    <x v="1"/>
    <n v="0"/>
    <x v="0"/>
    <m/>
  </r>
  <r>
    <s v="PPT1_BOI04"/>
    <s v="S1CS04432-WS"/>
    <n v="240"/>
    <s v="207198253"/>
    <s v="NW"/>
    <n v="8"/>
    <n v="0.30665275244972467"/>
    <x v="9"/>
    <x v="1"/>
    <n v="0"/>
    <x v="0"/>
    <m/>
  </r>
  <r>
    <s v="PPT1_BOI04"/>
    <s v="S1CS04432-WS"/>
    <n v="240"/>
    <s v="207198317"/>
    <s v="NW"/>
    <n v="8"/>
    <n v="0.30665275244972467"/>
    <x v="15"/>
    <x v="1"/>
    <n v="0"/>
    <x v="0"/>
    <m/>
  </r>
  <r>
    <s v="PPT1_BOI04"/>
    <s v="S1CS04432-WS"/>
    <n v="240"/>
    <s v="207201265"/>
    <s v="NW"/>
    <n v="8"/>
    <n v="0.30665275244972467"/>
    <x v="0"/>
    <x v="1"/>
    <n v="0"/>
    <x v="0"/>
    <m/>
  </r>
  <r>
    <s v="PPT1_BOI04"/>
    <s v="S1CS04432-WS"/>
    <n v="240"/>
    <s v="207201264"/>
    <s v="NW"/>
    <n v="8"/>
    <n v="0.30665275244972467"/>
    <x v="1"/>
    <x v="1"/>
    <n v="0"/>
    <x v="0"/>
    <m/>
  </r>
  <r>
    <s v="PPT1_BOI04"/>
    <s v="S1CS04432-WS"/>
    <n v="240"/>
    <s v="207201495"/>
    <s v="NW"/>
    <n v="8"/>
    <n v="0.30665275244972467"/>
    <x v="2"/>
    <x v="1"/>
    <n v="0"/>
    <x v="0"/>
    <m/>
  </r>
  <r>
    <s v="PPT1_BOI04"/>
    <s v="S1CS04432-WS"/>
    <n v="240"/>
    <s v="207198841"/>
    <s v="NW"/>
    <n v="8"/>
    <n v="0.30665275244972467"/>
    <x v="18"/>
    <x v="1"/>
    <n v="0"/>
    <x v="0"/>
    <m/>
  </r>
  <r>
    <s v="PPT1_BOI04"/>
    <s v="S1CS04432-WS"/>
    <n v="160"/>
    <s v="207201266"/>
    <s v="NW"/>
    <n v="8"/>
    <n v="0.20443516829981645"/>
    <x v="10"/>
    <x v="1"/>
    <n v="0"/>
    <x v="0"/>
    <m/>
  </r>
  <r>
    <s v="PPT1_BOI04"/>
    <s v="S1CS04432-WS"/>
    <n v="240"/>
    <s v="207201263"/>
    <s v="NW"/>
    <n v="8"/>
    <n v="0.30665275244972467"/>
    <x v="13"/>
    <x v="1"/>
    <n v="0"/>
    <x v="0"/>
    <m/>
  </r>
  <r>
    <s v="PPT1_BOI04"/>
    <s v="S1CS04432-WS"/>
    <n v="240"/>
    <s v="207201165"/>
    <s v="NW"/>
    <n v="8"/>
    <n v="0.30665275244972467"/>
    <x v="9"/>
    <x v="1"/>
    <n v="0"/>
    <x v="0"/>
    <m/>
  </r>
  <r>
    <s v="PPT1_BOI04"/>
    <s v="S1CS04432-WS"/>
    <n v="240"/>
    <s v="207201164"/>
    <s v="NW"/>
    <n v="8"/>
    <n v="0.30665275244972467"/>
    <x v="10"/>
    <x v="1"/>
    <n v="0"/>
    <x v="0"/>
    <m/>
  </r>
  <r>
    <s v="PPT1_BOI04"/>
    <s v="S1CS04432-WS"/>
    <n v="240"/>
    <s v="207201166"/>
    <s v="NW"/>
    <n v="8"/>
    <n v="0.30665275244972467"/>
    <x v="15"/>
    <x v="1"/>
    <n v="0"/>
    <x v="0"/>
    <m/>
  </r>
  <r>
    <s v="PPT1_BOI04"/>
    <s v="S1CS04432-WS"/>
    <n v="240"/>
    <s v="207201262"/>
    <s v="NW"/>
    <n v="8"/>
    <n v="0.30665275244972467"/>
    <x v="0"/>
    <x v="1"/>
    <n v="0"/>
    <x v="0"/>
    <m/>
  </r>
  <r>
    <s v="PPT1_BOI04"/>
    <s v="S1CS04432-WS"/>
    <n v="240"/>
    <s v="207201261"/>
    <s v="NW"/>
    <n v="8"/>
    <n v="0.30665275244972467"/>
    <x v="1"/>
    <x v="1"/>
    <n v="0"/>
    <x v="0"/>
    <m/>
  </r>
  <r>
    <s v="PPT1_BOI04"/>
    <s v="S1CS04432-WS"/>
    <n v="240"/>
    <s v="207201421"/>
    <s v="NW"/>
    <n v="8"/>
    <n v="0.30665275244972467"/>
    <x v="2"/>
    <x v="1"/>
    <n v="0"/>
    <x v="0"/>
    <m/>
  </r>
  <r>
    <s v="PPT1_BOI04"/>
    <s v="S1CS04435-WS"/>
    <n v="300"/>
    <s v="207201376"/>
    <s v="NW"/>
    <n v="3"/>
    <n v="0.35524789970238524"/>
    <x v="4"/>
    <x v="1"/>
    <n v="0"/>
    <x v="0"/>
    <m/>
  </r>
  <r>
    <s v="PPT1_BOI04"/>
    <s v="S1CS04435-WS"/>
    <n v="300"/>
    <s v="207201469"/>
    <s v="NW"/>
    <n v="3"/>
    <n v="0.35524789970238524"/>
    <x v="3"/>
    <x v="1"/>
    <n v="0"/>
    <x v="0"/>
    <m/>
  </r>
  <r>
    <s v="PPT1_BOI04"/>
    <s v="S1CS04435-WS"/>
    <n v="300"/>
    <s v="207201374"/>
    <s v="NW"/>
    <n v="3"/>
    <n v="0.35524789970238524"/>
    <x v="5"/>
    <x v="1"/>
    <n v="0"/>
    <x v="0"/>
    <m/>
  </r>
  <r>
    <s v="PPT1_BOI04"/>
    <s v="S1CS04435-WS"/>
    <n v="300"/>
    <s v="207201363"/>
    <s v="NW"/>
    <n v="3"/>
    <n v="0.35524789970238524"/>
    <x v="4"/>
    <x v="1"/>
    <n v="0"/>
    <x v="0"/>
    <m/>
  </r>
  <r>
    <s v="PPT1_BOI04"/>
    <s v="S1CS04435-WS"/>
    <n v="300"/>
    <s v="207201406"/>
    <s v="NW"/>
    <n v="3"/>
    <n v="0.35524789970238524"/>
    <x v="3"/>
    <x v="1"/>
    <n v="0"/>
    <x v="0"/>
    <m/>
  </r>
  <r>
    <s v="PPT1_BOI04"/>
    <s v="S1CS04435-WS"/>
    <n v="300"/>
    <s v="207201389"/>
    <s v="NW"/>
    <n v="3"/>
    <n v="0.35524789970238524"/>
    <x v="5"/>
    <x v="1"/>
    <n v="0"/>
    <x v="0"/>
    <m/>
  </r>
  <r>
    <s v="PPT1_BOI04"/>
    <s v="S1CS04435-WS"/>
    <n v="300"/>
    <s v="207201391"/>
    <s v="NW"/>
    <n v="3"/>
    <n v="0.35524789970238524"/>
    <x v="4"/>
    <x v="1"/>
    <n v="0"/>
    <x v="0"/>
    <m/>
  </r>
  <r>
    <s v="PPT1_BOI04"/>
    <s v="S1CS04435-WS"/>
    <n v="300"/>
    <s v="207199002"/>
    <s v="NW"/>
    <n v="3"/>
    <n v="0.35524789970238524"/>
    <x v="3"/>
    <x v="1"/>
    <n v="0"/>
    <x v="0"/>
    <m/>
  </r>
  <r>
    <s v="PPT1_BOI04"/>
    <s v="S1CS04435-WS"/>
    <n v="300"/>
    <s v="207198914"/>
    <s v="NW"/>
    <n v="3"/>
    <n v="0.35524789970238524"/>
    <x v="5"/>
    <x v="1"/>
    <n v="0"/>
    <x v="0"/>
    <m/>
  </r>
  <r>
    <s v="PPT1_BOI04"/>
    <s v="S1CS04435-WS"/>
    <n v="300"/>
    <s v="207201365"/>
    <s v="NW"/>
    <n v="3"/>
    <n v="0.35524789970238524"/>
    <x v="4"/>
    <x v="1"/>
    <n v="0"/>
    <x v="0"/>
    <m/>
  </r>
  <r>
    <s v="PPT1_BOI04"/>
    <s v="S1CS04435-WS"/>
    <n v="300"/>
    <s v="207199144"/>
    <s v="NW"/>
    <n v="3"/>
    <n v="0.35524789970238524"/>
    <x v="3"/>
    <x v="1"/>
    <n v="0"/>
    <x v="0"/>
    <m/>
  </r>
  <r>
    <s v="PPT1_BOI04"/>
    <s v="S1CS04435-WS"/>
    <n v="200"/>
    <s v="207199245"/>
    <s v="NW"/>
    <n v="3"/>
    <n v="0.23683193313492348"/>
    <x v="5"/>
    <x v="1"/>
    <n v="0"/>
    <x v="0"/>
    <m/>
  </r>
  <r>
    <s v="PPT1_BOI04"/>
    <s v="S1CS04435-WS"/>
    <n v="300"/>
    <s v="207198888"/>
    <s v="NW"/>
    <n v="3"/>
    <n v="0.35524789970238524"/>
    <x v="4"/>
    <x v="1"/>
    <n v="0"/>
    <x v="0"/>
    <m/>
  </r>
  <r>
    <s v="PPT1_BOI04"/>
    <s v="S1CS04435-WS"/>
    <n v="300"/>
    <s v="207199208"/>
    <s v="NW"/>
    <n v="3"/>
    <n v="0.35524789970238524"/>
    <x v="5"/>
    <x v="1"/>
    <n v="0"/>
    <x v="0"/>
    <m/>
  </r>
  <r>
    <s v="PPT1_BOI04"/>
    <s v="S1CS04435-WS"/>
    <n v="300"/>
    <s v="207201429"/>
    <s v="NW"/>
    <n v="3"/>
    <n v="0.35524789970238524"/>
    <x v="3"/>
    <x v="1"/>
    <n v="0"/>
    <x v="0"/>
    <m/>
  </r>
  <r>
    <s v="PPT1_BOI04"/>
    <s v="S1CS04435-WS"/>
    <n v="300"/>
    <s v="207198255"/>
    <s v="NW"/>
    <n v="3"/>
    <n v="0.35524789970238524"/>
    <x v="4"/>
    <x v="1"/>
    <n v="0"/>
    <x v="0"/>
    <m/>
  </r>
  <r>
    <s v="PPT1_BOI04"/>
    <s v="S1CS04435-WS"/>
    <n v="300"/>
    <s v="207198342"/>
    <s v="NW"/>
    <n v="3"/>
    <n v="0.35524789970238524"/>
    <x v="5"/>
    <x v="1"/>
    <n v="0"/>
    <x v="0"/>
    <m/>
  </r>
  <r>
    <s v="PPT1_BOI04"/>
    <s v="S1CS04435-WS"/>
    <n v="300"/>
    <s v="207198319"/>
    <s v="NW"/>
    <n v="3"/>
    <n v="0.35524789970238524"/>
    <x v="3"/>
    <x v="1"/>
    <n v="0"/>
    <x v="0"/>
    <m/>
  </r>
  <r>
    <s v="PPT1_BOI04"/>
    <s v="S1CS04435-WS"/>
    <n v="300"/>
    <s v="207198249"/>
    <s v="NW"/>
    <n v="3"/>
    <n v="0.35524789970238524"/>
    <x v="4"/>
    <x v="1"/>
    <n v="0"/>
    <x v="0"/>
    <m/>
  </r>
  <r>
    <s v="PPT1_BOI04"/>
    <s v="S1CS04435-WS"/>
    <n v="300"/>
    <s v="207201445"/>
    <s v="NW"/>
    <n v="3"/>
    <n v="0.35524789970238524"/>
    <x v="5"/>
    <x v="1"/>
    <n v="0"/>
    <x v="0"/>
    <m/>
  </r>
  <r>
    <s v="PPT1_BOI04"/>
    <s v="S1CS04435-WS"/>
    <n v="300"/>
    <s v="207201460"/>
    <s v="NW"/>
    <n v="3"/>
    <n v="0.35524789970238524"/>
    <x v="3"/>
    <x v="1"/>
    <n v="0"/>
    <x v="0"/>
    <m/>
  </r>
  <r>
    <s v="PPT1_BOI04"/>
    <s v="S1CS04435-WS"/>
    <n v="300"/>
    <s v="207198143"/>
    <s v="NW"/>
    <n v="3"/>
    <n v="0.35524789970238524"/>
    <x v="4"/>
    <x v="1"/>
    <n v="0"/>
    <x v="0"/>
    <m/>
  </r>
  <r>
    <s v="PPT1_BOI04"/>
    <s v="S1CS04435-WS"/>
    <n v="300"/>
    <s v="207198090"/>
    <s v="NW"/>
    <n v="3"/>
    <n v="0.35524789970238524"/>
    <x v="5"/>
    <x v="1"/>
    <n v="0"/>
    <x v="0"/>
    <m/>
  </r>
  <r>
    <s v="PPT1_BOI04"/>
    <s v="S1CS04435-WS"/>
    <n v="300"/>
    <s v="207201397"/>
    <s v="NW"/>
    <n v="3"/>
    <n v="0.35524789970238524"/>
    <x v="3"/>
    <x v="1"/>
    <n v="0"/>
    <x v="0"/>
    <m/>
  </r>
  <r>
    <s v="PPT1_BOI04"/>
    <s v="S1CS04435-WS"/>
    <n v="300"/>
    <s v="207201402"/>
    <s v="NW"/>
    <n v="3"/>
    <n v="0.35524789970238524"/>
    <x v="4"/>
    <x v="1"/>
    <n v="0"/>
    <x v="0"/>
    <m/>
  </r>
  <r>
    <s v="PPT1_BOI04"/>
    <s v="S1CS04435-WS"/>
    <n v="300"/>
    <s v="207201395"/>
    <s v="NW"/>
    <n v="3"/>
    <n v="0.35524789970238524"/>
    <x v="5"/>
    <x v="1"/>
    <n v="0"/>
    <x v="0"/>
    <m/>
  </r>
  <r>
    <s v="PPT1_BOI04"/>
    <s v="S1CS04435-WS"/>
    <n v="300"/>
    <s v="207197970"/>
    <s v="NW"/>
    <n v="3"/>
    <n v="0.35524789970238524"/>
    <x v="3"/>
    <x v="1"/>
    <n v="0"/>
    <x v="0"/>
    <m/>
  </r>
  <r>
    <s v="PPT1_BOI04"/>
    <s v="S1CS04435-WS"/>
    <n v="300"/>
    <s v="207198825"/>
    <s v="NW"/>
    <n v="3"/>
    <n v="0.35524789970238524"/>
    <x v="4"/>
    <x v="1"/>
    <n v="0"/>
    <x v="0"/>
    <m/>
  </r>
  <r>
    <s v="PPT1_BOI04"/>
    <s v="S1CS04435-WS"/>
    <n v="300"/>
    <s v="207198396"/>
    <s v="NW"/>
    <n v="3"/>
    <n v="0.35524789970238524"/>
    <x v="5"/>
    <x v="1"/>
    <n v="0"/>
    <x v="0"/>
    <m/>
  </r>
  <r>
    <s v="PPT1_BOI04"/>
    <s v="S1CS04435-WS"/>
    <n v="300"/>
    <s v="207201414"/>
    <s v="NW"/>
    <n v="3"/>
    <n v="0.35524789970238524"/>
    <x v="3"/>
    <x v="1"/>
    <n v="0"/>
    <x v="0"/>
    <m/>
  </r>
  <r>
    <s v="PPT1_BOI04"/>
    <s v="S1CS04435-WS"/>
    <n v="300"/>
    <s v="207201408"/>
    <s v="NW"/>
    <n v="3"/>
    <n v="0.35524789970238524"/>
    <x v="4"/>
    <x v="1"/>
    <n v="0"/>
    <x v="0"/>
    <m/>
  </r>
  <r>
    <s v="PPT1_BOI04"/>
    <s v="S1CS04435-WS"/>
    <n v="300"/>
    <s v="207201410"/>
    <s v="NW"/>
    <n v="3"/>
    <n v="0.35524789970238524"/>
    <x v="5"/>
    <x v="1"/>
    <n v="0"/>
    <x v="0"/>
    <m/>
  </r>
  <r>
    <s v="PPT1_BOI04"/>
    <s v="S1CS04436-WS"/>
    <n v="330"/>
    <s v="207202138"/>
    <s v="NW"/>
    <n v="4"/>
    <n v="0.39077268967262374"/>
    <x v="17"/>
    <x v="1"/>
    <n v="0"/>
    <x v="0"/>
    <m/>
  </r>
  <r>
    <s v="PPT1_BOI04"/>
    <s v="S1CS04436-WS"/>
    <n v="330"/>
    <s v="207202187"/>
    <s v="NW"/>
    <n v="4"/>
    <n v="0.39077268967262374"/>
    <x v="16"/>
    <x v="1"/>
    <n v="0"/>
    <x v="0"/>
    <m/>
  </r>
  <r>
    <s v="PPT1_BOI04"/>
    <s v="S1CS04436-WS"/>
    <n v="330"/>
    <s v="207202136"/>
    <s v="NW"/>
    <n v="4"/>
    <n v="0.39077268967262374"/>
    <x v="18"/>
    <x v="1"/>
    <n v="0"/>
    <x v="0"/>
    <m/>
  </r>
  <r>
    <s v="PPT1_BOI04"/>
    <s v="S1CS04436-WS"/>
    <n v="330"/>
    <s v="207202156"/>
    <s v="NW"/>
    <n v="4"/>
    <n v="0.39077268967262374"/>
    <x v="13"/>
    <x v="1"/>
    <n v="0"/>
    <x v="0"/>
    <m/>
  </r>
  <r>
    <s v="PPT1_BOI04"/>
    <s v="S1CS04436-WS"/>
    <n v="330"/>
    <s v="207202149"/>
    <s v="NW"/>
    <n v="4"/>
    <n v="0.39077268967262374"/>
    <x v="17"/>
    <x v="1"/>
    <n v="0"/>
    <x v="0"/>
    <m/>
  </r>
  <r>
    <s v="PPT1_BOI04"/>
    <s v="S1CS04436-WS"/>
    <n v="330"/>
    <s v="207202146"/>
    <s v="NW"/>
    <n v="4"/>
    <n v="0.39077268967262374"/>
    <x v="16"/>
    <x v="1"/>
    <n v="0"/>
    <x v="0"/>
    <m/>
  </r>
  <r>
    <s v="PPT1_BOI04"/>
    <s v="S1CS04436-WS"/>
    <n v="330"/>
    <s v="207202155"/>
    <s v="NW"/>
    <n v="4"/>
    <n v="0.39077268967262374"/>
    <x v="18"/>
    <x v="1"/>
    <n v="0"/>
    <x v="0"/>
    <m/>
  </r>
  <r>
    <s v="PPT1_BOI04"/>
    <s v="S1CS04436-WS"/>
    <n v="330"/>
    <s v="207202150"/>
    <s v="NW"/>
    <n v="4"/>
    <n v="0.39077268967262374"/>
    <x v="13"/>
    <x v="1"/>
    <n v="0"/>
    <x v="0"/>
    <m/>
  </r>
  <r>
    <s v="PPT1_BOI04"/>
    <s v="S1CS04436-WS"/>
    <n v="330"/>
    <s v="207202141"/>
    <s v="NW"/>
    <n v="4"/>
    <n v="0.39077268967262374"/>
    <x v="17"/>
    <x v="1"/>
    <n v="0"/>
    <x v="0"/>
    <m/>
  </r>
  <r>
    <s v="PPT1_BOI04"/>
    <s v="S1CS04436-WS"/>
    <n v="330"/>
    <s v="207202142"/>
    <s v="NW"/>
    <n v="4"/>
    <n v="0.39077268967262374"/>
    <x v="16"/>
    <x v="1"/>
    <n v="0"/>
    <x v="0"/>
    <m/>
  </r>
  <r>
    <s v="PPT1_BOI04"/>
    <s v="S1CS04436-WS"/>
    <n v="330"/>
    <s v="207200263"/>
    <s v="NW"/>
    <n v="4"/>
    <n v="0.39077268967262374"/>
    <x v="18"/>
    <x v="1"/>
    <n v="0"/>
    <x v="0"/>
    <m/>
  </r>
  <r>
    <s v="PPT1_BOI04"/>
    <s v="S1CS04436-WS"/>
    <n v="330"/>
    <s v="207200192"/>
    <s v="NW"/>
    <n v="4"/>
    <n v="0.39077268967262374"/>
    <x v="13"/>
    <x v="1"/>
    <n v="0"/>
    <x v="0"/>
    <m/>
  </r>
  <r>
    <s v="PPT1_BOI04"/>
    <s v="S1CS04436-WS"/>
    <n v="330"/>
    <s v="207200214"/>
    <s v="NW"/>
    <n v="4"/>
    <n v="0.39077268967262374"/>
    <x v="17"/>
    <x v="1"/>
    <n v="0"/>
    <x v="0"/>
    <m/>
  </r>
  <r>
    <s v="PPT1_BOI04"/>
    <s v="S1CS04436-WS"/>
    <n v="330"/>
    <s v="207202140"/>
    <s v="NW"/>
    <n v="4"/>
    <n v="0.39077268967262374"/>
    <x v="16"/>
    <x v="1"/>
    <n v="0"/>
    <x v="0"/>
    <m/>
  </r>
  <r>
    <s v="PPT1_BOI04"/>
    <s v="S1CS04436-WS"/>
    <n v="330"/>
    <s v="207202188"/>
    <s v="NW"/>
    <n v="4"/>
    <n v="0.39077268967262374"/>
    <x v="18"/>
    <x v="1"/>
    <n v="0"/>
    <x v="0"/>
    <m/>
  </r>
  <r>
    <s v="PPT1_BOI04"/>
    <s v="S1CS04436-WS"/>
    <n v="330"/>
    <s v="207202145"/>
    <s v="NW"/>
    <n v="4"/>
    <n v="0.39077268967262374"/>
    <x v="13"/>
    <x v="1"/>
    <n v="0"/>
    <x v="0"/>
    <m/>
  </r>
  <r>
    <s v="PPT1_BOI04"/>
    <s v="S1CS04436-WS"/>
    <n v="330"/>
    <s v="207202143"/>
    <s v="NW"/>
    <n v="4"/>
    <n v="0.39077268967262374"/>
    <x v="17"/>
    <x v="1"/>
    <n v="0"/>
    <x v="0"/>
    <m/>
  </r>
  <r>
    <s v="PPT1_BOI04"/>
    <s v="S1CS04436-WS"/>
    <n v="330"/>
    <s v="207202144"/>
    <s v="NW"/>
    <n v="4"/>
    <n v="0.39077268967262374"/>
    <x v="16"/>
    <x v="1"/>
    <n v="0"/>
    <x v="0"/>
    <m/>
  </r>
  <r>
    <s v="PPT1_BOI04"/>
    <s v="S1CS04436-WS"/>
    <n v="330"/>
    <s v="207200158"/>
    <s v="NW"/>
    <n v="4"/>
    <n v="0.39077268967262374"/>
    <x v="18"/>
    <x v="1"/>
    <n v="0"/>
    <x v="0"/>
    <m/>
  </r>
  <r>
    <s v="PPT1_BOI04"/>
    <s v="S1CS04436-WS"/>
    <n v="330"/>
    <s v="207199733"/>
    <s v="NW"/>
    <n v="4"/>
    <n v="0.39077268967262374"/>
    <x v="13"/>
    <x v="1"/>
    <n v="0"/>
    <x v="0"/>
    <m/>
  </r>
  <r>
    <s v="PPT1_BOI04"/>
    <s v="S1CS04436-WS"/>
    <n v="330"/>
    <s v="207199749"/>
    <s v="NW"/>
    <n v="4"/>
    <n v="0.39077268967262374"/>
    <x v="17"/>
    <x v="1"/>
    <n v="0"/>
    <x v="0"/>
    <m/>
  </r>
  <r>
    <s v="PPT1_BOI04"/>
    <s v="S1CS04436-WS"/>
    <n v="330"/>
    <s v="207199730"/>
    <s v="NW"/>
    <n v="4"/>
    <n v="0.39077268967262374"/>
    <x v="16"/>
    <x v="1"/>
    <n v="0"/>
    <x v="0"/>
    <m/>
  </r>
  <r>
    <s v="PPT1_BOI04"/>
    <s v="S1CS04436-WS"/>
    <n v="220"/>
    <s v="207199224"/>
    <s v="NW"/>
    <n v="4"/>
    <n v="0.26051512644841585"/>
    <x v="18"/>
    <x v="1"/>
    <n v="0"/>
    <x v="0"/>
    <m/>
  </r>
  <r>
    <s v="PPT1_BOI04"/>
    <s v="S1CS04436-WS"/>
    <n v="330"/>
    <s v="207199530"/>
    <s v="NW"/>
    <n v="4"/>
    <n v="0.39077268967262374"/>
    <x v="13"/>
    <x v="1"/>
    <n v="0"/>
    <x v="0"/>
    <m/>
  </r>
  <r>
    <s v="PPT1_BOI04"/>
    <s v="S1CS04436-WS"/>
    <n v="330"/>
    <s v="207199898"/>
    <s v="NW"/>
    <n v="4"/>
    <n v="0.39077268967262374"/>
    <x v="18"/>
    <x v="1"/>
    <n v="0"/>
    <x v="0"/>
    <m/>
  </r>
  <r>
    <s v="PPT1_BOI04"/>
    <s v="S1CS04436-WS"/>
    <n v="330"/>
    <s v="207199935"/>
    <s v="NW"/>
    <n v="4"/>
    <n v="0.39077268967262374"/>
    <x v="17"/>
    <x v="1"/>
    <n v="0"/>
    <x v="0"/>
    <m/>
  </r>
  <r>
    <s v="PPT1_BOI04"/>
    <s v="S1CS04436-WS"/>
    <n v="330"/>
    <s v="207199857"/>
    <s v="NW"/>
    <n v="4"/>
    <n v="0.39077268967262374"/>
    <x v="16"/>
    <x v="1"/>
    <n v="0"/>
    <x v="0"/>
    <m/>
  </r>
  <r>
    <s v="PPT1_BOI04"/>
    <s v="S1CS04436-WS"/>
    <n v="330"/>
    <s v="207199808"/>
    <s v="NW"/>
    <n v="4"/>
    <n v="0.39077268967262374"/>
    <x v="13"/>
    <x v="1"/>
    <n v="0"/>
    <x v="0"/>
    <m/>
  </r>
  <r>
    <s v="PPT1_BOI04"/>
    <s v="S1CS04436-WS"/>
    <n v="330"/>
    <s v="207199839"/>
    <s v="NW"/>
    <n v="4"/>
    <n v="0.39077268967262374"/>
    <x v="18"/>
    <x v="1"/>
    <n v="0"/>
    <x v="0"/>
    <m/>
  </r>
  <r>
    <s v="PPT1_BOI04"/>
    <s v="S1CS04439-WS"/>
    <n v="195"/>
    <s v="207201227"/>
    <s v="NW"/>
    <n v="3"/>
    <n v="0.38357601069161384"/>
    <x v="9"/>
    <x v="1"/>
    <n v="0"/>
    <x v="0"/>
    <m/>
  </r>
  <r>
    <s v="PPT1_BOI04"/>
    <s v="S1CS04439-WS"/>
    <n v="195"/>
    <s v="207201193"/>
    <s v="NW"/>
    <n v="3"/>
    <n v="0.38357601069161384"/>
    <x v="10"/>
    <x v="1"/>
    <n v="0"/>
    <x v="0"/>
    <m/>
  </r>
  <r>
    <s v="PPT1_BOI04"/>
    <s v="S1CS04439-WS"/>
    <n v="195"/>
    <s v="207201232"/>
    <s v="NW"/>
    <n v="3"/>
    <n v="0.38357601069161384"/>
    <x v="15"/>
    <x v="1"/>
    <n v="0"/>
    <x v="0"/>
    <m/>
  </r>
  <r>
    <s v="PPT1_BOI04"/>
    <s v="S1CS04439-WS"/>
    <n v="195"/>
    <s v="207199799"/>
    <s v="NW"/>
    <n v="3"/>
    <n v="0.38357601069161384"/>
    <x v="9"/>
    <x v="1"/>
    <n v="0"/>
    <x v="0"/>
    <m/>
  </r>
  <r>
    <s v="PPT1_BOI04"/>
    <s v="S1CS04439-WS"/>
    <n v="195"/>
    <s v="207199744"/>
    <s v="NW"/>
    <n v="3"/>
    <n v="0.38357601069161384"/>
    <x v="10"/>
    <x v="1"/>
    <n v="0"/>
    <x v="0"/>
    <m/>
  </r>
  <r>
    <s v="PPT1_BOI04"/>
    <s v="S1CS04439-WS"/>
    <n v="195"/>
    <s v="207201236"/>
    <s v="NW"/>
    <n v="3"/>
    <n v="0.38357601069161384"/>
    <x v="15"/>
    <x v="1"/>
    <n v="0"/>
    <x v="0"/>
    <m/>
  </r>
  <r>
    <s v="PPT1_BOI04"/>
    <s v="S1CS04439-WS"/>
    <n v="195"/>
    <s v="207201191"/>
    <s v="NW"/>
    <n v="3"/>
    <n v="0.38357601069161384"/>
    <x v="9"/>
    <x v="1"/>
    <n v="0"/>
    <x v="0"/>
    <m/>
  </r>
  <r>
    <s v="PPT1_BOI04"/>
    <s v="S1CS04439-WS"/>
    <n v="195"/>
    <s v="207201045"/>
    <s v="NW"/>
    <n v="3"/>
    <n v="0.38357601069161384"/>
    <x v="10"/>
    <x v="1"/>
    <n v="0"/>
    <x v="0"/>
    <m/>
  </r>
  <r>
    <s v="PPT1_BOI04"/>
    <s v="S1CS04439-WS"/>
    <n v="195"/>
    <s v="207201104"/>
    <s v="NW"/>
    <n v="3"/>
    <n v="0.38357601069161384"/>
    <x v="15"/>
    <x v="1"/>
    <n v="0"/>
    <x v="0"/>
    <m/>
  </r>
  <r>
    <s v="PPT1_BOI04"/>
    <s v="S1CS04439-WS"/>
    <n v="195"/>
    <s v="207201037"/>
    <s v="NW"/>
    <n v="3"/>
    <n v="0.38357601069161384"/>
    <x v="9"/>
    <x v="1"/>
    <n v="0"/>
    <x v="0"/>
    <m/>
  </r>
  <r>
    <s v="PPT1_BOI04"/>
    <s v="S1CS04439-WS"/>
    <n v="195"/>
    <s v="207201040"/>
    <s v="NW"/>
    <n v="3"/>
    <n v="0.38357601069161384"/>
    <x v="10"/>
    <x v="1"/>
    <n v="0"/>
    <x v="0"/>
    <m/>
  </r>
  <r>
    <s v="PPT1_BOI04"/>
    <s v="S1CS04439-WS"/>
    <n v="195"/>
    <s v="207201134"/>
    <s v="NW"/>
    <n v="3"/>
    <n v="0.38357601069161384"/>
    <x v="15"/>
    <x v="1"/>
    <n v="0"/>
    <x v="0"/>
    <m/>
  </r>
  <r>
    <s v="PPT1_BOI04"/>
    <s v="S1CS04439-WS"/>
    <n v="195"/>
    <s v="207199943"/>
    <s v="NW"/>
    <n v="3"/>
    <n v="0.38357601069161384"/>
    <x v="9"/>
    <x v="1"/>
    <n v="0"/>
    <x v="0"/>
    <m/>
  </r>
  <r>
    <s v="PPT1_BOI04"/>
    <s v="S1CS04439-WS"/>
    <n v="195"/>
    <s v="207201128"/>
    <s v="NW"/>
    <n v="3"/>
    <n v="0.38357601069161384"/>
    <x v="10"/>
    <x v="1"/>
    <n v="0"/>
    <x v="0"/>
    <m/>
  </r>
  <r>
    <s v="PPT1_BOI04"/>
    <s v="S1CS04439-WS"/>
    <n v="195"/>
    <s v="207201130"/>
    <s v="NW"/>
    <n v="3"/>
    <n v="0.38357601069161384"/>
    <x v="15"/>
    <x v="1"/>
    <n v="0"/>
    <x v="0"/>
    <m/>
  </r>
  <r>
    <s v="PPT1_BOI04"/>
    <s v="S1CS04439-WS"/>
    <n v="195"/>
    <s v="207200156"/>
    <s v="NW"/>
    <n v="3"/>
    <n v="0.38357601069161384"/>
    <x v="9"/>
    <x v="1"/>
    <n v="0"/>
    <x v="0"/>
    <m/>
  </r>
  <r>
    <s v="PPT1_BOI04"/>
    <s v="S1CS04439-WS"/>
    <n v="195"/>
    <s v="207199990"/>
    <s v="NW"/>
    <n v="3"/>
    <n v="0.38357601069161384"/>
    <x v="10"/>
    <x v="1"/>
    <n v="0"/>
    <x v="0"/>
    <m/>
  </r>
  <r>
    <s v="PPT1_BOI04"/>
    <s v="S1CS04439-WS"/>
    <n v="195"/>
    <s v="207200068"/>
    <s v="NW"/>
    <n v="3"/>
    <n v="0.38357601069161384"/>
    <x v="15"/>
    <x v="1"/>
    <n v="0"/>
    <x v="0"/>
    <m/>
  </r>
  <r>
    <s v="PPT1_BOI04"/>
    <s v="S1CS04439-WS"/>
    <n v="195"/>
    <s v="207200117"/>
    <s v="NW"/>
    <n v="3"/>
    <n v="0.38357601069161384"/>
    <x v="9"/>
    <x v="1"/>
    <n v="0"/>
    <x v="0"/>
    <m/>
  </r>
  <r>
    <s v="PPT1_BOI04"/>
    <s v="S1CS04439-WS"/>
    <n v="195"/>
    <s v="207201010"/>
    <s v="NW"/>
    <n v="3"/>
    <n v="0.38357601069161384"/>
    <x v="10"/>
    <x v="1"/>
    <n v="0"/>
    <x v="0"/>
    <m/>
  </r>
  <r>
    <s v="PPT1_BOI04"/>
    <s v="S1CS04439-WS"/>
    <n v="195"/>
    <s v="207201011"/>
    <s v="NW"/>
    <n v="3"/>
    <n v="0.38357601069161384"/>
    <x v="15"/>
    <x v="1"/>
    <n v="0"/>
    <x v="0"/>
    <m/>
  </r>
  <r>
    <s v="PPT1_BOI04"/>
    <s v="S1CS04439-WS"/>
    <n v="130"/>
    <s v="207200220"/>
    <s v="NW"/>
    <n v="3"/>
    <n v="0.25571734046107586"/>
    <x v="9"/>
    <x v="1"/>
    <n v="0"/>
    <x v="0"/>
    <m/>
  </r>
  <r>
    <s v="PPT1_BOI04"/>
    <s v="S1CS04439-WS"/>
    <n v="195"/>
    <s v="207200996"/>
    <s v="NW"/>
    <n v="3"/>
    <n v="0.38357601069161384"/>
    <x v="10"/>
    <x v="1"/>
    <n v="0"/>
    <x v="0"/>
    <m/>
  </r>
  <r>
    <s v="PPT1_BOI04"/>
    <s v="S1CS04439-WS"/>
    <n v="130"/>
    <s v="207201159"/>
    <s v="NW"/>
    <n v="3"/>
    <n v="0.25571734046107586"/>
    <x v="15"/>
    <x v="1"/>
    <n v="0"/>
    <x v="0"/>
    <m/>
  </r>
  <r>
    <s v="PPT1_BOI04"/>
    <s v="S1CS04439-WS"/>
    <n v="195"/>
    <s v="207199890"/>
    <s v="NW"/>
    <n v="3"/>
    <n v="0.38357601069161384"/>
    <x v="9"/>
    <x v="1"/>
    <n v="0"/>
    <x v="0"/>
    <m/>
  </r>
  <r>
    <s v="PPT1_BOI04"/>
    <s v="S1CS04439-WS"/>
    <n v="195"/>
    <s v="207199848"/>
    <s v="NW"/>
    <n v="3"/>
    <n v="0.38357601069161384"/>
    <x v="15"/>
    <x v="1"/>
    <n v="0"/>
    <x v="0"/>
    <m/>
  </r>
  <r>
    <s v="PPT1_BOI04"/>
    <s v="S1CS04439-WS"/>
    <n v="195"/>
    <s v="207199766"/>
    <s v="NW"/>
    <n v="3"/>
    <n v="0.38357601069161384"/>
    <x v="10"/>
    <x v="1"/>
    <n v="0"/>
    <x v="0"/>
    <m/>
  </r>
  <r>
    <s v="PPT1_BOI04"/>
    <s v="S1CS04443-WS"/>
    <n v="255"/>
    <s v="207197737"/>
    <s v="NW"/>
    <n v="3"/>
    <n v="0.31623431375456651"/>
    <x v="0"/>
    <x v="1"/>
    <n v="0"/>
    <x v="0"/>
    <m/>
  </r>
  <r>
    <s v="PPT1_BOI04"/>
    <s v="S1CS04443-WS"/>
    <n v="255"/>
    <s v="207199558"/>
    <s v="NW"/>
    <n v="3"/>
    <n v="0.31623431375456651"/>
    <x v="1"/>
    <x v="1"/>
    <n v="0"/>
    <x v="0"/>
    <m/>
  </r>
  <r>
    <s v="PPT1_BOI04"/>
    <s v="S1CS04443-WS"/>
    <n v="255"/>
    <s v="207199536"/>
    <s v="NW"/>
    <n v="3"/>
    <n v="0.31623431375456651"/>
    <x v="12"/>
    <x v="1"/>
    <n v="0"/>
    <x v="0"/>
    <m/>
  </r>
  <r>
    <s v="PPT1_BOI04"/>
    <s v="S1CS04443-WS"/>
    <n v="170"/>
    <s v="207199561"/>
    <s v="NW"/>
    <n v="3"/>
    <n v="0.21082287583637765"/>
    <x v="0"/>
    <x v="1"/>
    <n v="0"/>
    <x v="0"/>
    <m/>
  </r>
  <r>
    <s v="PPT1_BOI04"/>
    <s v="S1CS04467-WS"/>
    <n v="435"/>
    <s v="207200916"/>
    <s v="NW"/>
    <n v="7"/>
    <n v="0.24380650998531281"/>
    <x v="2"/>
    <x v="1"/>
    <n v="0"/>
    <x v="0"/>
    <m/>
  </r>
  <r>
    <s v="PPT1_BOI04"/>
    <s v="S1CS04467-WS"/>
    <n v="1305"/>
    <s v="207198179"/>
    <s v="NW"/>
    <n v="7"/>
    <n v="0.7314195299559384"/>
    <x v="11"/>
    <x v="1"/>
    <n v="0"/>
    <x v="0"/>
    <m/>
  </r>
  <r>
    <s v="PPT1_BOI04"/>
    <s v="S1CS04467-WS"/>
    <n v="1305"/>
    <s v="207200913"/>
    <s v="NW"/>
    <n v="7"/>
    <n v="0.7314195299559384"/>
    <x v="2"/>
    <x v="1"/>
    <n v="0"/>
    <x v="0"/>
    <m/>
  </r>
  <r>
    <s v="PPT1_BOI04"/>
    <s v="S1CS04467-WS"/>
    <n v="870"/>
    <s v="207198182"/>
    <s v="NW"/>
    <n v="7"/>
    <n v="0.48761301997062562"/>
    <x v="1"/>
    <x v="1"/>
    <n v="0"/>
    <x v="0"/>
    <m/>
  </r>
  <r>
    <s v="PPT1_BOI04"/>
    <s v="S1CS04467-WS"/>
    <n v="1305"/>
    <s v="207200914"/>
    <s v="NW"/>
    <n v="7"/>
    <n v="0.7314195299559384"/>
    <x v="12"/>
    <x v="1"/>
    <n v="0"/>
    <x v="0"/>
    <m/>
  </r>
  <r>
    <s v="PPT1_BOI04"/>
    <s v="S1CS04468-WS"/>
    <n v="800"/>
    <s v="207200975"/>
    <s v="NW"/>
    <n v="8"/>
    <n v="0.21930923849649192"/>
    <x v="0"/>
    <x v="1"/>
    <n v="0"/>
    <x v="0"/>
    <m/>
  </r>
  <r>
    <s v="PPT1_BOI04"/>
    <s v="S1CS04468-WS"/>
    <n v="1600"/>
    <s v="207198185"/>
    <s v="NW"/>
    <n v="8"/>
    <n v="0.43861847699298384"/>
    <x v="0"/>
    <x v="1"/>
    <n v="0"/>
    <x v="0"/>
    <m/>
  </r>
  <r>
    <s v="PPT1_BOI04"/>
    <s v="S1CS04468-WS"/>
    <n v="2400"/>
    <s v="207200948"/>
    <s v="NW"/>
    <n v="8"/>
    <n v="0.65792771548947571"/>
    <x v="1"/>
    <x v="1"/>
    <n v="0"/>
    <x v="0"/>
    <m/>
  </r>
  <r>
    <s v="PPT1_BOI04"/>
    <s v="S1CS04486-WS"/>
    <n v="300"/>
    <s v="207200911"/>
    <s v="NW"/>
    <n v="12"/>
    <n v="0.37825982648288398"/>
    <x v="11"/>
    <x v="1"/>
    <n v="0"/>
    <x v="0"/>
    <m/>
  </r>
  <r>
    <s v="PPT1_BOI04"/>
    <s v="S1CS04486-WS"/>
    <n v="200"/>
    <s v="207198151"/>
    <s v="NW"/>
    <n v="12"/>
    <n v="0.25217321765525602"/>
    <x v="2"/>
    <x v="1"/>
    <n v="0"/>
    <x v="0"/>
    <m/>
  </r>
  <r>
    <s v="PPT1_BOI04"/>
    <s v="S1CS04486-WS"/>
    <n v="300"/>
    <s v="207200892"/>
    <s v="NW"/>
    <n v="12"/>
    <n v="0.37825982648288398"/>
    <x v="12"/>
    <x v="1"/>
    <n v="0"/>
    <x v="0"/>
    <m/>
  </r>
  <r>
    <s v="PPT1_BOI04"/>
    <s v="S1CS04486-WS"/>
    <n v="300"/>
    <s v="207200909"/>
    <s v="NW"/>
    <n v="12"/>
    <n v="0.37825982648288398"/>
    <x v="0"/>
    <x v="1"/>
    <n v="0"/>
    <x v="0"/>
    <m/>
  </r>
  <r>
    <s v="PPT1_BOI04"/>
    <s v="S1CS04486-WS"/>
    <n v="300"/>
    <s v="207200969"/>
    <s v="NW"/>
    <n v="12"/>
    <n v="0.37825982648288398"/>
    <x v="2"/>
    <x v="1"/>
    <n v="0"/>
    <x v="0"/>
    <m/>
  </r>
  <r>
    <s v="PPT1_BOI04"/>
    <s v="S1CS04486-WS"/>
    <n v="100"/>
    <s v="207201027"/>
    <s v="NW"/>
    <n v="12"/>
    <n v="0.12608660882762801"/>
    <x v="11"/>
    <x v="1"/>
    <n v="0"/>
    <x v="0"/>
    <m/>
  </r>
  <r>
    <s v="PPT1_BOI04"/>
    <s v="S1CS04486-WS"/>
    <n v="100"/>
    <s v="207200955"/>
    <s v="NW"/>
    <n v="12"/>
    <n v="0.12608660882762801"/>
    <x v="12"/>
    <x v="1"/>
    <n v="0"/>
    <x v="0"/>
    <m/>
  </r>
  <r>
    <s v="PPT1_BOI04"/>
    <s v="S1CS04486-WS"/>
    <n v="300"/>
    <s v="207200915"/>
    <s v="NW"/>
    <n v="12"/>
    <n v="0.37825982648288398"/>
    <x v="1"/>
    <x v="1"/>
    <n v="0"/>
    <x v="0"/>
    <m/>
  </r>
  <r>
    <s v="PPT1_BOI04"/>
    <s v="S1CS04486-WS"/>
    <n v="300"/>
    <s v="207200921"/>
    <s v="NW"/>
    <n v="12"/>
    <n v="0.37825982648288398"/>
    <x v="11"/>
    <x v="1"/>
    <n v="0"/>
    <x v="0"/>
    <m/>
  </r>
  <r>
    <s v="PPT1_BOI04"/>
    <s v="S1CS04486-WS"/>
    <n v="300"/>
    <s v="207198048"/>
    <s v="NW"/>
    <n v="12"/>
    <n v="0.37825982648288398"/>
    <x v="0"/>
    <x v="1"/>
    <n v="0"/>
    <x v="0"/>
    <m/>
  </r>
  <r>
    <s v="PPT1_BOI04"/>
    <s v="S1CS04486-WS"/>
    <n v="300"/>
    <s v="207197978"/>
    <s v="NW"/>
    <n v="12"/>
    <n v="0.37825982648288398"/>
    <x v="12"/>
    <x v="1"/>
    <n v="0"/>
    <x v="0"/>
    <m/>
  </r>
  <r>
    <s v="PPT1_BOI04"/>
    <s v="S1CS04486-WS"/>
    <n v="300"/>
    <s v="207197943"/>
    <s v="NW"/>
    <n v="12"/>
    <n v="0.37825982648288398"/>
    <x v="2"/>
    <x v="1"/>
    <n v="0"/>
    <x v="0"/>
    <m/>
  </r>
  <r>
    <s v="PPT1_BOI04"/>
    <s v="S1CS04486-WS"/>
    <n v="300"/>
    <s v="207198016"/>
    <s v="NW"/>
    <n v="12"/>
    <n v="0.37825982648288398"/>
    <x v="1"/>
    <x v="1"/>
    <n v="0"/>
    <x v="0"/>
    <m/>
  </r>
  <r>
    <s v="PPT1_BOI04"/>
    <s v="S1CS04486-WS"/>
    <n v="200"/>
    <s v="207198086"/>
    <s v="NW"/>
    <n v="12"/>
    <n v="0.25217321765525602"/>
    <x v="11"/>
    <x v="1"/>
    <n v="0"/>
    <x v="0"/>
    <m/>
  </r>
  <r>
    <s v="PPT1_BOI04"/>
    <s v="S1CS04487-WS"/>
    <n v="300"/>
    <s v="207201370"/>
    <s v="NW"/>
    <n v="4"/>
    <n v="0.38160962480501243"/>
    <x v="0"/>
    <x v="1"/>
    <n v="0"/>
    <x v="0"/>
    <m/>
  </r>
  <r>
    <s v="PPT1_BOI04"/>
    <s v="S1CS04487-WS"/>
    <n v="300"/>
    <s v="207201433"/>
    <s v="NW"/>
    <n v="4"/>
    <n v="0.38160962480501243"/>
    <x v="12"/>
    <x v="1"/>
    <n v="0"/>
    <x v="0"/>
    <m/>
  </r>
  <r>
    <s v="PPT1_BOI04"/>
    <s v="S1CS04487-WS"/>
    <n v="300"/>
    <s v="207201367"/>
    <s v="NW"/>
    <n v="4"/>
    <n v="0.38160962480501243"/>
    <x v="2"/>
    <x v="1"/>
    <n v="0"/>
    <x v="0"/>
    <m/>
  </r>
  <r>
    <s v="PPT1_BOI04"/>
    <s v="S1CS04487-WS"/>
    <n v="200"/>
    <s v="207197631"/>
    <s v="NW"/>
    <n v="4"/>
    <n v="0.25440641653667495"/>
    <x v="11"/>
    <x v="1"/>
    <n v="0"/>
    <x v="0"/>
    <m/>
  </r>
  <r>
    <s v="PPT1_BOI04"/>
    <s v="S1CS04487-WS"/>
    <n v="300"/>
    <s v="207201438"/>
    <s v="NW"/>
    <n v="4"/>
    <n v="0.38160962480501243"/>
    <x v="0"/>
    <x v="1"/>
    <n v="0"/>
    <x v="0"/>
    <m/>
  </r>
  <r>
    <s v="PPT1_BOI04"/>
    <s v="S1CS04487-WS"/>
    <n v="300"/>
    <s v="207201436"/>
    <s v="NW"/>
    <n v="4"/>
    <n v="0.38160962480501243"/>
    <x v="12"/>
    <x v="1"/>
    <n v="0"/>
    <x v="0"/>
    <m/>
  </r>
  <r>
    <s v="PPT1_BOI04"/>
    <s v="S1CS04487-WS"/>
    <n v="300"/>
    <s v="207201372"/>
    <s v="NW"/>
    <n v="4"/>
    <n v="0.38160962480501243"/>
    <x v="11"/>
    <x v="1"/>
    <n v="0"/>
    <x v="0"/>
    <m/>
  </r>
  <r>
    <s v="PPT1_BOI04"/>
    <s v="S1CS04487-WS"/>
    <n v="300"/>
    <s v="207197598"/>
    <s v="NW"/>
    <n v="4"/>
    <n v="0.38160962480501243"/>
    <x v="2"/>
    <x v="1"/>
    <n v="0"/>
    <x v="0"/>
    <m/>
  </r>
  <r>
    <s v="PPT1_BOI04"/>
    <s v="S1CS04487-WS"/>
    <n v="300"/>
    <s v="207197597"/>
    <s v="NW"/>
    <n v="4"/>
    <n v="0.38160962480501243"/>
    <x v="0"/>
    <x v="1"/>
    <n v="0"/>
    <x v="0"/>
    <m/>
  </r>
  <r>
    <s v="PPT1_BOI04"/>
    <s v="S1CS04487-WS"/>
    <n v="200"/>
    <s v="207201477"/>
    <s v="NW"/>
    <n v="4"/>
    <n v="0.25440641653667495"/>
    <x v="12"/>
    <x v="1"/>
    <n v="0"/>
    <x v="0"/>
    <m/>
  </r>
  <r>
    <s v="PPT1_BOI04"/>
    <s v="S1CS04487-WS"/>
    <n v="300"/>
    <s v="207197603"/>
    <s v="NW"/>
    <n v="4"/>
    <n v="0.38160962480501243"/>
    <x v="11"/>
    <x v="1"/>
    <n v="0"/>
    <x v="0"/>
    <m/>
  </r>
  <r>
    <s v="PPT1_BOI04"/>
    <s v="S1CS04487-WS"/>
    <n v="200"/>
    <s v="207197635"/>
    <s v="NW"/>
    <n v="4"/>
    <n v="0.25440641653667495"/>
    <x v="2"/>
    <x v="1"/>
    <n v="0"/>
    <x v="0"/>
    <m/>
  </r>
  <r>
    <s v="PPT1_BOI04"/>
    <s v="S1CS04487-WS"/>
    <n v="300"/>
    <s v="207197567"/>
    <s v="NW"/>
    <n v="4"/>
    <n v="0.38160962480501243"/>
    <x v="12"/>
    <x v="1"/>
    <n v="0"/>
    <x v="0"/>
    <m/>
  </r>
  <r>
    <s v="PPT1_BOI04"/>
    <s v="S1CS04490-WS"/>
    <n v="165"/>
    <s v="207201815"/>
    <s v="NW"/>
    <n v="7"/>
    <n v="0.27542019899487286"/>
    <x v="1"/>
    <x v="1"/>
    <n v="0"/>
    <x v="0"/>
    <m/>
  </r>
  <r>
    <s v="PPT1_BOI04"/>
    <s v="S1CS04490-WS"/>
    <n v="165"/>
    <s v="207201813"/>
    <s v="NW"/>
    <n v="7"/>
    <n v="0.27542019899487286"/>
    <x v="17"/>
    <x v="1"/>
    <n v="0"/>
    <x v="0"/>
    <m/>
  </r>
  <r>
    <s v="PPT1_BOI04"/>
    <s v="S1CS04490-WS"/>
    <n v="165"/>
    <s v="207202070"/>
    <s v="NW"/>
    <n v="7"/>
    <n v="0.27542019899487286"/>
    <x v="16"/>
    <x v="1"/>
    <n v="0"/>
    <x v="0"/>
    <m/>
  </r>
  <r>
    <s v="PPT1_BOI04"/>
    <s v="S1CS04490-WS"/>
    <n v="165"/>
    <s v="207202066"/>
    <s v="NW"/>
    <n v="7"/>
    <n v="0.27542019899487286"/>
    <x v="1"/>
    <x v="1"/>
    <n v="0"/>
    <x v="0"/>
    <m/>
  </r>
  <r>
    <s v="PPT1_BOI04"/>
    <s v="S1CS04490-WS"/>
    <n v="165"/>
    <s v="207202060"/>
    <s v="NW"/>
    <n v="7"/>
    <n v="0.27542019899487286"/>
    <x v="13"/>
    <x v="1"/>
    <n v="0"/>
    <x v="0"/>
    <m/>
  </r>
  <r>
    <s v="PPT1_BOI04"/>
    <s v="S1CS04490-WS"/>
    <n v="165"/>
    <s v="207201817"/>
    <s v="NW"/>
    <n v="7"/>
    <n v="0.27542019899487286"/>
    <x v="17"/>
    <x v="1"/>
    <n v="0"/>
    <x v="0"/>
    <m/>
  </r>
  <r>
    <s v="PPT1_BOI04"/>
    <s v="S1CS04490-WS"/>
    <n v="165"/>
    <s v="207202075"/>
    <s v="NW"/>
    <n v="7"/>
    <n v="0.27542019899487286"/>
    <x v="16"/>
    <x v="1"/>
    <n v="0"/>
    <x v="0"/>
    <m/>
  </r>
  <r>
    <s v="PPT1_BOI04"/>
    <s v="S1CS04490-WS"/>
    <n v="165"/>
    <s v="207202082"/>
    <s v="NW"/>
    <n v="7"/>
    <n v="0.27542019899487286"/>
    <x v="18"/>
    <x v="1"/>
    <n v="0"/>
    <x v="0"/>
    <m/>
  </r>
  <r>
    <s v="PPT1_BOI04"/>
    <s v="S1CS04490-WS"/>
    <n v="165"/>
    <s v="207201810"/>
    <s v="NW"/>
    <n v="7"/>
    <n v="0.27542019899487286"/>
    <x v="1"/>
    <x v="1"/>
    <n v="0"/>
    <x v="0"/>
    <m/>
  </r>
  <r>
    <s v="PPT1_BOI04"/>
    <s v="S1CS04490-WS"/>
    <n v="165"/>
    <s v="207201808"/>
    <s v="NW"/>
    <n v="7"/>
    <n v="0.27542019899487286"/>
    <x v="3"/>
    <x v="1"/>
    <n v="0"/>
    <x v="0"/>
    <m/>
  </r>
  <r>
    <s v="PPT1_BOI04"/>
    <s v="S1CS04490-WS"/>
    <n v="165"/>
    <s v="207202084"/>
    <s v="NW"/>
    <n v="7"/>
    <n v="0.27542019899487286"/>
    <x v="13"/>
    <x v="1"/>
    <n v="0"/>
    <x v="0"/>
    <m/>
  </r>
  <r>
    <s v="PPT1_BOI04"/>
    <s v="S1CS04490-WS"/>
    <n v="55"/>
    <s v="207202057"/>
    <s v="NW"/>
    <n v="7"/>
    <n v="9.1806732998290952E-2"/>
    <x v="4"/>
    <x v="1"/>
    <n v="0"/>
    <x v="0"/>
    <m/>
  </r>
  <r>
    <s v="PPT1_BOI04"/>
    <s v="S1CS04490-WS"/>
    <n v="165"/>
    <s v="207202077"/>
    <s v="NW"/>
    <n v="7"/>
    <n v="0.27542019899487286"/>
    <x v="17"/>
    <x v="1"/>
    <n v="0"/>
    <x v="0"/>
    <m/>
  </r>
  <r>
    <s v="PPT1_BOI04"/>
    <s v="S1CS04490-WS"/>
    <n v="165"/>
    <s v="207202086"/>
    <s v="NW"/>
    <n v="7"/>
    <n v="0.27542019899487286"/>
    <x v="16"/>
    <x v="1"/>
    <n v="0"/>
    <x v="0"/>
    <m/>
  </r>
  <r>
    <s v="PPT1_BOI04"/>
    <s v="S1CS04490-WS"/>
    <n v="165"/>
    <s v="207202079"/>
    <s v="NW"/>
    <n v="7"/>
    <n v="0.27542019899487286"/>
    <x v="4"/>
    <x v="1"/>
    <n v="0"/>
    <x v="0"/>
    <m/>
  </r>
  <r>
    <s v="PPT1_BOI04"/>
    <s v="S1CS04490-WS"/>
    <n v="165"/>
    <s v="207201736"/>
    <s v="NW"/>
    <n v="7"/>
    <n v="0.27542019899487286"/>
    <x v="18"/>
    <x v="1"/>
    <n v="0"/>
    <x v="0"/>
    <m/>
  </r>
  <r>
    <s v="PPT1_BOI04"/>
    <s v="S1CS04490-WS"/>
    <n v="165"/>
    <s v="207197983"/>
    <s v="NW"/>
    <n v="7"/>
    <n v="0.27542019899487286"/>
    <x v="1"/>
    <x v="1"/>
    <n v="0"/>
    <x v="0"/>
    <m/>
  </r>
  <r>
    <s v="PPT1_BOI04"/>
    <s v="S1CS04490-WS"/>
    <n v="165"/>
    <s v="207197961"/>
    <s v="NW"/>
    <n v="7"/>
    <n v="0.27542019899487286"/>
    <x v="3"/>
    <x v="1"/>
    <n v="0"/>
    <x v="0"/>
    <m/>
  </r>
  <r>
    <s v="PPT1_BOI04"/>
    <s v="S1CS04490-WS"/>
    <n v="110"/>
    <s v="207198079"/>
    <s v="NW"/>
    <n v="7"/>
    <n v="0.1836134659965819"/>
    <x v="13"/>
    <x v="1"/>
    <n v="0"/>
    <x v="0"/>
    <m/>
  </r>
  <r>
    <s v="PPT1_BOI04"/>
    <s v="S1CS04490-WS"/>
    <n v="165"/>
    <s v="207198020"/>
    <s v="NW"/>
    <n v="7"/>
    <n v="0.27542019899487286"/>
    <x v="17"/>
    <x v="1"/>
    <n v="0"/>
    <x v="0"/>
    <m/>
  </r>
  <r>
    <s v="PPT1_BOI04"/>
    <s v="S1CS04490-WS"/>
    <n v="165"/>
    <s v="207197433"/>
    <s v="NW"/>
    <n v="7"/>
    <n v="0.27542019899487286"/>
    <x v="16"/>
    <x v="1"/>
    <n v="0"/>
    <x v="0"/>
    <m/>
  </r>
  <r>
    <s v="PPT1_BOI04"/>
    <s v="S1CS04490-WS"/>
    <n v="165"/>
    <s v="207197415"/>
    <s v="NW"/>
    <n v="7"/>
    <n v="0.27542019899487286"/>
    <x v="4"/>
    <x v="1"/>
    <n v="0"/>
    <x v="0"/>
    <m/>
  </r>
  <r>
    <s v="PPT1_BOI04"/>
    <s v="S1CS04490-WS"/>
    <n v="165"/>
    <s v="207197919"/>
    <s v="NW"/>
    <n v="7"/>
    <n v="0.27542019899487286"/>
    <x v="13"/>
    <x v="1"/>
    <n v="0"/>
    <x v="0"/>
    <m/>
  </r>
  <r>
    <s v="PPT1_BOI04"/>
    <s v="S1CS04490-WS"/>
    <n v="165"/>
    <s v="207197456"/>
    <s v="NW"/>
    <n v="7"/>
    <n v="0.27542019899487286"/>
    <x v="18"/>
    <x v="1"/>
    <n v="0"/>
    <x v="0"/>
    <m/>
  </r>
  <r>
    <s v="PPT1_BOI04"/>
    <s v="S1CS04490-WS"/>
    <n v="165"/>
    <s v="207201860"/>
    <s v="NW"/>
    <n v="7"/>
    <n v="0.27542019899487286"/>
    <x v="1"/>
    <x v="1"/>
    <n v="0"/>
    <x v="0"/>
    <m/>
  </r>
  <r>
    <s v="PPT1_BOI04"/>
    <s v="S1CS04490-WS"/>
    <n v="165"/>
    <s v="207202064"/>
    <s v="NW"/>
    <n v="7"/>
    <n v="0.27542019899487286"/>
    <x v="3"/>
    <x v="1"/>
    <n v="0"/>
    <x v="0"/>
    <m/>
  </r>
  <r>
    <s v="PPT1_BOI04"/>
    <s v="S1CS04490-WS"/>
    <n v="165"/>
    <s v="207201819"/>
    <s v="NW"/>
    <n v="7"/>
    <n v="0.27542019899487286"/>
    <x v="17"/>
    <x v="1"/>
    <n v="0"/>
    <x v="0"/>
    <m/>
  </r>
  <r>
    <s v="PPT1_BOI04"/>
    <s v="S1CS04490-WS"/>
    <n v="165"/>
    <s v="207200496"/>
    <s v="NW"/>
    <n v="7"/>
    <n v="0.27542019899487286"/>
    <x v="16"/>
    <x v="1"/>
    <n v="0"/>
    <x v="0"/>
    <m/>
  </r>
  <r>
    <s v="PPT1_BOI04"/>
    <s v="S1CS04490-WS"/>
    <n v="165"/>
    <s v="207200420"/>
    <s v="NW"/>
    <n v="7"/>
    <n v="0.27542019899487286"/>
    <x v="4"/>
    <x v="1"/>
    <n v="0"/>
    <x v="0"/>
    <m/>
  </r>
  <r>
    <s v="PPT1_BOI04"/>
    <s v="S1CS04490-WS"/>
    <n v="165"/>
    <s v="207200426"/>
    <s v="NW"/>
    <n v="7"/>
    <n v="0.27542019899487286"/>
    <x v="13"/>
    <x v="1"/>
    <n v="0"/>
    <x v="0"/>
    <m/>
  </r>
  <r>
    <s v="PPT1_BOI04"/>
    <s v="S1CS04490-WS"/>
    <n v="165"/>
    <s v="207200456"/>
    <s v="NW"/>
    <n v="7"/>
    <n v="0.27542019899487286"/>
    <x v="18"/>
    <x v="1"/>
    <n v="0"/>
    <x v="0"/>
    <m/>
  </r>
  <r>
    <s v="PPT1_BOI04"/>
    <s v="S1CS04509-WS"/>
    <n v="210"/>
    <s v="207198302"/>
    <s v="NW"/>
    <n v="6"/>
    <n v="0.57943439806208097"/>
    <x v="2"/>
    <x v="1"/>
    <n v="0"/>
    <x v="0"/>
    <m/>
  </r>
  <r>
    <s v="PPT1_BOI04"/>
    <s v="S1CS04509-WS"/>
    <n v="210"/>
    <s v="207198213"/>
    <s v="NW"/>
    <n v="6"/>
    <n v="0.57943439806208097"/>
    <x v="0"/>
    <x v="1"/>
    <n v="0"/>
    <x v="0"/>
    <m/>
  </r>
  <r>
    <s v="PPT1_BOI04"/>
    <s v="S1CS04509-WS"/>
    <n v="140"/>
    <s v="207198349"/>
    <s v="NW"/>
    <n v="6"/>
    <n v="0.38628959870805396"/>
    <x v="5"/>
    <x v="1"/>
    <n v="0"/>
    <x v="0"/>
    <m/>
  </r>
  <r>
    <s v="PPT1_BOI04"/>
    <s v="S1CS04686-WS"/>
    <n v="150"/>
    <s v="207199983"/>
    <s v="NW"/>
    <n v="1"/>
    <n v="0.15908897550808279"/>
    <x v="9"/>
    <x v="1"/>
    <n v="0"/>
    <x v="0"/>
    <m/>
  </r>
  <r>
    <s v="PPT1_BOI04"/>
    <s v="S1CS04686-WS"/>
    <n v="150"/>
    <s v="207200009"/>
    <s v="NW"/>
    <n v="1"/>
    <n v="0.15908897550808279"/>
    <x v="9"/>
    <x v="1"/>
    <n v="0"/>
    <x v="0"/>
    <m/>
  </r>
  <r>
    <s v="PPT1_BOI04"/>
    <s v="S1CS04686-WS"/>
    <n v="150"/>
    <s v="207197712"/>
    <s v="NW"/>
    <n v="1"/>
    <n v="0.15908897550808279"/>
    <x v="9"/>
    <x v="1"/>
    <n v="0"/>
    <x v="0"/>
    <m/>
  </r>
  <r>
    <s v="PPT1_BOI04"/>
    <s v="S1CS04686-WS"/>
    <n v="150"/>
    <s v="207198409"/>
    <s v="NW"/>
    <n v="1"/>
    <n v="0.15908897550808279"/>
    <x v="9"/>
    <x v="1"/>
    <n v="0"/>
    <x v="0"/>
    <m/>
  </r>
  <r>
    <s v="PPT1_BOI04"/>
    <s v="S1CS04686-WS"/>
    <n v="150"/>
    <s v="207197735"/>
    <s v="NW"/>
    <n v="1"/>
    <n v="0.15908897550808279"/>
    <x v="9"/>
    <x v="1"/>
    <n v="0"/>
    <x v="0"/>
    <m/>
  </r>
  <r>
    <s v="PPT1_BOI04"/>
    <s v="S1CS04686-WS"/>
    <n v="150"/>
    <s v="207201560"/>
    <s v="NW"/>
    <n v="1"/>
    <n v="0.15908897550808279"/>
    <x v="9"/>
    <x v="1"/>
    <n v="0"/>
    <x v="0"/>
    <m/>
  </r>
  <r>
    <s v="PPT1_BOI04"/>
    <s v="S1CS04686-WS"/>
    <n v="150"/>
    <s v="207201101"/>
    <s v="NW"/>
    <n v="1"/>
    <n v="0.15908897550808279"/>
    <x v="9"/>
    <x v="1"/>
    <n v="0"/>
    <x v="0"/>
    <m/>
  </r>
  <r>
    <s v="PPT1_BOI04"/>
    <s v="S1CS04686-WS"/>
    <n v="150"/>
    <s v="207201102"/>
    <s v="NW"/>
    <n v="1"/>
    <n v="0.15908897550808279"/>
    <x v="9"/>
    <x v="1"/>
    <n v="0"/>
    <x v="0"/>
    <m/>
  </r>
  <r>
    <s v="PPT1_BOI04"/>
    <s v="S1CS04686-WS"/>
    <n v="150"/>
    <s v="207200013"/>
    <s v="NW"/>
    <n v="1"/>
    <n v="0.15908897550808279"/>
    <x v="9"/>
    <x v="1"/>
    <n v="0"/>
    <x v="0"/>
    <m/>
  </r>
  <r>
    <s v="PPT1_BOI04"/>
    <s v="S1CS04686-WS"/>
    <n v="150"/>
    <s v="207201562"/>
    <s v="NW"/>
    <n v="1"/>
    <n v="0.15908897550808279"/>
    <x v="9"/>
    <x v="1"/>
    <n v="0"/>
    <x v="0"/>
    <m/>
  </r>
  <r>
    <s v="PPT1_BOI04"/>
    <s v="S1CS04686-WS"/>
    <n v="150"/>
    <s v="207201100"/>
    <s v="NW"/>
    <n v="1"/>
    <n v="0.15908897550808279"/>
    <x v="9"/>
    <x v="1"/>
    <n v="0"/>
    <x v="0"/>
    <m/>
  </r>
  <r>
    <s v="PPT1_BOI04"/>
    <s v="S1CS04686-WS"/>
    <n v="150"/>
    <s v="207201307"/>
    <s v="NW"/>
    <n v="1"/>
    <n v="0.15908897550808279"/>
    <x v="9"/>
    <x v="1"/>
    <n v="0"/>
    <x v="0"/>
    <m/>
  </r>
  <r>
    <s v="PPT1_BOI04"/>
    <s v="S1CS04686-WS"/>
    <n v="150"/>
    <s v="207201284"/>
    <s v="NW"/>
    <n v="1"/>
    <n v="0.15908897550808279"/>
    <x v="9"/>
    <x v="1"/>
    <n v="0"/>
    <x v="0"/>
    <m/>
  </r>
  <r>
    <s v="PPT1_BOI04"/>
    <s v="S1CS04686-WS"/>
    <n v="150"/>
    <s v="207201308"/>
    <s v="NW"/>
    <n v="1"/>
    <n v="0.15908897550808279"/>
    <x v="9"/>
    <x v="1"/>
    <n v="0"/>
    <x v="0"/>
    <m/>
  </r>
  <r>
    <s v="PPT1_BOI04"/>
    <s v="S1CS04686-WS"/>
    <n v="150"/>
    <s v="207199925"/>
    <s v="NW"/>
    <n v="1"/>
    <n v="0.15908897550808279"/>
    <x v="9"/>
    <x v="1"/>
    <n v="0"/>
    <x v="0"/>
    <m/>
  </r>
  <r>
    <s v="PPT1_BOI04"/>
    <s v="S1CS04686-WS"/>
    <n v="150"/>
    <s v="207201311"/>
    <s v="NW"/>
    <n v="1"/>
    <n v="0.15908897550808279"/>
    <x v="9"/>
    <x v="1"/>
    <n v="0"/>
    <x v="0"/>
    <m/>
  </r>
  <r>
    <s v="PPT1_BOI04"/>
    <s v="S1CS04686-WS"/>
    <n v="150"/>
    <s v="207201282"/>
    <s v="NW"/>
    <n v="1"/>
    <n v="0.15908897550808279"/>
    <x v="9"/>
    <x v="1"/>
    <n v="0"/>
    <x v="0"/>
    <m/>
  </r>
  <r>
    <s v="PPT1_BOI04"/>
    <s v="S1CS04686-WS"/>
    <n v="150"/>
    <s v="207201537"/>
    <s v="NW"/>
    <n v="1"/>
    <n v="0.15908897550808279"/>
    <x v="9"/>
    <x v="1"/>
    <n v="0"/>
    <x v="0"/>
    <m/>
  </r>
  <r>
    <s v="PPT1_BOI04"/>
    <s v="S1CS04686-WS"/>
    <n v="150"/>
    <s v="207201539"/>
    <s v="NW"/>
    <n v="1"/>
    <n v="0.15908897550808279"/>
    <x v="9"/>
    <x v="1"/>
    <n v="0"/>
    <x v="0"/>
    <m/>
  </r>
  <r>
    <s v="PPT1_BOI04"/>
    <s v="S1CS04686-WS"/>
    <n v="150"/>
    <s v="207201526"/>
    <s v="NW"/>
    <n v="1"/>
    <n v="0.15908897550808279"/>
    <x v="9"/>
    <x v="1"/>
    <n v="0"/>
    <x v="0"/>
    <m/>
  </r>
  <r>
    <s v="PPT1_BOI04"/>
    <s v="S1CS04686-WS"/>
    <n v="150"/>
    <s v="207201523"/>
    <s v="NW"/>
    <n v="1"/>
    <n v="0.15908897550808279"/>
    <x v="9"/>
    <x v="1"/>
    <n v="0"/>
    <x v="0"/>
    <m/>
  </r>
  <r>
    <s v="PPT1_BOI04"/>
    <s v="S1CS04686-WS"/>
    <n v="150"/>
    <s v="207201524"/>
    <s v="NW"/>
    <n v="1"/>
    <n v="0.15908897550808279"/>
    <x v="9"/>
    <x v="1"/>
    <n v="0"/>
    <x v="0"/>
    <m/>
  </r>
  <r>
    <s v="PPT1_BOI04"/>
    <s v="S1CS04686-WS"/>
    <n v="150"/>
    <s v="207198413"/>
    <s v="NW"/>
    <n v="1"/>
    <n v="0.15908897550808279"/>
    <x v="9"/>
    <x v="1"/>
    <n v="0"/>
    <x v="0"/>
    <m/>
  </r>
  <r>
    <s v="PPT1_BOI04"/>
    <s v="S1CS04686-WS"/>
    <n v="150"/>
    <s v="207199342"/>
    <s v="NW"/>
    <n v="1"/>
    <n v="0.15908897550808279"/>
    <x v="9"/>
    <x v="1"/>
    <n v="0"/>
    <x v="0"/>
    <m/>
  </r>
  <r>
    <s v="PPT1_BOI04"/>
    <s v="S1CS04686-WS"/>
    <n v="150"/>
    <s v="207199282"/>
    <s v="NW"/>
    <n v="1"/>
    <n v="0.15908897550808279"/>
    <x v="9"/>
    <x v="1"/>
    <n v="0"/>
    <x v="0"/>
    <m/>
  </r>
  <r>
    <s v="PPT1_BOI04"/>
    <s v="S1CS04686-WS"/>
    <n v="150"/>
    <s v="207199423"/>
    <s v="NW"/>
    <n v="1"/>
    <n v="0.15908897550808279"/>
    <x v="9"/>
    <x v="1"/>
    <n v="0"/>
    <x v="0"/>
    <m/>
  </r>
  <r>
    <s v="PPT1_BOI04"/>
    <s v="S1CS04686-WS"/>
    <n v="150"/>
    <s v="207199418"/>
    <s v="NW"/>
    <n v="1"/>
    <n v="0.15908897550808279"/>
    <x v="9"/>
    <x v="1"/>
    <n v="0"/>
    <x v="0"/>
    <m/>
  </r>
  <r>
    <s v="PPT1_BOI04"/>
    <s v="S1CS04686-WS"/>
    <n v="150"/>
    <s v="207199277"/>
    <s v="NW"/>
    <n v="1"/>
    <n v="0.15908897550808279"/>
    <x v="9"/>
    <x v="1"/>
    <n v="0"/>
    <x v="0"/>
    <m/>
  </r>
  <r>
    <s v="PPT1_BOI04"/>
    <s v="S1CS04686-WS"/>
    <n v="150"/>
    <s v="207199200"/>
    <s v="NW"/>
    <n v="1"/>
    <n v="0.15908897550808279"/>
    <x v="9"/>
    <x v="1"/>
    <n v="0"/>
    <x v="0"/>
    <m/>
  </r>
  <r>
    <s v="PPT1_BOI04"/>
    <s v="S1CS04686-WS"/>
    <n v="150"/>
    <s v="207199155"/>
    <s v="NW"/>
    <n v="1"/>
    <n v="0.15908897550808279"/>
    <x v="9"/>
    <x v="1"/>
    <n v="0"/>
    <x v="0"/>
    <m/>
  </r>
  <r>
    <s v="PPT1_BOI04"/>
    <s v="S1CS04686-WS"/>
    <n v="150"/>
    <s v="207199232"/>
    <s v="NW"/>
    <n v="1"/>
    <n v="0.15908897550808279"/>
    <x v="9"/>
    <x v="1"/>
    <n v="0"/>
    <x v="0"/>
    <m/>
  </r>
  <r>
    <s v="PPT1_BOI04"/>
    <s v="S1CS04686-WS"/>
    <n v="150"/>
    <s v="207199227"/>
    <s v="NW"/>
    <n v="1"/>
    <n v="0.15908897550808279"/>
    <x v="9"/>
    <x v="1"/>
    <n v="0"/>
    <x v="0"/>
    <m/>
  </r>
  <r>
    <s v="PPT1_BOI04"/>
    <s v="S1CS04686-WS"/>
    <n v="150"/>
    <s v="207199880"/>
    <s v="NW"/>
    <n v="1"/>
    <n v="0.15908897550808279"/>
    <x v="9"/>
    <x v="1"/>
    <n v="0"/>
    <x v="0"/>
    <m/>
  </r>
  <r>
    <s v="PPT1_BOI04"/>
    <s v="S1CS04686-WS"/>
    <n v="150"/>
    <s v="207199826"/>
    <s v="NW"/>
    <n v="1"/>
    <n v="0.15908897550808279"/>
    <x v="9"/>
    <x v="1"/>
    <n v="0"/>
    <x v="0"/>
    <m/>
  </r>
  <r>
    <s v="PPT1_BOI04"/>
    <s v="S1CS04686-WS"/>
    <n v="150"/>
    <s v="207199920"/>
    <s v="NW"/>
    <n v="1"/>
    <n v="0.15908897550808279"/>
    <x v="9"/>
    <x v="1"/>
    <n v="0"/>
    <x v="0"/>
    <m/>
  </r>
  <r>
    <s v="PPT1_BOI04"/>
    <s v="S1CS04686-WS"/>
    <n v="150"/>
    <s v="207199883"/>
    <s v="NW"/>
    <n v="1"/>
    <n v="0.15908897550808279"/>
    <x v="9"/>
    <x v="1"/>
    <n v="0"/>
    <x v="0"/>
    <m/>
  </r>
  <r>
    <s v="PPT1_BOI04"/>
    <s v="S1CS04686-WS"/>
    <n v="150"/>
    <s v="207199821"/>
    <s v="NW"/>
    <n v="1"/>
    <n v="0.15908897550808279"/>
    <x v="9"/>
    <x v="1"/>
    <n v="0"/>
    <x v="0"/>
    <m/>
  </r>
  <r>
    <s v="PPT1_BOI04"/>
    <s v="S1CS04686-WS"/>
    <n v="150"/>
    <s v="207199572"/>
    <s v="NW"/>
    <n v="1"/>
    <n v="0.15908897550808279"/>
    <x v="9"/>
    <x v="1"/>
    <n v="0"/>
    <x v="0"/>
    <m/>
  </r>
  <r>
    <s v="PPT1_BOI04"/>
    <s v="S1CS04686-WS"/>
    <n v="150"/>
    <s v="207199471"/>
    <s v="NW"/>
    <n v="1"/>
    <n v="0.15908897550808279"/>
    <x v="9"/>
    <x v="1"/>
    <n v="0"/>
    <x v="0"/>
    <m/>
  </r>
  <r>
    <s v="PPT1_BOI04"/>
    <s v="S1CS04686-WS"/>
    <n v="150"/>
    <s v="207199631"/>
    <s v="NW"/>
    <n v="1"/>
    <n v="0.15908897550808279"/>
    <x v="9"/>
    <x v="1"/>
    <n v="0"/>
    <x v="0"/>
    <m/>
  </r>
  <r>
    <s v="PPT1_BOI04"/>
    <s v="S1CS04686-WS"/>
    <n v="150"/>
    <s v="207199592"/>
    <s v="NW"/>
    <n v="1"/>
    <n v="0.15908897550808279"/>
    <x v="9"/>
    <x v="1"/>
    <n v="0"/>
    <x v="0"/>
    <m/>
  </r>
  <r>
    <s v="PPT1_BOI04"/>
    <s v="S1CS04686-WS"/>
    <n v="150"/>
    <s v="207198637"/>
    <s v="NW"/>
    <n v="1"/>
    <n v="0.15908897550808279"/>
    <x v="9"/>
    <x v="1"/>
    <n v="0"/>
    <x v="0"/>
    <m/>
  </r>
  <r>
    <s v="PPT1_BOI04"/>
    <s v="S1CS04686-WS"/>
    <n v="150"/>
    <s v="207198618"/>
    <s v="NW"/>
    <n v="1"/>
    <n v="0.15908897550808279"/>
    <x v="9"/>
    <x v="1"/>
    <n v="0"/>
    <x v="0"/>
    <m/>
  </r>
  <r>
    <s v="PPT1_BOI04"/>
    <s v="S1CS04686-WS"/>
    <n v="150"/>
    <s v="207198674"/>
    <s v="NW"/>
    <n v="1"/>
    <n v="0.15908897550808279"/>
    <x v="9"/>
    <x v="1"/>
    <n v="0"/>
    <x v="0"/>
    <m/>
  </r>
  <r>
    <s v="PPT1_BOI04"/>
    <s v="S1CS04686-WS"/>
    <n v="150"/>
    <s v="207198662"/>
    <s v="NW"/>
    <n v="1"/>
    <n v="0.15908897550808279"/>
    <x v="9"/>
    <x v="1"/>
    <n v="0"/>
    <x v="0"/>
    <m/>
  </r>
  <r>
    <s v="PPT1_BOI04"/>
    <s v="S1CS04686-WS"/>
    <n v="150"/>
    <s v="207198592"/>
    <s v="NW"/>
    <n v="1"/>
    <n v="0.15908897550808279"/>
    <x v="9"/>
    <x v="1"/>
    <n v="0"/>
    <x v="0"/>
    <m/>
  </r>
  <r>
    <s v="PPT1_BOI04"/>
    <s v="S1CS04686-WS"/>
    <n v="150"/>
    <s v="207198498"/>
    <s v="NW"/>
    <n v="1"/>
    <n v="0.15908897550808279"/>
    <x v="9"/>
    <x v="1"/>
    <n v="0"/>
    <x v="0"/>
    <m/>
  </r>
  <r>
    <s v="PPT1_BOI04"/>
    <s v="S1CS04686-WS"/>
    <n v="150"/>
    <s v="207198461"/>
    <s v="NW"/>
    <n v="1"/>
    <n v="0.15908897550808279"/>
    <x v="9"/>
    <x v="1"/>
    <n v="0"/>
    <x v="0"/>
    <m/>
  </r>
  <r>
    <s v="PPT1_BOI04"/>
    <s v="S1CS04686-WS"/>
    <n v="150"/>
    <s v="207198578"/>
    <s v="NW"/>
    <n v="1"/>
    <n v="0.15908897550808279"/>
    <x v="9"/>
    <x v="1"/>
    <n v="0"/>
    <x v="0"/>
    <m/>
  </r>
  <r>
    <s v="PPT1_BOI04"/>
    <s v="S1CS04686-WS"/>
    <n v="150"/>
    <s v="207198510"/>
    <s v="NW"/>
    <n v="1"/>
    <n v="0.15908897550808279"/>
    <x v="9"/>
    <x v="1"/>
    <n v="0"/>
    <x v="0"/>
    <m/>
  </r>
  <r>
    <s v="PPT1_BOI04"/>
    <s v="S1CS04686-WS"/>
    <n v="150"/>
    <s v="207199061"/>
    <s v="NW"/>
    <n v="1"/>
    <n v="0.15908897550808279"/>
    <x v="9"/>
    <x v="1"/>
    <n v="0"/>
    <x v="0"/>
    <m/>
  </r>
  <r>
    <s v="PPT1_BOI04"/>
    <s v="S1CS04686-WS"/>
    <n v="150"/>
    <s v="207199019"/>
    <s v="NW"/>
    <n v="1"/>
    <n v="0.15908897550808279"/>
    <x v="9"/>
    <x v="1"/>
    <n v="0"/>
    <x v="0"/>
    <m/>
  </r>
  <r>
    <s v="PPT1_BOI04"/>
    <s v="S1CS04686-WS"/>
    <n v="150"/>
    <s v="207199130"/>
    <s v="NW"/>
    <n v="1"/>
    <n v="0.15908897550808279"/>
    <x v="9"/>
    <x v="1"/>
    <n v="0"/>
    <x v="0"/>
    <m/>
  </r>
  <r>
    <s v="PPT1_BOI04"/>
    <s v="S1CS04686-WS"/>
    <n v="150"/>
    <s v="207199120"/>
    <s v="NW"/>
    <n v="1"/>
    <n v="0.15908897550808279"/>
    <x v="9"/>
    <x v="1"/>
    <n v="0"/>
    <x v="0"/>
    <m/>
  </r>
  <r>
    <s v="PPT1_BOI04"/>
    <s v="S1CS04686-WS"/>
    <n v="150"/>
    <s v="207199009"/>
    <s v="NW"/>
    <n v="1"/>
    <n v="0.15908897550808279"/>
    <x v="9"/>
    <x v="1"/>
    <n v="0"/>
    <x v="0"/>
    <m/>
  </r>
  <r>
    <s v="PPT1_BOI04"/>
    <s v="S1CS04686-WS"/>
    <n v="150"/>
    <s v="207198793"/>
    <s v="NW"/>
    <n v="1"/>
    <n v="0.15908897550808279"/>
    <x v="9"/>
    <x v="1"/>
    <n v="0"/>
    <x v="0"/>
    <m/>
  </r>
  <r>
    <s v="PPT1_BOI04"/>
    <s v="S1CS04686-WS"/>
    <n v="150"/>
    <s v="207198729"/>
    <s v="NW"/>
    <n v="1"/>
    <n v="0.15908897550808279"/>
    <x v="9"/>
    <x v="1"/>
    <n v="0"/>
    <x v="0"/>
    <m/>
  </r>
  <r>
    <s v="PPT1_BOI04"/>
    <s v="S1CS04686-WS"/>
    <n v="150"/>
    <s v="207198992"/>
    <s v="NW"/>
    <n v="1"/>
    <n v="0.15908897550808279"/>
    <x v="9"/>
    <x v="1"/>
    <n v="0"/>
    <x v="0"/>
    <m/>
  </r>
  <r>
    <s v="PPT1_BOI04"/>
    <s v="S1CS04686-WS"/>
    <n v="150"/>
    <s v="207198828"/>
    <s v="NW"/>
    <n v="1"/>
    <n v="0.15908897550808279"/>
    <x v="9"/>
    <x v="1"/>
    <n v="0"/>
    <x v="0"/>
    <m/>
  </r>
  <r>
    <s v="PPT1_BOI04"/>
    <s v="S1CS04686-WS"/>
    <n v="150"/>
    <s v="207201715"/>
    <s v="NW"/>
    <n v="1"/>
    <n v="0.15908897550808279"/>
    <x v="9"/>
    <x v="1"/>
    <n v="0"/>
    <x v="0"/>
    <m/>
  </r>
  <r>
    <s v="PPT1_BOI04"/>
    <s v="S1CS04686-WS"/>
    <n v="150"/>
    <s v="207201713"/>
    <s v="NW"/>
    <n v="1"/>
    <n v="0.15908897550808279"/>
    <x v="9"/>
    <x v="1"/>
    <n v="0"/>
    <x v="0"/>
    <m/>
  </r>
  <r>
    <s v="PPT1_BOI04"/>
    <s v="S1CS04686-WS"/>
    <n v="150"/>
    <s v="207201661"/>
    <s v="NW"/>
    <n v="1"/>
    <n v="0.15908897550808279"/>
    <x v="9"/>
    <x v="1"/>
    <n v="0"/>
    <x v="0"/>
    <m/>
  </r>
  <r>
    <s v="PPT1_BOI04"/>
    <s v="S1CS04686-WS"/>
    <n v="150"/>
    <s v="207201422"/>
    <s v="NW"/>
    <n v="1"/>
    <n v="0.15908897550808279"/>
    <x v="9"/>
    <x v="1"/>
    <n v="0"/>
    <x v="0"/>
    <m/>
  </r>
  <r>
    <s v="PPT1_BOI04"/>
    <s v="S1CS04686-WS"/>
    <n v="150"/>
    <s v="207201747"/>
    <s v="NW"/>
    <n v="1"/>
    <n v="0.15908897550808279"/>
    <x v="9"/>
    <x v="1"/>
    <n v="0"/>
    <x v="0"/>
    <m/>
  </r>
  <r>
    <s v="PPT1_BOI04"/>
    <s v="S1CS04686-WS"/>
    <n v="150"/>
    <s v="207201587"/>
    <s v="NW"/>
    <n v="1"/>
    <n v="0.15908897550808279"/>
    <x v="9"/>
    <x v="1"/>
    <n v="0"/>
    <x v="0"/>
    <m/>
  </r>
  <r>
    <s v="PPT1_BOI04"/>
    <s v="S1CS04686-WS"/>
    <n v="150"/>
    <s v="207201660"/>
    <s v="NW"/>
    <n v="1"/>
    <n v="0.15908897550808279"/>
    <x v="9"/>
    <x v="1"/>
    <n v="0"/>
    <x v="0"/>
    <m/>
  </r>
  <r>
    <s v="PPT1_BOI04"/>
    <s v="S1CS04686-WS"/>
    <n v="150"/>
    <s v="207201426"/>
    <s v="NW"/>
    <n v="1"/>
    <n v="0.15908897550808279"/>
    <x v="9"/>
    <x v="1"/>
    <n v="0"/>
    <x v="0"/>
    <m/>
  </r>
  <r>
    <s v="PPT1_BOI04"/>
    <s v="S1CS04686-WS"/>
    <n v="150"/>
    <s v="207201685"/>
    <s v="NW"/>
    <n v="1"/>
    <n v="0.15908897550808279"/>
    <x v="9"/>
    <x v="1"/>
    <n v="0"/>
    <x v="0"/>
    <m/>
  </r>
  <r>
    <s v="PPT1_BOI04"/>
    <s v="S1CS04686-WS"/>
    <n v="150"/>
    <s v="207201684"/>
    <s v="NW"/>
    <n v="1"/>
    <n v="0.15908897550808279"/>
    <x v="9"/>
    <x v="1"/>
    <n v="0"/>
    <x v="0"/>
    <m/>
  </r>
  <r>
    <s v="PPT1_BOI04"/>
    <s v="S1CS04686-WS"/>
    <n v="150"/>
    <s v="207201683"/>
    <s v="NW"/>
    <n v="1"/>
    <n v="0.15908897550808279"/>
    <x v="9"/>
    <x v="1"/>
    <n v="0"/>
    <x v="0"/>
    <m/>
  </r>
  <r>
    <s v="PPT1_BOI04"/>
    <s v="S1CS04686-WS"/>
    <n v="150"/>
    <s v="207201708"/>
    <s v="NW"/>
    <n v="1"/>
    <n v="0.15908897550808279"/>
    <x v="9"/>
    <x v="1"/>
    <n v="0"/>
    <x v="0"/>
    <m/>
  </r>
  <r>
    <s v="PPT1_BOI04"/>
    <s v="S1CS04686-WS"/>
    <n v="150"/>
    <s v="207201662"/>
    <s v="NW"/>
    <n v="1"/>
    <n v="0.15908897550808279"/>
    <x v="9"/>
    <x v="1"/>
    <n v="0"/>
    <x v="0"/>
    <m/>
  </r>
  <r>
    <s v="PPT1_BOI04"/>
    <s v="S1CS04686-WS"/>
    <n v="150"/>
    <s v="207201682"/>
    <s v="NW"/>
    <n v="1"/>
    <n v="0.15908897550808279"/>
    <x v="9"/>
    <x v="1"/>
    <n v="0"/>
    <x v="0"/>
    <m/>
  </r>
  <r>
    <s v="PPT1_BOI04"/>
    <s v="S1CS04686-WS"/>
    <n v="150"/>
    <s v="207201712"/>
    <s v="NW"/>
    <n v="1"/>
    <n v="0.15908897550808279"/>
    <x v="9"/>
    <x v="1"/>
    <n v="0"/>
    <x v="0"/>
    <m/>
  </r>
  <r>
    <s v="PPT1_BOI04"/>
    <s v="S1CS04686-WS"/>
    <n v="150"/>
    <s v="207201748"/>
    <s v="NW"/>
    <n v="1"/>
    <n v="0.15908897550808279"/>
    <x v="9"/>
    <x v="1"/>
    <n v="0"/>
    <x v="0"/>
    <m/>
  </r>
  <r>
    <s v="PPT1_BOI04"/>
    <s v="S1CS04686-WS"/>
    <n v="150"/>
    <s v="207201565"/>
    <s v="NW"/>
    <n v="1"/>
    <n v="0.15908897550808279"/>
    <x v="9"/>
    <x v="1"/>
    <n v="0"/>
    <x v="0"/>
    <m/>
  </r>
  <r>
    <s v="PPT1_BOI04"/>
    <s v="S1CS04686-WS"/>
    <n v="150"/>
    <s v="207201781"/>
    <s v="NW"/>
    <n v="1"/>
    <n v="0.15908897550808279"/>
    <x v="9"/>
    <x v="1"/>
    <n v="0"/>
    <x v="0"/>
    <m/>
  </r>
  <r>
    <s v="PPT1_BOI04"/>
    <s v="S1CS04686-WS"/>
    <n v="150"/>
    <s v="207201448"/>
    <s v="NW"/>
    <n v="1"/>
    <n v="0.15908897550808279"/>
    <x v="9"/>
    <x v="1"/>
    <n v="0"/>
    <x v="0"/>
    <m/>
  </r>
  <r>
    <s v="PPT1_BOI04"/>
    <s v="S1CS04686-WS"/>
    <n v="50"/>
    <s v="207201801"/>
    <s v="NW"/>
    <n v="1"/>
    <n v="5.3029658502694269E-2"/>
    <x v="9"/>
    <x v="1"/>
    <n v="0"/>
    <x v="0"/>
    <m/>
  </r>
  <r>
    <s v="PPT1_BOI04"/>
    <s v="S1CS04686-WS"/>
    <n v="150"/>
    <s v="207201564"/>
    <s v="NW"/>
    <n v="1"/>
    <n v="0.15908897550808279"/>
    <x v="9"/>
    <x v="1"/>
    <n v="0"/>
    <x v="0"/>
    <m/>
  </r>
  <r>
    <s v="PPT1_BOI04"/>
    <s v="S1CS04686-WS"/>
    <n v="150"/>
    <s v="207201449"/>
    <s v="NW"/>
    <n v="1"/>
    <n v="0.15908897550808279"/>
    <x v="9"/>
    <x v="1"/>
    <n v="0"/>
    <x v="0"/>
    <m/>
  </r>
  <r>
    <s v="PPT1_BOI04"/>
    <s v="S1CS04686-WS"/>
    <n v="150"/>
    <s v="207199981"/>
    <s v="NW"/>
    <n v="1"/>
    <n v="0.15908897550808279"/>
    <x v="9"/>
    <x v="1"/>
    <n v="0"/>
    <x v="0"/>
    <m/>
  </r>
  <r>
    <s v="PPT1_BOI04"/>
    <s v="S1CS04686-WS"/>
    <n v="150"/>
    <s v="207201777"/>
    <s v="NW"/>
    <n v="1"/>
    <n v="0.15908897550808279"/>
    <x v="9"/>
    <x v="1"/>
    <n v="0"/>
    <x v="0"/>
    <m/>
  </r>
  <r>
    <s v="PPT1_BOI04"/>
    <s v="S1CS04686-WS"/>
    <n v="150"/>
    <s v="207201563"/>
    <s v="NW"/>
    <n v="1"/>
    <n v="0.15908897550808279"/>
    <x v="9"/>
    <x v="1"/>
    <n v="0"/>
    <x v="0"/>
    <m/>
  </r>
  <r>
    <s v="PPT1_BOI04"/>
    <s v="S1CS04686-WS"/>
    <n v="150"/>
    <s v="207201566"/>
    <s v="NW"/>
    <n v="1"/>
    <n v="0.15908897550808279"/>
    <x v="9"/>
    <x v="1"/>
    <n v="0"/>
    <x v="0"/>
    <m/>
  </r>
  <r>
    <s v="PPT1_BOI04"/>
    <s v="S1CS04686-WS"/>
    <n v="150"/>
    <s v="207201778"/>
    <s v="NW"/>
    <n v="1"/>
    <n v="0.15908897550808279"/>
    <x v="9"/>
    <x v="1"/>
    <n v="0"/>
    <x v="0"/>
    <m/>
  </r>
  <r>
    <s v="PPT1_BOI04"/>
    <s v="S1CS04686-WS"/>
    <n v="150"/>
    <s v="207201779"/>
    <s v="NW"/>
    <n v="1"/>
    <n v="0.15908897550808279"/>
    <x v="9"/>
    <x v="1"/>
    <n v="0"/>
    <x v="0"/>
    <m/>
  </r>
  <r>
    <s v="PPT1_BOI04"/>
    <s v="S1CS04686-WS"/>
    <n v="150"/>
    <s v="207201780"/>
    <s v="NW"/>
    <n v="1"/>
    <n v="0.15908897550808279"/>
    <x v="9"/>
    <x v="1"/>
    <n v="0"/>
    <x v="0"/>
    <m/>
  </r>
  <r>
    <s v="PPT1_BOI04"/>
    <s v="S1CS04686-WS"/>
    <n v="150"/>
    <s v="207201447"/>
    <s v="NW"/>
    <n v="1"/>
    <n v="0.15908897550808279"/>
    <x v="9"/>
    <x v="1"/>
    <n v="0"/>
    <x v="0"/>
    <m/>
  </r>
  <r>
    <s v="PPT1_BOI04"/>
    <s v="S1CS04687-WS"/>
    <n v="150"/>
    <s v="207202244"/>
    <s v="NW"/>
    <n v="2"/>
    <n v="0.21321442417011729"/>
    <x v="11"/>
    <x v="1"/>
    <n v="0"/>
    <x v="0"/>
    <m/>
  </r>
  <r>
    <s v="PPT1_BOI04"/>
    <s v="S1CS04687-WS"/>
    <n v="150"/>
    <s v="207202235"/>
    <s v="NW"/>
    <n v="2"/>
    <n v="0.21321442417011729"/>
    <x v="15"/>
    <x v="1"/>
    <n v="0"/>
    <x v="0"/>
    <m/>
  </r>
  <r>
    <s v="PPT1_BOI04"/>
    <s v="S1CS04687-WS"/>
    <n v="150"/>
    <s v="207202234"/>
    <s v="NW"/>
    <n v="2"/>
    <n v="0.21321442417011729"/>
    <x v="11"/>
    <x v="1"/>
    <n v="0"/>
    <x v="0"/>
    <m/>
  </r>
  <r>
    <s v="PPT1_BOI04"/>
    <s v="S1CS04687-WS"/>
    <n v="150"/>
    <s v="207200429"/>
    <s v="NW"/>
    <n v="2"/>
    <n v="0.21321442417011729"/>
    <x v="15"/>
    <x v="1"/>
    <n v="0"/>
    <x v="0"/>
    <m/>
  </r>
  <r>
    <s v="PPT1_BOI04"/>
    <s v="S1CS04687-WS"/>
    <n v="150"/>
    <s v="207202238"/>
    <s v="NW"/>
    <n v="2"/>
    <n v="0.21321442417011729"/>
    <x v="11"/>
    <x v="1"/>
    <n v="0"/>
    <x v="0"/>
    <m/>
  </r>
  <r>
    <s v="PPT1_BOI04"/>
    <s v="S1CS04687-WS"/>
    <n v="150"/>
    <s v="207202237"/>
    <s v="NW"/>
    <n v="2"/>
    <n v="0.21321442417011729"/>
    <x v="15"/>
    <x v="1"/>
    <n v="0"/>
    <x v="0"/>
    <m/>
  </r>
  <r>
    <s v="PPT1_BOI04"/>
    <s v="S1CS04687-WS"/>
    <n v="150"/>
    <s v="207202236"/>
    <s v="NW"/>
    <n v="2"/>
    <n v="0.21321442417011729"/>
    <x v="11"/>
    <x v="1"/>
    <n v="0"/>
    <x v="0"/>
    <m/>
  </r>
  <r>
    <s v="PPT1_BOI04"/>
    <s v="S1CS04687-WS"/>
    <n v="150"/>
    <s v="207202263"/>
    <s v="NW"/>
    <n v="2"/>
    <n v="0.21321442417011729"/>
    <x v="15"/>
    <x v="1"/>
    <n v="0"/>
    <x v="0"/>
    <m/>
  </r>
  <r>
    <s v="PPT1_BOI04"/>
    <s v="S1CS04687-WS"/>
    <n v="150"/>
    <s v="207202262"/>
    <s v="NW"/>
    <n v="2"/>
    <n v="0.21321442417011729"/>
    <x v="11"/>
    <x v="1"/>
    <n v="0"/>
    <x v="0"/>
    <m/>
  </r>
  <r>
    <s v="PPT1_BOI04"/>
    <s v="S1CS04687-WS"/>
    <n v="150"/>
    <s v="207202261"/>
    <s v="NW"/>
    <n v="2"/>
    <n v="0.21321442417011729"/>
    <x v="15"/>
    <x v="1"/>
    <n v="0"/>
    <x v="0"/>
    <m/>
  </r>
  <r>
    <s v="PPT1_BOI04"/>
    <s v="S1CS04687-WS"/>
    <n v="150"/>
    <s v="207202288"/>
    <s v="NW"/>
    <n v="2"/>
    <n v="0.21321442417011729"/>
    <x v="11"/>
    <x v="1"/>
    <n v="0"/>
    <x v="0"/>
    <m/>
  </r>
  <r>
    <s v="PPT1_BOI04"/>
    <s v="S1CS04687-WS"/>
    <n v="150"/>
    <s v="207202265"/>
    <s v="NW"/>
    <n v="2"/>
    <n v="0.21321442417011729"/>
    <x v="15"/>
    <x v="1"/>
    <n v="0"/>
    <x v="0"/>
    <m/>
  </r>
  <r>
    <s v="PPT1_BOI04"/>
    <s v="S1CS04687-WS"/>
    <n v="150"/>
    <s v="207202264"/>
    <s v="NW"/>
    <n v="2"/>
    <n v="0.21321442417011729"/>
    <x v="11"/>
    <x v="1"/>
    <n v="0"/>
    <x v="0"/>
    <m/>
  </r>
  <r>
    <s v="PPT1_BOI04"/>
    <s v="S1CS04687-WS"/>
    <n v="150"/>
    <s v="207202254"/>
    <s v="NW"/>
    <n v="2"/>
    <n v="0.21321442417011729"/>
    <x v="15"/>
    <x v="1"/>
    <n v="0"/>
    <x v="0"/>
    <m/>
  </r>
  <r>
    <s v="PPT1_BOI04"/>
    <s v="S1CS04687-WS"/>
    <n v="150"/>
    <s v="207202248"/>
    <s v="NW"/>
    <n v="2"/>
    <n v="0.21321442417011729"/>
    <x v="11"/>
    <x v="1"/>
    <n v="0"/>
    <x v="0"/>
    <m/>
  </r>
  <r>
    <s v="PPT1_BOI04"/>
    <s v="S1CS04687-WS"/>
    <n v="150"/>
    <s v="207202246"/>
    <s v="NW"/>
    <n v="2"/>
    <n v="0.21321442417011729"/>
    <x v="15"/>
    <x v="1"/>
    <n v="0"/>
    <x v="0"/>
    <m/>
  </r>
  <r>
    <s v="PPT1_BOI04"/>
    <s v="S1CS04687-WS"/>
    <n v="150"/>
    <s v="207202245"/>
    <s v="NW"/>
    <n v="2"/>
    <n v="0.21321442417011729"/>
    <x v="11"/>
    <x v="1"/>
    <n v="0"/>
    <x v="0"/>
    <m/>
  </r>
  <r>
    <s v="PPT1_BOI04"/>
    <s v="S1CS04687-WS"/>
    <n v="150"/>
    <s v="207202253"/>
    <s v="NW"/>
    <n v="2"/>
    <n v="0.21321442417011729"/>
    <x v="15"/>
    <x v="1"/>
    <n v="0"/>
    <x v="0"/>
    <m/>
  </r>
  <r>
    <s v="PPT1_BOI04"/>
    <s v="S1CS04687-WS"/>
    <n v="150"/>
    <s v="207202252"/>
    <s v="NW"/>
    <n v="2"/>
    <n v="0.21321442417011729"/>
    <x v="11"/>
    <x v="1"/>
    <n v="0"/>
    <x v="0"/>
    <m/>
  </r>
  <r>
    <s v="PPT1_BOI04"/>
    <s v="S1CS04687-WS"/>
    <n v="150"/>
    <s v="207202249"/>
    <s v="NW"/>
    <n v="2"/>
    <n v="0.21321442417011729"/>
    <x v="15"/>
    <x v="1"/>
    <n v="0"/>
    <x v="0"/>
    <m/>
  </r>
  <r>
    <s v="PPT1_BOI04"/>
    <s v="S1CS04687-WS"/>
    <n v="150"/>
    <s v="207202301"/>
    <s v="NW"/>
    <n v="2"/>
    <n v="0.21321442417011729"/>
    <x v="11"/>
    <x v="1"/>
    <n v="0"/>
    <x v="0"/>
    <m/>
  </r>
  <r>
    <s v="PPT1_BOI04"/>
    <s v="S1CS04687-WS"/>
    <n v="150"/>
    <s v="207200606"/>
    <s v="NW"/>
    <n v="2"/>
    <n v="0.21321442417011729"/>
    <x v="15"/>
    <x v="1"/>
    <n v="0"/>
    <x v="0"/>
    <m/>
  </r>
  <r>
    <s v="PPT1_BOI04"/>
    <s v="S1CS04687-WS"/>
    <n v="150"/>
    <s v="207200608"/>
    <s v="NW"/>
    <n v="2"/>
    <n v="0.21321442417011729"/>
    <x v="11"/>
    <x v="1"/>
    <n v="0"/>
    <x v="0"/>
    <m/>
  </r>
  <r>
    <s v="PPT1_BOI04"/>
    <s v="S1CS04687-WS"/>
    <n v="150"/>
    <s v="207200325"/>
    <s v="NW"/>
    <n v="2"/>
    <n v="0.21321442417011729"/>
    <x v="15"/>
    <x v="1"/>
    <n v="0"/>
    <x v="0"/>
    <m/>
  </r>
  <r>
    <s v="PPT1_BOI04"/>
    <s v="S1CS04687-WS"/>
    <n v="150"/>
    <s v="207200435"/>
    <s v="NW"/>
    <n v="2"/>
    <n v="0.21321442417011729"/>
    <x v="11"/>
    <x v="1"/>
    <n v="0"/>
    <x v="0"/>
    <m/>
  </r>
  <r>
    <s v="PPT1_BOI04"/>
    <s v="S1CS04687-WS"/>
    <n v="150"/>
    <s v="207200601"/>
    <s v="NW"/>
    <n v="2"/>
    <n v="0.21321442417011729"/>
    <x v="15"/>
    <x v="1"/>
    <n v="0"/>
    <x v="0"/>
    <m/>
  </r>
  <r>
    <s v="PPT1_BOI04"/>
    <s v="S1CS04687-WS"/>
    <n v="150"/>
    <s v="207200604"/>
    <s v="NW"/>
    <n v="2"/>
    <n v="0.21321442417011729"/>
    <x v="11"/>
    <x v="1"/>
    <n v="0"/>
    <x v="0"/>
    <m/>
  </r>
  <r>
    <s v="PPT1_BOI04"/>
    <s v="S1CS04687-WS"/>
    <n v="150"/>
    <s v="207200317"/>
    <s v="NW"/>
    <n v="2"/>
    <n v="0.21321442417011729"/>
    <x v="15"/>
    <x v="1"/>
    <n v="0"/>
    <x v="0"/>
    <m/>
  </r>
  <r>
    <s v="PPT1_BOI04"/>
    <s v="S1CS04687-WS"/>
    <n v="150"/>
    <s v="207200611"/>
    <s v="NW"/>
    <n v="2"/>
    <n v="0.21321442417011729"/>
    <x v="11"/>
    <x v="1"/>
    <n v="0"/>
    <x v="0"/>
    <m/>
  </r>
  <r>
    <s v="PPT1_BOI04"/>
    <s v="S1CS04687-WS"/>
    <n v="150"/>
    <s v="207200276"/>
    <s v="NW"/>
    <n v="2"/>
    <n v="0.21321442417011729"/>
    <x v="15"/>
    <x v="1"/>
    <n v="0"/>
    <x v="0"/>
    <m/>
  </r>
  <r>
    <s v="PPT1_BOI04"/>
    <s v="S1CS04687-WS"/>
    <n v="150"/>
    <s v="207200322"/>
    <s v="NW"/>
    <n v="2"/>
    <n v="0.21321442417011729"/>
    <x v="11"/>
    <x v="1"/>
    <n v="0"/>
    <x v="0"/>
    <m/>
  </r>
  <r>
    <s v="PPT1_BOI04"/>
    <s v="S1CS04687-WS"/>
    <n v="150"/>
    <s v="207200609"/>
    <s v="NW"/>
    <n v="2"/>
    <n v="0.21321442417011729"/>
    <x v="15"/>
    <x v="1"/>
    <n v="0"/>
    <x v="0"/>
    <m/>
  </r>
  <r>
    <s v="PPT1_BOI04"/>
    <s v="S1CS04687-WS"/>
    <n v="150"/>
    <s v="207200320"/>
    <s v="NW"/>
    <n v="2"/>
    <n v="0.21321442417011729"/>
    <x v="11"/>
    <x v="1"/>
    <n v="0"/>
    <x v="0"/>
    <m/>
  </r>
  <r>
    <s v="PPT1_BOI04"/>
    <s v="S1CS04687-WS"/>
    <n v="150"/>
    <s v="207200432"/>
    <s v="NW"/>
    <n v="2"/>
    <n v="0.21321442417011729"/>
    <x v="15"/>
    <x v="1"/>
    <n v="0"/>
    <x v="0"/>
    <m/>
  </r>
  <r>
    <s v="PPT1_BOI04"/>
    <s v="S1CS04687-WS"/>
    <n v="150"/>
    <s v="207200427"/>
    <s v="NW"/>
    <n v="2"/>
    <n v="0.21321442417011729"/>
    <x v="11"/>
    <x v="1"/>
    <n v="0"/>
    <x v="0"/>
    <m/>
  </r>
  <r>
    <s v="PPT1_BOI04"/>
    <s v="S1CS04687-WS"/>
    <n v="150"/>
    <s v="207200376"/>
    <s v="NW"/>
    <n v="2"/>
    <n v="0.21321442417011729"/>
    <x v="15"/>
    <x v="1"/>
    <n v="0"/>
    <x v="0"/>
    <m/>
  </r>
  <r>
    <s v="PPT1_BOI04"/>
    <s v="S1CS04687-WS"/>
    <n v="150"/>
    <s v="207200430"/>
    <s v="NW"/>
    <n v="2"/>
    <n v="0.21321442417011729"/>
    <x v="11"/>
    <x v="1"/>
    <n v="0"/>
    <x v="0"/>
    <m/>
  </r>
  <r>
    <s v="PPT1_BOI04"/>
    <s v="S1CS04687-WS"/>
    <n v="150"/>
    <s v="207200431"/>
    <s v="NW"/>
    <n v="2"/>
    <n v="0.21321442417011729"/>
    <x v="15"/>
    <x v="1"/>
    <n v="0"/>
    <x v="0"/>
    <m/>
  </r>
  <r>
    <s v="PPT1_BOI04"/>
    <s v="S1CS04687-WS"/>
    <n v="150"/>
    <s v="207200428"/>
    <s v="NW"/>
    <n v="2"/>
    <n v="0.21321442417011729"/>
    <x v="11"/>
    <x v="1"/>
    <n v="0"/>
    <x v="0"/>
    <m/>
  </r>
  <r>
    <s v="PPT1_BOI04"/>
    <s v="S1CS04687-WS"/>
    <n v="150"/>
    <s v="207200434"/>
    <s v="NW"/>
    <n v="2"/>
    <n v="0.21321442417011729"/>
    <x v="15"/>
    <x v="1"/>
    <n v="0"/>
    <x v="0"/>
    <m/>
  </r>
  <r>
    <s v="PPT1_BOI04"/>
    <s v="S1CS04687-WS"/>
    <n v="150"/>
    <s v="207200370"/>
    <s v="NW"/>
    <n v="2"/>
    <n v="0.21321442417011729"/>
    <x v="11"/>
    <x v="1"/>
    <n v="0"/>
    <x v="0"/>
    <m/>
  </r>
  <r>
    <s v="PPT1_BOI04"/>
    <s v="S1CS04687-WS"/>
    <n v="150"/>
    <s v="207200368"/>
    <s v="NW"/>
    <n v="2"/>
    <n v="0.21321442417011729"/>
    <x v="15"/>
    <x v="1"/>
    <n v="0"/>
    <x v="0"/>
    <m/>
  </r>
  <r>
    <s v="PPT1_BOI04"/>
    <s v="S1CS04687-WS"/>
    <n v="150"/>
    <s v="207200374"/>
    <s v="NW"/>
    <n v="2"/>
    <n v="0.21321442417011729"/>
    <x v="11"/>
    <x v="1"/>
    <n v="0"/>
    <x v="0"/>
    <m/>
  </r>
  <r>
    <s v="PPT1_BOI04"/>
    <s v="S1CS04687-WS"/>
    <n v="150"/>
    <s v="207200433"/>
    <s v="NW"/>
    <n v="2"/>
    <n v="0.21321442417011729"/>
    <x v="15"/>
    <x v="1"/>
    <n v="0"/>
    <x v="0"/>
    <m/>
  </r>
  <r>
    <s v="PPT1_BOI04"/>
    <s v="S1CS04687-WS"/>
    <n v="150"/>
    <s v="207200372"/>
    <s v="NW"/>
    <n v="2"/>
    <n v="0.21321442417011729"/>
    <x v="11"/>
    <x v="1"/>
    <n v="0"/>
    <x v="0"/>
    <m/>
  </r>
  <r>
    <s v="PPT1_BOI04"/>
    <s v="S1CS04687-WS"/>
    <n v="150"/>
    <s v="207200167"/>
    <s v="NW"/>
    <n v="2"/>
    <n v="0.21321442417011729"/>
    <x v="15"/>
    <x v="1"/>
    <n v="0"/>
    <x v="0"/>
    <m/>
  </r>
  <r>
    <s v="PPT1_BOI04"/>
    <s v="S1CS04687-WS"/>
    <n v="150"/>
    <s v="207200155"/>
    <s v="NW"/>
    <n v="2"/>
    <n v="0.21321442417011729"/>
    <x v="11"/>
    <x v="1"/>
    <n v="0"/>
    <x v="0"/>
    <m/>
  </r>
  <r>
    <s v="PPT1_BOI04"/>
    <s v="S1CS04687-WS"/>
    <n v="150"/>
    <s v="207200153"/>
    <s v="NW"/>
    <n v="2"/>
    <n v="0.21321442417011729"/>
    <x v="15"/>
    <x v="1"/>
    <n v="0"/>
    <x v="0"/>
    <m/>
  </r>
  <r>
    <s v="PPT1_BOI04"/>
    <s v="S1CS04687-WS"/>
    <n v="150"/>
    <s v="207200640"/>
    <s v="NW"/>
    <n v="2"/>
    <n v="0.21321442417011729"/>
    <x v="11"/>
    <x v="1"/>
    <n v="0"/>
    <x v="0"/>
    <m/>
  </r>
  <r>
    <s v="PPT1_BOI04"/>
    <s v="S1CS04687-WS"/>
    <n v="150"/>
    <s v="207200169"/>
    <s v="NW"/>
    <n v="2"/>
    <n v="0.21321442417011729"/>
    <x v="15"/>
    <x v="1"/>
    <n v="0"/>
    <x v="0"/>
    <m/>
  </r>
  <r>
    <s v="PPT1_BOI04"/>
    <s v="S1CS04687-WS"/>
    <n v="150"/>
    <s v="207200643"/>
    <s v="NW"/>
    <n v="2"/>
    <n v="0.21321442417011729"/>
    <x v="11"/>
    <x v="1"/>
    <n v="0"/>
    <x v="0"/>
    <m/>
  </r>
  <r>
    <s v="PPT1_BOI04"/>
    <s v="S1CS04687-WS"/>
    <n v="150"/>
    <s v="207202302"/>
    <s v="NW"/>
    <n v="2"/>
    <n v="0.21321442417011729"/>
    <x v="15"/>
    <x v="1"/>
    <n v="0"/>
    <x v="0"/>
    <m/>
  </r>
  <r>
    <s v="PPT1_BOI04"/>
    <s v="S1CS04687-WS"/>
    <n v="150"/>
    <s v="207202228"/>
    <s v="NW"/>
    <n v="2"/>
    <n v="0.21321442417011729"/>
    <x v="11"/>
    <x v="1"/>
    <n v="0"/>
    <x v="0"/>
    <m/>
  </r>
  <r>
    <s v="PPT1_BOI04"/>
    <s v="S1CS04687-WS"/>
    <n v="150"/>
    <s v="207202227"/>
    <s v="NW"/>
    <n v="2"/>
    <n v="0.21321442417011729"/>
    <x v="15"/>
    <x v="1"/>
    <n v="0"/>
    <x v="0"/>
    <m/>
  </r>
  <r>
    <s v="PPT1_BOI04"/>
    <s v="S1CS04687-WS"/>
    <n v="150"/>
    <s v="207200151"/>
    <s v="NW"/>
    <n v="2"/>
    <n v="0.21321442417011729"/>
    <x v="11"/>
    <x v="1"/>
    <n v="0"/>
    <x v="0"/>
    <m/>
  </r>
  <r>
    <s v="PPT1_BOI04"/>
    <s v="S1CS04687-WS"/>
    <n v="50"/>
    <s v="207202303"/>
    <s v="NW"/>
    <n v="2"/>
    <n v="7.1071474723372427E-2"/>
    <x v="15"/>
    <x v="1"/>
    <n v="0"/>
    <x v="0"/>
    <m/>
  </r>
  <r>
    <s v="PPT1_BOI04"/>
    <s v="S1CS04687-WS"/>
    <n v="150"/>
    <s v="207200149"/>
    <s v="NW"/>
    <n v="2"/>
    <n v="0.21321442417011729"/>
    <x v="11"/>
    <x v="1"/>
    <n v="0"/>
    <x v="0"/>
    <m/>
  </r>
  <r>
    <s v="PPT1_BOI04"/>
    <s v="S1CS04687-WS"/>
    <n v="150"/>
    <s v="207200614"/>
    <s v="NW"/>
    <n v="2"/>
    <n v="0.21321442417011729"/>
    <x v="15"/>
    <x v="1"/>
    <n v="0"/>
    <x v="0"/>
    <m/>
  </r>
  <r>
    <s v="PPT1_BOI04"/>
    <s v="S1CS04687-WS"/>
    <n v="150"/>
    <s v="207200171"/>
    <s v="NW"/>
    <n v="2"/>
    <n v="0.21321442417011729"/>
    <x v="11"/>
    <x v="1"/>
    <n v="0"/>
    <x v="0"/>
    <m/>
  </r>
  <r>
    <s v="PPT1_BOI04"/>
    <s v="S1CS04687-WS"/>
    <n v="150"/>
    <s v="207200616"/>
    <s v="NW"/>
    <n v="2"/>
    <n v="0.21321442417011729"/>
    <x v="15"/>
    <x v="1"/>
    <n v="0"/>
    <x v="0"/>
    <m/>
  </r>
  <r>
    <s v="PPT1_BOI04"/>
    <s v="S1CS04687-WS"/>
    <n v="150"/>
    <s v="207200274"/>
    <s v="NW"/>
    <n v="2"/>
    <n v="0.21321442417011729"/>
    <x v="11"/>
    <x v="1"/>
    <n v="0"/>
    <x v="0"/>
    <m/>
  </r>
  <r>
    <s v="PPT1_BOI04"/>
    <s v="S1CS04687-WS"/>
    <n v="150"/>
    <s v="207200271"/>
    <s v="NW"/>
    <n v="2"/>
    <n v="0.21321442417011729"/>
    <x v="15"/>
    <x v="1"/>
    <n v="0"/>
    <x v="0"/>
    <m/>
  </r>
  <r>
    <s v="PPT1_BOI04"/>
    <s v="S1CS04687-WS"/>
    <n v="150"/>
    <s v="207200172"/>
    <s v="NW"/>
    <n v="2"/>
    <n v="0.21321442417011729"/>
    <x v="11"/>
    <x v="1"/>
    <n v="0"/>
    <x v="0"/>
    <m/>
  </r>
  <r>
    <s v="PPT1_BOI04"/>
    <s v="S1CS04687-WS"/>
    <n v="150"/>
    <s v="207200634"/>
    <s v="NW"/>
    <n v="2"/>
    <n v="0.21321442417011729"/>
    <x v="15"/>
    <x v="1"/>
    <n v="0"/>
    <x v="0"/>
    <m/>
  </r>
  <r>
    <s v="PPT1_BOI04"/>
    <s v="S1CS04687-WS"/>
    <n v="150"/>
    <s v="207200636"/>
    <s v="NW"/>
    <n v="2"/>
    <n v="0.21321442417011729"/>
    <x v="11"/>
    <x v="1"/>
    <n v="0"/>
    <x v="0"/>
    <m/>
  </r>
  <r>
    <s v="PPT1_BOI04"/>
    <s v="S1CS04687-WS"/>
    <n v="150"/>
    <s v="207200638"/>
    <s v="NW"/>
    <n v="2"/>
    <n v="0.21321442417011729"/>
    <x v="15"/>
    <x v="1"/>
    <n v="0"/>
    <x v="0"/>
    <m/>
  </r>
  <r>
    <s v="PPT1_BOI04"/>
    <s v="S1CS04687-WS"/>
    <n v="150"/>
    <s v="207200627"/>
    <s v="NW"/>
    <n v="2"/>
    <n v="0.21321442417011729"/>
    <x v="11"/>
    <x v="1"/>
    <n v="0"/>
    <x v="0"/>
    <m/>
  </r>
  <r>
    <s v="PPT1_BOI04"/>
    <s v="S1CS04687-WS"/>
    <n v="150"/>
    <s v="207200630"/>
    <s v="NW"/>
    <n v="2"/>
    <n v="0.21321442417011729"/>
    <x v="15"/>
    <x v="1"/>
    <n v="0"/>
    <x v="0"/>
    <m/>
  </r>
  <r>
    <s v="PPT1_BOI04"/>
    <s v="S1CS04687-WS"/>
    <n v="150"/>
    <s v="207200632"/>
    <s v="NW"/>
    <n v="2"/>
    <n v="0.21321442417011729"/>
    <x v="11"/>
    <x v="1"/>
    <n v="0"/>
    <x v="0"/>
    <m/>
  </r>
  <r>
    <s v="PPT1_BOI04"/>
    <s v="S1CS04687-WS"/>
    <n v="150"/>
    <s v="207202286"/>
    <s v="NW"/>
    <n v="2"/>
    <n v="0.21321442417011729"/>
    <x v="15"/>
    <x v="1"/>
    <n v="0"/>
    <x v="0"/>
    <m/>
  </r>
  <r>
    <s v="PPT1_BOI04"/>
    <s v="S1CS04687-WS"/>
    <n v="150"/>
    <s v="207202285"/>
    <s v="NW"/>
    <n v="2"/>
    <n v="0.21321442417011729"/>
    <x v="11"/>
    <x v="1"/>
    <n v="0"/>
    <x v="0"/>
    <m/>
  </r>
  <r>
    <s v="PPT1_BOI04"/>
    <s v="S1CS04687-WS"/>
    <n v="150"/>
    <s v="207202287"/>
    <s v="NW"/>
    <n v="2"/>
    <n v="0.21321442417011729"/>
    <x v="15"/>
    <x v="1"/>
    <n v="0"/>
    <x v="0"/>
    <m/>
  </r>
  <r>
    <s v="PPT1_BOI04"/>
    <s v="S1CS04687-WS"/>
    <n v="150"/>
    <s v="207202289"/>
    <s v="NW"/>
    <n v="2"/>
    <n v="0.21321442417011729"/>
    <x v="11"/>
    <x v="1"/>
    <n v="0"/>
    <x v="0"/>
    <m/>
  </r>
  <r>
    <s v="PPT1_BOI04"/>
    <s v="S1CS04687-WS"/>
    <n v="150"/>
    <s v="207202219"/>
    <s v="NW"/>
    <n v="2"/>
    <n v="0.21321442417011729"/>
    <x v="15"/>
    <x v="1"/>
    <n v="0"/>
    <x v="0"/>
    <m/>
  </r>
  <r>
    <s v="PPT1_BOI04"/>
    <s v="S1CS04687-WS"/>
    <n v="150"/>
    <s v="207202284"/>
    <s v="NW"/>
    <n v="2"/>
    <n v="0.21321442417011729"/>
    <x v="11"/>
    <x v="1"/>
    <n v="0"/>
    <x v="0"/>
    <m/>
  </r>
  <r>
    <s v="PPT1_BOI04"/>
    <s v="S1CS04687-WS"/>
    <n v="150"/>
    <s v="207202220"/>
    <s v="NW"/>
    <n v="2"/>
    <n v="0.21321442417011729"/>
    <x v="15"/>
    <x v="1"/>
    <n v="0"/>
    <x v="0"/>
    <m/>
  </r>
  <r>
    <s v="PPT1_BOI04"/>
    <s v="S1CS04687-WS"/>
    <n v="150"/>
    <s v="207202273"/>
    <s v="NW"/>
    <n v="2"/>
    <n v="0.21321442417011729"/>
    <x v="11"/>
    <x v="1"/>
    <n v="0"/>
    <x v="0"/>
    <m/>
  </r>
  <r>
    <s v="PPT1_BOI04"/>
    <s v="S1CS04687-WS"/>
    <n v="150"/>
    <s v="207202226"/>
    <s v="NW"/>
    <n v="2"/>
    <n v="0.21321442417011729"/>
    <x v="15"/>
    <x v="1"/>
    <n v="0"/>
    <x v="0"/>
    <m/>
  </r>
  <r>
    <s v="PPT1_BOI04"/>
    <s v="S1CS04687-WS"/>
    <n v="150"/>
    <s v="207202274"/>
    <s v="NW"/>
    <n v="2"/>
    <n v="0.21321442417011729"/>
    <x v="11"/>
    <x v="1"/>
    <n v="0"/>
    <x v="0"/>
    <m/>
  </r>
  <r>
    <s v="PPT1_BOI04"/>
    <s v="S1CS04687-WS"/>
    <n v="150"/>
    <s v="207202293"/>
    <s v="NW"/>
    <n v="2"/>
    <n v="0.21321442417011729"/>
    <x v="15"/>
    <x v="1"/>
    <n v="0"/>
    <x v="0"/>
    <m/>
  </r>
  <r>
    <s v="PPT1_BOI04"/>
    <s v="S1CS04687-WS"/>
    <n v="150"/>
    <s v="207202292"/>
    <s v="NW"/>
    <n v="2"/>
    <n v="0.21321442417011729"/>
    <x v="11"/>
    <x v="1"/>
    <n v="0"/>
    <x v="0"/>
    <m/>
  </r>
  <r>
    <s v="PPT1_BOI04"/>
    <s v="S1CS04687-WS"/>
    <n v="150"/>
    <s v="207202295"/>
    <s v="NW"/>
    <n v="2"/>
    <n v="0.21321442417011729"/>
    <x v="15"/>
    <x v="1"/>
    <n v="0"/>
    <x v="0"/>
    <m/>
  </r>
  <r>
    <s v="PPT1_BOI04"/>
    <s v="S1CS04687-WS"/>
    <n v="150"/>
    <s v="207202299"/>
    <s v="NW"/>
    <n v="2"/>
    <n v="0.21321442417011729"/>
    <x v="11"/>
    <x v="1"/>
    <n v="0"/>
    <x v="0"/>
    <m/>
  </r>
  <r>
    <s v="PPT1_BOI04"/>
    <s v="S1CS04687-WS"/>
    <n v="150"/>
    <s v="207202297"/>
    <s v="NW"/>
    <n v="2"/>
    <n v="0.21321442417011729"/>
    <x v="15"/>
    <x v="1"/>
    <n v="0"/>
    <x v="0"/>
    <m/>
  </r>
  <r>
    <s v="PPT1_BOI04"/>
    <s v="S1CS04687-WS"/>
    <n v="150"/>
    <s v="207202275"/>
    <s v="NW"/>
    <n v="2"/>
    <n v="0.21321442417011729"/>
    <x v="11"/>
    <x v="1"/>
    <n v="0"/>
    <x v="0"/>
    <m/>
  </r>
  <r>
    <s v="PPT1_BOI04"/>
    <s v="S1CS04687-WS"/>
    <n v="150"/>
    <s v="207202221"/>
    <s v="NW"/>
    <n v="2"/>
    <n v="0.21321442417011729"/>
    <x v="15"/>
    <x v="1"/>
    <n v="0"/>
    <x v="0"/>
    <m/>
  </r>
  <r>
    <s v="PPT1_BOI04"/>
    <s v="S1CS04687-WS"/>
    <n v="150"/>
    <s v="207202290"/>
    <s v="NW"/>
    <n v="2"/>
    <n v="0.21321442417011729"/>
    <x v="11"/>
    <x v="1"/>
    <n v="0"/>
    <x v="0"/>
    <m/>
  </r>
  <r>
    <s v="PPT1_BOI04"/>
    <s v="S1CS04687-WS"/>
    <n v="150"/>
    <s v="207202276"/>
    <s v="NW"/>
    <n v="2"/>
    <n v="0.21321442417011729"/>
    <x v="15"/>
    <x v="1"/>
    <n v="0"/>
    <x v="0"/>
    <m/>
  </r>
  <r>
    <s v="PPT1_BOI04"/>
    <s v="S1CS04687-WS"/>
    <n v="150"/>
    <s v="207202291"/>
    <s v="NW"/>
    <n v="2"/>
    <n v="0.21321442417011729"/>
    <x v="11"/>
    <x v="1"/>
    <n v="0"/>
    <x v="0"/>
    <m/>
  </r>
  <r>
    <s v="PPT1_BOI04"/>
    <s v="S1CS04702-WS"/>
    <n v="570"/>
    <s v="207197280"/>
    <s v="NW"/>
    <n v="2"/>
    <n v="0.71485141203215496"/>
    <x v="12"/>
    <x v="1"/>
    <n v="0"/>
    <x v="0"/>
    <m/>
  </r>
  <r>
    <s v="PPT1_BOI04"/>
    <s v="S1CS04702-WS"/>
    <n v="570"/>
    <s v="207197299"/>
    <s v="NW"/>
    <n v="2"/>
    <n v="0.71485141203215496"/>
    <x v="10"/>
    <x v="1"/>
    <n v="0"/>
    <x v="0"/>
    <m/>
  </r>
  <r>
    <s v="PPT1_BOI04"/>
    <s v="S1CS04702-WS"/>
    <n v="190"/>
    <s v="207197304"/>
    <s v="NW"/>
    <n v="2"/>
    <n v="0.23828380401071833"/>
    <x v="12"/>
    <x v="1"/>
    <n v="0"/>
    <x v="0"/>
    <m/>
  </r>
  <r>
    <s v="PPT1_BOI04"/>
    <s v="S1CS04703-WS"/>
    <n v="200"/>
    <s v="207197416"/>
    <s v="NW"/>
    <n v="5"/>
    <n v="0.23807840199392988"/>
    <x v="5"/>
    <x v="1"/>
    <n v="0"/>
    <x v="0"/>
    <m/>
  </r>
  <r>
    <s v="PPT1_BOI04"/>
    <s v="S1CS04703-WS"/>
    <n v="300"/>
    <s v="207197336"/>
    <s v="NW"/>
    <n v="5"/>
    <n v="0.35711760299089484"/>
    <x v="1"/>
    <x v="1"/>
    <n v="0"/>
    <x v="0"/>
    <m/>
  </r>
  <r>
    <s v="PPT1_BOI04"/>
    <s v="S1CS04703-WS"/>
    <n v="300"/>
    <s v="207197386"/>
    <s v="NW"/>
    <n v="5"/>
    <n v="0.35711760299089484"/>
    <x v="2"/>
    <x v="1"/>
    <n v="0"/>
    <x v="0"/>
    <m/>
  </r>
  <r>
    <s v="PPT1_BOI04"/>
    <s v="S1CS04703-WS"/>
    <n v="300"/>
    <s v="207197364"/>
    <s v="NW"/>
    <n v="5"/>
    <n v="0.35711760299089484"/>
    <x v="3"/>
    <x v="1"/>
    <n v="0"/>
    <x v="0"/>
    <m/>
  </r>
  <r>
    <s v="PPT1_BOI04"/>
    <s v="S1CS04994-WS"/>
    <n v="300"/>
    <s v="207199969"/>
    <s v="NW"/>
    <n v="5"/>
    <n v="0.36925274092546406"/>
    <x v="0"/>
    <x v="1"/>
    <n v="0"/>
    <x v="0"/>
    <m/>
  </r>
  <r>
    <s v="PPT1_BOI04"/>
    <s v="S1CS04994-WS"/>
    <n v="300"/>
    <s v="207198647"/>
    <s v="NW"/>
    <n v="5"/>
    <n v="0.36925274092546406"/>
    <x v="5"/>
    <x v="1"/>
    <n v="0"/>
    <x v="0"/>
    <m/>
  </r>
  <r>
    <s v="PPT1_BOI04"/>
    <s v="S1CS04994-WS"/>
    <n v="300"/>
    <s v="207198653"/>
    <s v="NW"/>
    <n v="5"/>
    <n v="0.36925274092546406"/>
    <x v="17"/>
    <x v="1"/>
    <n v="0"/>
    <x v="0"/>
    <m/>
  </r>
  <r>
    <s v="PPT1_BOI04"/>
    <s v="S1CS04994-WS"/>
    <n v="200"/>
    <s v="207199998"/>
    <s v="NW"/>
    <n v="5"/>
    <n v="0.24616849395030937"/>
    <x v="16"/>
    <x v="1"/>
    <n v="0"/>
    <x v="0"/>
    <m/>
  </r>
  <r>
    <s v="PPT1_BOI04"/>
    <s v="S1CS04994-WS"/>
    <n v="300"/>
    <s v="207198600"/>
    <s v="NW"/>
    <n v="5"/>
    <n v="0.36925274092546406"/>
    <x v="8"/>
    <x v="1"/>
    <n v="0"/>
    <x v="0"/>
    <m/>
  </r>
  <r>
    <s v="PPT1_BOI04"/>
    <s v="S1CS04994-WS"/>
    <n v="300"/>
    <s v="207199951"/>
    <s v="NW"/>
    <n v="5"/>
    <n v="0.36925274092546406"/>
    <x v="16"/>
    <x v="1"/>
    <n v="0"/>
    <x v="0"/>
    <m/>
  </r>
  <r>
    <s v="PPT1_BOI04"/>
    <s v="S1CS04994-WS"/>
    <n v="300"/>
    <s v="207198764"/>
    <s v="NW"/>
    <n v="5"/>
    <n v="0.36925274092546406"/>
    <x v="0"/>
    <x v="1"/>
    <n v="0"/>
    <x v="0"/>
    <m/>
  </r>
  <r>
    <s v="PPT1_BOI04"/>
    <s v="S1CS04994-WS"/>
    <n v="300"/>
    <s v="207198692"/>
    <s v="NW"/>
    <n v="5"/>
    <n v="0.36925274092546406"/>
    <x v="5"/>
    <x v="1"/>
    <n v="0"/>
    <x v="0"/>
    <m/>
  </r>
  <r>
    <s v="PPT1_BOI04"/>
    <s v="S1CS05205-WS"/>
    <n v="225"/>
    <s v="207200848"/>
    <s v="NW"/>
    <n v="8"/>
    <n v="0.26656203959108454"/>
    <x v="4"/>
    <x v="1"/>
    <n v="0"/>
    <x v="0"/>
    <m/>
  </r>
  <r>
    <s v="PPT1_BOI04"/>
    <s v="S1CS05205-WS"/>
    <n v="225"/>
    <s v="207200716"/>
    <s v="NW"/>
    <n v="8"/>
    <n v="0.26656203959108454"/>
    <x v="13"/>
    <x v="1"/>
    <n v="0"/>
    <x v="0"/>
    <m/>
  </r>
  <r>
    <s v="PPT1_BOI04"/>
    <s v="S1CS05205-WS"/>
    <n v="225"/>
    <s v="207200887"/>
    <s v="NW"/>
    <n v="8"/>
    <n v="0.26656203959108454"/>
    <x v="18"/>
    <x v="1"/>
    <n v="0"/>
    <x v="0"/>
    <m/>
  </r>
  <r>
    <s v="PPT1_BOI04"/>
    <s v="S1CS05205-WS"/>
    <n v="225"/>
    <s v="207200714"/>
    <s v="NW"/>
    <n v="8"/>
    <n v="0.26656203959108454"/>
    <x v="6"/>
    <x v="1"/>
    <n v="0"/>
    <x v="0"/>
    <m/>
  </r>
  <r>
    <s v="PPT1_BOI04"/>
    <s v="S1CS05205-WS"/>
    <n v="225"/>
    <s v="207201827"/>
    <s v="NW"/>
    <n v="8"/>
    <n v="0.26656203959108454"/>
    <x v="1"/>
    <x v="1"/>
    <n v="0"/>
    <x v="0"/>
    <m/>
  </r>
  <r>
    <s v="PPT1_BOI04"/>
    <s v="S1CS05205-WS"/>
    <n v="225"/>
    <s v="207200852"/>
    <s v="NW"/>
    <n v="8"/>
    <n v="0.26656203959108454"/>
    <x v="2"/>
    <x v="1"/>
    <n v="0"/>
    <x v="0"/>
    <m/>
  </r>
  <r>
    <s v="PPT1_BOI04"/>
    <s v="S1CS05205-WS"/>
    <n v="225"/>
    <s v="207200889"/>
    <s v="NW"/>
    <n v="8"/>
    <n v="0.26656203959108454"/>
    <x v="3"/>
    <x v="1"/>
    <n v="0"/>
    <x v="0"/>
    <m/>
  </r>
  <r>
    <s v="PPT1_BOI04"/>
    <s v="S1CS05205-WS"/>
    <n v="225"/>
    <s v="207200851"/>
    <s v="NW"/>
    <n v="8"/>
    <n v="0.26656203959108454"/>
    <x v="7"/>
    <x v="1"/>
    <n v="0"/>
    <x v="0"/>
    <m/>
  </r>
  <r>
    <s v="PPT1_BOI04"/>
    <s v="S1CS05205-WS"/>
    <n v="225"/>
    <s v="207200888"/>
    <s v="NW"/>
    <n v="8"/>
    <n v="0.26656203959108454"/>
    <x v="4"/>
    <x v="1"/>
    <n v="0"/>
    <x v="0"/>
    <m/>
  </r>
  <r>
    <s v="PPT1_BOI04"/>
    <s v="S1CS05205-WS"/>
    <n v="225"/>
    <s v="207200870"/>
    <s v="NW"/>
    <n v="8"/>
    <n v="0.26656203959108454"/>
    <x v="13"/>
    <x v="1"/>
    <n v="0"/>
    <x v="0"/>
    <m/>
  </r>
  <r>
    <s v="PPT1_BOI04"/>
    <s v="S1CS05205-WS"/>
    <n v="225"/>
    <s v="207201806"/>
    <s v="NW"/>
    <n v="8"/>
    <n v="0.26656203959108454"/>
    <x v="18"/>
    <x v="1"/>
    <n v="0"/>
    <x v="0"/>
    <m/>
  </r>
  <r>
    <s v="PPT1_BOI04"/>
    <s v="S1CS05205-WS"/>
    <n v="225"/>
    <s v="207200854"/>
    <s v="NW"/>
    <n v="8"/>
    <n v="0.26656203959108454"/>
    <x v="6"/>
    <x v="1"/>
    <n v="0"/>
    <x v="0"/>
    <m/>
  </r>
  <r>
    <s v="PPT1_BOI04"/>
    <s v="S1CS05205-WS"/>
    <n v="225"/>
    <s v="207200856"/>
    <s v="NW"/>
    <n v="8"/>
    <n v="0.26656203959108454"/>
    <x v="1"/>
    <x v="1"/>
    <n v="0"/>
    <x v="0"/>
    <m/>
  </r>
  <r>
    <s v="PPT1_BOI04"/>
    <s v="S1CS05205-WS"/>
    <n v="225"/>
    <s v="207200872"/>
    <s v="NW"/>
    <n v="8"/>
    <n v="0.26656203959108454"/>
    <x v="2"/>
    <x v="1"/>
    <n v="0"/>
    <x v="0"/>
    <m/>
  </r>
  <r>
    <s v="PPT1_BOI04"/>
    <s v="S1CS05205-WS"/>
    <n v="225"/>
    <s v="207200873"/>
    <s v="NW"/>
    <n v="8"/>
    <n v="0.26656203959108454"/>
    <x v="3"/>
    <x v="1"/>
    <n v="0"/>
    <x v="0"/>
    <m/>
  </r>
  <r>
    <s v="PPT1_BOI04"/>
    <s v="S1CS05205-WS"/>
    <n v="225"/>
    <s v="207200876"/>
    <s v="NW"/>
    <n v="8"/>
    <n v="0.26656203959108454"/>
    <x v="7"/>
    <x v="1"/>
    <n v="0"/>
    <x v="0"/>
    <m/>
  </r>
  <r>
    <s v="PPT1_BOI04"/>
    <s v="S1CS05205-WS"/>
    <n v="225"/>
    <s v="207200871"/>
    <s v="NW"/>
    <n v="8"/>
    <n v="0.26656203959108454"/>
    <x v="4"/>
    <x v="1"/>
    <n v="0"/>
    <x v="0"/>
    <m/>
  </r>
  <r>
    <s v="PPT1_BOI04"/>
    <s v="S1CS05205-WS"/>
    <n v="225"/>
    <s v="207201002"/>
    <s v="NW"/>
    <n v="8"/>
    <n v="0.26656203959108454"/>
    <x v="13"/>
    <x v="1"/>
    <n v="0"/>
    <x v="0"/>
    <m/>
  </r>
  <r>
    <s v="PPT1_BOI04"/>
    <s v="S1CS05205-WS"/>
    <n v="225"/>
    <s v="207201832"/>
    <s v="NW"/>
    <n v="8"/>
    <n v="0.26656203959108454"/>
    <x v="18"/>
    <x v="1"/>
    <n v="0"/>
    <x v="0"/>
    <m/>
  </r>
  <r>
    <s v="PPT1_BOI04"/>
    <s v="S1CS05205-WS"/>
    <n v="225"/>
    <s v="207201868"/>
    <s v="NW"/>
    <n v="8"/>
    <n v="0.26656203959108454"/>
    <x v="6"/>
    <x v="1"/>
    <n v="0"/>
    <x v="0"/>
    <m/>
  </r>
  <r>
    <s v="PPT1_BOI04"/>
    <s v="S1CS05205-WS"/>
    <n v="225"/>
    <s v="207201828"/>
    <s v="NW"/>
    <n v="8"/>
    <n v="0.26656203959108454"/>
    <x v="1"/>
    <x v="1"/>
    <n v="0"/>
    <x v="0"/>
    <m/>
  </r>
  <r>
    <s v="PPT1_BOI04"/>
    <s v="S1CS05205-WS"/>
    <n v="225"/>
    <s v="207201830"/>
    <s v="NW"/>
    <n v="8"/>
    <n v="0.26656203959108454"/>
    <x v="2"/>
    <x v="1"/>
    <n v="0"/>
    <x v="0"/>
    <m/>
  </r>
  <r>
    <s v="PPT1_BOI04"/>
    <s v="S1CS05205-WS"/>
    <n v="225"/>
    <s v="207200945"/>
    <s v="NW"/>
    <n v="8"/>
    <n v="0.26656203959108454"/>
    <x v="3"/>
    <x v="1"/>
    <n v="0"/>
    <x v="0"/>
    <m/>
  </r>
  <r>
    <s v="PPT1_BOI04"/>
    <s v="S1CS05205-WS"/>
    <n v="225"/>
    <s v="207200951"/>
    <s v="NW"/>
    <n v="8"/>
    <n v="0.26656203959108454"/>
    <x v="7"/>
    <x v="1"/>
    <n v="0"/>
    <x v="0"/>
    <m/>
  </r>
  <r>
    <s v="PPT1_BOI04"/>
    <s v="S1CS05205-WS"/>
    <n v="225"/>
    <s v="207200939"/>
    <s v="NW"/>
    <n v="8"/>
    <n v="0.26656203959108454"/>
    <x v="4"/>
    <x v="1"/>
    <n v="0"/>
    <x v="0"/>
    <m/>
  </r>
  <r>
    <s v="PPT1_BOI04"/>
    <s v="S1CS05205-WS"/>
    <n v="75"/>
    <s v="207200941"/>
    <s v="NW"/>
    <n v="8"/>
    <n v="8.8854013197028181E-2"/>
    <x v="13"/>
    <x v="1"/>
    <n v="0"/>
    <x v="0"/>
    <m/>
  </r>
  <r>
    <s v="PPT1_BOI04"/>
    <s v="S1CS05205-WS"/>
    <n v="225"/>
    <s v="207197493"/>
    <s v="NW"/>
    <n v="8"/>
    <n v="0.26656203959108454"/>
    <x v="18"/>
    <x v="1"/>
    <n v="0"/>
    <x v="0"/>
    <m/>
  </r>
  <r>
    <s v="PPT1_BOI04"/>
    <s v="S1CS05205-WS"/>
    <n v="225"/>
    <s v="207197444"/>
    <s v="NW"/>
    <n v="8"/>
    <n v="0.26656203959108454"/>
    <x v="13"/>
    <x v="1"/>
    <n v="0"/>
    <x v="0"/>
    <m/>
  </r>
  <r>
    <s v="PPT1_BOI04"/>
    <s v="S1CS05205-WS"/>
    <n v="225"/>
    <s v="207197438"/>
    <s v="NW"/>
    <n v="8"/>
    <n v="0.26656203959108454"/>
    <x v="6"/>
    <x v="1"/>
    <n v="0"/>
    <x v="0"/>
    <m/>
  </r>
  <r>
    <s v="PPT1_BOI04"/>
    <s v="S1CS05205-WS"/>
    <n v="225"/>
    <s v="207197541"/>
    <s v="NW"/>
    <n v="8"/>
    <n v="0.26656203959108454"/>
    <x v="1"/>
    <x v="1"/>
    <n v="0"/>
    <x v="0"/>
    <m/>
  </r>
  <r>
    <s v="PPT1_BOI04"/>
    <s v="S1CS05205-WS"/>
    <n v="225"/>
    <s v="207197704"/>
    <s v="NW"/>
    <n v="8"/>
    <n v="0.26656203959108454"/>
    <x v="2"/>
    <x v="1"/>
    <n v="0"/>
    <x v="0"/>
    <m/>
  </r>
  <r>
    <s v="PPT1_BOI04"/>
    <s v="S1CS05205-WS"/>
    <n v="225"/>
    <s v="207197639"/>
    <s v="NW"/>
    <n v="8"/>
    <n v="0.26656203959108454"/>
    <x v="3"/>
    <x v="1"/>
    <n v="0"/>
    <x v="0"/>
    <m/>
  </r>
  <r>
    <s v="PPT1_BOI04"/>
    <s v="S1CS05205-WS"/>
    <n v="225"/>
    <s v="207197590"/>
    <s v="NW"/>
    <n v="8"/>
    <n v="0.26656203959108454"/>
    <x v="7"/>
    <x v="1"/>
    <n v="0"/>
    <x v="0"/>
    <m/>
  </r>
  <r>
    <s v="PPT1_BOI04"/>
    <s v="S1CS05205-WS"/>
    <n v="225"/>
    <s v="207197400"/>
    <s v="NW"/>
    <n v="8"/>
    <n v="0.26656203959108454"/>
    <x v="4"/>
    <x v="1"/>
    <n v="0"/>
    <x v="0"/>
    <m/>
  </r>
  <r>
    <s v="PPT1_BOI04"/>
    <s v="S1CS05205-WS"/>
    <n v="225"/>
    <s v="207197367"/>
    <s v="NW"/>
    <n v="8"/>
    <n v="0.26656203959108454"/>
    <x v="18"/>
    <x v="1"/>
    <n v="0"/>
    <x v="0"/>
    <m/>
  </r>
  <r>
    <s v="PPT1_BOI04"/>
    <s v="S1CS05205-WS"/>
    <n v="225"/>
    <s v="207197338"/>
    <s v="NW"/>
    <n v="8"/>
    <n v="0.26656203959108454"/>
    <x v="13"/>
    <x v="1"/>
    <n v="0"/>
    <x v="0"/>
    <m/>
  </r>
  <r>
    <s v="PPT1_BOI04"/>
    <s v="S1CS05205-WS"/>
    <n v="225"/>
    <s v="207197310"/>
    <s v="NW"/>
    <n v="8"/>
    <n v="0.26656203959108454"/>
    <x v="6"/>
    <x v="1"/>
    <n v="0"/>
    <x v="0"/>
    <m/>
  </r>
  <r>
    <s v="PPT1_BOI04"/>
    <s v="S1CS05205-WS"/>
    <n v="225"/>
    <s v="207200895"/>
    <s v="NW"/>
    <n v="8"/>
    <n v="0.26656203959108454"/>
    <x v="1"/>
    <x v="1"/>
    <n v="0"/>
    <x v="0"/>
    <m/>
  </r>
  <r>
    <s v="PPT1_BOI04"/>
    <s v="S1CS05205-WS"/>
    <n v="225"/>
    <s v="207197372"/>
    <s v="NW"/>
    <n v="8"/>
    <n v="0.26656203959108454"/>
    <x v="2"/>
    <x v="1"/>
    <n v="0"/>
    <x v="0"/>
    <m/>
  </r>
  <r>
    <s v="PPT1_BOI04"/>
    <s v="S1CS05205-WS"/>
    <n v="225"/>
    <s v="207200907"/>
    <s v="NW"/>
    <n v="8"/>
    <n v="0.26656203959108454"/>
    <x v="3"/>
    <x v="1"/>
    <n v="0"/>
    <x v="0"/>
    <m/>
  </r>
  <r>
    <s v="PPT1_BOI04"/>
    <s v="S1CS05205-WS"/>
    <n v="225"/>
    <s v="207200896"/>
    <s v="NW"/>
    <n v="8"/>
    <n v="0.26656203959108454"/>
    <x v="7"/>
    <x v="1"/>
    <n v="0"/>
    <x v="0"/>
    <m/>
  </r>
  <r>
    <s v="PPT1_BOI04"/>
    <s v="S1CS05205-WS"/>
    <n v="225"/>
    <s v="207198132"/>
    <s v="NW"/>
    <n v="8"/>
    <n v="0.26656203959108454"/>
    <x v="4"/>
    <x v="1"/>
    <n v="0"/>
    <x v="0"/>
    <m/>
  </r>
  <r>
    <s v="PPT1_BOI04"/>
    <s v="S1CS05205-WS"/>
    <n v="225"/>
    <s v="207198957"/>
    <s v="NW"/>
    <n v="8"/>
    <n v="0.26656203959108454"/>
    <x v="18"/>
    <x v="1"/>
    <n v="0"/>
    <x v="0"/>
    <m/>
  </r>
  <r>
    <s v="PPT1_BOI04"/>
    <s v="S1CS05205-WS"/>
    <n v="225"/>
    <s v="207197997"/>
    <s v="NW"/>
    <n v="8"/>
    <n v="0.26656203959108454"/>
    <x v="13"/>
    <x v="1"/>
    <n v="0"/>
    <x v="0"/>
    <m/>
  </r>
  <r>
    <s v="PPT1_BOI04"/>
    <s v="S1CS05205-WS"/>
    <n v="225"/>
    <s v="207198057"/>
    <s v="NW"/>
    <n v="8"/>
    <n v="0.26656203959108454"/>
    <x v="6"/>
    <x v="1"/>
    <n v="0"/>
    <x v="0"/>
    <m/>
  </r>
  <r>
    <s v="PPT1_BOI04"/>
    <s v="S1CS05205-WS"/>
    <n v="225"/>
    <s v="207198204"/>
    <s v="NW"/>
    <n v="8"/>
    <n v="0.26656203959108454"/>
    <x v="1"/>
    <x v="1"/>
    <n v="0"/>
    <x v="0"/>
    <m/>
  </r>
  <r>
    <s v="PPT1_BOI04"/>
    <s v="S1CS05205-WS"/>
    <n v="225"/>
    <s v="207198880"/>
    <s v="NW"/>
    <n v="8"/>
    <n v="0.26656203959108454"/>
    <x v="2"/>
    <x v="1"/>
    <n v="0"/>
    <x v="0"/>
    <m/>
  </r>
  <r>
    <s v="PPT1_BOI04"/>
    <s v="S1CS05205-WS"/>
    <n v="225"/>
    <s v="207198905"/>
    <s v="NW"/>
    <n v="8"/>
    <n v="0.26656203959108454"/>
    <x v="3"/>
    <x v="1"/>
    <n v="0"/>
    <x v="0"/>
    <m/>
  </r>
  <r>
    <s v="PPT1_BOI04"/>
    <s v="S1CS05205-WS"/>
    <n v="225"/>
    <s v="207198402"/>
    <s v="NW"/>
    <n v="8"/>
    <n v="0.26656203959108454"/>
    <x v="7"/>
    <x v="1"/>
    <n v="0"/>
    <x v="0"/>
    <m/>
  </r>
  <r>
    <s v="PPT1_BOI04"/>
    <s v="S1CS05205-WS"/>
    <n v="225"/>
    <s v="207198507"/>
    <s v="NW"/>
    <n v="8"/>
    <n v="0.26656203959108454"/>
    <x v="4"/>
    <x v="1"/>
    <n v="0"/>
    <x v="0"/>
    <m/>
  </r>
  <r>
    <s v="PPT1_BOI04"/>
    <s v="S1CS05205-WS"/>
    <n v="225"/>
    <s v="207197811"/>
    <s v="NW"/>
    <n v="8"/>
    <n v="0.26656203959108454"/>
    <x v="18"/>
    <x v="1"/>
    <n v="0"/>
    <x v="0"/>
    <m/>
  </r>
  <r>
    <s v="PPT1_BOI04"/>
    <s v="S1CS05205-WS"/>
    <n v="225"/>
    <s v="207197853"/>
    <s v="NW"/>
    <n v="8"/>
    <n v="0.26656203959108454"/>
    <x v="13"/>
    <x v="1"/>
    <n v="0"/>
    <x v="0"/>
    <m/>
  </r>
  <r>
    <s v="PPT1_BOI04"/>
    <s v="S1CS05205-WS"/>
    <n v="225"/>
    <s v="207197761"/>
    <s v="NW"/>
    <n v="8"/>
    <n v="0.26656203959108454"/>
    <x v="6"/>
    <x v="1"/>
    <n v="0"/>
    <x v="0"/>
    <m/>
  </r>
  <r>
    <s v="PPT1_BOI04"/>
    <s v="S1CS05205-WS"/>
    <n v="225"/>
    <s v="207197906"/>
    <s v="NW"/>
    <n v="8"/>
    <n v="0.26656203959108454"/>
    <x v="1"/>
    <x v="1"/>
    <n v="0"/>
    <x v="0"/>
    <m/>
  </r>
  <r>
    <s v="PPT1_BOI04"/>
    <s v="S1CS05226-WS"/>
    <n v="300"/>
    <s v="207208067"/>
    <s v="NW"/>
    <n v="12"/>
    <n v="0.22820206304829846"/>
    <x v="14"/>
    <x v="1"/>
    <n v="0"/>
    <x v="0"/>
    <m/>
  </r>
  <r>
    <s v="PPT1_BOI04"/>
    <s v="S1CS05226-WS"/>
    <n v="300"/>
    <s v="207208068"/>
    <s v="NW"/>
    <n v="12"/>
    <n v="0.22820206304829846"/>
    <x v="17"/>
    <x v="1"/>
    <n v="0"/>
    <x v="0"/>
    <m/>
  </r>
  <r>
    <s v="PPT1_BOI04"/>
    <s v="S1CS05226-WS"/>
    <n v="300"/>
    <s v="207198908"/>
    <s v="NW"/>
    <n v="12"/>
    <n v="0.22820206304829846"/>
    <x v="10"/>
    <x v="1"/>
    <n v="0"/>
    <x v="0"/>
    <m/>
  </r>
  <r>
    <s v="PPT1_BOI04"/>
    <s v="S1CS05226-WS"/>
    <n v="100"/>
    <s v="207199075"/>
    <s v="NW"/>
    <n v="12"/>
    <n v="7.606735434943282E-2"/>
    <x v="8"/>
    <x v="1"/>
    <n v="0"/>
    <x v="0"/>
    <m/>
  </r>
  <r>
    <s v="PPT1_BOI04"/>
    <s v="S1CS05226-WS"/>
    <n v="300"/>
    <s v="207208072"/>
    <s v="NW"/>
    <n v="12"/>
    <n v="0.22820206304829846"/>
    <x v="8"/>
    <x v="1"/>
    <n v="0"/>
    <x v="0"/>
    <m/>
  </r>
  <r>
    <s v="PPT1_BOI04"/>
    <s v="S1CS05226-WS"/>
    <n v="300"/>
    <s v="207208071"/>
    <s v="NW"/>
    <n v="12"/>
    <n v="0.22820206304829846"/>
    <x v="14"/>
    <x v="1"/>
    <n v="0"/>
    <x v="0"/>
    <m/>
  </r>
  <r>
    <s v="PPT1_BOI04"/>
    <s v="S1CS05226-WS"/>
    <n v="300"/>
    <s v="207208086"/>
    <s v="NW"/>
    <n v="12"/>
    <n v="0.22820206304829846"/>
    <x v="12"/>
    <x v="1"/>
    <n v="0"/>
    <x v="0"/>
    <m/>
  </r>
  <r>
    <s v="PPT1_BOI04"/>
    <s v="S1CS05226-WS"/>
    <n v="300"/>
    <s v="207198845"/>
    <s v="NW"/>
    <n v="12"/>
    <n v="0.22820206304829846"/>
    <x v="17"/>
    <x v="1"/>
    <n v="0"/>
    <x v="0"/>
    <m/>
  </r>
  <r>
    <s v="PPT1_BOI04"/>
    <s v="S1CS05226-WS"/>
    <n v="300"/>
    <s v="207208069"/>
    <s v="NW"/>
    <n v="12"/>
    <n v="0.22820206304829846"/>
    <x v="10"/>
    <x v="1"/>
    <n v="0"/>
    <x v="0"/>
    <m/>
  </r>
  <r>
    <s v="PPT1_BOI04"/>
    <s v="S1CS05226-WS"/>
    <n v="300"/>
    <s v="207198892"/>
    <s v="NW"/>
    <n v="12"/>
    <n v="0.22820206304829846"/>
    <x v="16"/>
    <x v="1"/>
    <n v="0"/>
    <x v="0"/>
    <m/>
  </r>
  <r>
    <s v="PPT1_BOI04"/>
    <s v="S1CS05226-WS"/>
    <n v="300"/>
    <s v="207199067"/>
    <s v="NW"/>
    <n v="12"/>
    <n v="0.22820206304829846"/>
    <x v="0"/>
    <x v="1"/>
    <n v="0"/>
    <x v="0"/>
    <m/>
  </r>
  <r>
    <s v="PPT1_BOI04"/>
    <s v="S1CS05226-WS"/>
    <n v="300"/>
    <s v="207208085"/>
    <s v="NW"/>
    <n v="12"/>
    <n v="0.22820206304829846"/>
    <x v="5"/>
    <x v="1"/>
    <n v="0"/>
    <x v="0"/>
    <m/>
  </r>
  <r>
    <s v="PPT1_BOI04"/>
    <s v="S1CS05226-WS"/>
    <n v="300"/>
    <s v="207198915"/>
    <s v="NW"/>
    <n v="12"/>
    <n v="0.22820206304829846"/>
    <x v="8"/>
    <x v="1"/>
    <n v="0"/>
    <x v="0"/>
    <m/>
  </r>
  <r>
    <s v="PPT1_BOI04"/>
    <s v="S1CS05226-WS"/>
    <n v="300"/>
    <s v="207208070"/>
    <s v="NW"/>
    <n v="12"/>
    <n v="0.22820206304829846"/>
    <x v="14"/>
    <x v="1"/>
    <n v="0"/>
    <x v="0"/>
    <m/>
  </r>
  <r>
    <s v="PPT1_BOI04"/>
    <s v="S1CS05226-WS"/>
    <n v="300"/>
    <s v="207198141"/>
    <s v="NW"/>
    <n v="12"/>
    <n v="0.22820206304829846"/>
    <x v="12"/>
    <x v="1"/>
    <n v="0"/>
    <x v="0"/>
    <m/>
  </r>
  <r>
    <s v="PPT1_BOI04"/>
    <s v="S1CS05226-WS"/>
    <n v="300"/>
    <s v="207198189"/>
    <s v="NW"/>
    <n v="12"/>
    <n v="0.22820206304829846"/>
    <x v="17"/>
    <x v="1"/>
    <n v="0"/>
    <x v="0"/>
    <m/>
  </r>
  <r>
    <s v="PPT1_BOI04"/>
    <s v="S1CS05226-WS"/>
    <n v="300"/>
    <s v="207198093"/>
    <s v="NW"/>
    <n v="12"/>
    <n v="0.22820206304829846"/>
    <x v="10"/>
    <x v="1"/>
    <n v="0"/>
    <x v="0"/>
    <m/>
  </r>
  <r>
    <s v="PPT1_BOI04"/>
    <s v="S1CS05226-WS"/>
    <n v="300"/>
    <s v="207198030"/>
    <s v="NW"/>
    <n v="12"/>
    <n v="0.22820206304829846"/>
    <x v="16"/>
    <x v="1"/>
    <n v="0"/>
    <x v="0"/>
    <m/>
  </r>
  <r>
    <s v="PPT1_BOI04"/>
    <s v="S1CS05226-WS"/>
    <n v="300"/>
    <s v="207198087"/>
    <s v="NW"/>
    <n v="12"/>
    <n v="0.22820206304829846"/>
    <x v="0"/>
    <x v="1"/>
    <n v="0"/>
    <x v="0"/>
    <m/>
  </r>
  <r>
    <s v="PPT1_BOI04"/>
    <s v="S1CS05226-WS"/>
    <n v="300"/>
    <s v="207208078"/>
    <s v="NW"/>
    <n v="12"/>
    <n v="0.22820206304829846"/>
    <x v="5"/>
    <x v="1"/>
    <n v="0"/>
    <x v="0"/>
    <m/>
  </r>
  <r>
    <s v="PPT1_BOI04"/>
    <s v="S1CS05226-WS"/>
    <n v="300"/>
    <s v="207208079"/>
    <s v="NW"/>
    <n v="12"/>
    <n v="0.22820206304829846"/>
    <x v="8"/>
    <x v="1"/>
    <n v="0"/>
    <x v="0"/>
    <m/>
  </r>
  <r>
    <s v="PPT1_BOI04"/>
    <s v="S1CS05226-WS"/>
    <n v="300"/>
    <s v="207208077"/>
    <s v="NW"/>
    <n v="12"/>
    <n v="0.22820206304829846"/>
    <x v="14"/>
    <x v="1"/>
    <n v="0"/>
    <x v="0"/>
    <m/>
  </r>
  <r>
    <s v="PPT1_BOI04"/>
    <s v="S1CS05226-WS"/>
    <n v="300"/>
    <s v="207198195"/>
    <s v="NW"/>
    <n v="12"/>
    <n v="0.22820206304829846"/>
    <x v="12"/>
    <x v="1"/>
    <n v="0"/>
    <x v="0"/>
    <m/>
  </r>
  <r>
    <s v="PPT1_BOI04"/>
    <s v="S1CS05226-WS"/>
    <n v="300"/>
    <s v="207198449"/>
    <s v="NW"/>
    <n v="12"/>
    <n v="0.22820206304829846"/>
    <x v="17"/>
    <x v="1"/>
    <n v="0"/>
    <x v="0"/>
    <m/>
  </r>
  <r>
    <s v="PPT1_BOI04"/>
    <s v="S1CS05226-WS"/>
    <n v="300"/>
    <s v="207197604"/>
    <s v="NW"/>
    <n v="12"/>
    <n v="0.22820206304829846"/>
    <x v="10"/>
    <x v="1"/>
    <n v="0"/>
    <x v="0"/>
    <m/>
  </r>
  <r>
    <s v="PPT1_BOI04"/>
    <s v="S1CS05226-WS"/>
    <n v="300"/>
    <s v="207197627"/>
    <s v="NW"/>
    <n v="12"/>
    <n v="0.22820206304829846"/>
    <x v="16"/>
    <x v="1"/>
    <n v="0"/>
    <x v="0"/>
    <m/>
  </r>
  <r>
    <s v="PPT1_BOI04"/>
    <s v="S1CS05226-WS"/>
    <n v="300"/>
    <s v="207197602"/>
    <s v="NW"/>
    <n v="12"/>
    <n v="0.22820206304829846"/>
    <x v="0"/>
    <x v="1"/>
    <n v="0"/>
    <x v="0"/>
    <m/>
  </r>
  <r>
    <s v="PPT1_BOI04"/>
    <s v="S1CS05226-WS"/>
    <n v="300"/>
    <s v="207197576"/>
    <s v="NW"/>
    <n v="12"/>
    <n v="0.22820206304829846"/>
    <x v="5"/>
    <x v="1"/>
    <n v="0"/>
    <x v="0"/>
    <m/>
  </r>
  <r>
    <s v="PPT1_BOI04"/>
    <s v="S1CS05226-WS"/>
    <n v="300"/>
    <s v="207197599"/>
    <s v="NW"/>
    <n v="12"/>
    <n v="0.22820206304829846"/>
    <x v="8"/>
    <x v="1"/>
    <n v="0"/>
    <x v="0"/>
    <m/>
  </r>
  <r>
    <s v="PPT1_BOI04"/>
    <s v="S1CS05226-WS"/>
    <n v="300"/>
    <s v="207208073"/>
    <s v="NW"/>
    <n v="12"/>
    <n v="0.22820206304829846"/>
    <x v="14"/>
    <x v="1"/>
    <n v="0"/>
    <x v="0"/>
    <m/>
  </r>
  <r>
    <s v="PPT1_BOI04"/>
    <s v="S1CS05226-WS"/>
    <n v="300"/>
    <s v="207197992"/>
    <s v="NW"/>
    <n v="12"/>
    <n v="0.22820206304829846"/>
    <x v="12"/>
    <x v="1"/>
    <n v="0"/>
    <x v="0"/>
    <m/>
  </r>
  <r>
    <s v="PPT1_BOI04"/>
    <s v="S1CS05226-WS"/>
    <n v="300"/>
    <s v="207208074"/>
    <s v="NW"/>
    <n v="12"/>
    <n v="0.22820206304829846"/>
    <x v="17"/>
    <x v="1"/>
    <n v="0"/>
    <x v="0"/>
    <m/>
  </r>
  <r>
    <s v="PPT1_BOI04"/>
    <s v="S1CS05226-WS"/>
    <n v="300"/>
    <s v="207197973"/>
    <s v="NW"/>
    <n v="12"/>
    <n v="0.22820206304829846"/>
    <x v="10"/>
    <x v="1"/>
    <n v="0"/>
    <x v="0"/>
    <m/>
  </r>
  <r>
    <s v="PPT1_BOI04"/>
    <s v="S1CS05226-WS"/>
    <n v="300"/>
    <s v="207208076"/>
    <s v="NW"/>
    <n v="12"/>
    <n v="0.22820206304829846"/>
    <x v="16"/>
    <x v="1"/>
    <n v="0"/>
    <x v="0"/>
    <m/>
  </r>
  <r>
    <s v="PPT1_BOI04"/>
    <s v="S1CS05226-WS"/>
    <n v="300"/>
    <s v="207198477"/>
    <s v="NW"/>
    <n v="12"/>
    <n v="0.22820206304829846"/>
    <x v="0"/>
    <x v="1"/>
    <n v="0"/>
    <x v="0"/>
    <m/>
  </r>
  <r>
    <s v="PPT1_BOI04"/>
    <s v="S1CS05226-WS"/>
    <n v="300"/>
    <s v="207208082"/>
    <s v="NW"/>
    <n v="12"/>
    <n v="0.22820206304829846"/>
    <x v="5"/>
    <x v="1"/>
    <n v="0"/>
    <x v="0"/>
    <m/>
  </r>
  <r>
    <s v="PPT1_BOI04"/>
    <s v="S1CS05226-WS"/>
    <n v="300"/>
    <s v="207198824"/>
    <s v="NW"/>
    <n v="12"/>
    <n v="0.22820206304829846"/>
    <x v="8"/>
    <x v="1"/>
    <n v="0"/>
    <x v="0"/>
    <m/>
  </r>
  <r>
    <s v="PPT1_BOI04"/>
    <s v="S1CS05226-WS"/>
    <n v="300"/>
    <s v="207198820"/>
    <s v="NW"/>
    <n v="12"/>
    <n v="0.22820206304829846"/>
    <x v="14"/>
    <x v="1"/>
    <n v="0"/>
    <x v="0"/>
    <m/>
  </r>
  <r>
    <s v="PPT1_BOI04"/>
    <s v="S1CS05226-WS"/>
    <n v="300"/>
    <s v="207208083"/>
    <s v="NW"/>
    <n v="12"/>
    <n v="0.22820206304829846"/>
    <x v="12"/>
    <x v="1"/>
    <n v="0"/>
    <x v="0"/>
    <m/>
  </r>
  <r>
    <s v="PPT1_BOI04"/>
    <s v="S1CS05226-WS"/>
    <n v="300"/>
    <s v="207208084"/>
    <s v="NW"/>
    <n v="12"/>
    <n v="0.22820206304829846"/>
    <x v="17"/>
    <x v="1"/>
    <n v="0"/>
    <x v="0"/>
    <m/>
  </r>
  <r>
    <s v="PPT1_BOI04"/>
    <s v="S1CS05226-WS"/>
    <n v="300"/>
    <s v="207198840"/>
    <s v="NW"/>
    <n v="12"/>
    <n v="0.22820206304829846"/>
    <x v="10"/>
    <x v="1"/>
    <n v="0"/>
    <x v="0"/>
    <m/>
  </r>
  <r>
    <s v="PPT1_BOI04"/>
    <s v="S1CS05226-WS"/>
    <n v="300"/>
    <s v="207208075"/>
    <s v="NW"/>
    <n v="12"/>
    <n v="0.22820206304829846"/>
    <x v="16"/>
    <x v="1"/>
    <n v="0"/>
    <x v="0"/>
    <m/>
  </r>
  <r>
    <s v="PPT1_BOI04"/>
    <s v="S1CS05226-WS"/>
    <n v="300"/>
    <s v="207208080"/>
    <s v="NW"/>
    <n v="12"/>
    <n v="0.22820206304829846"/>
    <x v="0"/>
    <x v="1"/>
    <n v="0"/>
    <x v="0"/>
    <m/>
  </r>
  <r>
    <s v="PPT1_BOI04"/>
    <s v="S1CS05226-WS"/>
    <n v="300"/>
    <s v="207198527"/>
    <s v="NW"/>
    <n v="12"/>
    <n v="0.22820206304829846"/>
    <x v="5"/>
    <x v="1"/>
    <n v="0"/>
    <x v="0"/>
    <m/>
  </r>
  <r>
    <s v="PPT1_BOI04"/>
    <s v="S1CS05226-WS"/>
    <n v="300"/>
    <s v="207208081"/>
    <s v="NW"/>
    <n v="12"/>
    <n v="0.22820206304829846"/>
    <x v="8"/>
    <x v="1"/>
    <n v="0"/>
    <x v="0"/>
    <m/>
  </r>
  <r>
    <s v="PPT1_BOI04"/>
    <s v="S1CS05226-WS"/>
    <n v="300"/>
    <s v="207198533"/>
    <s v="NW"/>
    <n v="12"/>
    <n v="0.22820206304829846"/>
    <x v="14"/>
    <x v="1"/>
    <n v="0"/>
    <x v="0"/>
    <m/>
  </r>
  <r>
    <s v="PPT1_BOI04"/>
    <s v="S1CS05226-WS"/>
    <n v="300"/>
    <s v="207198561"/>
    <s v="NW"/>
    <n v="12"/>
    <n v="0.22820206304829846"/>
    <x v="12"/>
    <x v="1"/>
    <n v="0"/>
    <x v="0"/>
    <m/>
  </r>
  <r>
    <s v="PPT1_BOI04"/>
    <s v="S1CS05226-WS"/>
    <n v="300"/>
    <s v="207198557"/>
    <s v="NW"/>
    <n v="12"/>
    <n v="0.22820206304829846"/>
    <x v="17"/>
    <x v="1"/>
    <n v="0"/>
    <x v="0"/>
    <m/>
  </r>
  <r>
    <s v="PPT1_BOI04"/>
    <s v="S1CS05232-WS"/>
    <n v="900"/>
    <s v="207198911"/>
    <s v="NW"/>
    <n v="13"/>
    <n v="0.3246142776285918"/>
    <x v="10"/>
    <x v="1"/>
    <n v="0"/>
    <x v="0"/>
    <m/>
  </r>
  <r>
    <s v="PPT1_BOI04"/>
    <s v="S1CS05232-WS"/>
    <n v="900"/>
    <s v="207198823"/>
    <s v="NW"/>
    <n v="13"/>
    <n v="0.3246142776285918"/>
    <x v="16"/>
    <x v="1"/>
    <n v="0"/>
    <x v="0"/>
    <m/>
  </r>
  <r>
    <s v="PPT1_BOI04"/>
    <s v="S1CS05232-WS"/>
    <n v="900"/>
    <s v="207198846"/>
    <s v="NW"/>
    <n v="13"/>
    <n v="0.3246142776285918"/>
    <x v="0"/>
    <x v="1"/>
    <n v="0"/>
    <x v="0"/>
    <m/>
  </r>
  <r>
    <s v="PPT1_BOI04"/>
    <s v="S1CS05232-WS"/>
    <n v="900"/>
    <s v="207202102"/>
    <s v="NW"/>
    <n v="13"/>
    <n v="0.3246142776285918"/>
    <x v="2"/>
    <x v="1"/>
    <n v="0"/>
    <x v="0"/>
    <m/>
  </r>
  <r>
    <s v="PPT1_BOI04"/>
    <s v="S1CS05232-WS"/>
    <n v="900"/>
    <s v="207202100"/>
    <s v="NW"/>
    <n v="13"/>
    <n v="0.3246142776285918"/>
    <x v="3"/>
    <x v="1"/>
    <n v="0"/>
    <x v="0"/>
    <m/>
  </r>
  <r>
    <s v="PPT1_BOI04"/>
    <s v="S1CS05232-WS"/>
    <n v="900"/>
    <s v="207202103"/>
    <s v="NW"/>
    <n v="13"/>
    <n v="0.3246142776285918"/>
    <x v="5"/>
    <x v="1"/>
    <n v="0"/>
    <x v="0"/>
    <m/>
  </r>
  <r>
    <s v="PPT1_BOI04"/>
    <s v="S1CS05232-WS"/>
    <n v="900"/>
    <s v="207198392"/>
    <s v="NW"/>
    <n v="13"/>
    <n v="0.3246142776285918"/>
    <x v="7"/>
    <x v="1"/>
    <n v="0"/>
    <x v="0"/>
    <m/>
  </r>
  <r>
    <s v="PPT1_BOI04"/>
    <s v="S1CS05232-WS"/>
    <n v="900"/>
    <s v="207202107"/>
    <s v="NW"/>
    <n v="13"/>
    <n v="0.3246142776285918"/>
    <x v="8"/>
    <x v="1"/>
    <n v="0"/>
    <x v="0"/>
    <m/>
  </r>
  <r>
    <s v="PPT1_BOI04"/>
    <s v="S1CS05232-WS"/>
    <n v="900"/>
    <s v="207199000"/>
    <s v="NW"/>
    <n v="13"/>
    <n v="0.3246142776285918"/>
    <x v="14"/>
    <x v="1"/>
    <n v="0"/>
    <x v="0"/>
    <m/>
  </r>
  <r>
    <s v="PPT1_BOI04"/>
    <s v="S1CS05232-WS"/>
    <n v="900"/>
    <s v="207202105"/>
    <s v="NW"/>
    <n v="13"/>
    <n v="0.3246142776285918"/>
    <x v="4"/>
    <x v="1"/>
    <n v="0"/>
    <x v="0"/>
    <m/>
  </r>
  <r>
    <s v="PPT1_BOI04"/>
    <s v="S1CS05232-WS"/>
    <n v="600"/>
    <s v="207202137"/>
    <s v="NW"/>
    <n v="13"/>
    <n v="0.2164095184190612"/>
    <x v="12"/>
    <x v="1"/>
    <n v="0"/>
    <x v="0"/>
    <m/>
  </r>
  <r>
    <s v="PPT1_BOI04"/>
    <s v="S1CS05232-WS"/>
    <n v="900"/>
    <s v="207198256"/>
    <s v="NW"/>
    <n v="13"/>
    <n v="0.3246142776285918"/>
    <x v="18"/>
    <x v="1"/>
    <n v="0"/>
    <x v="0"/>
    <m/>
  </r>
  <r>
    <s v="PPT1_BOI04"/>
    <s v="S1CS05232-WS"/>
    <n v="900"/>
    <s v="207198325"/>
    <s v="NW"/>
    <n v="13"/>
    <n v="0.3246142776285918"/>
    <x v="17"/>
    <x v="1"/>
    <n v="0"/>
    <x v="0"/>
    <m/>
  </r>
  <r>
    <s v="PPT1_BOI04"/>
    <s v="S1CS05271-WS"/>
    <n v="435"/>
    <s v="207201750"/>
    <s v="NW"/>
    <n v="7"/>
    <n v="1.0286804718177041"/>
    <x v="13"/>
    <x v="1"/>
    <n v="0"/>
    <x v="0"/>
    <m/>
  </r>
  <r>
    <s v="PPT1_BOI04"/>
    <s v="S1CS05271-WS"/>
    <n v="435"/>
    <s v="207201751"/>
    <s v="NW"/>
    <n v="7"/>
    <n v="1.0286804718177041"/>
    <x v="10"/>
    <x v="1"/>
    <n v="0"/>
    <x v="0"/>
    <m/>
  </r>
  <r>
    <s v="PPT1_BOI04"/>
    <s v="S1CS05271-WS"/>
    <n v="435"/>
    <s v="207201784"/>
    <s v="NW"/>
    <n v="7"/>
    <n v="1.0286804718177041"/>
    <x v="6"/>
    <x v="1"/>
    <n v="0"/>
    <x v="0"/>
    <m/>
  </r>
  <r>
    <s v="PPT1_BOI04"/>
    <s v="S1CS05271-WS"/>
    <n v="435"/>
    <s v="207201783"/>
    <s v="NW"/>
    <n v="7"/>
    <n v="1.0286804718177041"/>
    <x v="1"/>
    <x v="1"/>
    <n v="0"/>
    <x v="0"/>
    <m/>
  </r>
  <r>
    <s v="PPT1_BOI04"/>
    <s v="S1CS05271-WS"/>
    <n v="435"/>
    <s v="207201782"/>
    <s v="NW"/>
    <n v="7"/>
    <n v="1.0286804718177041"/>
    <x v="16"/>
    <x v="1"/>
    <n v="0"/>
    <x v="0"/>
    <m/>
  </r>
  <r>
    <s v="PPT1_BOI04"/>
    <s v="S1CS05271-WS"/>
    <n v="435"/>
    <s v="207201800"/>
    <s v="NW"/>
    <n v="7"/>
    <n v="1.0286804718177041"/>
    <x v="0"/>
    <x v="1"/>
    <n v="0"/>
    <x v="0"/>
    <m/>
  </r>
  <r>
    <s v="PPT1_BOI04"/>
    <s v="S1CS05271-WS"/>
    <n v="435"/>
    <s v="207199036"/>
    <s v="NW"/>
    <n v="7"/>
    <n v="1.0286804718177041"/>
    <x v="2"/>
    <x v="1"/>
    <n v="0"/>
    <x v="0"/>
    <m/>
  </r>
  <r>
    <s v="PPT1_BOI04"/>
    <s v="S1CS05271-WS"/>
    <n v="435"/>
    <s v="207201799"/>
    <s v="NW"/>
    <n v="7"/>
    <n v="1.0286804718177041"/>
    <x v="13"/>
    <x v="1"/>
    <n v="0"/>
    <x v="0"/>
    <m/>
  </r>
  <r>
    <s v="PPT1_BOI04"/>
    <s v="S1CS05271-WS"/>
    <n v="435"/>
    <s v="207199386"/>
    <s v="NW"/>
    <n v="7"/>
    <n v="1.0286804718177041"/>
    <x v="10"/>
    <x v="1"/>
    <n v="0"/>
    <x v="0"/>
    <m/>
  </r>
  <r>
    <s v="PPT1_BOI04"/>
    <s v="S1CS05271-WS"/>
    <n v="435"/>
    <s v="207199352"/>
    <s v="NW"/>
    <n v="7"/>
    <n v="1.0286804718177041"/>
    <x v="6"/>
    <x v="1"/>
    <n v="0"/>
    <x v="0"/>
    <m/>
  </r>
  <r>
    <s v="PPT1_BOI04"/>
    <s v="S1CS05271-WS"/>
    <n v="435"/>
    <s v="207199272"/>
    <s v="NW"/>
    <n v="7"/>
    <n v="1.0286804718177041"/>
    <x v="1"/>
    <x v="1"/>
    <n v="0"/>
    <x v="0"/>
    <m/>
  </r>
  <r>
    <s v="PPT1_BOI04"/>
    <s v="S1CS05271-WS"/>
    <n v="435"/>
    <s v="207199212"/>
    <s v="NW"/>
    <n v="7"/>
    <n v="1.0286804718177041"/>
    <x v="16"/>
    <x v="1"/>
    <n v="0"/>
    <x v="0"/>
    <m/>
  </r>
  <r>
    <s v="PPT1_BOI04"/>
    <s v="S1CS05271-WS"/>
    <n v="435"/>
    <s v="207199314"/>
    <s v="NW"/>
    <n v="7"/>
    <n v="1.0286804718177041"/>
    <x v="0"/>
    <x v="1"/>
    <n v="0"/>
    <x v="0"/>
    <m/>
  </r>
  <r>
    <s v="PPT1_BOI04"/>
    <s v="S1CS05271-WS"/>
    <n v="435"/>
    <s v="207201805"/>
    <s v="NW"/>
    <n v="7"/>
    <n v="1.0286804718177041"/>
    <x v="2"/>
    <x v="1"/>
    <n v="0"/>
    <x v="0"/>
    <m/>
  </r>
  <r>
    <s v="PPT1_BOI04"/>
    <s v="S1CS05271-WS"/>
    <n v="435"/>
    <s v="207199113"/>
    <s v="NW"/>
    <n v="7"/>
    <n v="1.0286804718177041"/>
    <x v="13"/>
    <x v="1"/>
    <n v="0"/>
    <x v="0"/>
    <m/>
  </r>
  <r>
    <s v="PPT1_BOI04"/>
    <s v="S1CS05271-WS"/>
    <n v="435"/>
    <s v="207199178"/>
    <s v="NW"/>
    <n v="7"/>
    <n v="1.0286804718177041"/>
    <x v="10"/>
    <x v="1"/>
    <n v="0"/>
    <x v="0"/>
    <m/>
  </r>
  <r>
    <s v="PPT1_BOI04"/>
    <s v="S1CS05271-WS"/>
    <n v="435"/>
    <s v="207198389"/>
    <s v="NW"/>
    <n v="7"/>
    <n v="1.0286804718177041"/>
    <x v="6"/>
    <x v="1"/>
    <n v="0"/>
    <x v="0"/>
    <m/>
  </r>
  <r>
    <s v="PPT1_BOI04"/>
    <s v="S1CS05271-WS"/>
    <n v="435"/>
    <s v="207201798"/>
    <s v="NW"/>
    <n v="7"/>
    <n v="1.0286804718177041"/>
    <x v="1"/>
    <x v="1"/>
    <n v="0"/>
    <x v="0"/>
    <m/>
  </r>
  <r>
    <s v="PPT1_BOI04"/>
    <s v="S1CS05271-WS"/>
    <n v="435"/>
    <s v="207201785"/>
    <s v="NW"/>
    <n v="7"/>
    <n v="1.0286804718177041"/>
    <x v="16"/>
    <x v="1"/>
    <n v="0"/>
    <x v="0"/>
    <m/>
  </r>
  <r>
    <s v="PPT1_BOI04"/>
    <s v="S1CS05271-WS"/>
    <n v="435"/>
    <s v="207201786"/>
    <s v="NW"/>
    <n v="7"/>
    <n v="1.0286804718177041"/>
    <x v="0"/>
    <x v="1"/>
    <n v="0"/>
    <x v="0"/>
    <m/>
  </r>
  <r>
    <s v="PPT1_BOI04"/>
    <s v="S1CS05271-WS"/>
    <n v="435"/>
    <s v="207198916"/>
    <s v="NW"/>
    <n v="7"/>
    <n v="1.0286804718177041"/>
    <x v="2"/>
    <x v="1"/>
    <n v="0"/>
    <x v="0"/>
    <m/>
  </r>
  <r>
    <s v="PPT1_BOI04"/>
    <s v="S1CS05271-WS"/>
    <n v="435"/>
    <s v="207199005"/>
    <s v="NW"/>
    <n v="7"/>
    <n v="1.0286804718177041"/>
    <x v="13"/>
    <x v="1"/>
    <n v="0"/>
    <x v="0"/>
    <m/>
  </r>
  <r>
    <s v="PPT1_BOI04"/>
    <s v="S1CS05271-WS"/>
    <n v="435"/>
    <s v="207198889"/>
    <s v="NW"/>
    <n v="7"/>
    <n v="1.0286804718177041"/>
    <x v="10"/>
    <x v="1"/>
    <n v="0"/>
    <x v="0"/>
    <m/>
  </r>
  <r>
    <s v="PPT1_BOI04"/>
    <s v="S1CS05271-WS"/>
    <n v="435"/>
    <s v="207198424"/>
    <s v="NW"/>
    <n v="7"/>
    <n v="1.0286804718177041"/>
    <x v="6"/>
    <x v="1"/>
    <n v="0"/>
    <x v="0"/>
    <m/>
  </r>
  <r>
    <s v="PPT1_BOI04"/>
    <s v="S1CS05271-WS"/>
    <n v="290"/>
    <s v="207201848"/>
    <s v="NW"/>
    <n v="7"/>
    <n v="0.68578698121180259"/>
    <x v="1"/>
    <x v="1"/>
    <n v="0"/>
    <x v="0"/>
    <m/>
  </r>
  <r>
    <s v="PPT1_BOI04"/>
    <s v="S1CS05272-WS"/>
    <n v="300"/>
    <s v="207202025"/>
    <s v="NW"/>
    <n v="5"/>
    <n v="0.28674023412089689"/>
    <x v="12"/>
    <x v="1"/>
    <n v="0"/>
    <x v="0"/>
    <m/>
  </r>
  <r>
    <s v="PPT1_BOI04"/>
    <s v="S1CS05272-WS"/>
    <n v="300"/>
    <s v="207202023"/>
    <s v="NW"/>
    <n v="5"/>
    <n v="0.28674023412089689"/>
    <x v="3"/>
    <x v="1"/>
    <n v="0"/>
    <x v="0"/>
    <m/>
  </r>
  <r>
    <s v="PPT1_BOI04"/>
    <s v="S1CS05272-WS"/>
    <n v="300"/>
    <s v="207202026"/>
    <s v="NW"/>
    <n v="5"/>
    <n v="0.28674023412089689"/>
    <x v="5"/>
    <x v="1"/>
    <n v="0"/>
    <x v="0"/>
    <m/>
  </r>
  <r>
    <s v="PPT1_BOI04"/>
    <s v="S1CS05272-WS"/>
    <n v="300"/>
    <s v="207202034"/>
    <s v="NW"/>
    <n v="5"/>
    <n v="0.28674023412089689"/>
    <x v="7"/>
    <x v="1"/>
    <n v="0"/>
    <x v="0"/>
    <m/>
  </r>
  <r>
    <s v="PPT1_BOI04"/>
    <s v="S1CS05272-WS"/>
    <n v="300"/>
    <s v="207202028"/>
    <s v="NW"/>
    <n v="5"/>
    <n v="0.28674023412089689"/>
    <x v="8"/>
    <x v="1"/>
    <n v="0"/>
    <x v="0"/>
    <m/>
  </r>
  <r>
    <s v="PPT1_BOI04"/>
    <s v="S1CS05272-WS"/>
    <n v="300"/>
    <s v="207199931"/>
    <s v="NW"/>
    <n v="5"/>
    <n v="0.28674023412089689"/>
    <x v="12"/>
    <x v="1"/>
    <n v="0"/>
    <x v="0"/>
    <m/>
  </r>
  <r>
    <s v="PPT1_BOI04"/>
    <s v="S1CS05272-WS"/>
    <n v="300"/>
    <s v="207202003"/>
    <s v="NW"/>
    <n v="5"/>
    <n v="0.28674023412089689"/>
    <x v="3"/>
    <x v="1"/>
    <n v="0"/>
    <x v="0"/>
    <m/>
  </r>
  <r>
    <s v="PPT1_BOI04"/>
    <s v="S1CS05272-WS"/>
    <n v="300"/>
    <s v="207202045"/>
    <s v="NW"/>
    <n v="5"/>
    <n v="0.28674023412089689"/>
    <x v="5"/>
    <x v="1"/>
    <n v="0"/>
    <x v="0"/>
    <m/>
  </r>
  <r>
    <s v="PPT1_BOI04"/>
    <s v="S1CS05272-WS"/>
    <n v="300"/>
    <s v="207202007"/>
    <s v="NW"/>
    <n v="5"/>
    <n v="0.28674023412089689"/>
    <x v="7"/>
    <x v="1"/>
    <n v="0"/>
    <x v="0"/>
    <m/>
  </r>
  <r>
    <s v="PPT1_BOI04"/>
    <s v="S1CS05272-WS"/>
    <n v="300"/>
    <s v="207202042"/>
    <s v="NW"/>
    <n v="5"/>
    <n v="0.28674023412089689"/>
    <x v="8"/>
    <x v="1"/>
    <n v="0"/>
    <x v="0"/>
    <m/>
  </r>
  <r>
    <s v="PPT1_BOI04"/>
    <s v="S1CS05272-WS"/>
    <n v="300"/>
    <s v="207202021"/>
    <s v="NW"/>
    <n v="5"/>
    <n v="0.28674023412089689"/>
    <x v="12"/>
    <x v="1"/>
    <n v="0"/>
    <x v="0"/>
    <m/>
  </r>
  <r>
    <s v="PPT1_BOI04"/>
    <s v="S1CS05272-WS"/>
    <n v="300"/>
    <s v="207200243"/>
    <s v="NW"/>
    <n v="5"/>
    <n v="0.28674023412089689"/>
    <x v="3"/>
    <x v="1"/>
    <n v="0"/>
    <x v="0"/>
    <m/>
  </r>
  <r>
    <s v="PPT1_BOI04"/>
    <s v="S1CS05272-WS"/>
    <n v="300"/>
    <s v="207200210"/>
    <s v="NW"/>
    <n v="5"/>
    <n v="0.28674023412089689"/>
    <x v="5"/>
    <x v="1"/>
    <n v="0"/>
    <x v="0"/>
    <m/>
  </r>
  <r>
    <s v="PPT1_BOI04"/>
    <s v="S1CS05272-WS"/>
    <n v="300"/>
    <s v="207200291"/>
    <s v="NW"/>
    <n v="5"/>
    <n v="0.28674023412089689"/>
    <x v="7"/>
    <x v="1"/>
    <n v="0"/>
    <x v="0"/>
    <m/>
  </r>
  <r>
    <s v="PPT1_BOI04"/>
    <s v="S1CS05272-WS"/>
    <n v="300"/>
    <s v="207202043"/>
    <s v="NW"/>
    <n v="5"/>
    <n v="0.28674023412089689"/>
    <x v="8"/>
    <x v="1"/>
    <n v="0"/>
    <x v="0"/>
    <m/>
  </r>
  <r>
    <s v="PPT1_BOI04"/>
    <s v="S1CS05272-WS"/>
    <n v="300"/>
    <s v="207200311"/>
    <s v="NW"/>
    <n v="5"/>
    <n v="0.28674023412089689"/>
    <x v="12"/>
    <x v="1"/>
    <n v="0"/>
    <x v="0"/>
    <m/>
  </r>
  <r>
    <s v="PPT1_BOI04"/>
    <s v="S1CS05272-WS"/>
    <n v="300"/>
    <s v="207200166"/>
    <s v="NW"/>
    <n v="5"/>
    <n v="0.28674023412089689"/>
    <x v="3"/>
    <x v="1"/>
    <n v="0"/>
    <x v="0"/>
    <m/>
  </r>
  <r>
    <s v="PPT1_BOI04"/>
    <s v="S1CS05272-WS"/>
    <n v="300"/>
    <s v="207202056"/>
    <s v="NW"/>
    <n v="5"/>
    <n v="0.28674023412089689"/>
    <x v="5"/>
    <x v="1"/>
    <n v="0"/>
    <x v="0"/>
    <m/>
  </r>
  <r>
    <s v="PPT1_BOI04"/>
    <s v="S1CS05272-WS"/>
    <n v="300"/>
    <s v="207202036"/>
    <s v="NW"/>
    <n v="5"/>
    <n v="0.28674023412089689"/>
    <x v="7"/>
    <x v="1"/>
    <n v="0"/>
    <x v="0"/>
    <m/>
  </r>
  <r>
    <s v="PPT1_BOI04"/>
    <s v="S1CS05272-WS"/>
    <n v="300"/>
    <s v="207202054"/>
    <s v="NW"/>
    <n v="5"/>
    <n v="0.28674023412089689"/>
    <x v="8"/>
    <x v="1"/>
    <n v="0"/>
    <x v="0"/>
    <m/>
  </r>
  <r>
    <s v="PPT1_BOI04"/>
    <s v="S1CS05272-WS"/>
    <n v="300"/>
    <s v="207200132"/>
    <s v="NW"/>
    <n v="5"/>
    <n v="0.28674023412089689"/>
    <x v="12"/>
    <x v="1"/>
    <n v="0"/>
    <x v="0"/>
    <m/>
  </r>
  <r>
    <s v="PPT1_BOI04"/>
    <s v="S1CS05272-WS"/>
    <n v="200"/>
    <s v="207202052"/>
    <s v="NW"/>
    <n v="5"/>
    <n v="0.19116015608059794"/>
    <x v="3"/>
    <x v="1"/>
    <n v="0"/>
    <x v="0"/>
    <m/>
  </r>
  <r>
    <s v="PPT1_BOI04"/>
    <s v="S1CS05272-WS"/>
    <n v="300"/>
    <s v="207199747"/>
    <s v="NW"/>
    <n v="5"/>
    <n v="0.28674023412089689"/>
    <x v="5"/>
    <x v="1"/>
    <n v="0"/>
    <x v="0"/>
    <m/>
  </r>
  <r>
    <s v="PPT1_BOI04"/>
    <s v="S1CS05272-WS"/>
    <n v="100"/>
    <s v="207199416"/>
    <s v="NW"/>
    <n v="5"/>
    <n v="9.5580078040298971E-2"/>
    <x v="7"/>
    <x v="1"/>
    <n v="0"/>
    <x v="0"/>
    <m/>
  </r>
  <r>
    <s v="PPT1_BOI04"/>
    <s v="S1CS05272-WS"/>
    <n v="300"/>
    <s v="207199863"/>
    <s v="NW"/>
    <n v="5"/>
    <n v="0.28674023412089689"/>
    <x v="8"/>
    <x v="1"/>
    <n v="0"/>
    <x v="0"/>
    <m/>
  </r>
  <r>
    <s v="PPT1_BOI04"/>
    <s v="S1CS05272-WS"/>
    <n v="300"/>
    <s v="207199840"/>
    <s v="NW"/>
    <n v="5"/>
    <n v="0.28674023412089689"/>
    <x v="7"/>
    <x v="1"/>
    <n v="0"/>
    <x v="0"/>
    <m/>
  </r>
  <r>
    <s v="PPT1_BOI04"/>
    <s v="S1CS05272-WS"/>
    <n v="300"/>
    <s v="207199813"/>
    <s v="NW"/>
    <n v="5"/>
    <n v="0.28674023412089689"/>
    <x v="3"/>
    <x v="1"/>
    <n v="0"/>
    <x v="0"/>
    <m/>
  </r>
  <r>
    <s v="PPT1_BOI04"/>
    <s v="S1CS05272-WS"/>
    <n v="300"/>
    <s v="207199262"/>
    <s v="NW"/>
    <n v="5"/>
    <n v="0.28674023412089689"/>
    <x v="12"/>
    <x v="1"/>
    <n v="0"/>
    <x v="0"/>
    <m/>
  </r>
  <r>
    <s v="PPT1_BOI04"/>
    <s v="S1CS05272-WS"/>
    <n v="300"/>
    <s v="207202038"/>
    <s v="NW"/>
    <n v="5"/>
    <n v="0.28674023412089689"/>
    <x v="5"/>
    <x v="1"/>
    <n v="0"/>
    <x v="0"/>
    <m/>
  </r>
  <r>
    <s v="PPT1_BOI04"/>
    <s v="S1CS05272-WS"/>
    <n v="300"/>
    <s v="207202040"/>
    <s v="NW"/>
    <n v="5"/>
    <n v="0.28674023412089689"/>
    <x v="8"/>
    <x v="1"/>
    <n v="0"/>
    <x v="0"/>
    <m/>
  </r>
  <r>
    <s v="PPT1_BOI04"/>
    <s v="S1CS05272-WS"/>
    <n v="300"/>
    <s v="207199361"/>
    <s v="NW"/>
    <n v="5"/>
    <n v="0.28674023412089689"/>
    <x v="7"/>
    <x v="1"/>
    <n v="0"/>
    <x v="0"/>
    <m/>
  </r>
  <r>
    <s v="PPT1_BOI04"/>
    <s v="S1CS05272-WS"/>
    <n v="300"/>
    <s v="207199327"/>
    <s v="NW"/>
    <n v="5"/>
    <n v="0.28674023412089689"/>
    <x v="3"/>
    <x v="1"/>
    <n v="0"/>
    <x v="0"/>
    <m/>
  </r>
  <r>
    <s v="PPT1_BOI04"/>
    <s v="S1CS05297-WS"/>
    <n v="145"/>
    <s v="207201344"/>
    <s v="NW"/>
    <n v="15"/>
    <n v="0.18340645352981319"/>
    <x v="14"/>
    <x v="1"/>
    <n v="0"/>
    <x v="0"/>
    <m/>
  </r>
  <r>
    <s v="PPT1_BOI04"/>
    <s v="S1CS05297-WS"/>
    <n v="435"/>
    <s v="207201340"/>
    <s v="NW"/>
    <n v="15"/>
    <n v="0.55021936058943954"/>
    <x v="4"/>
    <x v="1"/>
    <n v="0"/>
    <x v="0"/>
    <m/>
  </r>
  <r>
    <s v="PPT1_BOI04"/>
    <s v="S1CS05297-WS"/>
    <n v="435"/>
    <s v="207201327"/>
    <s v="NW"/>
    <n v="15"/>
    <n v="0.55021936058943954"/>
    <x v="18"/>
    <x v="1"/>
    <n v="0"/>
    <x v="0"/>
    <m/>
  </r>
  <r>
    <s v="PPT1_BOI04"/>
    <s v="S1CS05297-WS"/>
    <n v="145"/>
    <s v="207201361"/>
    <s v="NW"/>
    <n v="15"/>
    <n v="0.18340645352981319"/>
    <x v="17"/>
    <x v="1"/>
    <n v="0"/>
    <x v="0"/>
    <m/>
  </r>
  <r>
    <s v="PPT1_BOI04"/>
    <s v="S1CS05297-WS"/>
    <n v="435"/>
    <s v="207201342"/>
    <s v="NW"/>
    <n v="15"/>
    <n v="0.55021936058943954"/>
    <x v="14"/>
    <x v="1"/>
    <n v="0"/>
    <x v="0"/>
    <m/>
  </r>
  <r>
    <s v="PPT1_BOI04"/>
    <s v="S1CS05297-WS"/>
    <n v="435"/>
    <s v="207198078"/>
    <s v="NW"/>
    <n v="15"/>
    <n v="0.55021936058943954"/>
    <x v="17"/>
    <x v="1"/>
    <n v="0"/>
    <x v="0"/>
    <m/>
  </r>
  <r>
    <s v="PPT1_BOI04"/>
    <s v="S1CS05297-WS"/>
    <n v="435"/>
    <s v="207198259"/>
    <s v="NW"/>
    <n v="15"/>
    <n v="0.55021936058943954"/>
    <x v="4"/>
    <x v="1"/>
    <n v="0"/>
    <x v="0"/>
    <m/>
  </r>
  <r>
    <s v="PPT1_BOI04"/>
    <s v="S1CS05297-WS"/>
    <n v="435"/>
    <s v="207198297"/>
    <s v="NW"/>
    <n v="15"/>
    <n v="0.55021936058943954"/>
    <x v="18"/>
    <x v="1"/>
    <n v="0"/>
    <x v="0"/>
    <m/>
  </r>
  <r>
    <s v="PPT1_BOI04"/>
    <s v="S1CS05297-WS"/>
    <n v="435"/>
    <s v="207201325"/>
    <s v="NW"/>
    <n v="15"/>
    <n v="0.55021936058943954"/>
    <x v="14"/>
    <x v="1"/>
    <n v="0"/>
    <x v="0"/>
    <m/>
  </r>
  <r>
    <s v="PPT1_BOI04"/>
    <s v="S1CS05297-WS"/>
    <n v="435"/>
    <s v="207198184"/>
    <s v="NW"/>
    <n v="15"/>
    <n v="0.55021936058943954"/>
    <x v="17"/>
    <x v="1"/>
    <n v="0"/>
    <x v="0"/>
    <m/>
  </r>
  <r>
    <s v="PPT1_BOI04"/>
    <s v="S1CS05392-WS"/>
    <n v="270"/>
    <s v="207198205"/>
    <s v="NW"/>
    <n v="30"/>
    <n v="0.44829906826819771"/>
    <x v="4"/>
    <x v="1"/>
    <n v="0"/>
    <x v="0"/>
    <m/>
  </r>
  <r>
    <s v="PPT1_BOI04"/>
    <s v="S1CS05392-WS"/>
    <n v="270"/>
    <s v="207198131"/>
    <s v="NW"/>
    <n v="30"/>
    <n v="0.44829906826819771"/>
    <x v="18"/>
    <x v="1"/>
    <n v="0"/>
    <x v="0"/>
    <m/>
  </r>
  <r>
    <s v="PPT1_BOI04"/>
    <s v="S1CS05392-WS"/>
    <n v="270"/>
    <s v="207198062"/>
    <s v="NW"/>
    <n v="30"/>
    <n v="0.44829906826819771"/>
    <x v="14"/>
    <x v="1"/>
    <n v="0"/>
    <x v="0"/>
    <m/>
  </r>
  <r>
    <s v="PPT1_BOI04"/>
    <s v="S1CS05392-WS"/>
    <n v="270"/>
    <s v="207198000"/>
    <s v="NW"/>
    <n v="30"/>
    <n v="0.44829906826819771"/>
    <x v="17"/>
    <x v="1"/>
    <n v="0"/>
    <x v="0"/>
    <m/>
  </r>
  <r>
    <s v="PPT1_BOI04"/>
    <s v="S1CS05392-WS"/>
    <n v="270"/>
    <s v="207197950"/>
    <s v="NW"/>
    <n v="30"/>
    <n v="0.44829906826819771"/>
    <x v="4"/>
    <x v="1"/>
    <n v="0"/>
    <x v="0"/>
    <m/>
  </r>
  <r>
    <s v="PPT1_BOI04"/>
    <s v="S1CS05395-WS"/>
    <n v="200"/>
    <s v="207197562"/>
    <s v="NW"/>
    <n v="21"/>
    <n v="0.25061135380055738"/>
    <x v="18"/>
    <x v="1"/>
    <n v="0"/>
    <x v="0"/>
    <m/>
  </r>
  <r>
    <s v="PPT1_BOI04"/>
    <s v="S1CS05395-WS"/>
    <n v="300"/>
    <s v="207200512"/>
    <s v="NW"/>
    <n v="21"/>
    <n v="0.3759170307008361"/>
    <x v="12"/>
    <x v="1"/>
    <n v="0"/>
    <x v="0"/>
    <m/>
  </r>
  <r>
    <s v="PPT1_BOI04"/>
    <s v="S1CS05395-WS"/>
    <n v="300"/>
    <s v="207197500"/>
    <s v="NW"/>
    <n v="21"/>
    <n v="0.3759170307008361"/>
    <x v="5"/>
    <x v="1"/>
    <n v="0"/>
    <x v="0"/>
    <m/>
  </r>
  <r>
    <s v="PPT1_BOI04"/>
    <s v="S1CS05395-WS"/>
    <n v="300"/>
    <s v="207197506"/>
    <s v="NW"/>
    <n v="21"/>
    <n v="0.3759170307008361"/>
    <x v="8"/>
    <x v="1"/>
    <n v="0"/>
    <x v="0"/>
    <m/>
  </r>
  <r>
    <s v="PPT1_BOI04"/>
    <s v="S1CS05395-WS"/>
    <n v="300"/>
    <s v="207201254"/>
    <s v="NW"/>
    <n v="21"/>
    <n v="0.3759170307008361"/>
    <x v="14"/>
    <x v="1"/>
    <n v="0"/>
    <x v="0"/>
    <m/>
  </r>
  <r>
    <s v="PPT1_BOI04"/>
    <s v="S1CS05395-WS"/>
    <n v="300"/>
    <s v="207197472"/>
    <s v="NW"/>
    <n v="21"/>
    <n v="0.3759170307008361"/>
    <x v="7"/>
    <x v="1"/>
    <n v="0"/>
    <x v="0"/>
    <m/>
  </r>
  <r>
    <s v="PPT1_BOI04"/>
    <s v="S1CS05395-WS"/>
    <n v="300"/>
    <s v="207200551"/>
    <s v="NW"/>
    <n v="21"/>
    <n v="0.3759170307008361"/>
    <x v="17"/>
    <x v="1"/>
    <n v="0"/>
    <x v="0"/>
    <m/>
  </r>
  <r>
    <s v="PPT1_BOI04"/>
    <s v="S1CS05395-WS"/>
    <n v="300"/>
    <s v="207200536"/>
    <s v="NW"/>
    <n v="21"/>
    <n v="0.3759170307008361"/>
    <x v="18"/>
    <x v="1"/>
    <n v="0"/>
    <x v="0"/>
    <m/>
  </r>
  <r>
    <s v="PPT1_BOI04"/>
    <s v="S1CS05396-WS"/>
    <n v="300"/>
    <s v="207198767"/>
    <s v="NW"/>
    <n v="23"/>
    <n v="0.37618747400764113"/>
    <x v="3"/>
    <x v="1"/>
    <n v="0"/>
    <x v="0"/>
    <m/>
  </r>
  <r>
    <s v="PPT1_BOI04"/>
    <s v="S1CS05396-WS"/>
    <n v="300"/>
    <s v="207198713"/>
    <s v="NW"/>
    <n v="23"/>
    <n v="0.37618747400764113"/>
    <x v="12"/>
    <x v="1"/>
    <n v="0"/>
    <x v="0"/>
    <m/>
  </r>
  <r>
    <s v="PPT1_BOI04"/>
    <s v="S1CS05396-WS"/>
    <n v="200"/>
    <s v="207198813"/>
    <s v="NW"/>
    <n v="23"/>
    <n v="0.2507916493384274"/>
    <x v="4"/>
    <x v="1"/>
    <n v="0"/>
    <x v="0"/>
    <m/>
  </r>
  <r>
    <s v="PPT1_BOI04"/>
    <s v="S1CS05396-WS"/>
    <n v="200"/>
    <s v="207198809"/>
    <s v="NW"/>
    <n v="23"/>
    <n v="0.2507916493384274"/>
    <x v="5"/>
    <x v="1"/>
    <n v="0"/>
    <x v="0"/>
    <m/>
  </r>
  <r>
    <s v="PPT1_BOI04"/>
    <s v="S1CS05396-WS"/>
    <n v="300"/>
    <s v="207198550"/>
    <s v="NW"/>
    <n v="23"/>
    <n v="0.37618747400764113"/>
    <x v="8"/>
    <x v="1"/>
    <n v="0"/>
    <x v="0"/>
    <m/>
  </r>
  <r>
    <s v="PPT1_BOI04"/>
    <s v="S1CS05396-WS"/>
    <n v="300"/>
    <s v="207198591"/>
    <s v="NW"/>
    <n v="23"/>
    <n v="0.37618747400764113"/>
    <x v="14"/>
    <x v="1"/>
    <n v="0"/>
    <x v="0"/>
    <m/>
  </r>
  <r>
    <s v="PPT1_BOI04"/>
    <s v="S1CS05396-WS"/>
    <n v="300"/>
    <s v="207198667"/>
    <s v="NW"/>
    <n v="23"/>
    <n v="0.37618747400764113"/>
    <x v="7"/>
    <x v="1"/>
    <n v="0"/>
    <x v="0"/>
    <m/>
  </r>
  <r>
    <s v="PPT1_BOI04"/>
    <s v="S1CS05396-WS"/>
    <n v="300"/>
    <s v="207198643"/>
    <s v="NW"/>
    <n v="23"/>
    <n v="0.37618747400764113"/>
    <x v="17"/>
    <x v="1"/>
    <n v="0"/>
    <x v="0"/>
    <m/>
  </r>
  <r>
    <s v="PPT1_BOI04"/>
    <s v="S1CS05405-WS"/>
    <n v="300"/>
    <s v="207199153"/>
    <s v="NW"/>
    <n v="3"/>
    <n v="0.54604601426876742"/>
    <x v="18"/>
    <x v="1"/>
    <n v="0"/>
    <x v="0"/>
    <m/>
  </r>
  <r>
    <s v="PPT1_BOI04"/>
    <s v="S1CS05405-WS"/>
    <n v="300"/>
    <s v="207199148"/>
    <s v="NW"/>
    <n v="3"/>
    <n v="0.54604601426876742"/>
    <x v="3"/>
    <x v="1"/>
    <n v="0"/>
    <x v="0"/>
    <m/>
  </r>
  <r>
    <s v="PPT1_BOI04"/>
    <s v="S1CS05405-WS"/>
    <n v="300"/>
    <s v="207199189"/>
    <s v="NW"/>
    <n v="3"/>
    <n v="0.54604601426876742"/>
    <x v="4"/>
    <x v="1"/>
    <n v="0"/>
    <x v="0"/>
    <m/>
  </r>
  <r>
    <s v="PPT1_BOI04"/>
    <s v="S1CS05405-WS"/>
    <n v="200"/>
    <s v="207199198"/>
    <s v="NW"/>
    <n v="3"/>
    <n v="0.36403067617917834"/>
    <x v="18"/>
    <x v="1"/>
    <n v="0"/>
    <x v="0"/>
    <m/>
  </r>
  <r>
    <s v="PPT1_BOI04"/>
    <s v="S1CS05405-WS"/>
    <n v="100"/>
    <s v="207199192"/>
    <s v="NW"/>
    <n v="3"/>
    <n v="0.18201533808958917"/>
    <x v="3"/>
    <x v="1"/>
    <n v="0"/>
    <x v="0"/>
    <m/>
  </r>
  <r>
    <s v="PPT1_BOI04"/>
    <s v="S1CS05406-WS"/>
    <n v="300"/>
    <s v="207197457"/>
    <s v="NW"/>
    <n v="7"/>
    <n v="0.32478202548625085"/>
    <x v="5"/>
    <x v="1"/>
    <n v="0"/>
    <x v="0"/>
    <m/>
  </r>
  <r>
    <s v="PPT1_BOI04"/>
    <s v="S1CS05406-WS"/>
    <n v="300"/>
    <s v="207197425"/>
    <s v="NW"/>
    <n v="7"/>
    <n v="0.32478202548625085"/>
    <x v="12"/>
    <x v="1"/>
    <n v="0"/>
    <x v="0"/>
    <m/>
  </r>
  <r>
    <s v="PPT1_BOI04"/>
    <s v="S1CS05406-WS"/>
    <n v="100"/>
    <s v="207197461"/>
    <s v="NW"/>
    <n v="7"/>
    <n v="0.10826067516208361"/>
    <x v="8"/>
    <x v="1"/>
    <n v="0"/>
    <x v="0"/>
    <m/>
  </r>
  <r>
    <s v="PPT1_BOI04"/>
    <s v="S1CS05406-WS"/>
    <n v="300"/>
    <s v="207197459"/>
    <s v="NW"/>
    <n v="7"/>
    <n v="0.32478202548625085"/>
    <x v="14"/>
    <x v="1"/>
    <n v="0"/>
    <x v="0"/>
    <m/>
  </r>
  <r>
    <s v="PPT1_BOI04"/>
    <s v="S1CS05406-WS"/>
    <n v="200"/>
    <s v="207197463"/>
    <s v="NW"/>
    <n v="7"/>
    <n v="0.21652135032416722"/>
    <x v="7"/>
    <x v="1"/>
    <n v="0"/>
    <x v="0"/>
    <m/>
  </r>
  <r>
    <s v="PPT1_BOI04"/>
    <s v="S1CS05540-WS"/>
    <n v="225"/>
    <s v="207197641"/>
    <s v="NW"/>
    <n v="3"/>
    <n v="0.38083673606964696"/>
    <x v="17"/>
    <x v="1"/>
    <n v="0"/>
    <x v="0"/>
    <m/>
  </r>
  <r>
    <s v="PPT1_BOI04"/>
    <s v="S1CS05540-WS"/>
    <n v="150"/>
    <s v="207197851"/>
    <s v="NW"/>
    <n v="3"/>
    <n v="0.25389115737976464"/>
    <x v="8"/>
    <x v="1"/>
    <n v="0"/>
    <x v="0"/>
    <m/>
  </r>
  <r>
    <s v="PPT1_BOI04"/>
    <s v="S1CS05540-WS"/>
    <n v="75"/>
    <s v="207197816"/>
    <s v="NW"/>
    <n v="3"/>
    <n v="0.12694557868988232"/>
    <x v="5"/>
    <x v="1"/>
    <n v="0"/>
    <x v="0"/>
    <m/>
  </r>
  <r>
    <s v="PPT1_BOI04"/>
    <s v="S1CS05540-WS"/>
    <n v="225"/>
    <s v="207197699"/>
    <s v="NW"/>
    <n v="3"/>
    <n v="0.38083673606964696"/>
    <x v="5"/>
    <x v="1"/>
    <n v="0"/>
    <x v="0"/>
    <m/>
  </r>
  <r>
    <s v="PPT1_BOI04"/>
    <s v="S1CS05540-WS"/>
    <n v="225"/>
    <s v="207197765"/>
    <s v="NW"/>
    <n v="3"/>
    <n v="0.38083673606964696"/>
    <x v="8"/>
    <x v="1"/>
    <n v="0"/>
    <x v="0"/>
    <m/>
  </r>
  <r>
    <s v="PPT1_BOI04"/>
    <s v="S1CS05540-WS"/>
    <n v="225"/>
    <s v="207197706"/>
    <s v="NW"/>
    <n v="3"/>
    <n v="0.38083673606964696"/>
    <x v="17"/>
    <x v="1"/>
    <n v="0"/>
    <x v="0"/>
    <m/>
  </r>
  <r>
    <s v="PPT1_BOI04"/>
    <s v="S1CS05541-WS"/>
    <n v="240"/>
    <s v="207198909"/>
    <s v="NW"/>
    <n v="10"/>
    <n v="0.14321408972759106"/>
    <x v="12"/>
    <x v="1"/>
    <n v="0"/>
    <x v="0"/>
    <m/>
  </r>
  <r>
    <s v="PPT1_BOI04"/>
    <s v="S1CS05541-WS"/>
    <n v="720"/>
    <s v="207198842"/>
    <s v="NW"/>
    <n v="10"/>
    <n v="0.42964226918277315"/>
    <x v="7"/>
    <x v="1"/>
    <n v="0"/>
    <x v="0"/>
    <m/>
  </r>
  <r>
    <s v="PPT1_BOI04"/>
    <s v="S1CS05542-WS"/>
    <n v="900"/>
    <s v="207202062"/>
    <s v="NW"/>
    <n v="20"/>
    <n v="0.40651185779144389"/>
    <x v="14"/>
    <x v="1"/>
    <n v="0"/>
    <x v="0"/>
    <m/>
  </r>
  <r>
    <s v="PPT1_BOI04"/>
    <s v="S1CS05542-WS"/>
    <n v="900"/>
    <s v="207199108"/>
    <s v="NW"/>
    <n v="20"/>
    <n v="0.40651185779144389"/>
    <x v="4"/>
    <x v="1"/>
    <n v="0"/>
    <x v="0"/>
    <m/>
  </r>
  <r>
    <s v="PPT1_BOI04"/>
    <s v="S1CS05542-WS"/>
    <n v="600"/>
    <s v="207199182"/>
    <s v="NW"/>
    <n v="20"/>
    <n v="0.27100790519429591"/>
    <x v="12"/>
    <x v="1"/>
    <n v="0"/>
    <x v="0"/>
    <m/>
  </r>
  <r>
    <s v="PPT1_BOI04"/>
    <s v="S1CS05542-WS"/>
    <n v="900"/>
    <s v="207202068"/>
    <s v="NW"/>
    <n v="20"/>
    <n v="0.40651185779144389"/>
    <x v="16"/>
    <x v="1"/>
    <n v="0"/>
    <x v="0"/>
    <m/>
  </r>
  <r>
    <s v="PPT1_BOI04"/>
    <s v="S1CS05542-WS"/>
    <n v="900"/>
    <s v="207202058"/>
    <s v="NW"/>
    <n v="20"/>
    <n v="0.40651185779144389"/>
    <x v="3"/>
    <x v="1"/>
    <n v="0"/>
    <x v="0"/>
    <m/>
  </r>
  <r>
    <s v="PPT1_BOI04"/>
    <s v="S1CS05542-WS"/>
    <n v="300"/>
    <s v="207199216"/>
    <s v="NW"/>
    <n v="20"/>
    <n v="0.13550395259714795"/>
    <x v="0"/>
    <x v="1"/>
    <n v="0"/>
    <x v="0"/>
    <m/>
  </r>
  <r>
    <s v="PPT1_BOI04"/>
    <s v="S1CS05542-WS"/>
    <n v="300"/>
    <s v="207202072"/>
    <s v="NW"/>
    <n v="20"/>
    <n v="0.13550395259714795"/>
    <x v="2"/>
    <x v="1"/>
    <n v="0"/>
    <x v="0"/>
    <m/>
  </r>
  <r>
    <s v="PPT1_BOI04"/>
    <s v="S1CS05582-WS"/>
    <n v="300"/>
    <s v="207198376"/>
    <s v="NW"/>
    <n v="2"/>
    <n v="0.32007823434217808"/>
    <x v="0"/>
    <x v="1"/>
    <n v="0"/>
    <x v="0"/>
    <m/>
  </r>
  <r>
    <s v="PPT1_BOI04"/>
    <s v="S1CS05584-WS"/>
    <n v="510"/>
    <s v="207197700"/>
    <s v="NW"/>
    <n v="5"/>
    <n v="0.44749630373720617"/>
    <x v="18"/>
    <x v="1"/>
    <n v="0"/>
    <x v="0"/>
    <m/>
  </r>
  <r>
    <s v="PPT1_BOI04"/>
    <s v="S1CS05584-WS"/>
    <n v="510"/>
    <s v="207197589"/>
    <s v="NW"/>
    <n v="5"/>
    <n v="0.44749630373720617"/>
    <x v="5"/>
    <x v="1"/>
    <n v="0"/>
    <x v="0"/>
    <m/>
  </r>
  <r>
    <s v="PPT1_BOI04"/>
    <s v="S1CS05584-WS"/>
    <n v="510"/>
    <s v="207197757"/>
    <s v="NW"/>
    <n v="5"/>
    <n v="0.44749630373720617"/>
    <x v="12"/>
    <x v="1"/>
    <n v="0"/>
    <x v="0"/>
    <m/>
  </r>
  <r>
    <s v="PPT1_BOI04"/>
    <s v="S1CS05584-WS"/>
    <n v="510"/>
    <s v="207202311"/>
    <s v="NW"/>
    <n v="5"/>
    <n v="0.44749630373720617"/>
    <x v="2"/>
    <x v="1"/>
    <n v="0"/>
    <x v="0"/>
    <m/>
  </r>
  <r>
    <s v="PPT1_BOI04"/>
    <s v="S1CS05584-WS"/>
    <n v="170"/>
    <s v="207197764"/>
    <s v="NW"/>
    <n v="5"/>
    <n v="0.14916543457906872"/>
    <x v="7"/>
    <x v="1"/>
    <n v="0"/>
    <x v="0"/>
    <m/>
  </r>
  <r>
    <s v="PPT1_BOI04"/>
    <s v="S1CS05584-WS"/>
    <n v="510"/>
    <s v="207197397"/>
    <s v="NW"/>
    <n v="5"/>
    <n v="0.44749630373720617"/>
    <x v="7"/>
    <x v="1"/>
    <n v="0"/>
    <x v="0"/>
    <m/>
  </r>
  <r>
    <s v="PPT1_BOI04"/>
    <s v="S1CS05584-WS"/>
    <n v="510"/>
    <s v="207197441"/>
    <s v="NW"/>
    <n v="5"/>
    <n v="0.44749630373720617"/>
    <x v="18"/>
    <x v="1"/>
    <n v="0"/>
    <x v="0"/>
    <m/>
  </r>
  <r>
    <s v="PPT1_BOI04"/>
    <s v="S1CS05584-WS"/>
    <n v="510"/>
    <s v="207197346"/>
    <s v="NW"/>
    <n v="5"/>
    <n v="0.44749630373720617"/>
    <x v="5"/>
    <x v="1"/>
    <n v="0"/>
    <x v="0"/>
    <m/>
  </r>
  <r>
    <s v="PPT1_BOI04"/>
    <s v="S1CS05584-WS"/>
    <n v="510"/>
    <s v="207197491"/>
    <s v="NW"/>
    <n v="5"/>
    <n v="0.44749630373720617"/>
    <x v="12"/>
    <x v="1"/>
    <n v="0"/>
    <x v="0"/>
    <m/>
  </r>
  <r>
    <s v="PPT1_BOI04"/>
    <s v="S1CS05584-WS"/>
    <n v="510"/>
    <s v="207197311"/>
    <s v="NW"/>
    <n v="5"/>
    <n v="0.44749630373720617"/>
    <x v="2"/>
    <x v="1"/>
    <n v="0"/>
    <x v="0"/>
    <m/>
  </r>
  <r>
    <s v="PPT1_BOI04"/>
    <s v="S1CS05584-WS"/>
    <n v="510"/>
    <s v="207202310"/>
    <s v="NW"/>
    <n v="5"/>
    <n v="0.44749630373720617"/>
    <x v="7"/>
    <x v="1"/>
    <n v="0"/>
    <x v="0"/>
    <m/>
  </r>
  <r>
    <s v="PPT1_BOI04"/>
    <s v="S1CS05584-WS"/>
    <n v="510"/>
    <s v="207202305"/>
    <s v="NW"/>
    <n v="5"/>
    <n v="0.44749630373720617"/>
    <x v="18"/>
    <x v="1"/>
    <n v="0"/>
    <x v="0"/>
    <m/>
  </r>
  <r>
    <s v="PPT1_BOI04"/>
    <s v="S1CS05584-WS"/>
    <n v="510"/>
    <s v="207202304"/>
    <s v="NW"/>
    <n v="5"/>
    <n v="0.44749630373720617"/>
    <x v="5"/>
    <x v="1"/>
    <n v="0"/>
    <x v="0"/>
    <m/>
  </r>
  <r>
    <s v="PPT1_BOI04"/>
    <s v="S1CS05584-WS"/>
    <n v="510"/>
    <s v="207197638"/>
    <s v="NW"/>
    <n v="5"/>
    <n v="0.44749630373720617"/>
    <x v="12"/>
    <x v="1"/>
    <n v="0"/>
    <x v="0"/>
    <m/>
  </r>
  <r>
    <s v="PPT1_BOI04"/>
    <s v="S1CS05584-WS"/>
    <n v="510"/>
    <s v="207202306"/>
    <s v="NW"/>
    <n v="5"/>
    <n v="0.44749630373720617"/>
    <x v="2"/>
    <x v="1"/>
    <n v="0"/>
    <x v="0"/>
    <m/>
  </r>
  <r>
    <s v="PPT1_BOI04"/>
    <s v="S1CS05584-WS"/>
    <n v="510"/>
    <s v="207202309"/>
    <s v="NW"/>
    <n v="5"/>
    <n v="0.44749630373720617"/>
    <x v="7"/>
    <x v="1"/>
    <n v="0"/>
    <x v="0"/>
    <m/>
  </r>
  <r>
    <s v="PPT1_BOI04"/>
    <s v="S1CS05584-WS"/>
    <n v="510"/>
    <s v="207202307"/>
    <s v="NW"/>
    <n v="5"/>
    <n v="0.44749630373720617"/>
    <x v="18"/>
    <x v="1"/>
    <n v="0"/>
    <x v="0"/>
    <m/>
  </r>
  <r>
    <s v="PPT1_BOI04"/>
    <s v="S1CS05584-WS"/>
    <n v="510"/>
    <s v="207202308"/>
    <s v="NW"/>
    <n v="5"/>
    <n v="0.44749630373720617"/>
    <x v="5"/>
    <x v="1"/>
    <n v="0"/>
    <x v="0"/>
    <m/>
  </r>
  <r>
    <s v="PPT1_BOI04"/>
    <s v="S1CS05585-WS"/>
    <n v="420"/>
    <s v="207201873"/>
    <s v="NW"/>
    <n v="4"/>
    <n v="0.61777921813366921"/>
    <x v="8"/>
    <x v="1"/>
    <n v="0"/>
    <x v="0"/>
    <m/>
  </r>
  <r>
    <s v="PPT1_BOI04"/>
    <s v="S1CS05585-WS"/>
    <n v="420"/>
    <s v="207201875"/>
    <s v="NW"/>
    <n v="4"/>
    <n v="0.61777921813366921"/>
    <x v="14"/>
    <x v="1"/>
    <n v="0"/>
    <x v="0"/>
    <m/>
  </r>
  <r>
    <s v="PPT1_BOI04"/>
    <s v="S1CS05585-WS"/>
    <n v="420"/>
    <s v="207201874"/>
    <s v="NW"/>
    <n v="4"/>
    <n v="0.61777921813366921"/>
    <x v="4"/>
    <x v="1"/>
    <n v="0"/>
    <x v="0"/>
    <m/>
  </r>
  <r>
    <s v="PPT1_BOI04"/>
    <s v="S1CS05585-WS"/>
    <n v="420"/>
    <s v="207201900"/>
    <s v="NW"/>
    <n v="4"/>
    <n v="0.61777921813366921"/>
    <x v="17"/>
    <x v="1"/>
    <n v="0"/>
    <x v="0"/>
    <m/>
  </r>
  <r>
    <s v="PPT1_BOI04"/>
    <s v="S1CS05585-WS"/>
    <n v="140"/>
    <s v="207200869"/>
    <s v="NW"/>
    <n v="4"/>
    <n v="0.20592640604455639"/>
    <x v="8"/>
    <x v="1"/>
    <n v="0"/>
    <x v="0"/>
    <m/>
  </r>
  <r>
    <s v="PPT1_BOI04"/>
    <s v="S1CS05585-WS"/>
    <n v="420"/>
    <s v="207201902"/>
    <s v="NW"/>
    <n v="4"/>
    <n v="0.61777921813366921"/>
    <x v="14"/>
    <x v="1"/>
    <n v="0"/>
    <x v="0"/>
    <m/>
  </r>
  <r>
    <s v="PPT1_BOI04"/>
    <s v="S1CS05585-WS"/>
    <n v="420"/>
    <s v="207201901"/>
    <s v="NW"/>
    <n v="4"/>
    <n v="0.61777921813366921"/>
    <x v="4"/>
    <x v="1"/>
    <n v="0"/>
    <x v="0"/>
    <m/>
  </r>
  <r>
    <s v="PPT1_BOI04"/>
    <s v="S1CS05585-WS"/>
    <n v="420"/>
    <s v="207198064"/>
    <s v="NW"/>
    <n v="4"/>
    <n v="0.61777921813366921"/>
    <x v="17"/>
    <x v="1"/>
    <n v="0"/>
    <x v="0"/>
    <m/>
  </r>
  <r>
    <s v="PPT1_BOI04"/>
    <s v="S1CS05585-WS"/>
    <n v="420"/>
    <s v="207198134"/>
    <s v="NW"/>
    <n v="4"/>
    <n v="0.61777921813366921"/>
    <x v="8"/>
    <x v="1"/>
    <n v="0"/>
    <x v="0"/>
    <m/>
  </r>
  <r>
    <s v="PPT1_BOI04"/>
    <s v="S1CS05585-WS"/>
    <n v="420"/>
    <s v="207198006"/>
    <s v="NW"/>
    <n v="4"/>
    <n v="0.61777921813366921"/>
    <x v="14"/>
    <x v="1"/>
    <n v="0"/>
    <x v="0"/>
    <m/>
  </r>
  <r>
    <s v="PPT1_BOI04"/>
    <s v="S1CS05585-WS"/>
    <n v="420"/>
    <s v="207197952"/>
    <s v="NW"/>
    <n v="4"/>
    <n v="0.61777921813366921"/>
    <x v="4"/>
    <x v="1"/>
    <n v="0"/>
    <x v="0"/>
    <m/>
  </r>
  <r>
    <s v="PPT1_BOI04"/>
    <s v="S1CS05585-WS"/>
    <n v="420"/>
    <s v="207198001"/>
    <s v="NW"/>
    <n v="4"/>
    <n v="0.61777921813366921"/>
    <x v="17"/>
    <x v="1"/>
    <n v="0"/>
    <x v="0"/>
    <m/>
  </r>
  <r>
    <s v="PPT1_BOI04"/>
    <s v="S1CS05585-WS"/>
    <n v="420"/>
    <s v="207198364"/>
    <s v="NW"/>
    <n v="4"/>
    <n v="0.61777921813366921"/>
    <x v="8"/>
    <x v="1"/>
    <n v="0"/>
    <x v="0"/>
    <m/>
  </r>
  <r>
    <s v="PPT1_BOI04"/>
    <s v="S1CS05585-WS"/>
    <n v="420"/>
    <s v="207198567"/>
    <s v="NW"/>
    <n v="4"/>
    <n v="0.61777921813366921"/>
    <x v="14"/>
    <x v="1"/>
    <n v="0"/>
    <x v="0"/>
    <m/>
  </r>
  <r>
    <s v="PPT1_BOI04"/>
    <s v="S1CS05585-WS"/>
    <n v="420"/>
    <s v="207198316"/>
    <s v="NW"/>
    <n v="4"/>
    <n v="0.61777921813366921"/>
    <x v="4"/>
    <x v="1"/>
    <n v="0"/>
    <x v="0"/>
    <m/>
  </r>
  <r>
    <s v="PPT1_BOI04"/>
    <s v="S1CS05585-WS"/>
    <n v="420"/>
    <s v="207198206"/>
    <s v="NW"/>
    <n v="4"/>
    <n v="0.61777921813366921"/>
    <x v="17"/>
    <x v="1"/>
    <n v="0"/>
    <x v="0"/>
    <m/>
  </r>
  <r>
    <s v="PPT1_BOI04"/>
    <s v="S1CS05585-WS"/>
    <n v="420"/>
    <s v="207198308"/>
    <s v="NW"/>
    <n v="4"/>
    <n v="0.61777921813366921"/>
    <x v="8"/>
    <x v="1"/>
    <n v="0"/>
    <x v="0"/>
    <m/>
  </r>
  <r>
    <s v="PPT1_BOI04"/>
    <s v="S1CS05585-WS"/>
    <n v="420"/>
    <s v="207201870"/>
    <s v="NW"/>
    <n v="4"/>
    <n v="0.61777921813366921"/>
    <x v="14"/>
    <x v="1"/>
    <n v="0"/>
    <x v="0"/>
    <m/>
  </r>
  <r>
    <s v="PPT1_BOI04"/>
    <s v="S1CS05585-WS"/>
    <n v="420"/>
    <s v="207197900"/>
    <s v="NW"/>
    <n v="4"/>
    <n v="0.61777921813366921"/>
    <x v="4"/>
    <x v="1"/>
    <n v="0"/>
    <x v="0"/>
    <m/>
  </r>
  <r>
    <s v="PPT1_BOI04"/>
    <s v="S1CS05585-WS"/>
    <n v="420"/>
    <s v="207201849"/>
    <s v="NW"/>
    <n v="4"/>
    <n v="0.61777921813366921"/>
    <x v="17"/>
    <x v="1"/>
    <n v="0"/>
    <x v="0"/>
    <m/>
  </r>
  <r>
    <s v="PPT1_BOI04"/>
    <s v="S1CS05585-WS"/>
    <n v="420"/>
    <s v="207201871"/>
    <s v="NW"/>
    <n v="4"/>
    <n v="0.61777921813366921"/>
    <x v="8"/>
    <x v="1"/>
    <n v="0"/>
    <x v="0"/>
    <m/>
  </r>
  <r>
    <s v="PPT1_BOI04"/>
    <s v="S1CS05668-WS"/>
    <n v="360"/>
    <s v="207199146"/>
    <s v="NW"/>
    <n v="2"/>
    <n v="0.47043826953354068"/>
    <x v="16"/>
    <x v="1"/>
    <n v="0"/>
    <x v="0"/>
    <m/>
  </r>
  <r>
    <s v="PPT1_BOI04"/>
    <s v="S1CS05668-WS"/>
    <n v="360"/>
    <s v="207199312"/>
    <s v="NW"/>
    <n v="2"/>
    <n v="0.47043826953354068"/>
    <x v="3"/>
    <x v="1"/>
    <n v="0"/>
    <x v="0"/>
    <m/>
  </r>
  <r>
    <s v="PPT1_BOI04"/>
    <s v="S1CS05668-WS"/>
    <n v="360"/>
    <s v="207199110"/>
    <s v="NW"/>
    <n v="2"/>
    <n v="0.47043826953354068"/>
    <x v="16"/>
    <x v="1"/>
    <n v="0"/>
    <x v="0"/>
    <m/>
  </r>
  <r>
    <s v="PPT1_BOI04"/>
    <s v="S1CS05668-WS"/>
    <n v="360"/>
    <s v="207199214"/>
    <s v="NW"/>
    <n v="2"/>
    <n v="0.47043826953354068"/>
    <x v="3"/>
    <x v="1"/>
    <n v="0"/>
    <x v="0"/>
    <m/>
  </r>
  <r>
    <s v="PPT1_BOI04"/>
    <s v="S1CS05668-WS"/>
    <n v="360"/>
    <s v="207199032"/>
    <s v="NW"/>
    <n v="2"/>
    <n v="0.47043826953354068"/>
    <x v="16"/>
    <x v="1"/>
    <n v="0"/>
    <x v="0"/>
    <m/>
  </r>
  <r>
    <s v="PPT1_BOI04"/>
    <s v="S1CS05668-WS"/>
    <n v="360"/>
    <s v="207199270"/>
    <s v="NW"/>
    <n v="2"/>
    <n v="0.47043826953354068"/>
    <x v="3"/>
    <x v="1"/>
    <n v="0"/>
    <x v="0"/>
    <m/>
  </r>
  <r>
    <s v="PPT1_BOI04"/>
    <s v="S1CS05669-WS"/>
    <n v="450"/>
    <s v="207198688"/>
    <s v="NW"/>
    <n v="5"/>
    <n v="0.42952582340472095"/>
    <x v="0"/>
    <x v="1"/>
    <n v="0"/>
    <x v="0"/>
    <m/>
  </r>
  <r>
    <s v="PPT1_BOI04"/>
    <s v="S1CS05669-WS"/>
    <n v="150"/>
    <s v="207198822"/>
    <s v="NW"/>
    <n v="5"/>
    <n v="0.14317527446824033"/>
    <x v="1"/>
    <x v="1"/>
    <n v="0"/>
    <x v="0"/>
    <m/>
  </r>
  <r>
    <s v="PPT1_BOI04"/>
    <s v="S1CS05669-WS"/>
    <n v="450"/>
    <s v="207198532"/>
    <s v="NW"/>
    <n v="5"/>
    <n v="0.42952582340472095"/>
    <x v="1"/>
    <x v="1"/>
    <n v="0"/>
    <x v="0"/>
    <m/>
  </r>
  <r>
    <s v="PPT1_BOI04"/>
    <s v="S1CS05670-WS"/>
    <n v="150"/>
    <s v="207200550"/>
    <s v="NW"/>
    <n v="4"/>
    <n v="0.19748652521323365"/>
    <x v="0"/>
    <x v="1"/>
    <n v="0"/>
    <x v="0"/>
    <m/>
  </r>
  <r>
    <s v="PPT1_BOI04"/>
    <s v="S1CS05670-WS"/>
    <n v="450"/>
    <s v="207200086"/>
    <s v="NW"/>
    <n v="4"/>
    <n v="0.59245957563970097"/>
    <x v="13"/>
    <x v="1"/>
    <n v="0"/>
    <x v="0"/>
    <m/>
  </r>
  <r>
    <s v="PPT1_BOI04"/>
    <s v="S1CS05670-WS"/>
    <n v="450"/>
    <s v="207200516"/>
    <s v="NW"/>
    <n v="4"/>
    <n v="0.59245957563970097"/>
    <x v="10"/>
    <x v="1"/>
    <n v="0"/>
    <x v="0"/>
    <m/>
  </r>
  <r>
    <s v="PPT1_BOI04"/>
    <s v="S1CS05706-WS"/>
    <n v="370"/>
    <s v="207197419"/>
    <s v="NW"/>
    <n v="18"/>
    <n v="0.28843802409725089"/>
    <x v="6"/>
    <x v="1"/>
    <n v="0"/>
    <x v="0"/>
    <m/>
  </r>
  <r>
    <s v="PPT1_BOI04"/>
    <s v="S1CS05706-WS"/>
    <n v="185"/>
    <s v="207197465"/>
    <s v="NW"/>
    <n v="18"/>
    <n v="0.14421901204862544"/>
    <x v="0"/>
    <x v="1"/>
    <n v="0"/>
    <x v="0"/>
    <m/>
  </r>
  <r>
    <s v="PPT1_BOI04"/>
    <s v="S1CS05706-WS"/>
    <n v="185"/>
    <s v="207197466"/>
    <s v="NW"/>
    <n v="18"/>
    <n v="0.14421901204862544"/>
    <x v="1"/>
    <x v="1"/>
    <n v="0"/>
    <x v="0"/>
    <m/>
  </r>
  <r>
    <s v="PPT1_BOI04"/>
    <s v="S1CS05714-WS"/>
    <n v="130"/>
    <s v="207197483"/>
    <s v="NW"/>
    <n v="5"/>
    <n v="0.10313534416086619"/>
    <x v="0"/>
    <x v="1"/>
    <n v="0"/>
    <x v="0"/>
    <m/>
  </r>
  <r>
    <s v="PPT1_BOI04"/>
    <s v="S1CS05715-WS"/>
    <n v="130"/>
    <s v="207197574"/>
    <s v="NW"/>
    <n v="5"/>
    <n v="0.10313534416086619"/>
    <x v="6"/>
    <x v="1"/>
    <n v="0"/>
    <x v="0"/>
    <m/>
  </r>
  <r>
    <s v="PPT1_BOI04"/>
    <s v="S1CS05721-WS"/>
    <n v="480"/>
    <s v="207201698"/>
    <s v="NW"/>
    <n v="3"/>
    <n v="0.38517386023159772"/>
    <x v="0"/>
    <x v="1"/>
    <n v="0"/>
    <x v="0"/>
    <m/>
  </r>
  <r>
    <s v="PPT1_BOI04"/>
    <s v="S1CS05721-WS"/>
    <n v="480"/>
    <s v="207201673"/>
    <s v="NW"/>
    <n v="3"/>
    <n v="0.38517386023159772"/>
    <x v="1"/>
    <x v="1"/>
    <n v="0"/>
    <x v="0"/>
    <m/>
  </r>
  <r>
    <s v="PPT1_BOI04"/>
    <s v="S1CS05721-WS"/>
    <n v="480"/>
    <s v="207199658"/>
    <s v="NW"/>
    <n v="3"/>
    <n v="0.38517386023159772"/>
    <x v="6"/>
    <x v="1"/>
    <n v="0"/>
    <x v="0"/>
    <m/>
  </r>
  <r>
    <s v="PPT1_BOI04"/>
    <s v="S1CS05721-WS"/>
    <n v="160"/>
    <s v="207201726"/>
    <s v="NW"/>
    <n v="3"/>
    <n v="0.12839128674386591"/>
    <x v="0"/>
    <x v="1"/>
    <n v="0"/>
    <x v="0"/>
    <m/>
  </r>
  <r>
    <s v="PPT1_BOI04"/>
    <s v="S1CS05721-WS"/>
    <n v="480"/>
    <s v="207201655"/>
    <s v="NW"/>
    <n v="3"/>
    <n v="0.38517386023159772"/>
    <x v="1"/>
    <x v="1"/>
    <n v="0"/>
    <x v="0"/>
    <m/>
  </r>
  <r>
    <s v="PPT1_BOI04"/>
    <s v="S1CS05721-WS"/>
    <n v="480"/>
    <s v="207201580"/>
    <s v="NW"/>
    <n v="3"/>
    <n v="0.38517386023159772"/>
    <x v="6"/>
    <x v="1"/>
    <n v="0"/>
    <x v="0"/>
    <m/>
  </r>
  <r>
    <s v="PPT1_BOI04"/>
    <s v="S1CS05721-WS"/>
    <n v="480"/>
    <s v="207201650"/>
    <s v="NW"/>
    <n v="3"/>
    <n v="0.38517386023159772"/>
    <x v="0"/>
    <x v="1"/>
    <n v="0"/>
    <x v="0"/>
    <m/>
  </r>
  <r>
    <s v="PPT1_BOI04"/>
    <s v="S1CS05721-WS"/>
    <n v="480"/>
    <s v="207201688"/>
    <s v="NW"/>
    <n v="3"/>
    <n v="0.38517386023159772"/>
    <x v="1"/>
    <x v="1"/>
    <n v="0"/>
    <x v="0"/>
    <m/>
  </r>
  <r>
    <s v="PPT1_BOI04"/>
    <s v="S1CS05721-WS"/>
    <n v="480"/>
    <s v="207201567"/>
    <s v="NW"/>
    <n v="3"/>
    <n v="0.38517386023159772"/>
    <x v="6"/>
    <x v="1"/>
    <n v="0"/>
    <x v="0"/>
    <m/>
  </r>
  <r>
    <s v="PPT1_BOI04"/>
    <s v="S1CS05721-WS"/>
    <n v="480"/>
    <s v="207201553"/>
    <s v="NW"/>
    <n v="3"/>
    <n v="0.38517386023159772"/>
    <x v="0"/>
    <x v="1"/>
    <n v="0"/>
    <x v="0"/>
    <m/>
  </r>
  <r>
    <s v="PPT1_BOI04"/>
    <s v="S1CS05721-WS"/>
    <n v="480"/>
    <s v="207201573"/>
    <s v="NW"/>
    <n v="3"/>
    <n v="0.38517386023159772"/>
    <x v="1"/>
    <x v="1"/>
    <n v="0"/>
    <x v="0"/>
    <m/>
  </r>
  <r>
    <s v="PPT1_BOI04"/>
    <s v="S1CS05721-WS"/>
    <n v="480"/>
    <s v="207201571"/>
    <s v="NW"/>
    <n v="3"/>
    <n v="0.38517386023159772"/>
    <x v="6"/>
    <x v="1"/>
    <n v="0"/>
    <x v="0"/>
    <m/>
  </r>
  <r>
    <s v="PPT1_BOI04"/>
    <s v="S1CS05721-WS"/>
    <n v="480"/>
    <s v="207199722"/>
    <s v="NW"/>
    <n v="3"/>
    <n v="0.38517386023159772"/>
    <x v="0"/>
    <x v="1"/>
    <n v="0"/>
    <x v="0"/>
    <m/>
  </r>
  <r>
    <s v="PPT1_BOI04"/>
    <s v="S1CS05721-WS"/>
    <n v="480"/>
    <s v="207199726"/>
    <s v="NW"/>
    <n v="3"/>
    <n v="0.38517386023159772"/>
    <x v="1"/>
    <x v="1"/>
    <n v="0"/>
    <x v="0"/>
    <m/>
  </r>
  <r>
    <s v="PPT1_BOI04"/>
    <s v="S1CS05721-WS"/>
    <n v="480"/>
    <s v="207199054"/>
    <s v="NW"/>
    <n v="3"/>
    <n v="0.38517386023159772"/>
    <x v="6"/>
    <x v="1"/>
    <n v="0"/>
    <x v="0"/>
    <m/>
  </r>
  <r>
    <s v="PPT1_BOI04"/>
    <s v="S1CS05721-WS"/>
    <n v="480"/>
    <s v="207199665"/>
    <s v="NW"/>
    <n v="3"/>
    <n v="0.38517386023159772"/>
    <x v="0"/>
    <x v="1"/>
    <n v="0"/>
    <x v="0"/>
    <m/>
  </r>
  <r>
    <s v="PPT1_BOI04"/>
    <s v="S1CS05721-WS"/>
    <n v="480"/>
    <s v="207199170"/>
    <s v="NW"/>
    <n v="3"/>
    <n v="0.38517386023159772"/>
    <x v="1"/>
    <x v="1"/>
    <n v="0"/>
    <x v="0"/>
    <m/>
  </r>
  <r>
    <s v="PPT1_BOI04"/>
    <s v="S1CS05721-WS"/>
    <n v="480"/>
    <s v="207199537"/>
    <s v="NW"/>
    <n v="3"/>
    <n v="0.38517386023159772"/>
    <x v="6"/>
    <x v="1"/>
    <n v="0"/>
    <x v="0"/>
    <m/>
  </r>
  <r>
    <s v="PPT1_BOI04"/>
    <s v="S1CS05721-WS"/>
    <n v="480"/>
    <s v="207198981"/>
    <s v="NW"/>
    <n v="3"/>
    <n v="0.38517386023159772"/>
    <x v="0"/>
    <x v="1"/>
    <n v="0"/>
    <x v="0"/>
    <m/>
  </r>
  <r>
    <s v="PPT1_BOI04"/>
    <s v="S1CS05721-WS"/>
    <n v="480"/>
    <s v="207199581"/>
    <s v="NW"/>
    <n v="3"/>
    <n v="0.38517386023159772"/>
    <x v="1"/>
    <x v="1"/>
    <n v="0"/>
    <x v="0"/>
    <m/>
  </r>
  <r>
    <s v="PPT1_BOI04"/>
    <s v="S1CS05721-WS"/>
    <n v="480"/>
    <s v="207199772"/>
    <s v="NW"/>
    <n v="3"/>
    <n v="0.38517386023159772"/>
    <x v="6"/>
    <x v="1"/>
    <n v="0"/>
    <x v="0"/>
    <m/>
  </r>
  <r>
    <s v="PPT1_BOI04"/>
    <s v="S1CS05780-WS"/>
    <n v="180"/>
    <s v="207198625"/>
    <s v="NW"/>
    <n v="6"/>
    <n v="0.41663484486873509"/>
    <x v="12"/>
    <x v="1"/>
    <n v="0"/>
    <x v="0"/>
    <m/>
  </r>
  <r>
    <s v="PPT1_BOI04"/>
    <s v="S1CS05780-WS"/>
    <n v="180"/>
    <s v="207198670"/>
    <s v="NW"/>
    <n v="6"/>
    <n v="0.41663484486873509"/>
    <x v="2"/>
    <x v="1"/>
    <n v="0"/>
    <x v="0"/>
    <m/>
  </r>
  <r>
    <s v="PPT1_BOI04"/>
    <s v="S1CS05780-WS"/>
    <n v="180"/>
    <s v="207201895"/>
    <s v="NW"/>
    <n v="6"/>
    <n v="0.41663484486873509"/>
    <x v="13"/>
    <x v="1"/>
    <n v="0"/>
    <x v="0"/>
    <m/>
  </r>
  <r>
    <s v="PPT1_BOI04"/>
    <s v="S1CS05780-WS"/>
    <n v="180"/>
    <s v="207198770"/>
    <s v="NW"/>
    <n v="6"/>
    <n v="0.41663484486873509"/>
    <x v="10"/>
    <x v="1"/>
    <n v="0"/>
    <x v="0"/>
    <m/>
  </r>
  <r>
    <s v="PPT1_BOI04"/>
    <s v="S1CS05780-WS"/>
    <n v="180"/>
    <s v="207198582"/>
    <s v="NW"/>
    <n v="6"/>
    <n v="0.41663484486873509"/>
    <x v="7"/>
    <x v="1"/>
    <n v="0"/>
    <x v="0"/>
    <m/>
  </r>
  <r>
    <s v="PPT1_BOI04"/>
    <s v="S1CS05780-WS"/>
    <n v="180"/>
    <s v="207201885"/>
    <s v="NW"/>
    <n v="6"/>
    <n v="0.41663484486873509"/>
    <x v="16"/>
    <x v="1"/>
    <n v="0"/>
    <x v="0"/>
    <m/>
  </r>
  <r>
    <s v="PPT1_BOI04"/>
    <s v="S1CS05780-WS"/>
    <n v="180"/>
    <s v="207201893"/>
    <s v="NW"/>
    <n v="6"/>
    <n v="0.41663484486873509"/>
    <x v="12"/>
    <x v="1"/>
    <n v="0"/>
    <x v="0"/>
    <m/>
  </r>
  <r>
    <s v="PPT1_BOI04"/>
    <s v="S1CS05780-WS"/>
    <n v="180"/>
    <s v="207198748"/>
    <s v="NW"/>
    <n v="6"/>
    <n v="0.41663484486873509"/>
    <x v="2"/>
    <x v="1"/>
    <n v="0"/>
    <x v="0"/>
    <m/>
  </r>
  <r>
    <s v="PPT1_BOI04"/>
    <s v="S1CS05780-WS"/>
    <n v="180"/>
    <s v="207201889"/>
    <s v="NW"/>
    <n v="6"/>
    <n v="0.41663484486873509"/>
    <x v="13"/>
    <x v="1"/>
    <n v="0"/>
    <x v="0"/>
    <m/>
  </r>
  <r>
    <s v="PPT1_BOI04"/>
    <s v="S1CS05780-WS"/>
    <n v="60"/>
    <s v="207198787"/>
    <s v="NW"/>
    <n v="6"/>
    <n v="0.13887828162291169"/>
    <x v="10"/>
    <x v="1"/>
    <n v="0"/>
    <x v="0"/>
    <m/>
  </r>
  <r>
    <s v="PPT1_BOI04"/>
    <s v="S1CS05780-WS"/>
    <n v="180"/>
    <s v="207198715"/>
    <s v="NW"/>
    <n v="6"/>
    <n v="0.41663484486873509"/>
    <x v="7"/>
    <x v="1"/>
    <n v="0"/>
    <x v="0"/>
    <m/>
  </r>
  <r>
    <s v="PPT1_BOI04"/>
    <s v="S1CS05780-WS"/>
    <n v="180"/>
    <s v="207201652"/>
    <s v="NW"/>
    <n v="6"/>
    <n v="0.41663484486873509"/>
    <x v="10"/>
    <x v="1"/>
    <n v="0"/>
    <x v="0"/>
    <m/>
  </r>
  <r>
    <s v="PPT1_BOI04"/>
    <s v="S1CS05780-WS"/>
    <n v="180"/>
    <s v="207201651"/>
    <s v="NW"/>
    <n v="6"/>
    <n v="0.41663484486873509"/>
    <x v="16"/>
    <x v="1"/>
    <n v="0"/>
    <x v="0"/>
    <m/>
  </r>
  <r>
    <s v="PPT1_BOI04"/>
    <s v="S1CS05780-WS"/>
    <n v="180"/>
    <s v="207201719"/>
    <s v="NW"/>
    <n v="6"/>
    <n v="0.41663484486873509"/>
    <x v="12"/>
    <x v="1"/>
    <n v="0"/>
    <x v="0"/>
    <m/>
  </r>
  <r>
    <s v="PPT1_BOI04"/>
    <s v="S1CS05780-WS"/>
    <n v="180"/>
    <s v="207201717"/>
    <s v="NW"/>
    <n v="6"/>
    <n v="0.41663484486873509"/>
    <x v="2"/>
    <x v="1"/>
    <n v="0"/>
    <x v="0"/>
    <m/>
  </r>
  <r>
    <s v="PPT1_BOI04"/>
    <s v="S1CS05780-WS"/>
    <n v="180"/>
    <s v="207201811"/>
    <s v="NW"/>
    <n v="6"/>
    <n v="0.41663484486873509"/>
    <x v="13"/>
    <x v="1"/>
    <n v="0"/>
    <x v="0"/>
    <m/>
  </r>
  <r>
    <s v="PPT1_BOI04"/>
    <s v="S1CS05780-WS"/>
    <n v="180"/>
    <s v="207201774"/>
    <s v="NW"/>
    <n v="6"/>
    <n v="0.41663484486873509"/>
    <x v="7"/>
    <x v="1"/>
    <n v="0"/>
    <x v="0"/>
    <m/>
  </r>
  <r>
    <s v="PPT1_BOI04"/>
    <s v="S1CS05780-WS"/>
    <n v="180"/>
    <s v="207201790"/>
    <s v="NW"/>
    <n v="6"/>
    <n v="0.41663484486873509"/>
    <x v="10"/>
    <x v="1"/>
    <n v="0"/>
    <x v="0"/>
    <m/>
  </r>
  <r>
    <s v="PPT1_BOI04"/>
    <s v="S1CS05780-WS"/>
    <n v="180"/>
    <s v="207201788"/>
    <s v="NW"/>
    <n v="6"/>
    <n v="0.41663484486873509"/>
    <x v="16"/>
    <x v="1"/>
    <n v="0"/>
    <x v="0"/>
    <m/>
  </r>
  <r>
    <s v="PPT1_BOI04"/>
    <s v="S1CS05780-WS"/>
    <n v="180"/>
    <s v="207201776"/>
    <s v="NW"/>
    <n v="6"/>
    <n v="0.41663484486873509"/>
    <x v="12"/>
    <x v="1"/>
    <n v="0"/>
    <x v="0"/>
    <m/>
  </r>
  <r>
    <s v="PPT1_BOI04"/>
    <s v="S1CS05780-WS"/>
    <n v="180"/>
    <s v="207201840"/>
    <s v="NW"/>
    <n v="6"/>
    <n v="0.41663484486873509"/>
    <x v="2"/>
    <x v="1"/>
    <n v="0"/>
    <x v="0"/>
    <m/>
  </r>
  <r>
    <s v="PPT1_BOI04"/>
    <s v="S1CS05780-WS"/>
    <n v="180"/>
    <s v="207197559"/>
    <s v="NW"/>
    <n v="6"/>
    <n v="0.41663484486873509"/>
    <x v="13"/>
    <x v="1"/>
    <n v="0"/>
    <x v="0"/>
    <m/>
  </r>
  <r>
    <s v="PPT1_BOI04"/>
    <s v="S1CS05780-WS"/>
    <n v="180"/>
    <s v="207201705"/>
    <s v="NW"/>
    <n v="6"/>
    <n v="0.41663484486873509"/>
    <x v="7"/>
    <x v="1"/>
    <n v="0"/>
    <x v="0"/>
    <m/>
  </r>
  <r>
    <s v="PPT1_BOI04"/>
    <s v="S1CS05780-WS"/>
    <n v="180"/>
    <s v="207201838"/>
    <s v="NW"/>
    <n v="6"/>
    <n v="0.41663484486873509"/>
    <x v="10"/>
    <x v="1"/>
    <n v="0"/>
    <x v="0"/>
    <m/>
  </r>
  <r>
    <s v="PPT1_BOI04"/>
    <s v="S1CS05780-WS"/>
    <n v="180"/>
    <s v="207201812"/>
    <s v="NW"/>
    <n v="6"/>
    <n v="0.41663484486873509"/>
    <x v="16"/>
    <x v="1"/>
    <n v="0"/>
    <x v="0"/>
    <m/>
  </r>
  <r>
    <s v="PPT1_BOI04"/>
    <s v="S1CS05780-WS"/>
    <n v="180"/>
    <s v="207201814"/>
    <s v="NW"/>
    <n v="6"/>
    <n v="0.41663484486873509"/>
    <x v="12"/>
    <x v="1"/>
    <n v="0"/>
    <x v="0"/>
    <m/>
  </r>
  <r>
    <s v="PPT1_BOI04"/>
    <s v="S1CS05780-WS"/>
    <n v="180"/>
    <s v="207201826"/>
    <s v="NW"/>
    <n v="6"/>
    <n v="0.41663484486873509"/>
    <x v="2"/>
    <x v="1"/>
    <n v="0"/>
    <x v="0"/>
    <m/>
  </r>
  <r>
    <s v="PPT1_BOI04"/>
    <s v="S1CS05780-WS"/>
    <n v="180"/>
    <s v="207198545"/>
    <s v="NW"/>
    <n v="6"/>
    <n v="0.41663484486873509"/>
    <x v="13"/>
    <x v="1"/>
    <n v="0"/>
    <x v="0"/>
    <m/>
  </r>
  <r>
    <s v="PPT1_BOI04"/>
    <s v="S1CS05780-WS"/>
    <n v="180"/>
    <s v="207197826"/>
    <s v="NW"/>
    <n v="6"/>
    <n v="0.41663484486873509"/>
    <x v="7"/>
    <x v="1"/>
    <n v="0"/>
    <x v="0"/>
    <m/>
  </r>
  <r>
    <s v="PPT1_BOI04"/>
    <s v="S1CS05780-WS"/>
    <n v="180"/>
    <s v="207197845"/>
    <s v="NW"/>
    <n v="6"/>
    <n v="0.41663484486873509"/>
    <x v="10"/>
    <x v="1"/>
    <n v="0"/>
    <x v="0"/>
    <m/>
  </r>
  <r>
    <s v="PPT1_BOI04"/>
    <s v="S1CS05780-WS"/>
    <n v="180"/>
    <s v="207197787"/>
    <s v="NW"/>
    <n v="6"/>
    <n v="0.41663484486873509"/>
    <x v="16"/>
    <x v="1"/>
    <n v="0"/>
    <x v="0"/>
    <m/>
  </r>
  <r>
    <s v="PPT1_BOI04"/>
    <s v="S1CS05780-WS"/>
    <n v="180"/>
    <s v="207197792"/>
    <s v="NW"/>
    <n v="6"/>
    <n v="0.41663484486873509"/>
    <x v="12"/>
    <x v="1"/>
    <n v="0"/>
    <x v="0"/>
    <m/>
  </r>
  <r>
    <s v="PPT1_BOI04"/>
    <s v="S1CS05780-WS"/>
    <n v="180"/>
    <s v="207201947"/>
    <s v="NW"/>
    <n v="6"/>
    <n v="0.41663484486873509"/>
    <x v="2"/>
    <x v="1"/>
    <n v="0"/>
    <x v="0"/>
    <m/>
  </r>
  <r>
    <s v="PPT1_BOI04"/>
    <s v="S1CS05780-WS"/>
    <n v="180"/>
    <s v="207197747"/>
    <s v="NW"/>
    <n v="6"/>
    <n v="0.41663484486873509"/>
    <x v="13"/>
    <x v="1"/>
    <n v="0"/>
    <x v="0"/>
    <m/>
  </r>
  <r>
    <s v="PPT1_BOI04"/>
    <s v="S1CS05780-WS"/>
    <n v="180"/>
    <s v="207197875"/>
    <s v="NW"/>
    <n v="6"/>
    <n v="0.41663484486873509"/>
    <x v="7"/>
    <x v="1"/>
    <n v="0"/>
    <x v="0"/>
    <m/>
  </r>
  <r>
    <s v="PPT1_BOI04"/>
    <s v="S1CS05780-WS"/>
    <n v="180"/>
    <s v="207201976"/>
    <s v="NW"/>
    <n v="6"/>
    <n v="0.41663484486873509"/>
    <x v="10"/>
    <x v="1"/>
    <n v="0"/>
    <x v="0"/>
    <m/>
  </r>
  <r>
    <s v="PPT1_BOI04"/>
    <s v="S1CS05780-WS"/>
    <n v="180"/>
    <s v="207197654"/>
    <s v="NW"/>
    <n v="6"/>
    <n v="0.41663484486873509"/>
    <x v="16"/>
    <x v="1"/>
    <n v="0"/>
    <x v="0"/>
    <m/>
  </r>
  <r>
    <s v="PPT1_BOI04"/>
    <s v="S1CS05780-WS"/>
    <n v="180"/>
    <s v="207197618"/>
    <s v="NW"/>
    <n v="6"/>
    <n v="0.41663484486873509"/>
    <x v="12"/>
    <x v="1"/>
    <n v="0"/>
    <x v="0"/>
    <m/>
  </r>
  <r>
    <s v="PPT1_BOI04"/>
    <s v="S1CS05780-WS"/>
    <n v="180"/>
    <s v="207197710"/>
    <s v="NW"/>
    <n v="6"/>
    <n v="0.41663484486873509"/>
    <x v="2"/>
    <x v="1"/>
    <n v="0"/>
    <x v="0"/>
    <m/>
  </r>
  <r>
    <s v="PPT1_BOI04"/>
    <s v="S1CS05780-WS"/>
    <n v="180"/>
    <s v="207197663"/>
    <s v="NW"/>
    <n v="6"/>
    <n v="0.41663484486873509"/>
    <x v="13"/>
    <x v="1"/>
    <n v="0"/>
    <x v="0"/>
    <m/>
  </r>
  <r>
    <s v="PPT1_BOI04"/>
    <s v="S1CS05780-WS"/>
    <n v="180"/>
    <s v="207197476"/>
    <s v="NW"/>
    <n v="6"/>
    <n v="0.41663484486873509"/>
    <x v="7"/>
    <x v="1"/>
    <n v="0"/>
    <x v="0"/>
    <m/>
  </r>
  <r>
    <s v="PPT1_BOI04"/>
    <s v="S1CS05780-WS"/>
    <n v="180"/>
    <s v="207197468"/>
    <s v="NW"/>
    <n v="6"/>
    <n v="0.41663484486873509"/>
    <x v="10"/>
    <x v="1"/>
    <n v="0"/>
    <x v="0"/>
    <m/>
  </r>
  <r>
    <s v="PPT1_BOI04"/>
    <s v="S1CS05780-WS"/>
    <n v="180"/>
    <s v="207197768"/>
    <s v="NW"/>
    <n v="6"/>
    <n v="0.41663484486873509"/>
    <x v="16"/>
    <x v="1"/>
    <n v="0"/>
    <x v="0"/>
    <m/>
  </r>
  <r>
    <s v="PPT1_BOI04"/>
    <s v="S1CS05780-WS"/>
    <n v="180"/>
    <s v="207197524"/>
    <s v="NW"/>
    <n v="6"/>
    <n v="0.41663484486873509"/>
    <x v="12"/>
    <x v="1"/>
    <n v="0"/>
    <x v="0"/>
    <m/>
  </r>
  <r>
    <s v="PPT1_BOI04"/>
    <s v="S1CS05780-WS"/>
    <n v="180"/>
    <s v="207201939"/>
    <s v="NW"/>
    <n v="6"/>
    <n v="0.41663484486873509"/>
    <x v="2"/>
    <x v="1"/>
    <n v="0"/>
    <x v="0"/>
    <m/>
  </r>
  <r>
    <s v="PPT1_BOI04"/>
    <s v="S1CS05780-WS"/>
    <n v="180"/>
    <s v="207201945"/>
    <s v="NW"/>
    <n v="6"/>
    <n v="0.41663484486873509"/>
    <x v="13"/>
    <x v="1"/>
    <n v="0"/>
    <x v="0"/>
    <m/>
  </r>
  <r>
    <s v="PPT1_BOI04"/>
    <s v="S1CS05780-WS"/>
    <n v="180"/>
    <s v="207201908"/>
    <s v="NW"/>
    <n v="6"/>
    <n v="0.41663484486873509"/>
    <x v="7"/>
    <x v="1"/>
    <n v="0"/>
    <x v="0"/>
    <m/>
  </r>
  <r>
    <s v="PPT1_BOI04"/>
    <s v="S1CS05780-WS"/>
    <n v="180"/>
    <s v="207201937"/>
    <s v="NW"/>
    <n v="6"/>
    <n v="0.41663484486873509"/>
    <x v="10"/>
    <x v="1"/>
    <n v="0"/>
    <x v="0"/>
    <m/>
  </r>
  <r>
    <s v="PPT1_BOI04"/>
    <s v="S1CS05788-WS"/>
    <n v="300"/>
    <s v="207198707"/>
    <s v="NW"/>
    <n v="2"/>
    <n v="0.35542986425339373"/>
    <x v="3"/>
    <x v="1"/>
    <n v="0"/>
    <x v="0"/>
    <m/>
  </r>
  <r>
    <s v="PPT1_BOI04"/>
    <s v="S1CS05788-WS"/>
    <n v="100"/>
    <s v="207198795"/>
    <s v="NW"/>
    <n v="2"/>
    <n v="0.1184766214177979"/>
    <x v="18"/>
    <x v="1"/>
    <n v="0"/>
    <x v="0"/>
    <m/>
  </r>
  <r>
    <s v="PPT1_BOI04"/>
    <s v="S1CS05788-WS"/>
    <n v="300"/>
    <s v="207201000"/>
    <s v="NW"/>
    <n v="2"/>
    <n v="0.35542986425339373"/>
    <x v="18"/>
    <x v="1"/>
    <n v="0"/>
    <x v="0"/>
    <m/>
  </r>
  <r>
    <s v="PPT1_BOI04"/>
    <s v="S1CS05788-WS"/>
    <n v="300"/>
    <s v="207198658"/>
    <s v="NW"/>
    <n v="2"/>
    <n v="0.35542986425339373"/>
    <x v="3"/>
    <x v="1"/>
    <n v="0"/>
    <x v="0"/>
    <m/>
  </r>
  <r>
    <s v="PPT1_BOI04"/>
    <s v="S1CS05788-WS"/>
    <n v="300"/>
    <s v="207198555"/>
    <s v="NW"/>
    <n v="2"/>
    <n v="0.35542986425339373"/>
    <x v="18"/>
    <x v="1"/>
    <n v="0"/>
    <x v="0"/>
    <m/>
  </r>
  <r>
    <s v="PPT1_BOI04"/>
    <s v="S1CS05788-WS"/>
    <n v="300"/>
    <s v="207198595"/>
    <s v="NW"/>
    <n v="2"/>
    <n v="0.35542986425339373"/>
    <x v="3"/>
    <x v="1"/>
    <n v="0"/>
    <x v="0"/>
    <m/>
  </r>
  <r>
    <s v="PPT1_BOI04"/>
    <s v="S1CS05788-WS"/>
    <n v="300"/>
    <s v="207198624"/>
    <s v="NW"/>
    <n v="2"/>
    <n v="0.35542986425339373"/>
    <x v="18"/>
    <x v="1"/>
    <n v="0"/>
    <x v="0"/>
    <m/>
  </r>
  <r>
    <s v="PPT1_BOI04"/>
    <s v="S1CS05788-WS"/>
    <n v="300"/>
    <s v="207201034"/>
    <s v="NW"/>
    <n v="2"/>
    <n v="0.35542986425339373"/>
    <x v="3"/>
    <x v="1"/>
    <n v="0"/>
    <x v="0"/>
    <m/>
  </r>
  <r>
    <s v="PPT1_BOI04"/>
    <s v="S1CS05788-WS"/>
    <n v="300"/>
    <s v="207200986"/>
    <s v="NW"/>
    <n v="2"/>
    <n v="0.35542986425339373"/>
    <x v="18"/>
    <x v="1"/>
    <n v="0"/>
    <x v="0"/>
    <m/>
  </r>
  <r>
    <s v="PPT1_BOI04"/>
    <s v="S1CS05788-WS"/>
    <n v="300"/>
    <s v="207201004"/>
    <s v="NW"/>
    <n v="2"/>
    <n v="0.35542986425339373"/>
    <x v="3"/>
    <x v="1"/>
    <n v="0"/>
    <x v="0"/>
    <m/>
  </r>
  <r>
    <s v="PPT1_BOI04"/>
    <s v="S1CS05788-WS"/>
    <n v="300"/>
    <s v="207200998"/>
    <s v="NW"/>
    <n v="2"/>
    <n v="0.35542986425339373"/>
    <x v="18"/>
    <x v="1"/>
    <n v="0"/>
    <x v="0"/>
    <m/>
  </r>
  <r>
    <s v="PPT1_BOI04"/>
    <s v="S1CS05788-WS"/>
    <n v="300"/>
    <s v="207200947"/>
    <s v="NW"/>
    <n v="2"/>
    <n v="0.35542986425339373"/>
    <x v="3"/>
    <x v="1"/>
    <n v="0"/>
    <x v="0"/>
    <m/>
  </r>
  <r>
    <s v="PPT1_BOI04"/>
    <s v="S1CS05788-WS"/>
    <n v="300"/>
    <s v="207201033"/>
    <s v="NW"/>
    <n v="2"/>
    <n v="0.35542986425339373"/>
    <x v="18"/>
    <x v="1"/>
    <n v="0"/>
    <x v="0"/>
    <m/>
  </r>
  <r>
    <s v="PPT1_BOI04"/>
    <s v="S1CS05788-WS"/>
    <n v="300"/>
    <s v="207200943"/>
    <s v="NW"/>
    <n v="2"/>
    <n v="0.35542986425339373"/>
    <x v="3"/>
    <x v="1"/>
    <n v="0"/>
    <x v="0"/>
    <m/>
  </r>
  <r>
    <s v="PPT1_BOI04"/>
    <s v="S1CS05788-WS"/>
    <n v="300"/>
    <s v="207201036"/>
    <s v="NW"/>
    <n v="2"/>
    <n v="0.35542986425339373"/>
    <x v="18"/>
    <x v="1"/>
    <n v="0"/>
    <x v="0"/>
    <m/>
  </r>
  <r>
    <s v="PPT1_BOI04"/>
    <s v="S1CS05788-WS"/>
    <n v="300"/>
    <s v="207200949"/>
    <s v="NW"/>
    <n v="2"/>
    <n v="0.35542986425339373"/>
    <x v="3"/>
    <x v="1"/>
    <n v="0"/>
    <x v="0"/>
    <m/>
  </r>
  <r>
    <s v="PPT1_BOI04"/>
    <s v="S1CS05794-WS"/>
    <n v="450"/>
    <s v="207199527"/>
    <s v="NW"/>
    <n v="3"/>
    <n v="0.54757876312718778"/>
    <x v="5"/>
    <x v="1"/>
    <n v="0"/>
    <x v="0"/>
    <m/>
  </r>
  <r>
    <s v="PPT1_BOI04"/>
    <s v="S1CS05794-WS"/>
    <n v="300"/>
    <s v="207199735"/>
    <s v="NW"/>
    <n v="3"/>
    <n v="0.36505250875145856"/>
    <x v="5"/>
    <x v="1"/>
    <n v="0"/>
    <x v="0"/>
    <m/>
  </r>
  <r>
    <s v="PPT1_BOI04"/>
    <s v="S1CS05794-WS"/>
    <n v="150"/>
    <s v="207199754"/>
    <s v="NW"/>
    <n v="3"/>
    <n v="0.18252625437572928"/>
    <x v="5"/>
    <x v="1"/>
    <n v="0"/>
    <x v="0"/>
    <m/>
  </r>
  <r>
    <s v="PPT1_BOI04"/>
    <s v="S1CS05794-WS"/>
    <n v="450"/>
    <s v="207199728"/>
    <s v="NW"/>
    <n v="3"/>
    <n v="0.54757876312718778"/>
    <x v="5"/>
    <x v="1"/>
    <n v="0"/>
    <x v="0"/>
    <m/>
  </r>
  <r>
    <s v="PPT1_BOI04"/>
    <s v="S1CS05865-WS"/>
    <n v="360"/>
    <s v="207197494"/>
    <s v="NW"/>
    <n v="2"/>
    <n v="0.42134887180758746"/>
    <x v="14"/>
    <x v="1"/>
    <n v="0"/>
    <x v="0"/>
    <m/>
  </r>
  <r>
    <s v="PPT1_BOI04"/>
    <s v="S1CS05865-WS"/>
    <n v="360"/>
    <s v="207201147"/>
    <s v="NW"/>
    <n v="2"/>
    <n v="0.42134887180758746"/>
    <x v="4"/>
    <x v="1"/>
    <n v="0"/>
    <x v="0"/>
    <m/>
  </r>
  <r>
    <s v="PPT1_BOI04"/>
    <s v="S1CS05865-WS"/>
    <n v="360"/>
    <s v="207201058"/>
    <s v="NW"/>
    <n v="2"/>
    <n v="0.42134887180758746"/>
    <x v="14"/>
    <x v="1"/>
    <n v="0"/>
    <x v="0"/>
    <m/>
  </r>
  <r>
    <s v="PPT1_BOI04"/>
    <s v="S1CS05865-WS"/>
    <n v="360"/>
    <s v="207197399"/>
    <s v="NW"/>
    <n v="2"/>
    <n v="0.42134887180758746"/>
    <x v="4"/>
    <x v="1"/>
    <n v="0"/>
    <x v="0"/>
    <m/>
  </r>
  <r>
    <s v="PPT1_BOI04"/>
    <s v="S1CS05865-WS"/>
    <n v="360"/>
    <s v="207201060"/>
    <s v="NW"/>
    <n v="2"/>
    <n v="0.42134887180758746"/>
    <x v="14"/>
    <x v="1"/>
    <n v="0"/>
    <x v="0"/>
    <m/>
  </r>
  <r>
    <s v="PPT1_BOI04"/>
    <s v="S1CS05865-WS"/>
    <n v="360"/>
    <s v="207201096"/>
    <s v="NW"/>
    <n v="2"/>
    <n v="0.42134887180758746"/>
    <x v="4"/>
    <x v="1"/>
    <n v="0"/>
    <x v="0"/>
    <m/>
  </r>
  <r>
    <s v="PPT1_BOI04"/>
    <s v="S1CS05865-WS"/>
    <n v="360"/>
    <s v="207201063"/>
    <s v="NW"/>
    <n v="2"/>
    <n v="0.42134887180758746"/>
    <x v="14"/>
    <x v="1"/>
    <n v="0"/>
    <x v="0"/>
    <m/>
  </r>
  <r>
    <s v="PPT1_BOI04"/>
    <s v="S1CS05865-WS"/>
    <n v="360"/>
    <s v="207198939"/>
    <s v="NW"/>
    <n v="2"/>
    <n v="0.42134887180758746"/>
    <x v="4"/>
    <x v="1"/>
    <n v="0"/>
    <x v="0"/>
    <m/>
  </r>
  <r>
    <s v="PPT1_BOI04"/>
    <s v="S1CS05865-WS"/>
    <n v="360"/>
    <s v="207198267"/>
    <s v="NW"/>
    <n v="2"/>
    <n v="0.42134887180758746"/>
    <x v="14"/>
    <x v="1"/>
    <n v="0"/>
    <x v="0"/>
    <m/>
  </r>
  <r>
    <s v="PPT1_BOI04"/>
    <s v="S1CS05865-WS"/>
    <n v="360"/>
    <s v="207198133"/>
    <s v="NW"/>
    <n v="2"/>
    <n v="0.42134887180758746"/>
    <x v="4"/>
    <x v="1"/>
    <n v="0"/>
    <x v="0"/>
    <m/>
  </r>
  <r>
    <s v="PPT1_BOI04"/>
    <s v="S1CS05865-WS"/>
    <n v="360"/>
    <s v="207198273"/>
    <s v="NW"/>
    <n v="2"/>
    <n v="0.42134887180758746"/>
    <x v="14"/>
    <x v="1"/>
    <n v="0"/>
    <x v="0"/>
    <m/>
  </r>
  <r>
    <s v="PPT1_BOI04"/>
    <s v="S1CS05865-WS"/>
    <n v="360"/>
    <s v="207198886"/>
    <s v="NW"/>
    <n v="2"/>
    <n v="0.42134887180758746"/>
    <x v="4"/>
    <x v="1"/>
    <n v="0"/>
    <x v="0"/>
    <m/>
  </r>
  <r>
    <s v="PPT1_BOI04"/>
    <s v="S1CS05865-WS"/>
    <n v="360"/>
    <s v="207198314"/>
    <s v="NW"/>
    <n v="2"/>
    <n v="0.42134887180758746"/>
    <x v="14"/>
    <x v="1"/>
    <n v="0"/>
    <x v="0"/>
    <m/>
  </r>
  <r>
    <s v="PPT1_BOI04"/>
    <s v="S1CS05865-WS"/>
    <n v="360"/>
    <s v="207201117"/>
    <s v="NW"/>
    <n v="2"/>
    <n v="0.42134887180758746"/>
    <x v="4"/>
    <x v="1"/>
    <n v="0"/>
    <x v="0"/>
    <m/>
  </r>
  <r>
    <s v="PPT1_BOI04"/>
    <s v="S1CS05865-WS"/>
    <n v="360"/>
    <s v="207201113"/>
    <s v="NW"/>
    <n v="2"/>
    <n v="0.42134887180758746"/>
    <x v="14"/>
    <x v="1"/>
    <n v="0"/>
    <x v="0"/>
    <m/>
  </r>
  <r>
    <s v="PPT1_BOI04"/>
    <s v="S1CS05865-WS"/>
    <n v="360"/>
    <s v="207201143"/>
    <s v="NW"/>
    <n v="2"/>
    <n v="0.42134887180758746"/>
    <x v="4"/>
    <x v="1"/>
    <n v="0"/>
    <x v="0"/>
    <m/>
  </r>
  <r>
    <s v="PPT1_BOI04"/>
    <s v="S1CS05865-WS"/>
    <n v="360"/>
    <s v="207197440"/>
    <s v="NW"/>
    <n v="2"/>
    <n v="0.42134887180758746"/>
    <x v="14"/>
    <x v="1"/>
    <n v="0"/>
    <x v="0"/>
    <m/>
  </r>
  <r>
    <s v="PPT1_BOI04"/>
    <s v="S1CS05865-WS"/>
    <n v="360"/>
    <s v="207197446"/>
    <s v="NW"/>
    <n v="2"/>
    <n v="0.42134887180758746"/>
    <x v="4"/>
    <x v="1"/>
    <n v="0"/>
    <x v="0"/>
    <m/>
  </r>
  <r>
    <s v="PPT1_BOI04"/>
    <s v="S1CS05865-WS"/>
    <n v="360"/>
    <s v="207201111"/>
    <s v="NW"/>
    <n v="2"/>
    <n v="0.42134887180758746"/>
    <x v="14"/>
    <x v="1"/>
    <n v="0"/>
    <x v="0"/>
    <m/>
  </r>
  <r>
    <s v="PPT1_BOI04"/>
    <s v="S1CS05865-WS"/>
    <n v="360"/>
    <s v="207197308"/>
    <s v="NW"/>
    <n v="2"/>
    <n v="0.42134887180758746"/>
    <x v="4"/>
    <x v="1"/>
    <n v="0"/>
    <x v="0"/>
    <m/>
  </r>
  <r>
    <s v="PPT1_BOI04"/>
    <s v="S1CS05865-WS"/>
    <n v="360"/>
    <s v="207201108"/>
    <s v="NW"/>
    <n v="2"/>
    <n v="0.42134887180758746"/>
    <x v="14"/>
    <x v="1"/>
    <n v="0"/>
    <x v="0"/>
    <m/>
  </r>
  <r>
    <s v="PPT1_BOI04"/>
    <s v="S1CS05865-WS"/>
    <n v="360"/>
    <s v="207197337"/>
    <s v="NW"/>
    <n v="2"/>
    <n v="0.42134887180758746"/>
    <x v="4"/>
    <x v="1"/>
    <n v="0"/>
    <x v="0"/>
    <m/>
  </r>
  <r>
    <s v="PPT1_BOI04"/>
    <s v="S1CS05865-WS"/>
    <n v="360"/>
    <s v="207197371"/>
    <s v="NW"/>
    <n v="2"/>
    <n v="0.42134887180758746"/>
    <x v="14"/>
    <x v="1"/>
    <n v="0"/>
    <x v="0"/>
    <m/>
  </r>
  <r>
    <s v="PPT1_BOI04"/>
    <s v="S1CS05865-WS"/>
    <n v="360"/>
    <s v="207197344"/>
    <s v="NW"/>
    <n v="2"/>
    <n v="0.42134887180758746"/>
    <x v="4"/>
    <x v="1"/>
    <n v="0"/>
    <x v="0"/>
    <m/>
  </r>
  <r>
    <s v="PPT1_BOI04"/>
    <s v="S1CS05865-WS"/>
    <n v="360"/>
    <s v="207198061"/>
    <s v="NW"/>
    <n v="2"/>
    <n v="0.42134887180758746"/>
    <x v="14"/>
    <x v="1"/>
    <n v="0"/>
    <x v="0"/>
    <m/>
  </r>
  <r>
    <s v="PPT1_BOI04"/>
    <s v="S1CS05865-WS"/>
    <n v="360"/>
    <s v="207197998"/>
    <s v="NW"/>
    <n v="2"/>
    <n v="0.42134887180758746"/>
    <x v="4"/>
    <x v="1"/>
    <n v="0"/>
    <x v="0"/>
    <m/>
  </r>
  <r>
    <s v="PPT1_BOI04"/>
    <s v="S1CS05865-WS"/>
    <n v="360"/>
    <s v="207197953"/>
    <s v="NW"/>
    <n v="2"/>
    <n v="0.42134887180758746"/>
    <x v="14"/>
    <x v="1"/>
    <n v="0"/>
    <x v="0"/>
    <m/>
  </r>
  <r>
    <s v="PPT1_BOI04"/>
    <s v="S1CS05865-WS"/>
    <n v="360"/>
    <s v="207198065"/>
    <s v="NW"/>
    <n v="2"/>
    <n v="0.42134887180758746"/>
    <x v="4"/>
    <x v="1"/>
    <n v="0"/>
    <x v="0"/>
    <m/>
  </r>
  <r>
    <s v="PPT1_BOI04"/>
    <s v="S1CS05865-WS"/>
    <n v="360"/>
    <s v="207197763"/>
    <s v="NW"/>
    <n v="2"/>
    <n v="0.42134887180758746"/>
    <x v="14"/>
    <x v="1"/>
    <n v="0"/>
    <x v="0"/>
    <m/>
  </r>
  <r>
    <s v="PPT1_BOI04"/>
    <s v="S1CS05865-WS"/>
    <n v="360"/>
    <s v="207197903"/>
    <s v="NW"/>
    <n v="2"/>
    <n v="0.42134887180758746"/>
    <x v="4"/>
    <x v="1"/>
    <n v="0"/>
    <x v="0"/>
    <m/>
  </r>
  <r>
    <s v="PPT1_BOI04"/>
    <s v="S1CS05865-WS"/>
    <n v="360"/>
    <s v="207197852"/>
    <s v="NW"/>
    <n v="2"/>
    <n v="0.42134887180758746"/>
    <x v="14"/>
    <x v="1"/>
    <n v="0"/>
    <x v="0"/>
    <m/>
  </r>
  <r>
    <s v="PPT1_BOI04"/>
    <s v="S1CS05865-WS"/>
    <n v="360"/>
    <s v="207197810"/>
    <s v="NW"/>
    <n v="2"/>
    <n v="0.42134887180758746"/>
    <x v="4"/>
    <x v="1"/>
    <n v="0"/>
    <x v="0"/>
    <m/>
  </r>
  <r>
    <s v="PPT1_BOI04"/>
    <s v="S1CS05865-WS"/>
    <n v="360"/>
    <s v="207197591"/>
    <s v="NW"/>
    <n v="2"/>
    <n v="0.42134887180758746"/>
    <x v="14"/>
    <x v="1"/>
    <n v="0"/>
    <x v="0"/>
    <m/>
  </r>
  <r>
    <s v="PPT1_BOI04"/>
    <s v="S1CS05865-WS"/>
    <n v="360"/>
    <s v="207201056"/>
    <s v="NW"/>
    <n v="2"/>
    <n v="0.42134887180758746"/>
    <x v="4"/>
    <x v="1"/>
    <n v="0"/>
    <x v="0"/>
    <m/>
  </r>
  <r>
    <s v="PPT1_BOI04"/>
    <s v="S1CS05865-WS"/>
    <n v="360"/>
    <s v="207197897"/>
    <s v="NW"/>
    <n v="2"/>
    <n v="0.42134887180758746"/>
    <x v="14"/>
    <x v="1"/>
    <n v="0"/>
    <x v="0"/>
    <m/>
  </r>
  <r>
    <s v="PPT1_BOI04"/>
    <s v="S1CS05865-WS"/>
    <n v="360"/>
    <s v="207197545"/>
    <s v="NW"/>
    <n v="2"/>
    <n v="0.42134887180758746"/>
    <x v="4"/>
    <x v="1"/>
    <n v="0"/>
    <x v="0"/>
    <m/>
  </r>
  <r>
    <s v="PPT1_BOI04"/>
    <s v="S1CS05865-WS"/>
    <n v="360"/>
    <s v="207197702"/>
    <s v="NW"/>
    <n v="2"/>
    <n v="0.42134887180758746"/>
    <x v="14"/>
    <x v="1"/>
    <n v="0"/>
    <x v="0"/>
    <m/>
  </r>
  <r>
    <s v="PPT1_BOI04"/>
    <s v="S1CS05865-WS"/>
    <n v="360"/>
    <s v="207197640"/>
    <s v="NW"/>
    <n v="2"/>
    <n v="0.42134887180758746"/>
    <x v="4"/>
    <x v="1"/>
    <n v="0"/>
    <x v="0"/>
    <m/>
  </r>
  <r>
    <s v="PPT1_BOI04"/>
    <s v="S1CS05867-WS"/>
    <n v="300"/>
    <s v="207198798"/>
    <s v="NW"/>
    <n v="4"/>
    <n v="0.94590868367787106"/>
    <x v="17"/>
    <x v="1"/>
    <n v="0"/>
    <x v="0"/>
    <m/>
  </r>
  <r>
    <s v="PPT1_BOI04"/>
    <s v="S1CS05867-WS"/>
    <n v="300"/>
    <s v="207198630"/>
    <s v="NW"/>
    <n v="4"/>
    <n v="0.94590868367787106"/>
    <x v="8"/>
    <x v="1"/>
    <n v="0"/>
    <x v="0"/>
    <m/>
  </r>
  <r>
    <s v="PPT1_BOI04"/>
    <s v="S1CS05867-WS"/>
    <n v="200"/>
    <s v="207198805"/>
    <s v="NW"/>
    <n v="4"/>
    <n v="0.63060578911858067"/>
    <x v="5"/>
    <x v="1"/>
    <n v="0"/>
    <x v="0"/>
    <m/>
  </r>
  <r>
    <s v="PPT1_BOI04"/>
    <s v="S1CS05867-WS"/>
    <n v="300"/>
    <s v="207198681"/>
    <s v="NW"/>
    <n v="4"/>
    <n v="0.94590868367787106"/>
    <x v="15"/>
    <x v="1"/>
    <n v="0"/>
    <x v="0"/>
    <m/>
  </r>
  <r>
    <s v="PPT1_BOI04"/>
    <s v="S1CS05867-WS"/>
    <n v="300"/>
    <s v="207198742"/>
    <s v="NW"/>
    <n v="4"/>
    <n v="0.94590868367787106"/>
    <x v="5"/>
    <x v="1"/>
    <n v="0"/>
    <x v="0"/>
    <m/>
  </r>
  <r>
    <s v="PPT1_BOI04"/>
    <s v="S1CS05869-WS"/>
    <n v="300"/>
    <s v="207199056"/>
    <s v="NW"/>
    <n v="4"/>
    <n v="0.40349105143949415"/>
    <x v="0"/>
    <x v="1"/>
    <n v="0"/>
    <x v="0"/>
    <m/>
  </r>
  <r>
    <s v="PPT1_BOI04"/>
    <s v="S1CS05869-WS"/>
    <n v="300"/>
    <s v="207199048"/>
    <s v="NW"/>
    <n v="4"/>
    <n v="0.40349105143949415"/>
    <x v="11"/>
    <x v="1"/>
    <n v="0"/>
    <x v="0"/>
    <m/>
  </r>
  <r>
    <s v="PPT1_BOI04"/>
    <s v="S1CS05869-WS"/>
    <n v="300"/>
    <s v="207199167"/>
    <s v="NW"/>
    <n v="4"/>
    <n v="0.40349105143949415"/>
    <x v="1"/>
    <x v="1"/>
    <n v="0"/>
    <x v="0"/>
    <m/>
  </r>
  <r>
    <s v="PPT1_BOI04"/>
    <s v="S1CS05869-WS"/>
    <n v="200"/>
    <s v="207199578"/>
    <s v="NW"/>
    <n v="4"/>
    <n v="0.26899403429299612"/>
    <x v="6"/>
    <x v="1"/>
    <n v="0"/>
    <x v="0"/>
    <m/>
  </r>
  <r>
    <s v="PPT1_BOI04"/>
    <s v="S1CS05869-WS"/>
    <n v="300"/>
    <s v="207199538"/>
    <s v="NW"/>
    <n v="4"/>
    <n v="0.40349105143949415"/>
    <x v="0"/>
    <x v="1"/>
    <n v="0"/>
    <x v="0"/>
    <m/>
  </r>
  <r>
    <s v="PPT1_BOI04"/>
    <s v="S1CS05873-WS"/>
    <n v="320"/>
    <s v="207199967"/>
    <s v="NW"/>
    <n v="5"/>
    <n v="0.47780532260362474"/>
    <x v="11"/>
    <x v="1"/>
    <n v="0"/>
    <x v="0"/>
    <m/>
  </r>
  <r>
    <s v="PPT1_BOI04"/>
    <s v="S1CS05884-WS"/>
    <n v="375"/>
    <s v="207200222"/>
    <s v="NW"/>
    <n v="14"/>
    <n v="0.99729946820296922"/>
    <x v="6"/>
    <x v="1"/>
    <n v="0"/>
    <x v="0"/>
    <m/>
  </r>
  <r>
    <s v="PPT1_BOI04"/>
    <s v="S1CS05884-WS"/>
    <n v="375"/>
    <s v="207200242"/>
    <s v="NW"/>
    <n v="14"/>
    <n v="0.99729946820296922"/>
    <x v="17"/>
    <x v="1"/>
    <n v="0"/>
    <x v="0"/>
    <m/>
  </r>
  <r>
    <s v="PPT1_BOI04"/>
    <s v="S1CS05884-WS"/>
    <n v="375"/>
    <s v="207200517"/>
    <s v="NW"/>
    <n v="14"/>
    <n v="0.99729946820296922"/>
    <x v="8"/>
    <x v="1"/>
    <n v="0"/>
    <x v="0"/>
    <m/>
  </r>
  <r>
    <s v="PPT1_BOI04"/>
    <s v="S1CS05884-WS"/>
    <n v="375"/>
    <s v="207200168"/>
    <s v="NW"/>
    <n v="14"/>
    <n v="0.99729946820296922"/>
    <x v="1"/>
    <x v="1"/>
    <n v="0"/>
    <x v="0"/>
    <m/>
  </r>
  <r>
    <s v="PPT1_BOI04"/>
    <s v="S1CS05884-WS"/>
    <n v="375"/>
    <s v="207200209"/>
    <s v="NW"/>
    <n v="14"/>
    <n v="0.99729946820296922"/>
    <x v="15"/>
    <x v="1"/>
    <n v="0"/>
    <x v="0"/>
    <m/>
  </r>
  <r>
    <s v="PPT1_BOI04"/>
    <s v="S1CS05884-WS"/>
    <n v="375"/>
    <s v="207200256"/>
    <s v="NW"/>
    <n v="14"/>
    <n v="0.99729946820296922"/>
    <x v="18"/>
    <x v="1"/>
    <n v="0"/>
    <x v="0"/>
    <m/>
  </r>
  <r>
    <s v="PPT1_BOI04"/>
    <s v="S1CS05884-WS"/>
    <n v="375"/>
    <s v="207200483"/>
    <s v="NW"/>
    <n v="14"/>
    <n v="0.99729946820296922"/>
    <x v="0"/>
    <x v="1"/>
    <n v="0"/>
    <x v="0"/>
    <m/>
  </r>
  <r>
    <s v="PPT1_BOI04"/>
    <s v="S1CS05884-WS"/>
    <n v="375"/>
    <s v="207200466"/>
    <s v="NW"/>
    <n v="14"/>
    <n v="0.99729946820296922"/>
    <x v="3"/>
    <x v="1"/>
    <n v="0"/>
    <x v="0"/>
    <m/>
  </r>
  <r>
    <s v="PPT1_BOI04"/>
    <s v="S1CS05884-WS"/>
    <n v="375"/>
    <s v="207200463"/>
    <s v="NW"/>
    <n v="14"/>
    <n v="0.99729946820296922"/>
    <x v="11"/>
    <x v="1"/>
    <n v="0"/>
    <x v="0"/>
    <m/>
  </r>
  <r>
    <s v="PPT1_BOI04"/>
    <s v="S1CS05884-WS"/>
    <n v="375"/>
    <s v="207200501"/>
    <s v="NW"/>
    <n v="14"/>
    <n v="0.99729946820296922"/>
    <x v="16"/>
    <x v="1"/>
    <n v="0"/>
    <x v="0"/>
    <m/>
  </r>
  <r>
    <s v="PPT1_BOI04"/>
    <s v="S1CS05884-WS"/>
    <n v="375"/>
    <s v="207200526"/>
    <s v="NW"/>
    <n v="14"/>
    <n v="0.99729946820296922"/>
    <x v="12"/>
    <x v="1"/>
    <n v="0"/>
    <x v="0"/>
    <m/>
  </r>
  <r>
    <s v="PPT1_BOI04"/>
    <s v="S1CS05884-WS"/>
    <n v="375"/>
    <s v="207200545"/>
    <s v="NW"/>
    <n v="14"/>
    <n v="0.99729946820296922"/>
    <x v="2"/>
    <x v="1"/>
    <n v="0"/>
    <x v="0"/>
    <m/>
  </r>
  <r>
    <s v="PPT1_BOI04"/>
    <s v="S1CS05884-WS"/>
    <n v="375"/>
    <s v="207200562"/>
    <s v="NW"/>
    <n v="14"/>
    <n v="0.99729946820296922"/>
    <x v="13"/>
    <x v="1"/>
    <n v="0"/>
    <x v="0"/>
    <m/>
  </r>
  <r>
    <s v="PPT1_BOI04"/>
    <s v="S1CS05884-WS"/>
    <n v="375"/>
    <s v="207200446"/>
    <s v="NW"/>
    <n v="14"/>
    <n v="0.99729946820296922"/>
    <x v="7"/>
    <x v="1"/>
    <n v="0"/>
    <x v="0"/>
    <m/>
  </r>
  <r>
    <s v="PPT1_BOI04"/>
    <s v="S1CS05884-WS"/>
    <n v="375"/>
    <s v="207200347"/>
    <s v="NW"/>
    <n v="14"/>
    <n v="0.99729946820296922"/>
    <x v="6"/>
    <x v="1"/>
    <n v="0"/>
    <x v="0"/>
    <m/>
  </r>
  <r>
    <s v="PPT1_BOI04"/>
    <s v="S1CS05884-WS"/>
    <n v="375"/>
    <s v="207200300"/>
    <s v="NW"/>
    <n v="14"/>
    <n v="0.99729946820296922"/>
    <x v="17"/>
    <x v="1"/>
    <n v="0"/>
    <x v="0"/>
    <m/>
  </r>
  <r>
    <s v="PPT1_BOI04"/>
    <s v="S1CS05884-WS"/>
    <n v="375"/>
    <s v="207200293"/>
    <s v="NW"/>
    <n v="14"/>
    <n v="0.99729946820296922"/>
    <x v="8"/>
    <x v="1"/>
    <n v="0"/>
    <x v="0"/>
    <m/>
  </r>
  <r>
    <s v="PPT1_BOI04"/>
    <s v="S1CS05884-WS"/>
    <n v="375"/>
    <s v="207200378"/>
    <s v="NW"/>
    <n v="14"/>
    <n v="0.99729946820296922"/>
    <x v="1"/>
    <x v="1"/>
    <n v="0"/>
    <x v="0"/>
    <m/>
  </r>
  <r>
    <s v="PPT1_BOI04"/>
    <s v="S1CS05884-WS"/>
    <n v="375"/>
    <s v="207200440"/>
    <s v="NW"/>
    <n v="14"/>
    <n v="0.99729946820296922"/>
    <x v="15"/>
    <x v="1"/>
    <n v="0"/>
    <x v="0"/>
    <m/>
  </r>
  <r>
    <s v="PPT1_BOI04"/>
    <s v="S1CS05884-WS"/>
    <n v="375"/>
    <s v="207200396"/>
    <s v="NW"/>
    <n v="14"/>
    <n v="0.99729946820296922"/>
    <x v="18"/>
    <x v="1"/>
    <n v="0"/>
    <x v="0"/>
    <m/>
  </r>
  <r>
    <s v="PPT1_BOI04"/>
    <s v="S1CS05884-WS"/>
    <n v="375"/>
    <s v="207200388"/>
    <s v="NW"/>
    <n v="14"/>
    <n v="0.99729946820296922"/>
    <x v="0"/>
    <x v="1"/>
    <n v="0"/>
    <x v="0"/>
    <m/>
  </r>
  <r>
    <s v="PPT1_BOI04"/>
    <s v="S1CS05884-WS"/>
    <n v="375"/>
    <s v="207199518"/>
    <s v="NW"/>
    <n v="14"/>
    <n v="0.99729946820296922"/>
    <x v="3"/>
    <x v="1"/>
    <n v="0"/>
    <x v="0"/>
    <m/>
  </r>
  <r>
    <s v="PPT1_BOI04"/>
    <s v="S1CS05884-WS"/>
    <n v="375"/>
    <s v="207199449"/>
    <s v="NW"/>
    <n v="14"/>
    <n v="0.99729946820296922"/>
    <x v="11"/>
    <x v="1"/>
    <n v="0"/>
    <x v="0"/>
    <m/>
  </r>
  <r>
    <s v="PPT1_BOI04"/>
    <s v="S1CS05884-WS"/>
    <n v="375"/>
    <s v="207199376"/>
    <s v="NW"/>
    <n v="14"/>
    <n v="0.99729946820296922"/>
    <x v="16"/>
    <x v="1"/>
    <n v="0"/>
    <x v="0"/>
    <m/>
  </r>
  <r>
    <s v="PPT1_BOI04"/>
    <s v="S1CS05884-WS"/>
    <n v="375"/>
    <s v="207199738"/>
    <s v="NW"/>
    <n v="14"/>
    <n v="0.99729946820296922"/>
    <x v="12"/>
    <x v="1"/>
    <n v="0"/>
    <x v="0"/>
    <m/>
  </r>
  <r>
    <s v="PPT1_BOI04"/>
    <s v="S1CS05884-WS"/>
    <n v="375"/>
    <s v="207199676"/>
    <s v="NW"/>
    <n v="14"/>
    <n v="0.99729946820296922"/>
    <x v="2"/>
    <x v="1"/>
    <n v="0"/>
    <x v="0"/>
    <m/>
  </r>
  <r>
    <s v="PPT1_BOI04"/>
    <s v="S1CS05884-WS"/>
    <n v="375"/>
    <s v="207199550"/>
    <s v="NW"/>
    <n v="14"/>
    <n v="0.99729946820296922"/>
    <x v="13"/>
    <x v="1"/>
    <n v="0"/>
    <x v="0"/>
    <m/>
  </r>
  <r>
    <s v="PPT1_BOI04"/>
    <s v="S1CS05884-WS"/>
    <n v="125"/>
    <s v="207199373"/>
    <s v="NW"/>
    <n v="14"/>
    <n v="0.33243315606765639"/>
    <x v="7"/>
    <x v="1"/>
    <n v="0"/>
    <x v="0"/>
    <m/>
  </r>
  <r>
    <s v="PPT1_BOI04"/>
    <s v="S1CS05884-WS"/>
    <n v="375"/>
    <s v="207198855"/>
    <s v="NW"/>
    <n v="14"/>
    <n v="0.99729946820296922"/>
    <x v="6"/>
    <x v="1"/>
    <n v="0"/>
    <x v="0"/>
    <m/>
  </r>
  <r>
    <s v="PPT1_BOI04"/>
    <s v="S1CS05884-WS"/>
    <n v="375"/>
    <s v="207198852"/>
    <s v="NW"/>
    <n v="14"/>
    <n v="0.99729946820296922"/>
    <x v="7"/>
    <x v="1"/>
    <n v="0"/>
    <x v="0"/>
    <m/>
  </r>
  <r>
    <s v="PPT1_BOI04"/>
    <s v="S1CS05884-WS"/>
    <n v="375"/>
    <s v="207198850"/>
    <s v="NW"/>
    <n v="14"/>
    <n v="0.99729946820296922"/>
    <x v="17"/>
    <x v="1"/>
    <n v="0"/>
    <x v="0"/>
    <m/>
  </r>
  <r>
    <s v="PPT1_BOI04"/>
    <s v="S1CS05884-WS"/>
    <n v="375"/>
    <s v="207199321"/>
    <s v="NW"/>
    <n v="14"/>
    <n v="0.99729946820296922"/>
    <x v="8"/>
    <x v="1"/>
    <n v="0"/>
    <x v="0"/>
    <m/>
  </r>
  <r>
    <s v="PPT1_BOI04"/>
    <s v="S1CS05884-WS"/>
    <n v="375"/>
    <s v="207199252"/>
    <s v="NW"/>
    <n v="14"/>
    <n v="0.99729946820296922"/>
    <x v="1"/>
    <x v="1"/>
    <n v="0"/>
    <x v="0"/>
    <m/>
  </r>
  <r>
    <s v="PPT1_BOI04"/>
    <s v="S1CS05884-WS"/>
    <n v="125"/>
    <s v="207198881"/>
    <s v="NW"/>
    <n v="14"/>
    <n v="0.33243315606765639"/>
    <x v="15"/>
    <x v="1"/>
    <n v="0"/>
    <x v="0"/>
    <m/>
  </r>
  <r>
    <s v="PPT1_BOI04"/>
    <s v="S1CS05884-WS"/>
    <n v="375"/>
    <s v="207200040"/>
    <s v="NW"/>
    <n v="14"/>
    <n v="0.99729946820296922"/>
    <x v="18"/>
    <x v="1"/>
    <n v="0"/>
    <x v="0"/>
    <m/>
  </r>
  <r>
    <s v="PPT1_BOI04"/>
    <s v="S1CS05884-WS"/>
    <n v="375"/>
    <s v="207199963"/>
    <s v="NW"/>
    <n v="14"/>
    <n v="0.99729946820296922"/>
    <x v="0"/>
    <x v="1"/>
    <n v="0"/>
    <x v="0"/>
    <m/>
  </r>
  <r>
    <s v="PPT1_BOI04"/>
    <s v="S1CS05884-WS"/>
    <n v="375"/>
    <s v="207199950"/>
    <s v="NW"/>
    <n v="14"/>
    <n v="0.99729946820296922"/>
    <x v="3"/>
    <x v="1"/>
    <n v="0"/>
    <x v="0"/>
    <m/>
  </r>
  <r>
    <s v="PPT1_BOI04"/>
    <s v="S1CS05884-WS"/>
    <n v="375"/>
    <s v="207200161"/>
    <s v="NW"/>
    <n v="14"/>
    <n v="0.99729946820296922"/>
    <x v="11"/>
    <x v="1"/>
    <n v="0"/>
    <x v="0"/>
    <m/>
  </r>
  <r>
    <s v="PPT1_BOI04"/>
    <s v="S1CS05884-WS"/>
    <n v="375"/>
    <s v="207200095"/>
    <s v="NW"/>
    <n v="14"/>
    <n v="0.99729946820296922"/>
    <x v="16"/>
    <x v="1"/>
    <n v="0"/>
    <x v="0"/>
    <m/>
  </r>
  <r>
    <s v="PPT1_BOI04"/>
    <s v="S1CS05884-WS"/>
    <n v="125"/>
    <s v="207202331"/>
    <s v="NW"/>
    <n v="14"/>
    <n v="0.33243315606765639"/>
    <x v="12"/>
    <x v="1"/>
    <n v="0"/>
    <x v="0"/>
    <m/>
  </r>
  <r>
    <s v="PPT1_BOI04"/>
    <s v="S1CS05884-WS"/>
    <n v="375"/>
    <s v="207199927"/>
    <s v="NW"/>
    <n v="14"/>
    <n v="0.99729946820296922"/>
    <x v="2"/>
    <x v="1"/>
    <n v="0"/>
    <x v="0"/>
    <m/>
  </r>
  <r>
    <s v="PPT1_BOI04"/>
    <s v="S1CS05884-WS"/>
    <n v="375"/>
    <s v="207199850"/>
    <s v="NW"/>
    <n v="14"/>
    <n v="0.99729946820296922"/>
    <x v="13"/>
    <x v="1"/>
    <n v="0"/>
    <x v="0"/>
    <m/>
  </r>
  <r>
    <s v="PPT1_BOI04"/>
    <s v="S1CS05884-WS"/>
    <n v="375"/>
    <s v="207199805"/>
    <s v="NW"/>
    <n v="14"/>
    <n v="0.99729946820296922"/>
    <x v="15"/>
    <x v="1"/>
    <n v="0"/>
    <x v="0"/>
    <m/>
  </r>
  <r>
    <s v="PPT1_BOI04"/>
    <s v="S1CS05884-WS"/>
    <n v="375"/>
    <s v="207199759"/>
    <s v="NW"/>
    <n v="14"/>
    <n v="0.99729946820296922"/>
    <x v="12"/>
    <x v="1"/>
    <n v="0"/>
    <x v="0"/>
    <m/>
  </r>
  <r>
    <s v="PPT1_BOI04"/>
    <s v="S1CS05884-WS"/>
    <n v="375"/>
    <s v="207199916"/>
    <s v="NW"/>
    <n v="14"/>
    <n v="0.99729946820296922"/>
    <x v="6"/>
    <x v="1"/>
    <n v="0"/>
    <x v="0"/>
    <m/>
  </r>
  <r>
    <s v="PPT1_BOI04"/>
    <s v="S1CS05884-WS"/>
    <n v="375"/>
    <s v="207199875"/>
    <s v="NW"/>
    <n v="14"/>
    <n v="0.99729946820296922"/>
    <x v="7"/>
    <x v="1"/>
    <n v="0"/>
    <x v="0"/>
    <m/>
  </r>
  <r>
    <s v="PPT1_BOI04"/>
    <s v="S1CS05884-WS"/>
    <n v="375"/>
    <s v="207199859"/>
    <s v="NW"/>
    <n v="14"/>
    <n v="0.99729946820296922"/>
    <x v="17"/>
    <x v="1"/>
    <n v="0"/>
    <x v="0"/>
    <m/>
  </r>
  <r>
    <s v="PPT1_BOI04"/>
    <s v="S1CS05884-WS"/>
    <n v="375"/>
    <s v="207202321"/>
    <s v="NW"/>
    <n v="14"/>
    <n v="0.99729946820296922"/>
    <x v="8"/>
    <x v="1"/>
    <n v="0"/>
    <x v="0"/>
    <m/>
  </r>
  <r>
    <s v="PPT1_BOI04"/>
    <s v="S1CS05884-WS"/>
    <n v="375"/>
    <s v="207202320"/>
    <s v="NW"/>
    <n v="14"/>
    <n v="0.99729946820296922"/>
    <x v="1"/>
    <x v="1"/>
    <n v="0"/>
    <x v="0"/>
    <m/>
  </r>
  <r>
    <s v="PPT1_BOI04"/>
    <s v="S1CS05884-WS"/>
    <n v="375"/>
    <s v="207202319"/>
    <s v="NW"/>
    <n v="14"/>
    <n v="0.99729946820296922"/>
    <x v="18"/>
    <x v="1"/>
    <n v="0"/>
    <x v="0"/>
    <m/>
  </r>
  <r>
    <s v="PPT1_BOI04"/>
    <s v="S1CS05884-WS"/>
    <n v="375"/>
    <s v="207202322"/>
    <s v="NW"/>
    <n v="14"/>
    <n v="0.99729946820296922"/>
    <x v="0"/>
    <x v="1"/>
    <n v="0"/>
    <x v="0"/>
    <m/>
  </r>
  <r>
    <s v="PPT1_BOI04"/>
    <s v="S1CS05884-WS"/>
    <n v="375"/>
    <s v="207198834"/>
    <s v="NW"/>
    <n v="14"/>
    <n v="0.99729946820296922"/>
    <x v="3"/>
    <x v="1"/>
    <n v="0"/>
    <x v="0"/>
    <m/>
  </r>
  <r>
    <s v="PPT1_BOI04"/>
    <s v="S1CS05884-WS"/>
    <n v="375"/>
    <s v="207202324"/>
    <s v="NW"/>
    <n v="14"/>
    <n v="0.99729946820296922"/>
    <x v="11"/>
    <x v="1"/>
    <n v="0"/>
    <x v="0"/>
    <m/>
  </r>
  <r>
    <s v="PPT1_BOI04"/>
    <s v="S1CS05884-WS"/>
    <n v="375"/>
    <s v="207202323"/>
    <s v="NW"/>
    <n v="14"/>
    <n v="0.99729946820296922"/>
    <x v="16"/>
    <x v="1"/>
    <n v="0"/>
    <x v="0"/>
    <m/>
  </r>
  <r>
    <s v="PPT1_BOI04"/>
    <s v="S1CS05884-WS"/>
    <n v="375"/>
    <s v="207202314"/>
    <s v="NW"/>
    <n v="14"/>
    <n v="0.99729946820296922"/>
    <x v="2"/>
    <x v="1"/>
    <n v="0"/>
    <x v="0"/>
    <m/>
  </r>
  <r>
    <s v="PPT1_BOI04"/>
    <s v="S1CS05884-WS"/>
    <n v="375"/>
    <s v="207202313"/>
    <s v="NW"/>
    <n v="14"/>
    <n v="0.99729946820296922"/>
    <x v="13"/>
    <x v="1"/>
    <n v="0"/>
    <x v="0"/>
    <m/>
  </r>
  <r>
    <s v="PPT1_BOI04"/>
    <s v="S1CS05884-WS"/>
    <n v="375"/>
    <s v="207202312"/>
    <s v="NW"/>
    <n v="14"/>
    <n v="0.99729946820296922"/>
    <x v="15"/>
    <x v="1"/>
    <n v="0"/>
    <x v="0"/>
    <m/>
  </r>
  <r>
    <s v="PPT1_BOI04"/>
    <s v="S1CS05884-WS"/>
    <n v="375"/>
    <s v="207202315"/>
    <s v="NW"/>
    <n v="14"/>
    <n v="0.99729946820296922"/>
    <x v="12"/>
    <x v="1"/>
    <n v="0"/>
    <x v="0"/>
    <m/>
  </r>
  <r>
    <s v="PPT1_BOI04"/>
    <s v="S1CS05884-WS"/>
    <n v="375"/>
    <s v="207202318"/>
    <s v="NW"/>
    <n v="14"/>
    <n v="0.99729946820296922"/>
    <x v="6"/>
    <x v="1"/>
    <n v="0"/>
    <x v="0"/>
    <m/>
  </r>
  <r>
    <s v="PPT1_BOI04"/>
    <s v="S1CS05884-WS"/>
    <n v="375"/>
    <s v="207202317"/>
    <s v="NW"/>
    <n v="14"/>
    <n v="0.99729946820296922"/>
    <x v="7"/>
    <x v="1"/>
    <n v="0"/>
    <x v="0"/>
    <m/>
  </r>
  <r>
    <s v="PPT1_BOI04"/>
    <s v="S1CS05884-WS"/>
    <n v="375"/>
    <s v="207202316"/>
    <s v="NW"/>
    <n v="14"/>
    <n v="0.99729946820296922"/>
    <x v="17"/>
    <x v="1"/>
    <n v="0"/>
    <x v="0"/>
    <m/>
  </r>
  <r>
    <s v="PPT1_BOI04"/>
    <s v="S1CS05884-WS"/>
    <n v="375"/>
    <s v="207200673"/>
    <s v="NW"/>
    <n v="14"/>
    <n v="0.99729946820296922"/>
    <x v="8"/>
    <x v="1"/>
    <n v="0"/>
    <x v="0"/>
    <m/>
  </r>
  <r>
    <s v="PPT1_BOI04"/>
    <s v="S1CS05884-WS"/>
    <n v="375"/>
    <s v="207200668"/>
    <s v="NW"/>
    <n v="14"/>
    <n v="0.99729946820296922"/>
    <x v="1"/>
    <x v="1"/>
    <n v="0"/>
    <x v="0"/>
    <m/>
  </r>
  <r>
    <s v="PPT1_BOI04"/>
    <s v="S1CS05884-WS"/>
    <n v="375"/>
    <s v="207200694"/>
    <s v="NW"/>
    <n v="14"/>
    <n v="0.99729946820296922"/>
    <x v="18"/>
    <x v="1"/>
    <n v="0"/>
    <x v="0"/>
    <m/>
  </r>
  <r>
    <s v="PPT1_BOI04"/>
    <s v="S1CS05884-WS"/>
    <n v="375"/>
    <s v="207200688"/>
    <s v="NW"/>
    <n v="14"/>
    <n v="0.99729946820296922"/>
    <x v="0"/>
    <x v="1"/>
    <n v="0"/>
    <x v="0"/>
    <m/>
  </r>
  <r>
    <s v="PPT1_BOI04"/>
    <s v="S1CS05884-WS"/>
    <n v="375"/>
    <s v="207200644"/>
    <s v="NW"/>
    <n v="14"/>
    <n v="0.99729946820296922"/>
    <x v="3"/>
    <x v="1"/>
    <n v="0"/>
    <x v="0"/>
    <m/>
  </r>
  <r>
    <s v="PPT1_BOI04"/>
    <s v="S1CS05884-WS"/>
    <n v="375"/>
    <s v="207200613"/>
    <s v="NW"/>
    <n v="14"/>
    <n v="0.99729946820296922"/>
    <x v="11"/>
    <x v="1"/>
    <n v="0"/>
    <x v="0"/>
    <m/>
  </r>
  <r>
    <s v="PPT1_BOI04"/>
    <s v="S1CS05884-WS"/>
    <n v="375"/>
    <s v="207200603"/>
    <s v="NW"/>
    <n v="14"/>
    <n v="0.99729946820296922"/>
    <x v="16"/>
    <x v="1"/>
    <n v="0"/>
    <x v="0"/>
    <m/>
  </r>
  <r>
    <s v="PPT1_BOI04"/>
    <s v="S1CS05884-WS"/>
    <n v="375"/>
    <s v="207200637"/>
    <s v="NW"/>
    <n v="14"/>
    <n v="0.99729946820296922"/>
    <x v="2"/>
    <x v="1"/>
    <n v="0"/>
    <x v="0"/>
    <m/>
  </r>
  <r>
    <s v="PPT1_BOI04"/>
    <s v="S1CS05884-WS"/>
    <n v="375"/>
    <s v="207200629"/>
    <s v="NW"/>
    <n v="14"/>
    <n v="0.99729946820296922"/>
    <x v="13"/>
    <x v="1"/>
    <n v="0"/>
    <x v="0"/>
    <m/>
  </r>
  <r>
    <s v="PPT1_BOI04"/>
    <s v="S1CS05884-WS"/>
    <n v="375"/>
    <s v="207200576"/>
    <s v="NW"/>
    <n v="14"/>
    <n v="0.99729946820296922"/>
    <x v="15"/>
    <x v="1"/>
    <n v="0"/>
    <x v="0"/>
    <m/>
  </r>
  <r>
    <s v="PPT1_BOI04"/>
    <s v="S1CS05884-WS"/>
    <n v="375"/>
    <s v="207200596"/>
    <s v="NW"/>
    <n v="14"/>
    <n v="0.99729946820296922"/>
    <x v="12"/>
    <x v="1"/>
    <n v="0"/>
    <x v="0"/>
    <m/>
  </r>
  <r>
    <s v="PPT1_BOI04"/>
    <s v="S1CS05884-WS"/>
    <n v="375"/>
    <s v="207200712"/>
    <s v="NW"/>
    <n v="14"/>
    <n v="0.99729946820296922"/>
    <x v="6"/>
    <x v="1"/>
    <n v="0"/>
    <x v="0"/>
    <m/>
  </r>
  <r>
    <s v="PPT1_BOI04"/>
    <s v="S1CS05884-WS"/>
    <n v="375"/>
    <s v="207200707"/>
    <s v="NW"/>
    <n v="14"/>
    <n v="0.99729946820296922"/>
    <x v="7"/>
    <x v="1"/>
    <n v="0"/>
    <x v="0"/>
    <m/>
  </r>
  <r>
    <s v="PPT1_BOI04"/>
    <s v="S1CS05884-WS"/>
    <n v="375"/>
    <s v="207200709"/>
    <s v="NW"/>
    <n v="14"/>
    <n v="0.99729946820296922"/>
    <x v="17"/>
    <x v="1"/>
    <n v="0"/>
    <x v="0"/>
    <m/>
  </r>
  <r>
    <s v="PPT1_BOI04"/>
    <s v="S1CS05885-WS"/>
    <n v="525"/>
    <s v="207199952"/>
    <s v="NW"/>
    <n v="14"/>
    <n v="0.70731844894532481"/>
    <x v="10"/>
    <x v="1"/>
    <n v="0"/>
    <x v="0"/>
    <m/>
  </r>
  <r>
    <s v="PPT1_BOI04"/>
    <s v="S1CS05885-WS"/>
    <n v="525"/>
    <s v="207200255"/>
    <s v="NW"/>
    <n v="14"/>
    <n v="0.70731844894532481"/>
    <x v="5"/>
    <x v="1"/>
    <n v="0"/>
    <x v="0"/>
    <m/>
  </r>
  <r>
    <s v="PPT1_BOI04"/>
    <s v="S1CS05885-WS"/>
    <n v="525"/>
    <s v="207199956"/>
    <s v="NW"/>
    <n v="14"/>
    <n v="0.70731844894532481"/>
    <x v="10"/>
    <x v="1"/>
    <n v="0"/>
    <x v="0"/>
    <m/>
  </r>
  <r>
    <s v="PPT1_BOI04"/>
    <s v="S1CS05885-WS"/>
    <n v="525"/>
    <s v="207199974"/>
    <s v="NW"/>
    <n v="14"/>
    <n v="0.70731844894532481"/>
    <x v="5"/>
    <x v="1"/>
    <n v="0"/>
    <x v="0"/>
    <m/>
  </r>
  <r>
    <s v="PPT1_BOI04"/>
    <s v="S1CS05885-WS"/>
    <n v="525"/>
    <s v="207199970"/>
    <s v="NW"/>
    <n v="14"/>
    <n v="0.70731844894532481"/>
    <x v="10"/>
    <x v="1"/>
    <n v="0"/>
    <x v="0"/>
    <m/>
  </r>
  <r>
    <s v="PPT1_BOI04"/>
    <s v="S1CS05885-WS"/>
    <n v="525"/>
    <s v="207199992"/>
    <s v="NW"/>
    <n v="14"/>
    <n v="0.70731844894532481"/>
    <x v="5"/>
    <x v="1"/>
    <n v="0"/>
    <x v="0"/>
    <m/>
  </r>
  <r>
    <s v="PPT1_BOI04"/>
    <s v="S1CS05885-WS"/>
    <n v="525"/>
    <s v="207199966"/>
    <s v="NW"/>
    <n v="14"/>
    <n v="0.70731844894532481"/>
    <x v="10"/>
    <x v="1"/>
    <n v="0"/>
    <x v="0"/>
    <m/>
  </r>
  <r>
    <s v="PPT1_BOI04"/>
    <s v="S1CS05885-WS"/>
    <n v="525"/>
    <s v="207199999"/>
    <s v="NW"/>
    <n v="14"/>
    <n v="0.70731844894532481"/>
    <x v="5"/>
    <x v="1"/>
    <n v="0"/>
    <x v="0"/>
    <m/>
  </r>
  <r>
    <s v="PPT1_BOI04"/>
    <s v="S1CS05885-WS"/>
    <n v="525"/>
    <s v="207199860"/>
    <s v="NW"/>
    <n v="14"/>
    <n v="0.70731844894532481"/>
    <x v="10"/>
    <x v="1"/>
    <n v="0"/>
    <x v="0"/>
    <m/>
  </r>
  <r>
    <s v="PPT1_BOI04"/>
    <s v="S1CS05885-WS"/>
    <n v="525"/>
    <s v="207199807"/>
    <s v="NW"/>
    <n v="14"/>
    <n v="0.70731844894532481"/>
    <x v="5"/>
    <x v="1"/>
    <n v="0"/>
    <x v="0"/>
    <m/>
  </r>
  <r>
    <s v="PPT1_BOI04"/>
    <s v="S1CS05885-WS"/>
    <n v="525"/>
    <s v="207199809"/>
    <s v="NW"/>
    <n v="14"/>
    <n v="0.70731844894532481"/>
    <x v="9"/>
    <x v="1"/>
    <n v="0"/>
    <x v="0"/>
    <m/>
  </r>
  <r>
    <s v="PPT1_BOI04"/>
    <s v="S1CS05885-WS"/>
    <n v="525"/>
    <s v="207200249"/>
    <s v="NW"/>
    <n v="14"/>
    <n v="0.70731844894532481"/>
    <x v="10"/>
    <x v="1"/>
    <n v="0"/>
    <x v="0"/>
    <m/>
  </r>
  <r>
    <s v="PPT1_BOI04"/>
    <s v="S1CS05885-WS"/>
    <n v="525"/>
    <s v="207199750"/>
    <s v="NW"/>
    <n v="14"/>
    <n v="0.70731844894532481"/>
    <x v="5"/>
    <x v="1"/>
    <n v="0"/>
    <x v="0"/>
    <m/>
  </r>
  <r>
    <s v="PPT1_BOI04"/>
    <s v="S1CS05885-WS"/>
    <n v="525"/>
    <s v="207200223"/>
    <s v="NW"/>
    <n v="14"/>
    <n v="0.70731844894532481"/>
    <x v="9"/>
    <x v="1"/>
    <n v="0"/>
    <x v="0"/>
    <m/>
  </r>
  <r>
    <s v="PPT1_BOI04"/>
    <s v="S1CS05885-WS"/>
    <n v="525"/>
    <s v="207199841"/>
    <s v="NW"/>
    <n v="14"/>
    <n v="0.70731844894532481"/>
    <x v="10"/>
    <x v="1"/>
    <n v="0"/>
    <x v="0"/>
    <m/>
  </r>
  <r>
    <s v="PPT1_BOI04"/>
    <s v="S1CS05885-WS"/>
    <n v="525"/>
    <s v="207199858"/>
    <s v="NW"/>
    <n v="14"/>
    <n v="0.70731844894532481"/>
    <x v="5"/>
    <x v="1"/>
    <n v="0"/>
    <x v="0"/>
    <m/>
  </r>
  <r>
    <s v="PPT1_BOI04"/>
    <s v="S1CS05885-WS"/>
    <n v="525"/>
    <s v="207199816"/>
    <s v="NW"/>
    <n v="14"/>
    <n v="0.70731844894532481"/>
    <x v="8"/>
    <x v="1"/>
    <n v="0"/>
    <x v="0"/>
    <m/>
  </r>
  <r>
    <s v="PPT1_BOI04"/>
    <s v="S1CS05885-WS"/>
    <n v="525"/>
    <s v="207200221"/>
    <s v="NW"/>
    <n v="14"/>
    <n v="0.70731844894532481"/>
    <x v="1"/>
    <x v="1"/>
    <n v="0"/>
    <x v="0"/>
    <m/>
  </r>
  <r>
    <s v="PPT1_BOI04"/>
    <s v="S1CS05885-WS"/>
    <n v="525"/>
    <s v="207201153"/>
    <s v="NW"/>
    <n v="14"/>
    <n v="0.70731844894532481"/>
    <x v="18"/>
    <x v="1"/>
    <n v="0"/>
    <x v="0"/>
    <m/>
  </r>
  <r>
    <s v="PPT1_BOI04"/>
    <s v="S1CS05885-WS"/>
    <n v="525"/>
    <s v="207201182"/>
    <s v="NW"/>
    <n v="14"/>
    <n v="0.70731844894532481"/>
    <x v="0"/>
    <x v="1"/>
    <n v="0"/>
    <x v="0"/>
    <m/>
  </r>
  <r>
    <s v="PPT1_BOI04"/>
    <s v="S1CS05885-WS"/>
    <n v="175"/>
    <s v="207200157"/>
    <s v="NW"/>
    <n v="14"/>
    <n v="0.23577281631510827"/>
    <x v="3"/>
    <x v="1"/>
    <n v="0"/>
    <x v="0"/>
    <m/>
  </r>
  <r>
    <s v="PPT1_BOI04"/>
    <s v="S1CS05885-WS"/>
    <n v="175"/>
    <s v="207200159"/>
    <s v="NW"/>
    <n v="14"/>
    <n v="0.23577281631510827"/>
    <x v="11"/>
    <x v="1"/>
    <n v="0"/>
    <x v="0"/>
    <m/>
  </r>
  <r>
    <s v="PPT1_BOI04"/>
    <s v="S1CS05885-WS"/>
    <n v="525"/>
    <s v="207201184"/>
    <s v="NW"/>
    <n v="14"/>
    <n v="0.70731844894532481"/>
    <x v="9"/>
    <x v="1"/>
    <n v="0"/>
    <x v="0"/>
    <m/>
  </r>
  <r>
    <s v="PPT1_BOI04"/>
    <s v="S1CS05885-WS"/>
    <n v="525"/>
    <s v="207200200"/>
    <s v="NW"/>
    <n v="14"/>
    <n v="0.70731844894532481"/>
    <x v="16"/>
    <x v="1"/>
    <n v="0"/>
    <x v="0"/>
    <m/>
  </r>
  <r>
    <s v="PPT1_BOI04"/>
    <s v="S1CS05885-WS"/>
    <n v="525"/>
    <s v="207200174"/>
    <s v="NW"/>
    <n v="14"/>
    <n v="0.70731844894532481"/>
    <x v="2"/>
    <x v="1"/>
    <n v="0"/>
    <x v="0"/>
    <m/>
  </r>
  <r>
    <s v="PPT1_BOI04"/>
    <s v="S1CS05885-WS"/>
    <n v="525"/>
    <s v="207200205"/>
    <s v="NW"/>
    <n v="14"/>
    <n v="0.70731844894532481"/>
    <x v="13"/>
    <x v="1"/>
    <n v="0"/>
    <x v="0"/>
    <m/>
  </r>
  <r>
    <s v="PPT1_BOI04"/>
    <s v="S1CS05885-WS"/>
    <n v="525"/>
    <s v="207201186"/>
    <s v="NW"/>
    <n v="14"/>
    <n v="0.70731844894532481"/>
    <x v="15"/>
    <x v="1"/>
    <n v="0"/>
    <x v="0"/>
    <m/>
  </r>
  <r>
    <s v="PPT1_BOI04"/>
    <s v="S1CS05885-WS"/>
    <n v="525"/>
    <s v="207200133"/>
    <s v="NW"/>
    <n v="14"/>
    <n v="0.70731844894532481"/>
    <x v="3"/>
    <x v="1"/>
    <n v="0"/>
    <x v="0"/>
    <m/>
  </r>
  <r>
    <s v="PPT1_BOI04"/>
    <s v="S1CS05885-WS"/>
    <n v="525"/>
    <s v="207200021"/>
    <s v="NW"/>
    <n v="14"/>
    <n v="0.70731844894532481"/>
    <x v="11"/>
    <x v="1"/>
    <n v="0"/>
    <x v="0"/>
    <m/>
  </r>
  <r>
    <s v="PPT1_BOI04"/>
    <s v="S1CS05885-WS"/>
    <n v="525"/>
    <s v="207200028"/>
    <s v="NW"/>
    <n v="14"/>
    <n v="0.70731844894532481"/>
    <x v="10"/>
    <x v="1"/>
    <n v="0"/>
    <x v="0"/>
    <m/>
  </r>
  <r>
    <s v="PPT1_BOI04"/>
    <s v="S1CS05885-WS"/>
    <n v="525"/>
    <s v="207200001"/>
    <s v="NW"/>
    <n v="14"/>
    <n v="0.70731844894532481"/>
    <x v="5"/>
    <x v="1"/>
    <n v="0"/>
    <x v="0"/>
    <m/>
  </r>
  <r>
    <s v="PPT1_BOI04"/>
    <s v="S1CS05885-WS"/>
    <n v="525"/>
    <s v="207200018"/>
    <s v="NW"/>
    <n v="14"/>
    <n v="0.70731844894532481"/>
    <x v="8"/>
    <x v="1"/>
    <n v="0"/>
    <x v="0"/>
    <m/>
  </r>
  <r>
    <s v="PPT1_BOI04"/>
    <s v="S1CS05885-WS"/>
    <n v="525"/>
    <s v="207200032"/>
    <s v="NW"/>
    <n v="14"/>
    <n v="0.70731844894532481"/>
    <x v="12"/>
    <x v="1"/>
    <n v="0"/>
    <x v="0"/>
    <m/>
  </r>
  <r>
    <s v="PPT1_BOI04"/>
    <s v="S1CS05885-WS"/>
    <n v="525"/>
    <s v="207200127"/>
    <s v="NW"/>
    <n v="14"/>
    <n v="0.70731844894532481"/>
    <x v="1"/>
    <x v="1"/>
    <n v="0"/>
    <x v="0"/>
    <m/>
  </r>
  <r>
    <s v="PPT1_BOI04"/>
    <s v="S1CS05885-WS"/>
    <n v="525"/>
    <s v="207200129"/>
    <s v="NW"/>
    <n v="14"/>
    <n v="0.70731844894532481"/>
    <x v="18"/>
    <x v="1"/>
    <n v="0"/>
    <x v="0"/>
    <m/>
  </r>
  <r>
    <s v="PPT1_BOI04"/>
    <s v="S1CS05885-WS"/>
    <n v="525"/>
    <s v="207200036"/>
    <s v="NW"/>
    <n v="14"/>
    <n v="0.70731844894532481"/>
    <x v="0"/>
    <x v="1"/>
    <n v="0"/>
    <x v="0"/>
    <m/>
  </r>
  <r>
    <s v="PPT1_BOI04"/>
    <s v="S1CS05885-WS"/>
    <n v="525"/>
    <s v="207200060"/>
    <s v="NW"/>
    <n v="14"/>
    <n v="0.70731844894532481"/>
    <x v="9"/>
    <x v="1"/>
    <n v="0"/>
    <x v="0"/>
    <m/>
  </r>
  <r>
    <s v="PPT1_BOI04"/>
    <s v="S1CS05885-WS"/>
    <n v="525"/>
    <s v="207200600"/>
    <s v="NW"/>
    <n v="14"/>
    <n v="0.70731844894532481"/>
    <x v="16"/>
    <x v="1"/>
    <n v="0"/>
    <x v="0"/>
    <m/>
  </r>
  <r>
    <s v="PPT1_BOI04"/>
    <s v="S1CS05885-WS"/>
    <n v="525"/>
    <s v="207201115"/>
    <s v="NW"/>
    <n v="14"/>
    <n v="0.70731844894532481"/>
    <x v="2"/>
    <x v="1"/>
    <n v="0"/>
    <x v="0"/>
    <m/>
  </r>
  <r>
    <s v="PPT1_BOI04"/>
    <s v="S1CS05885-WS"/>
    <n v="525"/>
    <s v="207200539"/>
    <s v="NW"/>
    <n v="14"/>
    <n v="0.70731844894532481"/>
    <x v="13"/>
    <x v="1"/>
    <n v="0"/>
    <x v="0"/>
    <m/>
  </r>
  <r>
    <s v="PPT1_BOI04"/>
    <s v="S1CS05885-WS"/>
    <n v="525"/>
    <s v="207200544"/>
    <s v="NW"/>
    <n v="14"/>
    <n v="0.70731844894532481"/>
    <x v="15"/>
    <x v="1"/>
    <n v="0"/>
    <x v="0"/>
    <m/>
  </r>
  <r>
    <s v="PPT1_BOI04"/>
    <s v="S1CS05885-WS"/>
    <n v="350"/>
    <s v="207201442"/>
    <s v="NW"/>
    <n v="14"/>
    <n v="0.47154563263021654"/>
    <x v="3"/>
    <x v="1"/>
    <n v="0"/>
    <x v="0"/>
    <m/>
  </r>
  <r>
    <s v="PPT1_BOI04"/>
    <s v="S1CS05885-WS"/>
    <n v="525"/>
    <s v="207201109"/>
    <s v="NW"/>
    <n v="14"/>
    <n v="0.70731844894532481"/>
    <x v="11"/>
    <x v="1"/>
    <n v="0"/>
    <x v="0"/>
    <m/>
  </r>
  <r>
    <s v="PPT1_BOI04"/>
    <s v="S1CS05885-WS"/>
    <n v="525"/>
    <s v="207201145"/>
    <s v="NW"/>
    <n v="14"/>
    <n v="0.70731844894532481"/>
    <x v="10"/>
    <x v="1"/>
    <n v="0"/>
    <x v="0"/>
    <m/>
  </r>
  <r>
    <s v="PPT1_BOI04"/>
    <s v="S1CS05885-WS"/>
    <n v="525"/>
    <s v="207201151"/>
    <s v="NW"/>
    <n v="14"/>
    <n v="0.70731844894532481"/>
    <x v="5"/>
    <x v="1"/>
    <n v="0"/>
    <x v="0"/>
    <m/>
  </r>
  <r>
    <s v="PPT1_BOI04"/>
    <s v="S1CS05885-WS"/>
    <n v="525"/>
    <s v="207201149"/>
    <s v="NW"/>
    <n v="14"/>
    <n v="0.70731844894532481"/>
    <x v="8"/>
    <x v="1"/>
    <n v="0"/>
    <x v="0"/>
    <m/>
  </r>
  <r>
    <s v="PPT1_BOI04"/>
    <s v="S1CS05885-WS"/>
    <n v="525"/>
    <s v="207200477"/>
    <s v="NW"/>
    <n v="14"/>
    <n v="0.70731844894532481"/>
    <x v="12"/>
    <x v="1"/>
    <n v="0"/>
    <x v="0"/>
    <m/>
  </r>
  <r>
    <s v="PPT1_BOI04"/>
    <s v="S1CS05885-WS"/>
    <n v="525"/>
    <s v="207200480"/>
    <s v="NW"/>
    <n v="14"/>
    <n v="0.70731844894532481"/>
    <x v="1"/>
    <x v="1"/>
    <n v="0"/>
    <x v="0"/>
    <m/>
  </r>
  <r>
    <s v="PPT1_BOI04"/>
    <s v="S1CS05885-WS"/>
    <n v="525"/>
    <s v="207200445"/>
    <s v="NW"/>
    <n v="14"/>
    <n v="0.70731844894532481"/>
    <x v="18"/>
    <x v="1"/>
    <n v="0"/>
    <x v="0"/>
    <m/>
  </r>
  <r>
    <s v="PPT1_BOI04"/>
    <s v="S1CS05885-WS"/>
    <n v="525"/>
    <s v="207200462"/>
    <s v="NW"/>
    <n v="14"/>
    <n v="0.70731844894532481"/>
    <x v="0"/>
    <x v="1"/>
    <n v="0"/>
    <x v="0"/>
    <m/>
  </r>
  <r>
    <s v="PPT1_BOI04"/>
    <s v="S1CS05885-WS"/>
    <n v="525"/>
    <s v="207200506"/>
    <s v="NW"/>
    <n v="14"/>
    <n v="0.70731844894532481"/>
    <x v="3"/>
    <x v="1"/>
    <n v="0"/>
    <x v="0"/>
    <m/>
  </r>
  <r>
    <s v="PPT1_BOI04"/>
    <s v="S1CS05885-WS"/>
    <n v="525"/>
    <s v="207200521"/>
    <s v="NW"/>
    <n v="14"/>
    <n v="0.70731844894532481"/>
    <x v="9"/>
    <x v="1"/>
    <n v="0"/>
    <x v="0"/>
    <m/>
  </r>
  <r>
    <s v="PPT1_BOI04"/>
    <s v="S1CS05885-WS"/>
    <n v="525"/>
    <s v="207200500"/>
    <s v="NW"/>
    <n v="14"/>
    <n v="0.70731844894532481"/>
    <x v="16"/>
    <x v="1"/>
    <n v="0"/>
    <x v="0"/>
    <m/>
  </r>
  <r>
    <s v="PPT1_BOI04"/>
    <s v="S1CS05885-WS"/>
    <n v="525"/>
    <s v="207200486"/>
    <s v="NW"/>
    <n v="14"/>
    <n v="0.70731844894532481"/>
    <x v="2"/>
    <x v="1"/>
    <n v="0"/>
    <x v="0"/>
    <m/>
  </r>
  <r>
    <s v="PPT1_BOI04"/>
    <s v="S1CS05919-WS"/>
    <n v="450"/>
    <s v="207198605"/>
    <s v="NW"/>
    <n v="4"/>
    <n v="0.50289223454833598"/>
    <x v="6"/>
    <x v="1"/>
    <n v="0"/>
    <x v="0"/>
    <m/>
  </r>
  <r>
    <s v="PPT1_BOI04"/>
    <s v="S1CS05920-WS"/>
    <n v="450"/>
    <s v="207199973"/>
    <s v="NW"/>
    <n v="4"/>
    <n v="1.1139677022138992"/>
    <x v="7"/>
    <x v="1"/>
    <n v="0"/>
    <x v="0"/>
    <m/>
  </r>
  <r>
    <s v="PPT1_BOI04"/>
    <s v="S1CS05946-WS"/>
    <n v="360"/>
    <s v="207200059"/>
    <s v="NW"/>
    <n v="2"/>
    <n v="1.1053973477882102"/>
    <x v="17"/>
    <x v="1"/>
    <n v="0"/>
    <x v="0"/>
    <m/>
  </r>
  <r>
    <s v="PPT1_BOI04"/>
    <s v="S1CS05946-WS"/>
    <n v="360"/>
    <s v="207200128"/>
    <s v="NW"/>
    <n v="2"/>
    <n v="1.1053973477882102"/>
    <x v="6"/>
    <x v="1"/>
    <n v="0"/>
    <x v="0"/>
    <m/>
  </r>
  <r>
    <s v="PPT1_BOI04"/>
    <s v="S1CS05946-WS"/>
    <n v="360"/>
    <s v="207200033"/>
    <s v="NW"/>
    <n v="2"/>
    <n v="1.1053973477882102"/>
    <x v="17"/>
    <x v="1"/>
    <n v="0"/>
    <x v="0"/>
    <m/>
  </r>
  <r>
    <s v="PPT1_BOI04"/>
    <s v="S1CS05946-WS"/>
    <n v="360"/>
    <s v="207200063"/>
    <s v="NW"/>
    <n v="2"/>
    <n v="1.1053973477882102"/>
    <x v="6"/>
    <x v="1"/>
    <n v="0"/>
    <x v="0"/>
    <m/>
  </r>
  <r>
    <s v="PPT1_BOI04"/>
    <s v="S1CS05946-WS"/>
    <n v="240"/>
    <s v="207200531"/>
    <s v="NW"/>
    <n v="2"/>
    <n v="0.73693156519214009"/>
    <x v="17"/>
    <x v="1"/>
    <n v="0"/>
    <x v="0"/>
    <m/>
  </r>
  <r>
    <s v="PPT1_BOI04"/>
    <s v="S1CS05949-WS"/>
    <n v="150"/>
    <s v="207199751"/>
    <s v="NW"/>
    <n v="7"/>
    <n v="0.13428519388002913"/>
    <x v="13"/>
    <x v="1"/>
    <n v="0"/>
    <x v="0"/>
    <m/>
  </r>
  <r>
    <s v="PPT1_BOI04"/>
    <s v="S1CS05972-WS"/>
    <n v="120"/>
    <s v="207199948"/>
    <s v="NW"/>
    <n v="1"/>
    <n v="0.31679790026246718"/>
    <x v="15"/>
    <x v="1"/>
    <n v="0"/>
    <x v="0"/>
    <m/>
  </r>
  <r>
    <s v="PPT1_BOI04"/>
    <s v="S1CS05990-WS"/>
    <n v="250"/>
    <s v="207197398"/>
    <s v="NW"/>
    <n v="3"/>
    <n v="0.58279220779220786"/>
    <x v="14"/>
    <x v="1"/>
    <n v="0"/>
    <x v="0"/>
    <m/>
  </r>
  <r>
    <s v="PPT1_BOI04"/>
    <s v="S1CS05991-WS"/>
    <n v="120"/>
    <s v="207197445"/>
    <s v="NW"/>
    <n v="3"/>
    <n v="0.30536701368704749"/>
    <x v="11"/>
    <x v="1"/>
    <n v="0"/>
    <x v="0"/>
    <m/>
  </r>
  <r>
    <s v="PPT1_BOI04"/>
    <s v="S1CS05993-WS"/>
    <n v="600"/>
    <s v="207199092"/>
    <s v="NW"/>
    <n v="3"/>
    <n v="1.4318369960795339"/>
    <x v="4"/>
    <x v="1"/>
    <n v="0"/>
    <x v="0"/>
    <m/>
  </r>
  <r>
    <s v="PPT1_BOI04"/>
    <s v="S1CS05993-WS"/>
    <n v="600"/>
    <s v="207199191"/>
    <s v="NW"/>
    <n v="3"/>
    <n v="1.4318369960795339"/>
    <x v="10"/>
    <x v="1"/>
    <n v="0"/>
    <x v="0"/>
    <m/>
  </r>
  <r>
    <s v="PPT1_BOI04"/>
    <s v="S1CS05993-WS"/>
    <n v="600"/>
    <s v="207199569"/>
    <s v="NW"/>
    <n v="3"/>
    <n v="1.4318369960795339"/>
    <x v="13"/>
    <x v="1"/>
    <n v="0"/>
    <x v="0"/>
    <m/>
  </r>
  <r>
    <s v="PPT1_BOI04"/>
    <s v="S1CS05993-WS"/>
    <n v="600"/>
    <s v="207199150"/>
    <s v="NW"/>
    <n v="3"/>
    <n v="1.4318369960795339"/>
    <x v="4"/>
    <x v="1"/>
    <n v="0"/>
    <x v="0"/>
    <m/>
  </r>
  <r>
    <s v="PPT1_BOI04"/>
    <s v="S1CS05993-WS"/>
    <n v="200"/>
    <s v="207199596"/>
    <s v="NW"/>
    <n v="3"/>
    <n v="0.47727899869317797"/>
    <x v="10"/>
    <x v="1"/>
    <n v="0"/>
    <x v="0"/>
    <m/>
  </r>
  <r>
    <s v="PPT1_BOI04"/>
    <s v="S1CS05994-WS"/>
    <n v="270"/>
    <s v="207199344"/>
    <s v="NW"/>
    <n v="11"/>
    <n v="0.33191448870844964"/>
    <x v="7"/>
    <x v="1"/>
    <n v="0"/>
    <x v="0"/>
    <m/>
  </r>
  <r>
    <s v="PPT1_BOI04"/>
    <s v="S1CS05994-WS"/>
    <n v="810"/>
    <s v="207199278"/>
    <s v="NW"/>
    <n v="11"/>
    <n v="0.99574346612534892"/>
    <x v="5"/>
    <x v="1"/>
    <n v="0"/>
    <x v="0"/>
    <m/>
  </r>
  <r>
    <s v="PPT1_BOI04"/>
    <s v="S1CS05994-WS"/>
    <n v="810"/>
    <s v="207199174"/>
    <s v="NW"/>
    <n v="11"/>
    <n v="0.99574346612534892"/>
    <x v="8"/>
    <x v="1"/>
    <n v="0"/>
    <x v="0"/>
    <m/>
  </r>
  <r>
    <s v="PPT1_BOI04"/>
    <s v="S1CS05994-WS"/>
    <n v="810"/>
    <s v="207199337"/>
    <s v="NW"/>
    <n v="11"/>
    <n v="0.99574346612534892"/>
    <x v="12"/>
    <x v="1"/>
    <n v="0"/>
    <x v="0"/>
    <m/>
  </r>
  <r>
    <s v="PPT1_BOI04"/>
    <s v="S1CS05995-WS"/>
    <n v="2250"/>
    <s v="207199919"/>
    <s v="NW"/>
    <n v="10"/>
    <n v="1.6953850054291044"/>
    <x v="1"/>
    <x v="1"/>
    <n v="0"/>
    <x v="0"/>
    <m/>
  </r>
  <r>
    <s v="PPT1_BOI04"/>
    <s v="S1CS05995-WS"/>
    <n v="750"/>
    <s v="207199926"/>
    <s v="NW"/>
    <n v="10"/>
    <n v="0.56512833514303484"/>
    <x v="15"/>
    <x v="1"/>
    <n v="0"/>
    <x v="0"/>
    <m/>
  </r>
  <r>
    <s v="PPT1_BOI04"/>
    <s v="S1CS05996-WS"/>
    <n v="570"/>
    <s v="207199641"/>
    <s v="NW"/>
    <n v="2"/>
    <n v="0.96800079742879475"/>
    <x v="11"/>
    <x v="1"/>
    <n v="0"/>
    <x v="0"/>
    <m/>
  </r>
  <r>
    <s v="PPT1_BOI04"/>
    <s v="S1CS05996-WS"/>
    <n v="570"/>
    <s v="207201412"/>
    <s v="NW"/>
    <n v="2"/>
    <n v="0.96800079742879475"/>
    <x v="18"/>
    <x v="1"/>
    <n v="0"/>
    <x v="0"/>
    <m/>
  </r>
  <r>
    <s v="PPT1_BOI04"/>
    <s v="S1CS05996-WS"/>
    <n v="570"/>
    <s v="207199602"/>
    <s v="NW"/>
    <n v="2"/>
    <n v="0.96800079742879475"/>
    <x v="11"/>
    <x v="1"/>
    <n v="0"/>
    <x v="0"/>
    <m/>
  </r>
  <r>
    <s v="PPT1_BOI04"/>
    <s v="S1CS05996-WS"/>
    <n v="570"/>
    <s v="207201393"/>
    <s v="NW"/>
    <n v="2"/>
    <n v="0.96800079742879475"/>
    <x v="18"/>
    <x v="1"/>
    <n v="0"/>
    <x v="0"/>
    <m/>
  </r>
  <r>
    <s v="PPT1_BOI04"/>
    <s v="S1CS05996-WS"/>
    <n v="570"/>
    <s v="207201416"/>
    <s v="NW"/>
    <n v="2"/>
    <n v="0.96800079742879475"/>
    <x v="11"/>
    <x v="1"/>
    <n v="0"/>
    <x v="0"/>
    <m/>
  </r>
  <r>
    <s v="PPT1_BOI04"/>
    <s v="S1CS05996-WS"/>
    <n v="570"/>
    <s v="207201464"/>
    <s v="NW"/>
    <n v="2"/>
    <n v="0.96800079742879475"/>
    <x v="18"/>
    <x v="1"/>
    <n v="0"/>
    <x v="0"/>
    <m/>
  </r>
  <r>
    <s v="PPT1_BOI04"/>
    <s v="S1CS05996-WS"/>
    <n v="190"/>
    <s v="207201431"/>
    <s v="NW"/>
    <n v="2"/>
    <n v="0.32266693247626493"/>
    <x v="11"/>
    <x v="1"/>
    <n v="0"/>
    <x v="0"/>
    <m/>
  </r>
  <r>
    <s v="PPT1_BOI04"/>
    <s v="S1CS05996-WS"/>
    <n v="570"/>
    <s v="207201400"/>
    <s v="NW"/>
    <n v="2"/>
    <n v="0.96800079742879475"/>
    <x v="18"/>
    <x v="1"/>
    <n v="0"/>
    <x v="0"/>
    <m/>
  </r>
  <r>
    <s v="PPT1_BOI04"/>
    <s v="S1CS05996-WS"/>
    <n v="380"/>
    <s v="207199682"/>
    <s v="NW"/>
    <n v="2"/>
    <n v="0.64533386495252987"/>
    <x v="11"/>
    <x v="1"/>
    <n v="0"/>
    <x v="0"/>
    <m/>
  </r>
  <r>
    <s v="PPT1_BOI04"/>
    <s v="S1CS05997-WS"/>
    <n v="570"/>
    <s v="207201914"/>
    <s v="NW"/>
    <n v="4"/>
    <n v="0.83597728652715697"/>
    <x v="0"/>
    <x v="1"/>
    <n v="0"/>
    <x v="0"/>
    <m/>
  </r>
  <r>
    <s v="PPT1_BOI04"/>
    <s v="S1CS05997-WS"/>
    <n v="570"/>
    <s v="207201955"/>
    <s v="NW"/>
    <n v="4"/>
    <n v="0.83597728652715697"/>
    <x v="3"/>
    <x v="1"/>
    <n v="0"/>
    <x v="0"/>
    <m/>
  </r>
  <r>
    <s v="PPT1_BOI04"/>
    <s v="S1CS05997-WS"/>
    <n v="570"/>
    <s v="207201951"/>
    <s v="NW"/>
    <n v="4"/>
    <n v="0.83597728652715697"/>
    <x v="7"/>
    <x v="1"/>
    <n v="0"/>
    <x v="0"/>
    <m/>
  </r>
  <r>
    <s v="PPT1_BOI04"/>
    <s v="S1CS05997-WS"/>
    <n v="380"/>
    <s v="207198186"/>
    <s v="NW"/>
    <n v="4"/>
    <n v="0.55731819101810465"/>
    <x v="9"/>
    <x v="1"/>
    <n v="0"/>
    <x v="0"/>
    <m/>
  </r>
  <r>
    <s v="PPT1_BOI04"/>
    <s v="S1CS05997-WS"/>
    <n v="570"/>
    <s v="207201916"/>
    <s v="NW"/>
    <n v="4"/>
    <n v="0.83597728652715697"/>
    <x v="9"/>
    <x v="1"/>
    <n v="0"/>
    <x v="0"/>
    <m/>
  </r>
  <r>
    <s v="PPT1_BOI04"/>
    <s v="S1CS05997-WS"/>
    <n v="570"/>
    <s v="207198007"/>
    <s v="NW"/>
    <n v="4"/>
    <n v="0.83597728652715697"/>
    <x v="0"/>
    <x v="1"/>
    <n v="0"/>
    <x v="0"/>
    <m/>
  </r>
  <r>
    <s v="PPT1_BOI04"/>
    <s v="S1CS05997-WS"/>
    <n v="570"/>
    <s v="207201881"/>
    <s v="NW"/>
    <n v="4"/>
    <n v="0.83597728652715697"/>
    <x v="3"/>
    <x v="1"/>
    <n v="0"/>
    <x v="0"/>
    <m/>
  </r>
  <r>
    <s v="PPT1_BOI04"/>
    <s v="S1CS05997-WS"/>
    <n v="570"/>
    <s v="207198109"/>
    <s v="NW"/>
    <n v="4"/>
    <n v="0.83597728652715697"/>
    <x v="7"/>
    <x v="1"/>
    <n v="0"/>
    <x v="0"/>
    <m/>
  </r>
  <r>
    <s v="PPT1_BOI04"/>
    <s v="S1CS05997-WS"/>
    <n v="190"/>
    <s v="207201920"/>
    <s v="NW"/>
    <n v="4"/>
    <n v="0.27865909550905232"/>
    <x v="9"/>
    <x v="1"/>
    <n v="0"/>
    <x v="0"/>
    <m/>
  </r>
  <r>
    <s v="PPT1_BOI04"/>
    <s v="S1CS06002-WS"/>
    <n v="450"/>
    <s v="207199801"/>
    <s v="NW"/>
    <n v="4"/>
    <n v="0.42436800088701637"/>
    <x v="16"/>
    <x v="1"/>
    <n v="0"/>
    <x v="0"/>
    <m/>
  </r>
  <r>
    <s v="PPT1_BOI04"/>
    <s v="S1CS06002-WS"/>
    <n v="450"/>
    <s v="207199855"/>
    <s v="NW"/>
    <n v="4"/>
    <n v="0.42436800088701637"/>
    <x v="14"/>
    <x v="1"/>
    <n v="0"/>
    <x v="0"/>
    <m/>
  </r>
  <r>
    <s v="PPT1_BOI04"/>
    <s v="S1CS06002-WS"/>
    <n v="450"/>
    <s v="207199909"/>
    <s v="NW"/>
    <n v="4"/>
    <n v="0.42436800088701637"/>
    <x v="2"/>
    <x v="1"/>
    <n v="0"/>
    <x v="0"/>
    <m/>
  </r>
  <r>
    <s v="PPT1_BOI04"/>
    <s v="S1CS06003-WS"/>
    <n v="240"/>
    <s v="207199489"/>
    <s v="NW"/>
    <n v="2"/>
    <n v="0.64293091416608505"/>
    <x v="15"/>
    <x v="1"/>
    <n v="0"/>
    <x v="0"/>
    <m/>
  </r>
  <r>
    <s v="PPT1_BOI04"/>
    <s v="S1CS06003-WS"/>
    <n v="240"/>
    <s v="207199493"/>
    <s v="NW"/>
    <n v="2"/>
    <n v="0.64293091416608505"/>
    <x v="16"/>
    <x v="1"/>
    <n v="0"/>
    <x v="0"/>
    <m/>
  </r>
  <r>
    <s v="PPT1_BOI04"/>
    <s v="S1CS06003-WS"/>
    <n v="240"/>
    <s v="207199465"/>
    <s v="NW"/>
    <n v="2"/>
    <n v="0.64293091416608505"/>
    <x v="15"/>
    <x v="1"/>
    <n v="0"/>
    <x v="0"/>
    <m/>
  </r>
  <r>
    <s v="PPT1_BOI04"/>
    <s v="S1CS06003-WS"/>
    <n v="160"/>
    <s v="207199494"/>
    <s v="NW"/>
    <n v="2"/>
    <n v="0.42862060944405672"/>
    <x v="16"/>
    <x v="1"/>
    <n v="0"/>
    <x v="0"/>
    <m/>
  </r>
  <r>
    <s v="PPT1_BOI04"/>
    <s v="S1CS06003-WS"/>
    <n v="240"/>
    <s v="207199462"/>
    <s v="NW"/>
    <n v="2"/>
    <n v="0.64293091416608505"/>
    <x v="16"/>
    <x v="1"/>
    <n v="0"/>
    <x v="0"/>
    <m/>
  </r>
  <r>
    <s v="PPT1_BOI04"/>
    <s v="S1CS06003-WS"/>
    <n v="240"/>
    <s v="207199435"/>
    <s v="NW"/>
    <n v="2"/>
    <n v="0.64293091416608505"/>
    <x v="15"/>
    <x v="1"/>
    <n v="0"/>
    <x v="0"/>
    <m/>
  </r>
  <r>
    <s v="PPT1_BOI04"/>
    <s v="S1CS06094-WS"/>
    <n v="225"/>
    <s v="207200135"/>
    <s v="NW"/>
    <n v="3"/>
    <n v="0.46767017147201817"/>
    <x v="14"/>
    <x v="1"/>
    <n v="0"/>
    <x v="0"/>
    <m/>
  </r>
  <r>
    <s v="PPT1_BOI04"/>
    <s v="S1CS06094-WS"/>
    <n v="225"/>
    <s v="207200190"/>
    <s v="NW"/>
    <n v="3"/>
    <n v="0.46767017147201817"/>
    <x v="2"/>
    <x v="1"/>
    <n v="0"/>
    <x v="0"/>
    <m/>
  </r>
  <r>
    <s v="PPT1_BOI04"/>
    <s v="S1CS06094-WS"/>
    <n v="225"/>
    <s v="207199258"/>
    <s v="NW"/>
    <n v="3"/>
    <n v="0.46767017147201817"/>
    <x v="5"/>
    <x v="1"/>
    <n v="0"/>
    <x v="0"/>
    <m/>
  </r>
  <r>
    <s v="PPT1_BOI04"/>
    <s v="S1CS06094-WS"/>
    <n v="225"/>
    <s v="207200196"/>
    <s v="NW"/>
    <n v="3"/>
    <n v="0.46767017147201817"/>
    <x v="14"/>
    <x v="1"/>
    <n v="0"/>
    <x v="0"/>
    <m/>
  </r>
  <r>
    <s v="PPT1_BOI04"/>
    <s v="S1CS06094-WS"/>
    <n v="225"/>
    <s v="207199865"/>
    <s v="NW"/>
    <n v="3"/>
    <n v="0.46767017147201817"/>
    <x v="2"/>
    <x v="1"/>
    <n v="0"/>
    <x v="0"/>
    <m/>
  </r>
  <r>
    <s v="PPT1_BOI04"/>
    <s v="S1CS06094-WS"/>
    <n v="225"/>
    <s v="207199929"/>
    <s v="NW"/>
    <n v="3"/>
    <n v="0.46767017147201817"/>
    <x v="5"/>
    <x v="1"/>
    <n v="0"/>
    <x v="0"/>
    <m/>
  </r>
  <r>
    <s v="PPT1_BOI04"/>
    <s v="S1CS06094-WS"/>
    <n v="225"/>
    <s v="207199843"/>
    <s v="NW"/>
    <n v="3"/>
    <n v="0.46767017147201817"/>
    <x v="14"/>
    <x v="1"/>
    <n v="0"/>
    <x v="0"/>
    <m/>
  </r>
  <r>
    <s v="PPT1_BOI04"/>
    <s v="S1CS06094-WS"/>
    <n v="225"/>
    <s v="207199655"/>
    <s v="NW"/>
    <n v="3"/>
    <n v="0.46767017147201817"/>
    <x v="2"/>
    <x v="1"/>
    <n v="0"/>
    <x v="0"/>
    <m/>
  </r>
  <r>
    <s v="PPT1_BOI04"/>
    <s v="S1CS06094-WS"/>
    <n v="225"/>
    <s v="207199756"/>
    <s v="NW"/>
    <n v="3"/>
    <n v="0.46767017147201817"/>
    <x v="5"/>
    <x v="1"/>
    <n v="0"/>
    <x v="0"/>
    <m/>
  </r>
  <r>
    <s v="PPT1_BOI04"/>
    <s v="S1CS06094-WS"/>
    <n v="225"/>
    <s v="207199404"/>
    <s v="NW"/>
    <n v="3"/>
    <n v="0.46767017147201817"/>
    <x v="14"/>
    <x v="1"/>
    <n v="0"/>
    <x v="0"/>
    <m/>
  </r>
  <r>
    <s v="PPT1_BOI04"/>
    <s v="S1CS06094-WS"/>
    <n v="225"/>
    <s v="207199324"/>
    <s v="NW"/>
    <n v="3"/>
    <n v="0.46767017147201817"/>
    <x v="2"/>
    <x v="1"/>
    <n v="0"/>
    <x v="0"/>
    <m/>
  </r>
  <r>
    <s v="PPT1_BOI04"/>
    <s v="S1CS06094-WS"/>
    <n v="225"/>
    <s v="207199446"/>
    <s v="NW"/>
    <n v="3"/>
    <n v="0.46767017147201817"/>
    <x v="5"/>
    <x v="1"/>
    <n v="0"/>
    <x v="0"/>
    <m/>
  </r>
  <r>
    <s v="PPT1_BOI04"/>
    <s v="S1CS06094-WS"/>
    <n v="225"/>
    <s v="207199547"/>
    <s v="NW"/>
    <n v="3"/>
    <n v="0.46767017147201817"/>
    <x v="14"/>
    <x v="1"/>
    <n v="0"/>
    <x v="0"/>
    <m/>
  </r>
  <r>
    <s v="PPT1_BOI04"/>
    <s v="S1CS06094-WS"/>
    <n v="225"/>
    <s v="207199483"/>
    <s v="NW"/>
    <n v="3"/>
    <n v="0.46767017147201817"/>
    <x v="2"/>
    <x v="1"/>
    <n v="0"/>
    <x v="0"/>
    <m/>
  </r>
  <r>
    <s v="PPT1_BOI04"/>
    <s v="S1CS06094-WS"/>
    <n v="225"/>
    <s v="207200240"/>
    <s v="NW"/>
    <n v="3"/>
    <n v="0.46767017147201817"/>
    <x v="5"/>
    <x v="1"/>
    <n v="0"/>
    <x v="0"/>
    <m/>
  </r>
  <r>
    <s v="PPT1_BOI04"/>
    <s v="S1CS06094-WS"/>
    <n v="225"/>
    <s v="207201305"/>
    <s v="NW"/>
    <n v="3"/>
    <n v="0.46767017147201817"/>
    <x v="14"/>
    <x v="1"/>
    <n v="0"/>
    <x v="0"/>
    <m/>
  </r>
  <r>
    <s v="PPT1_BOI04"/>
    <s v="S1CS06094-WS"/>
    <n v="225"/>
    <s v="207201303"/>
    <s v="NW"/>
    <n v="3"/>
    <n v="0.46767017147201817"/>
    <x v="2"/>
    <x v="1"/>
    <n v="0"/>
    <x v="0"/>
    <m/>
  </r>
  <r>
    <s v="PPT1_BOI04"/>
    <s v="S1CS06094-WS"/>
    <n v="225"/>
    <s v="207201301"/>
    <s v="NW"/>
    <n v="3"/>
    <n v="0.46767017147201817"/>
    <x v="5"/>
    <x v="1"/>
    <n v="0"/>
    <x v="0"/>
    <m/>
  </r>
  <r>
    <s v="PPT1_BOI04"/>
    <s v="S1CS06094-WS"/>
    <n v="225"/>
    <s v="207201336"/>
    <s v="NW"/>
    <n v="3"/>
    <n v="0.46767017147201817"/>
    <x v="14"/>
    <x v="1"/>
    <n v="0"/>
    <x v="0"/>
    <m/>
  </r>
  <r>
    <s v="PPT1_BOI04"/>
    <s v="S1CS06094-WS"/>
    <n v="225"/>
    <s v="207201329"/>
    <s v="NW"/>
    <n v="3"/>
    <n v="0.46767017147201817"/>
    <x v="2"/>
    <x v="1"/>
    <n v="0"/>
    <x v="0"/>
    <m/>
  </r>
  <r>
    <s v="PPT1_BOI04"/>
    <s v="S1CS06094-WS"/>
    <n v="225"/>
    <s v="207201330"/>
    <s v="NW"/>
    <n v="3"/>
    <n v="0.46767017147201817"/>
    <x v="5"/>
    <x v="1"/>
    <n v="0"/>
    <x v="0"/>
    <m/>
  </r>
  <r>
    <s v="PPT1_BOI04"/>
    <s v="S1CS06094-WS"/>
    <n v="225"/>
    <s v="207201332"/>
    <s v="NW"/>
    <n v="3"/>
    <n v="0.46767017147201817"/>
    <x v="14"/>
    <x v="1"/>
    <n v="0"/>
    <x v="0"/>
    <m/>
  </r>
  <r>
    <s v="PPT1_BOI04"/>
    <s v="S1CS06094-WS"/>
    <n v="225"/>
    <s v="207200309"/>
    <s v="NW"/>
    <n v="3"/>
    <n v="0.46767017147201817"/>
    <x v="2"/>
    <x v="1"/>
    <n v="0"/>
    <x v="0"/>
    <m/>
  </r>
  <r>
    <s v="PPT1_BOI04"/>
    <s v="S1CS06094-WS"/>
    <n v="225"/>
    <s v="207200265"/>
    <s v="NW"/>
    <n v="3"/>
    <n v="0.46767017147201817"/>
    <x v="5"/>
    <x v="1"/>
    <n v="0"/>
    <x v="0"/>
    <m/>
  </r>
  <r>
    <s v="PPT1_BOI04"/>
    <s v="S1CS06094-WS"/>
    <n v="225"/>
    <s v="207201289"/>
    <s v="NW"/>
    <n v="3"/>
    <n v="0.46767017147201817"/>
    <x v="14"/>
    <x v="1"/>
    <n v="0"/>
    <x v="0"/>
    <m/>
  </r>
  <r>
    <s v="PPT1_BOI04"/>
    <s v="S1CS06094-WS"/>
    <n v="225"/>
    <s v="207201322"/>
    <s v="NW"/>
    <n v="3"/>
    <n v="0.46767017147201817"/>
    <x v="2"/>
    <x v="1"/>
    <n v="0"/>
    <x v="0"/>
    <m/>
  </r>
  <r>
    <s v="PPT1_BOI04"/>
    <s v="S1CS06129-WS"/>
    <n v="225"/>
    <s v="207201787"/>
    <s v="NW"/>
    <n v="4"/>
    <n v="0.47327438722589255"/>
    <x v="8"/>
    <x v="1"/>
    <n v="0"/>
    <x v="0"/>
    <m/>
  </r>
  <r>
    <s v="PPT1_BOI04"/>
    <s v="S1CS06129-WS"/>
    <n v="225"/>
    <s v="207201512"/>
    <s v="NW"/>
    <n v="4"/>
    <n v="0.47327438722589255"/>
    <x v="12"/>
    <x v="1"/>
    <n v="0"/>
    <x v="0"/>
    <m/>
  </r>
  <r>
    <s v="PPT1_BOI04"/>
    <s v="S1CS06129-WS"/>
    <n v="225"/>
    <s v="207201532"/>
    <s v="NW"/>
    <n v="4"/>
    <n v="0.47327438722589255"/>
    <x v="13"/>
    <x v="1"/>
    <n v="0"/>
    <x v="0"/>
    <m/>
  </r>
  <r>
    <s v="PPT1_BOI04"/>
    <s v="S1CS06129-WS"/>
    <n v="225"/>
    <s v="207201515"/>
    <s v="NW"/>
    <n v="4"/>
    <n v="0.47327438722589255"/>
    <x v="8"/>
    <x v="1"/>
    <n v="0"/>
    <x v="0"/>
    <m/>
  </r>
  <r>
    <s v="PPT1_BOI04"/>
    <s v="S1CS06129-WS"/>
    <n v="225"/>
    <s v="207201722"/>
    <s v="NW"/>
    <n v="4"/>
    <n v="0.47327438722589255"/>
    <x v="6"/>
    <x v="1"/>
    <n v="0"/>
    <x v="0"/>
    <m/>
  </r>
  <r>
    <s v="PPT1_BOI04"/>
    <s v="S1CS06129-WS"/>
    <n v="225"/>
    <s v="207202015"/>
    <s v="NW"/>
    <n v="4"/>
    <n v="0.47327438722589255"/>
    <x v="12"/>
    <x v="1"/>
    <n v="0"/>
    <x v="0"/>
    <m/>
  </r>
  <r>
    <s v="PPT1_BOI04"/>
    <s v="S1CS06129-WS"/>
    <n v="225"/>
    <s v="207202019"/>
    <s v="NW"/>
    <n v="4"/>
    <n v="0.47327438722589255"/>
    <x v="13"/>
    <x v="1"/>
    <n v="0"/>
    <x v="0"/>
    <m/>
  </r>
  <r>
    <s v="PPT1_BOI04"/>
    <s v="S1CS06129-WS"/>
    <n v="225"/>
    <s v="207201864"/>
    <s v="NW"/>
    <n v="4"/>
    <n v="0.47327438722589255"/>
    <x v="8"/>
    <x v="1"/>
    <n v="0"/>
    <x v="0"/>
    <m/>
  </r>
  <r>
    <s v="PPT1_BOI04"/>
    <s v="S1CS06129-WS"/>
    <n v="225"/>
    <s v="207201718"/>
    <s v="NW"/>
    <n v="4"/>
    <n v="0.47327438722589255"/>
    <x v="6"/>
    <x v="1"/>
    <n v="0"/>
    <x v="0"/>
    <m/>
  </r>
  <r>
    <s v="PPT1_BOI04"/>
    <s v="S1CS06129-WS"/>
    <n v="225"/>
    <s v="207201700"/>
    <s v="NW"/>
    <n v="4"/>
    <n v="0.47327438722589255"/>
    <x v="12"/>
    <x v="1"/>
    <n v="0"/>
    <x v="0"/>
    <m/>
  </r>
  <r>
    <s v="PPT1_BOI04"/>
    <s v="S1CS06129-WS"/>
    <n v="225"/>
    <s v="207202010"/>
    <s v="NW"/>
    <n v="4"/>
    <n v="0.47327438722589255"/>
    <x v="13"/>
    <x v="1"/>
    <n v="0"/>
    <x v="0"/>
    <m/>
  </r>
  <r>
    <s v="PPT1_BOI04"/>
    <s v="S1CS06129-WS"/>
    <n v="225"/>
    <s v="207201997"/>
    <s v="NW"/>
    <n v="4"/>
    <n v="0.47327438722589255"/>
    <x v="8"/>
    <x v="1"/>
    <n v="0"/>
    <x v="0"/>
    <m/>
  </r>
  <r>
    <s v="PPT1_BOI04"/>
    <s v="S1CS06129-WS"/>
    <n v="225"/>
    <s v="207201702"/>
    <s v="NW"/>
    <n v="4"/>
    <n v="0.47327438722589255"/>
    <x v="6"/>
    <x v="1"/>
    <n v="0"/>
    <x v="0"/>
    <m/>
  </r>
  <r>
    <s v="PPT1_BOI04"/>
    <s v="S1CS06129-WS"/>
    <n v="225"/>
    <s v="207201862"/>
    <s v="NW"/>
    <n v="4"/>
    <n v="0.47327438722589255"/>
    <x v="12"/>
    <x v="1"/>
    <n v="0"/>
    <x v="0"/>
    <m/>
  </r>
  <r>
    <s v="PPT1_BOI04"/>
    <s v="S1CS06129-WS"/>
    <n v="225"/>
    <s v="207201791"/>
    <s v="NW"/>
    <n v="4"/>
    <n v="0.47327438722589255"/>
    <x v="13"/>
    <x v="1"/>
    <n v="0"/>
    <x v="0"/>
    <m/>
  </r>
  <r>
    <s v="PPT1_BOI04"/>
    <s v="S1CS06129-WS"/>
    <n v="225"/>
    <s v="207201602"/>
    <s v="NW"/>
    <n v="4"/>
    <n v="0.47327438722589255"/>
    <x v="8"/>
    <x v="1"/>
    <n v="0"/>
    <x v="0"/>
    <m/>
  </r>
  <r>
    <s v="PPT1_BOI04"/>
    <s v="S1CS06129-WS"/>
    <n v="225"/>
    <s v="207201773"/>
    <s v="NW"/>
    <n v="4"/>
    <n v="0.47327438722589255"/>
    <x v="6"/>
    <x v="1"/>
    <n v="0"/>
    <x v="0"/>
    <m/>
  </r>
  <r>
    <s v="PPT1_BOI04"/>
    <s v="S1CS06129-WS"/>
    <n v="225"/>
    <s v="207201597"/>
    <s v="NW"/>
    <n v="4"/>
    <n v="0.47327438722589255"/>
    <x v="12"/>
    <x v="1"/>
    <n v="0"/>
    <x v="0"/>
    <m/>
  </r>
  <r>
    <s v="PPT1_BOI04"/>
    <s v="S1CS06129-WS"/>
    <n v="225"/>
    <s v="207201770"/>
    <s v="NW"/>
    <n v="4"/>
    <n v="0.47327438722589255"/>
    <x v="13"/>
    <x v="1"/>
    <n v="0"/>
    <x v="0"/>
    <m/>
  </r>
  <r>
    <s v="PPT1_BOI04"/>
    <s v="S1CS06129-WS"/>
    <n v="225"/>
    <s v="207201623"/>
    <s v="NW"/>
    <n v="4"/>
    <n v="0.47327438722589255"/>
    <x v="8"/>
    <x v="1"/>
    <n v="0"/>
    <x v="0"/>
    <m/>
  </r>
  <r>
    <s v="PPT1_BOI04"/>
    <s v="S1CS06129-WS"/>
    <n v="225"/>
    <s v="207202050"/>
    <s v="NW"/>
    <n v="4"/>
    <n v="0.47327438722589255"/>
    <x v="6"/>
    <x v="1"/>
    <n v="0"/>
    <x v="0"/>
    <m/>
  </r>
  <r>
    <s v="PPT1_BOI04"/>
    <s v="S1CS06129-WS"/>
    <n v="225"/>
    <s v="207201795"/>
    <s v="NW"/>
    <n v="4"/>
    <n v="0.47327438722589255"/>
    <x v="12"/>
    <x v="1"/>
    <n v="0"/>
    <x v="0"/>
    <m/>
  </r>
  <r>
    <s v="PPT1_BOI04"/>
    <s v="S1CS06129-WS"/>
    <n v="225"/>
    <s v="207201619"/>
    <s v="NW"/>
    <n v="4"/>
    <n v="0.47327438722589255"/>
    <x v="13"/>
    <x v="1"/>
    <n v="0"/>
    <x v="0"/>
    <m/>
  </r>
  <r>
    <s v="PPT1_BOI04"/>
    <s v="S1CS06130-WS"/>
    <n v="1080"/>
    <s v="207202329"/>
    <s v="NW"/>
    <n v="5"/>
    <n v="1.2436526736825757"/>
    <x v="1"/>
    <x v="1"/>
    <n v="0"/>
    <x v="0"/>
    <m/>
  </r>
  <r>
    <s v="PPT1_BOI04"/>
    <s v="S1CS06130-WS"/>
    <n v="1080"/>
    <s v="207202325"/>
    <s v="NW"/>
    <n v="5"/>
    <n v="1.2436526736825757"/>
    <x v="17"/>
    <x v="1"/>
    <n v="0"/>
    <x v="0"/>
    <m/>
  </r>
  <r>
    <s v="PPT1_BOI04"/>
    <s v="S1CS06130-WS"/>
    <n v="1080"/>
    <s v="207202328"/>
    <s v="NW"/>
    <n v="5"/>
    <n v="1.2436526736825757"/>
    <x v="10"/>
    <x v="1"/>
    <n v="0"/>
    <x v="0"/>
    <m/>
  </r>
  <r>
    <s v="PPT1_BOI04"/>
    <s v="S1CS06130-WS"/>
    <n v="1080"/>
    <s v="207202327"/>
    <s v="NW"/>
    <n v="5"/>
    <n v="1.2436526736825757"/>
    <x v="0"/>
    <x v="1"/>
    <n v="0"/>
    <x v="0"/>
    <m/>
  </r>
  <r>
    <s v="PPT1_BOI04"/>
    <s v="S1CS06130-WS"/>
    <n v="1080"/>
    <s v="207202326"/>
    <s v="NW"/>
    <n v="5"/>
    <n v="1.2436526736825757"/>
    <x v="3"/>
    <x v="1"/>
    <n v="0"/>
    <x v="0"/>
    <m/>
  </r>
  <r>
    <s v="PPT1_BOI04"/>
    <s v="S1CS06189-WS"/>
    <n v="400"/>
    <s v="207197766"/>
    <s v="NW"/>
    <n v="6"/>
    <n v="0.35911478755069859"/>
    <x v="7"/>
    <x v="1"/>
    <n v="0"/>
    <x v="0"/>
    <m/>
  </r>
  <r>
    <s v="PPT1_BOI04"/>
    <s v="S1CS06244-WS"/>
    <n v="100"/>
    <s v="207200290"/>
    <s v="NW"/>
    <n v="3"/>
    <n v="0.19964173790533907"/>
    <x v="9"/>
    <x v="1"/>
    <n v="0"/>
    <x v="0"/>
    <m/>
  </r>
  <r>
    <s v="PPT1_BOI04"/>
    <s v="S1CS06245-WS"/>
    <n v="440"/>
    <s v="207198951"/>
    <s v="NW"/>
    <n v="6"/>
    <n v="0.5475576034666505"/>
    <x v="9"/>
    <x v="1"/>
    <n v="0"/>
    <x v="0"/>
    <m/>
  </r>
  <r>
    <s v="PPT1_BOI04"/>
    <s v="S1CS06246-WS"/>
    <n v="380"/>
    <s v="207197423"/>
    <s v="NW"/>
    <n v="6"/>
    <n v="0.50499843785130105"/>
    <x v="7"/>
    <x v="1"/>
    <n v="0"/>
    <x v="0"/>
    <m/>
  </r>
  <r>
    <s v="PPT1_BOI04"/>
    <s v="S1CS06247-WS"/>
    <n v="360"/>
    <s v="207197485"/>
    <s v="NW"/>
    <n v="6"/>
    <n v="0.96480715334312017"/>
    <x v="16"/>
    <x v="1"/>
    <n v="0"/>
    <x v="0"/>
    <m/>
  </r>
  <r>
    <s v="PPT1_BOI04"/>
    <s v="S1CS06248-WS"/>
    <n v="380"/>
    <s v="207197516"/>
    <s v="NW"/>
    <n v="8"/>
    <n v="0.59663147129726679"/>
    <x v="15"/>
    <x v="1"/>
    <n v="0"/>
    <x v="0"/>
    <m/>
  </r>
  <r>
    <s v="PPT1_BOI04"/>
    <s v="S1CS06270-52-WS"/>
    <n v="50"/>
    <s v="207199812"/>
    <s v="NW"/>
    <n v="1"/>
    <n v="0.16851743675501493"/>
    <x v="4"/>
    <x v="1"/>
    <n v="0"/>
    <x v="0"/>
    <m/>
  </r>
  <r>
    <s v="PPT1_BOI04"/>
    <s v="S1CS06270-54-WS"/>
    <n v="50"/>
    <s v="207199900"/>
    <s v="NW"/>
    <n v="2"/>
    <n v="0.16851743675501493"/>
    <x v="9"/>
    <x v="1"/>
    <n v="0"/>
    <x v="0"/>
    <m/>
  </r>
  <r>
    <s v="PPT1_BOI04"/>
    <s v="S1CS06270-60-WS"/>
    <n v="50"/>
    <s v="207197544"/>
    <s v="NW"/>
    <n v="2"/>
    <n v="0.16851743675501493"/>
    <x v="7"/>
    <x v="1"/>
    <n v="0"/>
    <x v="0"/>
    <m/>
  </r>
  <r>
    <s v="PPT1_BOI04"/>
    <s v="S1CS06295-WS"/>
    <n v="150"/>
    <s v="207198128"/>
    <s v="NW"/>
    <n v="5"/>
    <n v="0.38806921208388923"/>
    <x v="4"/>
    <x v="1"/>
    <n v="0"/>
    <x v="0"/>
    <m/>
  </r>
  <r>
    <s v="PPT1_BOI04"/>
    <s v="S1CS06295-WS"/>
    <n v="150"/>
    <s v="207198135"/>
    <s v="NW"/>
    <n v="5"/>
    <n v="0.38806921208388923"/>
    <x v="9"/>
    <x v="1"/>
    <n v="0"/>
    <x v="0"/>
    <m/>
  </r>
  <r>
    <s v="PPT1_BOI04"/>
    <s v="S1CS06295-WS"/>
    <n v="150"/>
    <s v="207198269"/>
    <s v="NW"/>
    <n v="5"/>
    <n v="0.38806921208388923"/>
    <x v="7"/>
    <x v="1"/>
    <n v="0"/>
    <x v="0"/>
    <m/>
  </r>
  <r>
    <s v="PPT1_BOI04"/>
    <s v="S1CS06295-WS"/>
    <n v="150"/>
    <s v="207198060"/>
    <s v="NW"/>
    <n v="5"/>
    <n v="0.38806921208388923"/>
    <x v="1"/>
    <x v="1"/>
    <n v="0"/>
    <x v="0"/>
    <m/>
  </r>
  <r>
    <s v="PPT1_BOI04"/>
    <s v="S1CS06295-WS"/>
    <n v="150"/>
    <s v="207198202"/>
    <s v="NW"/>
    <n v="5"/>
    <n v="0.38806921208388923"/>
    <x v="17"/>
    <x v="1"/>
    <n v="0"/>
    <x v="0"/>
    <m/>
  </r>
  <r>
    <s v="PPT1_BOI04"/>
    <s v="S1CS06295-WS"/>
    <n v="150"/>
    <s v="207198312"/>
    <s v="NW"/>
    <n v="5"/>
    <n v="0.38806921208388923"/>
    <x v="4"/>
    <x v="1"/>
    <n v="0"/>
    <x v="0"/>
    <m/>
  </r>
  <r>
    <s v="PPT1_BOI04"/>
    <s v="S1CS06296-WS"/>
    <n v="300"/>
    <s v="207198982"/>
    <s v="NW"/>
    <n v="11"/>
    <n v="0.40596601602408988"/>
    <x v="10"/>
    <x v="1"/>
    <n v="0"/>
    <x v="0"/>
    <m/>
  </r>
  <r>
    <s v="PPT1_BOI04"/>
    <s v="S1CS06296-WS"/>
    <n v="300"/>
    <s v="207199098"/>
    <s v="NW"/>
    <n v="11"/>
    <n v="0.40596601602408988"/>
    <x v="0"/>
    <x v="1"/>
    <n v="0"/>
    <x v="0"/>
    <m/>
  </r>
  <r>
    <s v="PPT1_BOI04"/>
    <s v="S1CS06296-WS"/>
    <n v="300"/>
    <s v="207199049"/>
    <s v="NW"/>
    <n v="11"/>
    <n v="0.40596601602408988"/>
    <x v="3"/>
    <x v="1"/>
    <n v="0"/>
    <x v="0"/>
    <m/>
  </r>
  <r>
    <s v="PPT1_BOI04"/>
    <s v="S1CS06300-WS"/>
    <n v="100"/>
    <s v="207199059"/>
    <s v="NW"/>
    <n v="8"/>
    <n v="0.14935339781343995"/>
    <x v="15"/>
    <x v="1"/>
    <n v="0"/>
    <x v="0"/>
    <m/>
  </r>
  <r>
    <s v="PPT1_BOI04"/>
    <s v="S1CS06317-WS"/>
    <n v="225"/>
    <s v="207200367"/>
    <s v="NW"/>
    <n v="8"/>
    <n v="0.42722029105579767"/>
    <x v="9"/>
    <x v="1"/>
    <n v="0"/>
    <x v="0"/>
    <m/>
  </r>
  <r>
    <s v="PPT1_BOI04"/>
    <s v="S1CS06317-WS"/>
    <n v="225"/>
    <s v="207200324"/>
    <s v="NW"/>
    <n v="8"/>
    <n v="0.42722029105579767"/>
    <x v="15"/>
    <x v="1"/>
    <n v="0"/>
    <x v="0"/>
    <m/>
  </r>
  <r>
    <s v="PPT1_BOI04"/>
    <s v="S1CS06317-WS"/>
    <n v="225"/>
    <s v="207200371"/>
    <s v="NW"/>
    <n v="8"/>
    <n v="0.42722029105579767"/>
    <x v="7"/>
    <x v="1"/>
    <n v="0"/>
    <x v="0"/>
    <m/>
  </r>
  <r>
    <s v="PPT1_BOI04"/>
    <s v="S1CS06317-WS"/>
    <n v="225"/>
    <s v="207200369"/>
    <s v="NW"/>
    <n v="8"/>
    <n v="0.42722029105579767"/>
    <x v="1"/>
    <x v="1"/>
    <n v="0"/>
    <x v="0"/>
    <m/>
  </r>
  <r>
    <s v="PPT1_BOI04"/>
    <s v="S1CS06317-WS"/>
    <n v="225"/>
    <s v="207200275"/>
    <s v="NW"/>
    <n v="8"/>
    <n v="0.42722029105579767"/>
    <x v="16"/>
    <x v="1"/>
    <n v="0"/>
    <x v="0"/>
    <m/>
  </r>
  <r>
    <s v="PPT1_BOI04"/>
    <s v="S1CS06317-WS"/>
    <n v="225"/>
    <s v="207200273"/>
    <s v="NW"/>
    <n v="8"/>
    <n v="0.42722029105579767"/>
    <x v="17"/>
    <x v="1"/>
    <n v="0"/>
    <x v="0"/>
    <m/>
  </r>
  <r>
    <s v="PPT1_BOI04"/>
    <s v="S1CS06317-WS"/>
    <n v="225"/>
    <s v="207200321"/>
    <s v="NW"/>
    <n v="8"/>
    <n v="0.42722029105579767"/>
    <x v="10"/>
    <x v="1"/>
    <n v="0"/>
    <x v="0"/>
    <m/>
  </r>
  <r>
    <s v="PPT1_BOI04"/>
    <s v="S1CS06317-WS"/>
    <n v="225"/>
    <s v="207200318"/>
    <s v="NW"/>
    <n v="8"/>
    <n v="0.42722029105579767"/>
    <x v="0"/>
    <x v="1"/>
    <n v="0"/>
    <x v="0"/>
    <m/>
  </r>
  <r>
    <s v="PPT1_BOI04"/>
    <s v="S1CS06317-WS"/>
    <n v="225"/>
    <s v="207201605"/>
    <s v="NW"/>
    <n v="8"/>
    <n v="0.42722029105579767"/>
    <x v="9"/>
    <x v="1"/>
    <n v="0"/>
    <x v="0"/>
    <m/>
  </r>
  <r>
    <s v="PPT1_BOI04"/>
    <s v="S1CS06317-WS"/>
    <n v="225"/>
    <s v="207201617"/>
    <s v="NW"/>
    <n v="8"/>
    <n v="0.42722029105579767"/>
    <x v="15"/>
    <x v="1"/>
    <n v="0"/>
    <x v="0"/>
    <m/>
  </r>
  <r>
    <s v="PPT1_BOI04"/>
    <s v="S1CS06317-WS"/>
    <n v="225"/>
    <s v="207201584"/>
    <s v="NW"/>
    <n v="8"/>
    <n v="0.42722029105579767"/>
    <x v="7"/>
    <x v="1"/>
    <n v="0"/>
    <x v="0"/>
    <m/>
  </r>
  <r>
    <s v="PPT1_BOI04"/>
    <s v="S1CS06317-WS"/>
    <n v="225"/>
    <s v="207201600"/>
    <s v="NW"/>
    <n v="8"/>
    <n v="0.42722029105579767"/>
    <x v="1"/>
    <x v="1"/>
    <n v="0"/>
    <x v="0"/>
    <m/>
  </r>
  <r>
    <s v="PPT1_BOI04"/>
    <s v="S1CS06317-WS"/>
    <n v="225"/>
    <s v="207200375"/>
    <s v="NW"/>
    <n v="8"/>
    <n v="0.42722029105579767"/>
    <x v="16"/>
    <x v="1"/>
    <n v="0"/>
    <x v="0"/>
    <m/>
  </r>
  <r>
    <s v="PPT1_BOI04"/>
    <s v="S1CS06317-WS"/>
    <n v="225"/>
    <s v="207200373"/>
    <s v="NW"/>
    <n v="8"/>
    <n v="0.42722029105579767"/>
    <x v="17"/>
    <x v="1"/>
    <n v="0"/>
    <x v="0"/>
    <m/>
  </r>
  <r>
    <s v="PPT1_BOI04"/>
    <s v="S1CS06317-WS"/>
    <n v="225"/>
    <s v="207201621"/>
    <s v="NW"/>
    <n v="8"/>
    <n v="0.42722029105579767"/>
    <x v="10"/>
    <x v="1"/>
    <n v="0"/>
    <x v="0"/>
    <m/>
  </r>
  <r>
    <s v="PPT1_BOI04"/>
    <s v="S1CS06317-WS"/>
    <n v="75"/>
    <s v="207201625"/>
    <s v="NW"/>
    <n v="8"/>
    <n v="0.14240676368526589"/>
    <x v="0"/>
    <x v="1"/>
    <n v="0"/>
    <x v="0"/>
    <m/>
  </r>
  <r>
    <s v="PPT1_BOI04"/>
    <s v="S1CS06317-WS"/>
    <n v="225"/>
    <s v="207200272"/>
    <s v="NW"/>
    <n v="8"/>
    <n v="0.42722029105579767"/>
    <x v="0"/>
    <x v="1"/>
    <n v="0"/>
    <x v="0"/>
    <m/>
  </r>
  <r>
    <s v="PPT1_BOI04"/>
    <s v="S1CS06317-WS"/>
    <n v="225"/>
    <s v="207201775"/>
    <s v="NW"/>
    <n v="8"/>
    <n v="0.42722029105579767"/>
    <x v="9"/>
    <x v="1"/>
    <n v="0"/>
    <x v="0"/>
    <m/>
  </r>
  <r>
    <s v="PPT1_BOI04"/>
    <s v="S1CS06317-WS"/>
    <n v="225"/>
    <s v="207201771"/>
    <s v="NW"/>
    <n v="8"/>
    <n v="0.42722029105579767"/>
    <x v="15"/>
    <x v="1"/>
    <n v="0"/>
    <x v="0"/>
    <m/>
  </r>
  <r>
    <s v="PPT1_BOI04"/>
    <s v="S1CS06317-WS"/>
    <n v="225"/>
    <s v="207201701"/>
    <s v="NW"/>
    <n v="8"/>
    <n v="0.42722029105579767"/>
    <x v="7"/>
    <x v="1"/>
    <n v="0"/>
    <x v="0"/>
    <m/>
  </r>
  <r>
    <s v="PPT1_BOI04"/>
    <s v="S1CS06317-WS"/>
    <n v="225"/>
    <s v="207201789"/>
    <s v="NW"/>
    <n v="8"/>
    <n v="0.42722029105579767"/>
    <x v="1"/>
    <x v="1"/>
    <n v="0"/>
    <x v="0"/>
    <m/>
  </r>
  <r>
    <s v="PPT1_BOI04"/>
    <s v="S1CS06317-WS"/>
    <n v="225"/>
    <s v="207201706"/>
    <s v="NW"/>
    <n v="8"/>
    <n v="0.42722029105579767"/>
    <x v="16"/>
    <x v="1"/>
    <n v="0"/>
    <x v="0"/>
    <m/>
  </r>
  <r>
    <s v="PPT1_BOI04"/>
    <s v="S1CS06317-WS"/>
    <n v="225"/>
    <s v="207201704"/>
    <s v="NW"/>
    <n v="8"/>
    <n v="0.42722029105579767"/>
    <x v="17"/>
    <x v="1"/>
    <n v="0"/>
    <x v="0"/>
    <m/>
  </r>
  <r>
    <s v="PPT1_BOI04"/>
    <s v="S1CS06317-WS"/>
    <n v="225"/>
    <s v="207201768"/>
    <s v="NW"/>
    <n v="8"/>
    <n v="0.42722029105579767"/>
    <x v="10"/>
    <x v="1"/>
    <n v="0"/>
    <x v="0"/>
    <m/>
  </r>
  <r>
    <s v="PPT1_BOI04"/>
    <s v="S1CS06317-WS"/>
    <n v="225"/>
    <s v="207201720"/>
    <s v="NW"/>
    <n v="8"/>
    <n v="0.42722029105579767"/>
    <x v="0"/>
    <x v="1"/>
    <n v="0"/>
    <x v="0"/>
    <m/>
  </r>
  <r>
    <s v="PPT1_BOI04"/>
    <s v="S1CS06317-WS"/>
    <n v="225"/>
    <s v="207200233"/>
    <s v="NW"/>
    <n v="8"/>
    <n v="0.42722029105579767"/>
    <x v="9"/>
    <x v="1"/>
    <n v="0"/>
    <x v="0"/>
    <m/>
  </r>
  <r>
    <s v="PPT1_BOI04"/>
    <s v="S1CS06317-WS"/>
    <n v="225"/>
    <s v="207200229"/>
    <s v="NW"/>
    <n v="8"/>
    <n v="0.42722029105579767"/>
    <x v="15"/>
    <x v="1"/>
    <n v="0"/>
    <x v="0"/>
    <m/>
  </r>
  <r>
    <s v="PPT1_BOI04"/>
    <s v="S1CS06317-WS"/>
    <n v="225"/>
    <s v="207200269"/>
    <s v="NW"/>
    <n v="8"/>
    <n v="0.42722029105579767"/>
    <x v="7"/>
    <x v="1"/>
    <n v="0"/>
    <x v="0"/>
    <m/>
  </r>
  <r>
    <s v="PPT1_BOI04"/>
    <s v="S1CS06317-WS"/>
    <n v="225"/>
    <s v="207200267"/>
    <s v="NW"/>
    <n v="8"/>
    <n v="0.42722029105579767"/>
    <x v="1"/>
    <x v="1"/>
    <n v="0"/>
    <x v="0"/>
    <m/>
  </r>
  <r>
    <s v="PPT1_BOI04"/>
    <s v="S1CS06317-WS"/>
    <n v="225"/>
    <s v="207199979"/>
    <s v="NW"/>
    <n v="8"/>
    <n v="0.42722029105579767"/>
    <x v="16"/>
    <x v="1"/>
    <n v="0"/>
    <x v="0"/>
    <m/>
  </r>
  <r>
    <s v="PPT1_BOI04"/>
    <s v="S1CS06317-WS"/>
    <n v="225"/>
    <s v="207201793"/>
    <s v="NW"/>
    <n v="8"/>
    <n v="0.42722029105579767"/>
    <x v="17"/>
    <x v="1"/>
    <n v="0"/>
    <x v="0"/>
    <m/>
  </r>
  <r>
    <s v="PPT1_BOI04"/>
    <s v="S1CS06317-WS"/>
    <n v="225"/>
    <s v="207200011"/>
    <s v="NW"/>
    <n v="8"/>
    <n v="0.42722029105579767"/>
    <x v="10"/>
    <x v="1"/>
    <n v="0"/>
    <x v="0"/>
    <m/>
  </r>
  <r>
    <s v="PPT1_BOI04"/>
    <s v="S1CS06317-WS"/>
    <n v="225"/>
    <s v="207200007"/>
    <s v="NW"/>
    <n v="8"/>
    <n v="0.42722029105579767"/>
    <x v="0"/>
    <x v="1"/>
    <n v="0"/>
    <x v="0"/>
    <m/>
  </r>
  <r>
    <s v="PPT1_BOI04"/>
    <s v="S1CS06317-WS"/>
    <n v="225"/>
    <s v="207202012"/>
    <s v="NW"/>
    <n v="8"/>
    <n v="0.42722029105579767"/>
    <x v="9"/>
    <x v="1"/>
    <n v="0"/>
    <x v="0"/>
    <m/>
  </r>
  <r>
    <s v="PPT1_BOI04"/>
    <s v="S1CS06317-WS"/>
    <n v="225"/>
    <s v="207201514"/>
    <s v="NW"/>
    <n v="8"/>
    <n v="0.42722029105579767"/>
    <x v="15"/>
    <x v="1"/>
    <n v="0"/>
    <x v="0"/>
    <m/>
  </r>
  <r>
    <s v="PPT1_BOI04"/>
    <s v="S1CS06317-WS"/>
    <n v="225"/>
    <s v="207201527"/>
    <s v="NW"/>
    <n v="8"/>
    <n v="0.42722029105579767"/>
    <x v="7"/>
    <x v="1"/>
    <n v="0"/>
    <x v="0"/>
    <m/>
  </r>
  <r>
    <s v="PPT1_BOI04"/>
    <s v="S1CS06317-WS"/>
    <n v="225"/>
    <s v="207202014"/>
    <s v="NW"/>
    <n v="8"/>
    <n v="0.42722029105579767"/>
    <x v="1"/>
    <x v="1"/>
    <n v="0"/>
    <x v="0"/>
    <m/>
  </r>
  <r>
    <s v="PPT1_BOI04"/>
    <s v="S1CS06317-WS"/>
    <n v="225"/>
    <s v="207202049"/>
    <s v="NW"/>
    <n v="8"/>
    <n v="0.42722029105579767"/>
    <x v="16"/>
    <x v="1"/>
    <n v="0"/>
    <x v="0"/>
    <m/>
  </r>
  <r>
    <s v="PPT1_BOI04"/>
    <s v="S1CS06317-WS"/>
    <n v="225"/>
    <s v="207201985"/>
    <s v="NW"/>
    <n v="8"/>
    <n v="0.42722029105579767"/>
    <x v="17"/>
    <x v="1"/>
    <n v="0"/>
    <x v="0"/>
    <m/>
  </r>
  <r>
    <s v="PPT1_BOI04"/>
    <s v="S1CS06317-WS"/>
    <n v="225"/>
    <s v="207202008"/>
    <s v="NW"/>
    <n v="8"/>
    <n v="0.42722029105579767"/>
    <x v="10"/>
    <x v="1"/>
    <n v="0"/>
    <x v="0"/>
    <m/>
  </r>
  <r>
    <s v="PPT1_BOI04"/>
    <s v="S1CS06317-WS"/>
    <n v="225"/>
    <s v="207202047"/>
    <s v="NW"/>
    <n v="8"/>
    <n v="0.42722029105579767"/>
    <x v="0"/>
    <x v="1"/>
    <n v="0"/>
    <x v="0"/>
    <m/>
  </r>
  <r>
    <s v="PPT1_BOI04"/>
    <s v="S1CS06317-WS"/>
    <n v="225"/>
    <s v="207201978"/>
    <s v="NW"/>
    <n v="8"/>
    <n v="0.42722029105579767"/>
    <x v="9"/>
    <x v="1"/>
    <n v="0"/>
    <x v="0"/>
    <m/>
  </r>
  <r>
    <s v="PPT1_BOI04"/>
    <s v="S1CS06317-WS"/>
    <n v="225"/>
    <s v="207201982"/>
    <s v="NW"/>
    <n v="8"/>
    <n v="0.42722029105579767"/>
    <x v="15"/>
    <x v="1"/>
    <n v="0"/>
    <x v="0"/>
    <m/>
  </r>
  <r>
    <s v="PPT1_BOI04"/>
    <s v="S1CS06317-WS"/>
    <n v="225"/>
    <s v="207201510"/>
    <s v="NW"/>
    <n v="8"/>
    <n v="0.42722029105579767"/>
    <x v="7"/>
    <x v="1"/>
    <n v="0"/>
    <x v="0"/>
    <m/>
  </r>
  <r>
    <s v="PPT1_BOI04"/>
    <s v="S1CS06317-WS"/>
    <n v="225"/>
    <s v="207201972"/>
    <s v="NW"/>
    <n v="8"/>
    <n v="0.42722029105579767"/>
    <x v="1"/>
    <x v="1"/>
    <n v="0"/>
    <x v="0"/>
    <m/>
  </r>
  <r>
    <s v="PPT1_BOI04"/>
    <s v="S1CS06317-WS"/>
    <n v="225"/>
    <s v="207201983"/>
    <s v="NW"/>
    <n v="8"/>
    <n v="0.42722029105579767"/>
    <x v="16"/>
    <x v="1"/>
    <n v="0"/>
    <x v="0"/>
    <m/>
  </r>
  <r>
    <s v="PPT1_BOI04"/>
    <s v="S1CS06317-WS"/>
    <n v="225"/>
    <s v="207200326"/>
    <s v="NW"/>
    <n v="8"/>
    <n v="0.42722029105579767"/>
    <x v="17"/>
    <x v="1"/>
    <n v="0"/>
    <x v="0"/>
    <m/>
  </r>
  <r>
    <s v="PPT1_BOI04"/>
    <s v="S1CS06317-WS"/>
    <n v="225"/>
    <s v="207202017"/>
    <s v="NW"/>
    <n v="8"/>
    <n v="0.42722029105579767"/>
    <x v="10"/>
    <x v="1"/>
    <n v="0"/>
    <x v="0"/>
    <m/>
  </r>
  <r>
    <s v="PPT1_BOI04"/>
    <s v="S1CS06317-WS"/>
    <n v="225"/>
    <s v="207201500"/>
    <s v="NW"/>
    <n v="8"/>
    <n v="0.42722029105579767"/>
    <x v="0"/>
    <x v="1"/>
    <n v="0"/>
    <x v="0"/>
    <m/>
  </r>
  <r>
    <s v="PPT1_BOI04"/>
    <s v="S1CS06357-WS"/>
    <n v="360"/>
    <s v="207199604"/>
    <s v="NW"/>
    <n v="4"/>
    <n v="0.48015320888983304"/>
    <x v="3"/>
    <x v="1"/>
    <n v="0"/>
    <x v="0"/>
    <m/>
  </r>
  <r>
    <s v="PPT1_BOI04"/>
    <s v="S1CS06357-WS"/>
    <n v="240"/>
    <s v="207199677"/>
    <s v="NW"/>
    <n v="4"/>
    <n v="0.32010213925988867"/>
    <x v="4"/>
    <x v="1"/>
    <n v="0"/>
    <x v="0"/>
    <m/>
  </r>
  <r>
    <s v="PPT1_BOI04"/>
    <s v="S1CS06358-WS"/>
    <n v="360"/>
    <s v="207200472"/>
    <s v="NW"/>
    <n v="2"/>
    <n v="0.54462741869081921"/>
    <x v="8"/>
    <x v="1"/>
    <n v="0"/>
    <x v="0"/>
    <m/>
  </r>
  <r>
    <s v="PPT1_BOI04"/>
    <s v="S1CS06358-WS"/>
    <n v="120"/>
    <s v="207197365"/>
    <s v="NW"/>
    <n v="2"/>
    <n v="0.18154247289693973"/>
    <x v="6"/>
    <x v="1"/>
    <n v="0"/>
    <x v="0"/>
    <m/>
  </r>
  <r>
    <s v="PPT1_BOI04"/>
    <s v="S1CS06393-WS"/>
    <n v="195"/>
    <s v="207199541"/>
    <s v="NW"/>
    <n v="22"/>
    <n v="0.35609695603803232"/>
    <x v="12"/>
    <x v="1"/>
    <n v="0"/>
    <x v="0"/>
    <m/>
  </r>
  <r>
    <s v="PPT1_BOI04"/>
    <s v="S1CS06393-WS"/>
    <n v="195"/>
    <s v="207201670"/>
    <s v="NW"/>
    <n v="22"/>
    <n v="0.35609695603803232"/>
    <x v="4"/>
    <x v="1"/>
    <n v="0"/>
    <x v="0"/>
    <m/>
  </r>
  <r>
    <s v="PPT1_BOI04"/>
    <s v="S1CS06393-WS"/>
    <n v="195"/>
    <s v="207201508"/>
    <s v="NW"/>
    <n v="22"/>
    <n v="0.35609695603803232"/>
    <x v="11"/>
    <x v="1"/>
    <n v="0"/>
    <x v="0"/>
    <m/>
  </r>
  <r>
    <s v="PPT1_BOI04"/>
    <s v="S1CS06393-WS"/>
    <n v="65"/>
    <s v="207201693"/>
    <s v="NW"/>
    <n v="22"/>
    <n v="0.11869898534601077"/>
    <x v="18"/>
    <x v="1"/>
    <n v="0"/>
    <x v="0"/>
    <m/>
  </r>
  <r>
    <s v="PPT1_BOI04"/>
    <s v="S1CS06393-WS"/>
    <n v="195"/>
    <s v="207201653"/>
    <s v="NW"/>
    <n v="22"/>
    <n v="0.35609695603803232"/>
    <x v="3"/>
    <x v="1"/>
    <n v="0"/>
    <x v="0"/>
    <m/>
  </r>
  <r>
    <s v="PPT1_BOI04"/>
    <s v="S1CS06393-WS"/>
    <n v="195"/>
    <s v="207199582"/>
    <s v="NW"/>
    <n v="22"/>
    <n v="0.35609695603803232"/>
    <x v="6"/>
    <x v="1"/>
    <n v="0"/>
    <x v="0"/>
    <m/>
  </r>
  <r>
    <s v="PPT1_BOI04"/>
    <s v="S1CS06393-WS"/>
    <n v="195"/>
    <s v="207201577"/>
    <s v="NW"/>
    <n v="22"/>
    <n v="0.35609695603803232"/>
    <x v="18"/>
    <x v="1"/>
    <n v="0"/>
    <x v="0"/>
    <m/>
  </r>
  <r>
    <s v="PPT1_BOI04"/>
    <s v="S1CS06393-WS"/>
    <n v="195"/>
    <s v="207201569"/>
    <s v="NW"/>
    <n v="22"/>
    <n v="0.35609695603803232"/>
    <x v="13"/>
    <x v="1"/>
    <n v="0"/>
    <x v="0"/>
    <m/>
  </r>
  <r>
    <s v="PPT1_BOI04"/>
    <s v="S1CS06393-WS"/>
    <n v="195"/>
    <s v="207198862"/>
    <s v="NW"/>
    <n v="22"/>
    <n v="0.35609695603803232"/>
    <x v="12"/>
    <x v="1"/>
    <n v="0"/>
    <x v="0"/>
    <m/>
  </r>
  <r>
    <s v="PPT1_BOI04"/>
    <s v="S1CS06393-WS"/>
    <n v="195"/>
    <s v="207201582"/>
    <s v="NW"/>
    <n v="22"/>
    <n v="0.35609695603803232"/>
    <x v="4"/>
    <x v="1"/>
    <n v="0"/>
    <x v="0"/>
    <m/>
  </r>
  <r>
    <s v="PPT1_BOI04"/>
    <s v="S1CS06393-WS"/>
    <n v="195"/>
    <s v="207198986"/>
    <s v="NW"/>
    <n v="22"/>
    <n v="0.35609695603803232"/>
    <x v="11"/>
    <x v="1"/>
    <n v="0"/>
    <x v="0"/>
    <m/>
  </r>
  <r>
    <s v="PPT1_BOI04"/>
    <s v="S1CS06393-WS"/>
    <n v="195"/>
    <s v="207198980"/>
    <s v="NW"/>
    <n v="22"/>
    <n v="0.35609695603803232"/>
    <x v="3"/>
    <x v="1"/>
    <n v="0"/>
    <x v="0"/>
    <m/>
  </r>
  <r>
    <s v="PPT1_BOI04"/>
    <s v="S1CS06393-WS"/>
    <n v="195"/>
    <s v="207199169"/>
    <s v="NW"/>
    <n v="22"/>
    <n v="0.35609695603803232"/>
    <x v="8"/>
    <x v="1"/>
    <n v="0"/>
    <x v="0"/>
    <m/>
  </r>
  <r>
    <s v="PPT1_BOI04"/>
    <s v="S1CS06393-WS"/>
    <n v="195"/>
    <s v="207199097"/>
    <s v="NW"/>
    <n v="22"/>
    <n v="0.35609695603803232"/>
    <x v="6"/>
    <x v="1"/>
    <n v="0"/>
    <x v="0"/>
    <m/>
  </r>
  <r>
    <s v="PPT1_BOI04"/>
    <s v="S1CS06393-WS"/>
    <n v="195"/>
    <s v="207201555"/>
    <s v="NW"/>
    <n v="22"/>
    <n v="0.35609695603803232"/>
    <x v="18"/>
    <x v="1"/>
    <n v="0"/>
    <x v="0"/>
    <m/>
  </r>
  <r>
    <s v="PPT1_BOI04"/>
    <s v="S1CS06393-WS"/>
    <n v="195"/>
    <s v="207201695"/>
    <s v="NW"/>
    <n v="22"/>
    <n v="0.35609695603803232"/>
    <x v="13"/>
    <x v="1"/>
    <n v="0"/>
    <x v="0"/>
    <m/>
  </r>
  <r>
    <s v="PPT1_BOI04"/>
    <s v="S1CS06393-WS"/>
    <n v="65"/>
    <s v="207199662"/>
    <s v="NW"/>
    <n v="22"/>
    <n v="0.11869898534601077"/>
    <x v="12"/>
    <x v="1"/>
    <n v="0"/>
    <x v="0"/>
    <m/>
  </r>
  <r>
    <s v="PPT1_BOI04"/>
    <s v="S1CS06393-WS"/>
    <n v="195"/>
    <s v="207201724"/>
    <s v="NW"/>
    <n v="22"/>
    <n v="0.35609695603803232"/>
    <x v="4"/>
    <x v="1"/>
    <n v="0"/>
    <x v="0"/>
    <m/>
  </r>
  <r>
    <s v="PPT1_BOI04"/>
    <s v="S1CS06393-WS"/>
    <n v="195"/>
    <s v="207201730"/>
    <s v="NW"/>
    <n v="22"/>
    <n v="0.35609695603803232"/>
    <x v="11"/>
    <x v="1"/>
    <n v="0"/>
    <x v="0"/>
    <m/>
  </r>
  <r>
    <s v="PPT1_BOI04"/>
    <s v="S1CS06397-WS"/>
    <n v="510"/>
    <s v="207200363"/>
    <s v="NW"/>
    <n v="3"/>
    <n v="0.64565243648022486"/>
    <x v="12"/>
    <x v="1"/>
    <n v="0"/>
    <x v="0"/>
    <m/>
  </r>
  <r>
    <s v="PPT1_BOI04"/>
    <s v="S1CS06397-WS"/>
    <n v="170"/>
    <s v="207200401"/>
    <s v="NW"/>
    <n v="3"/>
    <n v="0.21521747882674161"/>
    <x v="5"/>
    <x v="1"/>
    <n v="0"/>
    <x v="0"/>
    <m/>
  </r>
  <r>
    <s v="PPT1_BOI04"/>
    <s v="S1CS06398-WS"/>
    <n v="300"/>
    <s v="207200454"/>
    <s v="NW"/>
    <n v="8"/>
    <n v="0.45439594671357636"/>
    <x v="3"/>
    <x v="1"/>
    <n v="0"/>
    <x v="0"/>
    <m/>
  </r>
  <r>
    <s v="PPT1_BOI04"/>
    <s v="S1CS06398-WS"/>
    <n v="450"/>
    <s v="207200423"/>
    <s v="NW"/>
    <n v="8"/>
    <n v="0.68159392007036457"/>
    <x v="8"/>
    <x v="1"/>
    <n v="0"/>
    <x v="0"/>
    <m/>
  </r>
  <r>
    <s v="PPT1_BOI04"/>
    <s v="S1CS06413-WS"/>
    <n v="100"/>
    <s v="207199221"/>
    <s v="NW"/>
    <n v="3"/>
    <n v="0.20095794287620181"/>
    <x v="6"/>
    <x v="1"/>
    <n v="0"/>
    <x v="0"/>
    <m/>
  </r>
  <r>
    <s v="PPT1_BOI04"/>
    <s v="S1CS06414-WS"/>
    <n v="80"/>
    <s v="207199628"/>
    <s v="NW"/>
    <n v="4"/>
    <n v="0.1352555984663743"/>
    <x v="18"/>
    <x v="1"/>
    <n v="0"/>
    <x v="0"/>
    <m/>
  </r>
  <r>
    <s v="PPT1_BOI04"/>
    <s v="S1CS06416-WS"/>
    <n v="360"/>
    <s v="207197947"/>
    <s v="NW"/>
    <n v="11"/>
    <n v="0.47510419560989159"/>
    <x v="13"/>
    <x v="1"/>
    <n v="0"/>
    <x v="0"/>
    <m/>
  </r>
  <r>
    <s v="PPT1_BOI04"/>
    <s v="S1CS06416-WS"/>
    <n v="180"/>
    <s v="207197898"/>
    <s v="NW"/>
    <n v="11"/>
    <n v="0.23755209780494579"/>
    <x v="5"/>
    <x v="1"/>
    <n v="0"/>
    <x v="0"/>
    <m/>
  </r>
  <r>
    <s v="PPT1_BOI04"/>
    <s v="S1CS06416-WS"/>
    <n v="540"/>
    <s v="207197812"/>
    <s v="NW"/>
    <n v="11"/>
    <n v="0.71265629341483738"/>
    <x v="18"/>
    <x v="1"/>
    <n v="0"/>
    <x v="0"/>
    <m/>
  </r>
  <r>
    <s v="PPT1_BOI04"/>
    <s v="S1CS06417-WS"/>
    <n v="540"/>
    <s v="207198058"/>
    <s v="NW"/>
    <n v="5"/>
    <n v="0.65033973685836055"/>
    <x v="6"/>
    <x v="1"/>
    <n v="0"/>
    <x v="0"/>
    <m/>
  </r>
  <r>
    <s v="PPT1_BOI04"/>
    <s v="S1CS06417-WS"/>
    <n v="540"/>
    <s v="207198198"/>
    <s v="NW"/>
    <n v="5"/>
    <n v="0.65033973685836055"/>
    <x v="14"/>
    <x v="1"/>
    <n v="0"/>
    <x v="0"/>
    <m/>
  </r>
  <r>
    <s v="PPT1_BOI04"/>
    <s v="S1CS06424-WS"/>
    <n v="75"/>
    <s v="207201999"/>
    <s v="NW"/>
    <n v="4"/>
    <n v="0.16992223449291369"/>
    <x v="4"/>
    <x v="1"/>
    <n v="0"/>
    <x v="0"/>
    <m/>
  </r>
  <r>
    <s v="PPT1_BOI04"/>
    <s v="S1CS06424-WS"/>
    <n v="225"/>
    <s v="207198636"/>
    <s v="NW"/>
    <n v="4"/>
    <n v="0.50976670347874109"/>
    <x v="11"/>
    <x v="1"/>
    <n v="0"/>
    <x v="0"/>
    <m/>
  </r>
  <r>
    <s v="PPT1_BOI04"/>
    <s v="S1CS06424-WS"/>
    <n v="150"/>
    <s v="207198737"/>
    <s v="NW"/>
    <n v="4"/>
    <n v="0.33984446898582737"/>
    <x v="2"/>
    <x v="1"/>
    <n v="0"/>
    <x v="0"/>
    <m/>
  </r>
  <r>
    <s v="PPT1_BOI04"/>
    <s v="S1CS06428-WS"/>
    <n v="255"/>
    <s v="207202223"/>
    <s v="NW"/>
    <n v="3"/>
    <n v="0.29253390714658323"/>
    <x v="4"/>
    <x v="1"/>
    <n v="0"/>
    <x v="0"/>
    <m/>
  </r>
  <r>
    <s v="PPT1_BOI04"/>
    <s v="S1CS06428-WS"/>
    <n v="255"/>
    <s v="207202241"/>
    <s v="NW"/>
    <n v="3"/>
    <n v="0.29253390714658323"/>
    <x v="5"/>
    <x v="1"/>
    <n v="0"/>
    <x v="0"/>
    <m/>
  </r>
  <r>
    <s v="PPT1_BOI04"/>
    <s v="S1CS06428-WS"/>
    <n v="255"/>
    <s v="207202242"/>
    <s v="NW"/>
    <n v="3"/>
    <n v="0.29253390714658323"/>
    <x v="3"/>
    <x v="1"/>
    <n v="0"/>
    <x v="0"/>
    <m/>
  </r>
  <r>
    <s v="PPT1_BOI04"/>
    <s v="S1CS06428-WS"/>
    <n v="170"/>
    <s v="207202243"/>
    <s v="NW"/>
    <n v="3"/>
    <n v="0.19502260476438882"/>
    <x v="4"/>
    <x v="1"/>
    <n v="0"/>
    <x v="0"/>
    <m/>
  </r>
  <r>
    <s v="PPT1_BOI04"/>
    <s v="S1CS06428-WS"/>
    <n v="170"/>
    <s v="207202229"/>
    <s v="NW"/>
    <n v="3"/>
    <n v="0.19502260476438882"/>
    <x v="5"/>
    <x v="1"/>
    <n v="0"/>
    <x v="0"/>
    <m/>
  </r>
  <r>
    <s v="PPT1_BOI04"/>
    <s v="S1CS06428-WS"/>
    <n v="255"/>
    <s v="207202225"/>
    <s v="NW"/>
    <n v="3"/>
    <n v="0.29253390714658323"/>
    <x v="3"/>
    <x v="1"/>
    <n v="0"/>
    <x v="0"/>
    <m/>
  </r>
  <r>
    <s v="PPT1_BOI04"/>
    <s v="S1CS06428-WS"/>
    <n v="255"/>
    <s v="207202224"/>
    <s v="NW"/>
    <n v="3"/>
    <n v="0.29253390714658323"/>
    <x v="4"/>
    <x v="1"/>
    <n v="0"/>
    <x v="0"/>
    <m/>
  </r>
  <r>
    <s v="PPT1_BOI04"/>
    <s v="S1CS06428-WS"/>
    <n v="170"/>
    <s v="207198569"/>
    <s v="NW"/>
    <n v="3"/>
    <n v="0.19502260476438882"/>
    <x v="5"/>
    <x v="1"/>
    <n v="0"/>
    <x v="0"/>
    <m/>
  </r>
  <r>
    <s v="PPT1_BOI04"/>
    <s v="S1CS06428-WS"/>
    <n v="255"/>
    <s v="207198365"/>
    <s v="NW"/>
    <n v="3"/>
    <n v="0.29253390714658323"/>
    <x v="3"/>
    <x v="1"/>
    <n v="0"/>
    <x v="0"/>
    <m/>
  </r>
  <r>
    <s v="PPT1_BOI04"/>
    <s v="S1CS06428-WS"/>
    <n v="255"/>
    <s v="207198573"/>
    <s v="NW"/>
    <n v="3"/>
    <n v="0.29253390714658323"/>
    <x v="5"/>
    <x v="1"/>
    <n v="0"/>
    <x v="0"/>
    <m/>
  </r>
  <r>
    <s v="PPT1_BOI04"/>
    <s v="S1CS06428-WS"/>
    <n v="255"/>
    <s v="207202222"/>
    <s v="NW"/>
    <n v="3"/>
    <n v="0.29253390714658323"/>
    <x v="4"/>
    <x v="1"/>
    <n v="0"/>
    <x v="0"/>
    <m/>
  </r>
  <r>
    <s v="PPT1_BOI04"/>
    <s v="S1CS06428-WS"/>
    <n v="85"/>
    <s v="207198627"/>
    <s v="NW"/>
    <n v="3"/>
    <n v="9.7511302382194409E-2"/>
    <x v="3"/>
    <x v="1"/>
    <n v="0"/>
    <x v="0"/>
    <m/>
  </r>
  <r>
    <s v="PPT1_BOI04"/>
    <s v="S1CS06428-WS"/>
    <n v="255"/>
    <s v="207202233"/>
    <s v="NW"/>
    <n v="3"/>
    <n v="0.29253390714658323"/>
    <x v="5"/>
    <x v="1"/>
    <n v="0"/>
    <x v="0"/>
    <m/>
  </r>
  <r>
    <s v="PPT1_BOI04"/>
    <s v="S1CS06428-WS"/>
    <n v="255"/>
    <s v="207202239"/>
    <s v="NW"/>
    <n v="3"/>
    <n v="0.29253390714658323"/>
    <x v="3"/>
    <x v="1"/>
    <n v="0"/>
    <x v="0"/>
    <m/>
  </r>
  <r>
    <s v="PPT1_BOI04"/>
    <s v="S1CS06428-WS"/>
    <n v="255"/>
    <s v="207202232"/>
    <s v="NW"/>
    <n v="3"/>
    <n v="0.29253390714658323"/>
    <x v="4"/>
    <x v="1"/>
    <n v="0"/>
    <x v="0"/>
    <m/>
  </r>
  <r>
    <s v="PPT1_BOI04"/>
    <s v="S1CS06428-WS"/>
    <n v="255"/>
    <s v="207202230"/>
    <s v="NW"/>
    <n v="3"/>
    <n v="0.29253390714658323"/>
    <x v="5"/>
    <x v="1"/>
    <n v="0"/>
    <x v="0"/>
    <m/>
  </r>
  <r>
    <s v="PPT1_BOI04"/>
    <s v="S1CS06428-WS"/>
    <n v="255"/>
    <s v="207202240"/>
    <s v="NW"/>
    <n v="3"/>
    <n v="0.29253390714658323"/>
    <x v="3"/>
    <x v="1"/>
    <n v="0"/>
    <x v="0"/>
    <m/>
  </r>
  <r>
    <s v="PPT1_BOI04"/>
    <s v="S1CS06428-WS"/>
    <n v="255"/>
    <s v="207202231"/>
    <s v="NW"/>
    <n v="3"/>
    <n v="0.29253390714658323"/>
    <x v="4"/>
    <x v="1"/>
    <n v="0"/>
    <x v="0"/>
    <m/>
  </r>
  <r>
    <s v="PPT1_BOI04"/>
    <s v="S1CS06435-WS"/>
    <n v="300"/>
    <s v="207198902"/>
    <s v="NW"/>
    <n v="6"/>
    <n v="0.3962353254760167"/>
    <x v="13"/>
    <x v="1"/>
    <n v="0"/>
    <x v="0"/>
    <m/>
  </r>
  <r>
    <s v="PPT1_BOI04"/>
    <s v="S1CS06435-WS"/>
    <n v="300"/>
    <s v="207198303"/>
    <s v="NW"/>
    <n v="6"/>
    <n v="0.3962353254760167"/>
    <x v="12"/>
    <x v="1"/>
    <n v="0"/>
    <x v="0"/>
    <m/>
  </r>
  <r>
    <s v="PPT1_BOI04"/>
    <s v="S1CS06435-WS"/>
    <n v="300"/>
    <s v="207198936"/>
    <s v="NW"/>
    <n v="6"/>
    <n v="0.3962353254760167"/>
    <x v="2"/>
    <x v="1"/>
    <n v="0"/>
    <x v="0"/>
    <m/>
  </r>
  <r>
    <s v="PPT1_BOI04"/>
    <s v="S1CS06435-WS"/>
    <n v="300"/>
    <s v="207198153"/>
    <s v="NW"/>
    <n v="6"/>
    <n v="0.3962353254760167"/>
    <x v="8"/>
    <x v="1"/>
    <n v="0"/>
    <x v="0"/>
    <m/>
  </r>
  <r>
    <s v="PPT1_BOI04"/>
    <s v="S1CS06435-WS"/>
    <n v="300"/>
    <s v="207198026"/>
    <s v="NW"/>
    <n v="6"/>
    <n v="0.3962353254760167"/>
    <x v="11"/>
    <x v="1"/>
    <n v="0"/>
    <x v="0"/>
    <m/>
  </r>
  <r>
    <s v="PPT1_BOI04"/>
    <s v="S1CS06435-WS"/>
    <n v="300"/>
    <s v="207198962"/>
    <s v="NW"/>
    <n v="6"/>
    <n v="0.3962353254760167"/>
    <x v="6"/>
    <x v="1"/>
    <n v="0"/>
    <x v="0"/>
    <m/>
  </r>
  <r>
    <s v="PPT1_BOI04"/>
    <s v="S1CS06435-WS"/>
    <n v="300"/>
    <s v="207201884"/>
    <s v="NW"/>
    <n v="6"/>
    <n v="0.3962353254760167"/>
    <x v="13"/>
    <x v="1"/>
    <n v="0"/>
    <x v="0"/>
    <m/>
  </r>
  <r>
    <s v="PPT1_BOI04"/>
    <s v="S1CS06435-WS"/>
    <n v="300"/>
    <s v="207198262"/>
    <s v="NW"/>
    <n v="6"/>
    <n v="0.3962353254760167"/>
    <x v="12"/>
    <x v="1"/>
    <n v="0"/>
    <x v="0"/>
    <m/>
  </r>
  <r>
    <s v="PPT1_BOI04"/>
    <s v="S1CS06435-WS"/>
    <n v="300"/>
    <s v="207198242"/>
    <s v="NW"/>
    <n v="6"/>
    <n v="0.3962353254760167"/>
    <x v="2"/>
    <x v="1"/>
    <n v="0"/>
    <x v="0"/>
    <m/>
  </r>
  <r>
    <s v="PPT1_BOI04"/>
    <s v="S1CS06435-WS"/>
    <n v="300"/>
    <s v="207198291"/>
    <s v="NW"/>
    <n v="6"/>
    <n v="0.3962353254760167"/>
    <x v="8"/>
    <x v="1"/>
    <n v="0"/>
    <x v="0"/>
    <m/>
  </r>
  <r>
    <s v="PPT1_BOI04"/>
    <s v="S1CS06435-WS"/>
    <n v="300"/>
    <s v="207198287"/>
    <s v="NW"/>
    <n v="6"/>
    <n v="0.3962353254760167"/>
    <x v="11"/>
    <x v="1"/>
    <n v="0"/>
    <x v="0"/>
    <m/>
  </r>
  <r>
    <s v="PPT1_BOI04"/>
    <s v="S1CS06435-WS"/>
    <n v="300"/>
    <s v="207198178"/>
    <s v="NW"/>
    <n v="6"/>
    <n v="0.3962353254760167"/>
    <x v="6"/>
    <x v="1"/>
    <n v="0"/>
    <x v="0"/>
    <m/>
  </r>
  <r>
    <s v="PPT1_BOI04"/>
    <s v="S1CS06435-WS"/>
    <n v="300"/>
    <s v="207198115"/>
    <s v="NW"/>
    <n v="6"/>
    <n v="0.3962353254760167"/>
    <x v="13"/>
    <x v="1"/>
    <n v="0"/>
    <x v="0"/>
    <m/>
  </r>
  <r>
    <s v="PPT1_BOI04"/>
    <s v="S1CS06435-WS"/>
    <n v="300"/>
    <s v="207198237"/>
    <s v="NW"/>
    <n v="6"/>
    <n v="0.3962353254760167"/>
    <x v="12"/>
    <x v="1"/>
    <n v="0"/>
    <x v="0"/>
    <m/>
  </r>
  <r>
    <s v="PPT1_BOI04"/>
    <s v="S1CS06435-WS"/>
    <n v="300"/>
    <s v="207198183"/>
    <s v="NW"/>
    <n v="6"/>
    <n v="0.3962353254760167"/>
    <x v="2"/>
    <x v="1"/>
    <n v="0"/>
    <x v="0"/>
    <m/>
  </r>
  <r>
    <s v="PPT1_BOI04"/>
    <s v="S1CS06435-WS"/>
    <n v="300"/>
    <s v="207201767"/>
    <s v="NW"/>
    <n v="6"/>
    <n v="0.3962353254760167"/>
    <x v="8"/>
    <x v="1"/>
    <n v="0"/>
    <x v="0"/>
    <m/>
  </r>
  <r>
    <s v="PPT1_BOI04"/>
    <s v="S1CS06435-WS"/>
    <n v="300"/>
    <s v="207201825"/>
    <s v="NW"/>
    <n v="6"/>
    <n v="0.3962353254760167"/>
    <x v="11"/>
    <x v="1"/>
    <n v="0"/>
    <x v="0"/>
    <m/>
  </r>
  <r>
    <s v="PPT1_BOI04"/>
    <s v="S1CS06435-WS"/>
    <n v="300"/>
    <s v="207201763"/>
    <s v="NW"/>
    <n v="6"/>
    <n v="0.3962353254760167"/>
    <x v="6"/>
    <x v="1"/>
    <n v="0"/>
    <x v="0"/>
    <m/>
  </r>
  <r>
    <s v="PPT1_BOI04"/>
    <s v="S1CS06435-WS"/>
    <n v="300"/>
    <s v="207201765"/>
    <s v="NW"/>
    <n v="6"/>
    <n v="0.3962353254760167"/>
    <x v="13"/>
    <x v="1"/>
    <n v="0"/>
    <x v="0"/>
    <m/>
  </r>
  <r>
    <s v="PPT1_BOI04"/>
    <s v="S1CS06435-WS"/>
    <n v="200"/>
    <s v="207202139"/>
    <s v="NW"/>
    <n v="6"/>
    <n v="0.2641568836506778"/>
    <x v="12"/>
    <x v="1"/>
    <n v="0"/>
    <x v="0"/>
    <m/>
  </r>
  <r>
    <s v="PPT1_BOI04"/>
    <s v="S1CS06435-WS"/>
    <n v="300"/>
    <s v="207201846"/>
    <s v="NW"/>
    <n v="6"/>
    <n v="0.3962353254760167"/>
    <x v="2"/>
    <x v="1"/>
    <n v="0"/>
    <x v="0"/>
    <m/>
  </r>
  <r>
    <s v="PPT1_BOI04"/>
    <s v="S1CS06435-WS"/>
    <n v="300"/>
    <s v="207201837"/>
    <s v="NW"/>
    <n v="6"/>
    <n v="0.3962353254760167"/>
    <x v="8"/>
    <x v="1"/>
    <n v="0"/>
    <x v="0"/>
    <m/>
  </r>
  <r>
    <s v="PPT1_BOI04"/>
    <s v="S1CS06435-WS"/>
    <n v="300"/>
    <s v="207201841"/>
    <s v="NW"/>
    <n v="6"/>
    <n v="0.3962353254760167"/>
    <x v="11"/>
    <x v="1"/>
    <n v="0"/>
    <x v="0"/>
    <m/>
  </r>
  <r>
    <s v="PPT1_BOI04"/>
    <s v="S1CS06435-WS"/>
    <n v="300"/>
    <s v="207201761"/>
    <s v="NW"/>
    <n v="6"/>
    <n v="0.3962353254760167"/>
    <x v="12"/>
    <x v="1"/>
    <n v="0"/>
    <x v="0"/>
    <m/>
  </r>
  <r>
    <s v="PPT1_BOI04"/>
    <s v="S1CS06435-WS"/>
    <n v="300"/>
    <s v="207197937"/>
    <s v="NW"/>
    <n v="6"/>
    <n v="0.3962353254760167"/>
    <x v="6"/>
    <x v="1"/>
    <n v="0"/>
    <x v="0"/>
    <m/>
  </r>
  <r>
    <s v="PPT1_BOI04"/>
    <s v="S1CS06435-WS"/>
    <n v="300"/>
    <s v="207201728"/>
    <s v="NW"/>
    <n v="6"/>
    <n v="0.3962353254760167"/>
    <x v="13"/>
    <x v="1"/>
    <n v="0"/>
    <x v="0"/>
    <m/>
  </r>
  <r>
    <s v="PPT1_BOI04"/>
    <s v="S1CS06435-WS"/>
    <n v="300"/>
    <s v="207197981"/>
    <s v="NW"/>
    <n v="6"/>
    <n v="0.3962353254760167"/>
    <x v="2"/>
    <x v="1"/>
    <n v="0"/>
    <x v="0"/>
    <m/>
  </r>
  <r>
    <s v="PPT1_BOI04"/>
    <s v="S1CS06435-WS"/>
    <n v="300"/>
    <s v="207197958"/>
    <s v="NW"/>
    <n v="6"/>
    <n v="0.3962353254760167"/>
    <x v="8"/>
    <x v="1"/>
    <n v="0"/>
    <x v="0"/>
    <m/>
  </r>
  <r>
    <s v="PPT1_BOI04"/>
    <s v="S1CS06435-WS"/>
    <n v="300"/>
    <s v="207201734"/>
    <s v="NW"/>
    <n v="6"/>
    <n v="0.3962353254760167"/>
    <x v="11"/>
    <x v="1"/>
    <n v="0"/>
    <x v="0"/>
    <m/>
  </r>
  <r>
    <s v="PPT1_BOI04"/>
    <s v="S1CS06435-WS"/>
    <n v="300"/>
    <s v="207198056"/>
    <s v="NW"/>
    <n v="6"/>
    <n v="0.3962353254760167"/>
    <x v="12"/>
    <x v="1"/>
    <n v="0"/>
    <x v="0"/>
    <m/>
  </r>
  <r>
    <s v="PPT1_BOI04"/>
    <s v="S1CS06435-WS"/>
    <n v="200"/>
    <s v="207201969"/>
    <s v="NW"/>
    <n v="6"/>
    <n v="0.2641568836506778"/>
    <x v="6"/>
    <x v="1"/>
    <n v="0"/>
    <x v="0"/>
    <m/>
  </r>
  <r>
    <s v="PPT1_BOI04"/>
    <s v="S1CS06435-WS"/>
    <n v="300"/>
    <s v="207201732"/>
    <s v="NW"/>
    <n v="6"/>
    <n v="0.3962353254760167"/>
    <x v="13"/>
    <x v="1"/>
    <n v="0"/>
    <x v="0"/>
    <m/>
  </r>
  <r>
    <s v="PPT1_BOI04"/>
    <s v="S1CS06435-WS"/>
    <n v="300"/>
    <s v="207199007"/>
    <s v="NW"/>
    <n v="6"/>
    <n v="0.3962353254760167"/>
    <x v="2"/>
    <x v="1"/>
    <n v="0"/>
    <x v="0"/>
    <m/>
  </r>
  <r>
    <s v="PPT1_BOI04"/>
    <s v="S1CS06435-WS"/>
    <n v="300"/>
    <s v="207199017"/>
    <s v="NW"/>
    <n v="6"/>
    <n v="0.3962353254760167"/>
    <x v="8"/>
    <x v="1"/>
    <n v="0"/>
    <x v="0"/>
    <m/>
  </r>
  <r>
    <s v="PPT1_BOI04"/>
    <s v="S1CS06435-WS"/>
    <n v="300"/>
    <s v="207201667"/>
    <s v="NW"/>
    <n v="6"/>
    <n v="0.3962353254760167"/>
    <x v="6"/>
    <x v="1"/>
    <n v="0"/>
    <x v="0"/>
    <m/>
  </r>
  <r>
    <s v="PPT1_BOI04"/>
    <s v="S1CS06435-WS"/>
    <n v="300"/>
    <s v="207201575"/>
    <s v="NW"/>
    <n v="6"/>
    <n v="0.3962353254760167"/>
    <x v="11"/>
    <x v="1"/>
    <n v="0"/>
    <x v="0"/>
    <m/>
  </r>
  <r>
    <s v="PPT1_BOI04"/>
    <s v="S1CS06435-WS"/>
    <n v="300"/>
    <s v="207201697"/>
    <s v="NW"/>
    <n v="6"/>
    <n v="0.3962353254760167"/>
    <x v="12"/>
    <x v="1"/>
    <n v="0"/>
    <x v="0"/>
    <m/>
  </r>
  <r>
    <s v="PPT1_BOI04"/>
    <s v="S1CS06435-WS"/>
    <n v="300"/>
    <s v="207201675"/>
    <s v="NW"/>
    <n v="6"/>
    <n v="0.3962353254760167"/>
    <x v="13"/>
    <x v="1"/>
    <n v="0"/>
    <x v="0"/>
    <m/>
  </r>
  <r>
    <s v="PPT1_BOI04"/>
    <s v="S1CS06435-WS"/>
    <n v="300"/>
    <s v="207201649"/>
    <s v="NW"/>
    <n v="6"/>
    <n v="0.3962353254760167"/>
    <x v="2"/>
    <x v="1"/>
    <n v="0"/>
    <x v="0"/>
    <m/>
  </r>
  <r>
    <s v="PPT1_BOI04"/>
    <s v="S1CS06443-WS"/>
    <n v="180"/>
    <s v="207200280"/>
    <s v="NW"/>
    <n v="3"/>
    <n v="0.24790126925567132"/>
    <x v="14"/>
    <x v="1"/>
    <n v="0"/>
    <x v="0"/>
    <m/>
  </r>
  <r>
    <s v="PPT1_BOI04"/>
    <s v="S1CS06443-WS"/>
    <n v="180"/>
    <s v="207200152"/>
    <s v="NW"/>
    <n v="3"/>
    <n v="0.24790126925567132"/>
    <x v="18"/>
    <x v="1"/>
    <n v="0"/>
    <x v="0"/>
    <m/>
  </r>
  <r>
    <s v="PPT1_BOI04"/>
    <s v="S1CS06443-WS"/>
    <n v="180"/>
    <s v="207200206"/>
    <s v="NW"/>
    <n v="3"/>
    <n v="0.24790126925567132"/>
    <x v="9"/>
    <x v="1"/>
    <n v="0"/>
    <x v="0"/>
    <m/>
  </r>
  <r>
    <s v="PPT1_BOI04"/>
    <s v="S1CS06443-WS"/>
    <n v="180"/>
    <s v="207200248"/>
    <s v="NW"/>
    <n v="3"/>
    <n v="0.24790126925567132"/>
    <x v="14"/>
    <x v="1"/>
    <n v="0"/>
    <x v="0"/>
    <m/>
  </r>
  <r>
    <s v="PPT1_BOI04"/>
    <s v="S1CS06443-WS"/>
    <n v="180"/>
    <s v="207200024"/>
    <s v="NW"/>
    <n v="3"/>
    <n v="0.24790126925567132"/>
    <x v="18"/>
    <x v="1"/>
    <n v="0"/>
    <x v="0"/>
    <m/>
  </r>
  <r>
    <s v="PPT1_BOI04"/>
    <s v="S1CS06443-WS"/>
    <n v="180"/>
    <s v="207199993"/>
    <s v="NW"/>
    <n v="3"/>
    <n v="0.24790126925567132"/>
    <x v="9"/>
    <x v="1"/>
    <n v="0"/>
    <x v="0"/>
    <m/>
  </r>
  <r>
    <s v="PPT1_BOI04"/>
    <s v="S1CS06443-WS"/>
    <n v="180"/>
    <s v="207200093"/>
    <s v="NW"/>
    <n v="3"/>
    <n v="0.24790126925567132"/>
    <x v="14"/>
    <x v="1"/>
    <n v="0"/>
    <x v="0"/>
    <m/>
  </r>
  <r>
    <s v="PPT1_BOI04"/>
    <s v="S1CS06443-WS"/>
    <n v="180"/>
    <s v="207201979"/>
    <s v="NW"/>
    <n v="3"/>
    <n v="0.24790126925567132"/>
    <x v="18"/>
    <x v="1"/>
    <n v="0"/>
    <x v="0"/>
    <m/>
  </r>
  <r>
    <s v="PPT1_BOI04"/>
    <s v="S1CS06443-WS"/>
    <n v="180"/>
    <s v="207201977"/>
    <s v="NW"/>
    <n v="3"/>
    <n v="0.24790126925567132"/>
    <x v="9"/>
    <x v="1"/>
    <n v="0"/>
    <x v="0"/>
    <m/>
  </r>
  <r>
    <s v="PPT1_BOI04"/>
    <s v="S1CS06443-WS"/>
    <n v="180"/>
    <s v="207200302"/>
    <s v="NW"/>
    <n v="3"/>
    <n v="0.24790126925567132"/>
    <x v="14"/>
    <x v="1"/>
    <n v="0"/>
    <x v="0"/>
    <m/>
  </r>
  <r>
    <s v="PPT1_BOI04"/>
    <s v="S1CS06443-WS"/>
    <n v="180"/>
    <s v="207202027"/>
    <s v="NW"/>
    <n v="3"/>
    <n v="0.24790126925567132"/>
    <x v="18"/>
    <x v="1"/>
    <n v="0"/>
    <x v="0"/>
    <m/>
  </r>
  <r>
    <s v="PPT1_BOI04"/>
    <s v="S1CS06443-WS"/>
    <n v="120"/>
    <s v="207202024"/>
    <s v="NW"/>
    <n v="3"/>
    <n v="0.16526751283711422"/>
    <x v="9"/>
    <x v="1"/>
    <n v="0"/>
    <x v="0"/>
    <m/>
  </r>
  <r>
    <s v="PPT1_BOI04"/>
    <s v="S1CS06443-WS"/>
    <n v="180"/>
    <s v="207201821"/>
    <s v="NW"/>
    <n v="3"/>
    <n v="0.24790126925567132"/>
    <x v="14"/>
    <x v="1"/>
    <n v="0"/>
    <x v="0"/>
    <m/>
  </r>
  <r>
    <s v="PPT1_BOI04"/>
    <s v="S1CS06443-WS"/>
    <n v="180"/>
    <s v="207201823"/>
    <s v="NW"/>
    <n v="3"/>
    <n v="0.24790126925567132"/>
    <x v="18"/>
    <x v="1"/>
    <n v="0"/>
    <x v="0"/>
    <m/>
  </r>
  <r>
    <s v="PPT1_BOI04"/>
    <s v="S1CS06443-WS"/>
    <n v="180"/>
    <s v="207200438"/>
    <s v="NW"/>
    <n v="3"/>
    <n v="0.24790126925567132"/>
    <x v="9"/>
    <x v="1"/>
    <n v="0"/>
    <x v="0"/>
    <m/>
  </r>
  <r>
    <s v="PPT1_BOI04"/>
    <s v="S1CS06443-WS"/>
    <n v="60"/>
    <s v="207200382"/>
    <s v="NW"/>
    <n v="3"/>
    <n v="8.2633756418557108E-2"/>
    <x v="14"/>
    <x v="1"/>
    <n v="0"/>
    <x v="0"/>
    <m/>
  </r>
  <r>
    <s v="PPT1_BOI04"/>
    <s v="S1CS06443-WS"/>
    <n v="180"/>
    <s v="207200333"/>
    <s v="NW"/>
    <n v="3"/>
    <n v="0.24790126925567132"/>
    <x v="18"/>
    <x v="1"/>
    <n v="0"/>
    <x v="0"/>
    <m/>
  </r>
  <r>
    <s v="PPT1_BOI04"/>
    <s v="S1CS06443-WS"/>
    <n v="120"/>
    <s v="207200412"/>
    <s v="NW"/>
    <n v="3"/>
    <n v="0.16526751283711422"/>
    <x v="9"/>
    <x v="1"/>
    <n v="0"/>
    <x v="0"/>
    <m/>
  </r>
  <r>
    <s v="PPT1_BOI04"/>
    <s v="S1CS06443-WS"/>
    <n v="180"/>
    <s v="207200392"/>
    <s v="NW"/>
    <n v="3"/>
    <n v="0.24790126925567132"/>
    <x v="14"/>
    <x v="1"/>
    <n v="0"/>
    <x v="0"/>
    <m/>
  </r>
  <r>
    <s v="PPT1_BOI04"/>
    <s v="S1CS06443-WS"/>
    <n v="180"/>
    <s v="207201878"/>
    <s v="NW"/>
    <n v="3"/>
    <n v="0.24790126925567132"/>
    <x v="9"/>
    <x v="1"/>
    <n v="0"/>
    <x v="0"/>
    <m/>
  </r>
  <r>
    <s v="PPT1_BOI04"/>
    <s v="S1CS06443-WS"/>
    <n v="180"/>
    <s v="207201925"/>
    <s v="NW"/>
    <n v="3"/>
    <n v="0.24790126925567132"/>
    <x v="18"/>
    <x v="1"/>
    <n v="0"/>
    <x v="0"/>
    <m/>
  </r>
  <r>
    <s v="PPT1_BOI04"/>
    <s v="S1CS06443-WS"/>
    <n v="180"/>
    <s v="207201866"/>
    <s v="NW"/>
    <n v="3"/>
    <n v="0.24790126925567132"/>
    <x v="14"/>
    <x v="1"/>
    <n v="0"/>
    <x v="0"/>
    <m/>
  </r>
  <r>
    <s v="PPT1_BOI04"/>
    <s v="S1CS06443-WS"/>
    <n v="180"/>
    <s v="207201973"/>
    <s v="NW"/>
    <n v="3"/>
    <n v="0.24790126925567132"/>
    <x v="9"/>
    <x v="1"/>
    <n v="0"/>
    <x v="0"/>
    <m/>
  </r>
  <r>
    <s v="PPT1_BOI04"/>
    <s v="S1CS06443-WS"/>
    <n v="180"/>
    <s v="207201938"/>
    <s v="NW"/>
    <n v="3"/>
    <n v="0.24790126925567132"/>
    <x v="18"/>
    <x v="1"/>
    <n v="0"/>
    <x v="0"/>
    <m/>
  </r>
  <r>
    <s v="PPT1_BOI04"/>
    <s v="S1CS06443-WS"/>
    <n v="180"/>
    <s v="207201882"/>
    <s v="NW"/>
    <n v="3"/>
    <n v="0.24790126925567132"/>
    <x v="14"/>
    <x v="1"/>
    <n v="0"/>
    <x v="0"/>
    <m/>
  </r>
  <r>
    <s v="PPT1_BOI04"/>
    <s v="S1CS06443-WS"/>
    <n v="180"/>
    <s v="207201880"/>
    <s v="NW"/>
    <n v="3"/>
    <n v="0.24790126925567132"/>
    <x v="9"/>
    <x v="1"/>
    <n v="0"/>
    <x v="0"/>
    <m/>
  </r>
  <r>
    <s v="PPT1_BOI04"/>
    <s v="S1CS06443-WS"/>
    <n v="180"/>
    <s v="207201919"/>
    <s v="NW"/>
    <n v="3"/>
    <n v="0.24790126925567132"/>
    <x v="18"/>
    <x v="1"/>
    <n v="0"/>
    <x v="0"/>
    <m/>
  </r>
  <r>
    <s v="PPT1_BOI04"/>
    <s v="S1CS06443-WS"/>
    <n v="180"/>
    <s v="207201923"/>
    <s v="NW"/>
    <n v="3"/>
    <n v="0.24790126925567132"/>
    <x v="14"/>
    <x v="1"/>
    <n v="0"/>
    <x v="0"/>
    <m/>
  </r>
  <r>
    <s v="PPT1_BOI04"/>
    <s v="S1CS06443-WS"/>
    <n v="180"/>
    <s v="207201921"/>
    <s v="NW"/>
    <n v="3"/>
    <n v="0.24790126925567132"/>
    <x v="9"/>
    <x v="1"/>
    <n v="0"/>
    <x v="0"/>
    <m/>
  </r>
  <r>
    <s v="PPT1_BOI04"/>
    <s v="S1CS06443-WS"/>
    <n v="180"/>
    <s v="207199836"/>
    <s v="NW"/>
    <n v="3"/>
    <n v="0.24790126925567132"/>
    <x v="18"/>
    <x v="1"/>
    <n v="0"/>
    <x v="0"/>
    <m/>
  </r>
  <r>
    <s v="PPT1_BOI04"/>
    <s v="S1CS06443-WS"/>
    <n v="180"/>
    <s v="207199786"/>
    <s v="NW"/>
    <n v="3"/>
    <n v="0.24790126925567132"/>
    <x v="14"/>
    <x v="1"/>
    <n v="0"/>
    <x v="0"/>
    <m/>
  </r>
  <r>
    <s v="PPT1_BOI04"/>
    <s v="S1CS06443-WS"/>
    <n v="180"/>
    <s v="207201975"/>
    <s v="NW"/>
    <n v="3"/>
    <n v="0.24790126925567132"/>
    <x v="9"/>
    <x v="1"/>
    <n v="0"/>
    <x v="0"/>
    <m/>
  </r>
  <r>
    <s v="PPT1_BOI04"/>
    <s v="S1CS06443-WS"/>
    <n v="180"/>
    <s v="207199946"/>
    <s v="NW"/>
    <n v="3"/>
    <n v="0.24790126925567132"/>
    <x v="18"/>
    <x v="1"/>
    <n v="0"/>
    <x v="0"/>
    <m/>
  </r>
  <r>
    <s v="PPT1_BOI04"/>
    <s v="S1CS06443-WS"/>
    <n v="180"/>
    <s v="207199907"/>
    <s v="NW"/>
    <n v="3"/>
    <n v="0.24790126925567132"/>
    <x v="14"/>
    <x v="1"/>
    <n v="0"/>
    <x v="0"/>
    <m/>
  </r>
  <r>
    <s v="PPT1_BOI04"/>
    <s v="S1CS06443-WS"/>
    <n v="180"/>
    <s v="207199871"/>
    <s v="NW"/>
    <n v="3"/>
    <n v="0.24790126925567132"/>
    <x v="9"/>
    <x v="1"/>
    <n v="0"/>
    <x v="0"/>
    <m/>
  </r>
  <r>
    <s v="PPT1_BOI04"/>
    <s v="S1CS06444-WS"/>
    <n v="1140"/>
    <s v="207202298"/>
    <s v="NW"/>
    <n v="5"/>
    <n v="1.185802614405266"/>
    <x v="15"/>
    <x v="1"/>
    <n v="0"/>
    <x v="0"/>
    <m/>
  </r>
  <r>
    <s v="PPT1_BOI04"/>
    <s v="S1CS06444-WS"/>
    <n v="380"/>
    <s v="207200574"/>
    <s v="NW"/>
    <n v="5"/>
    <n v="0.39526753813508864"/>
    <x v="7"/>
    <x v="1"/>
    <n v="0"/>
    <x v="0"/>
    <m/>
  </r>
  <r>
    <s v="PPT1_BOI04"/>
    <s v="S1CS06444-WS"/>
    <n v="380"/>
    <s v="207200592"/>
    <s v="NW"/>
    <n v="5"/>
    <n v="0.39526753813508864"/>
    <x v="1"/>
    <x v="1"/>
    <n v="0"/>
    <x v="0"/>
    <m/>
  </r>
  <r>
    <s v="PPT1_BOI04"/>
    <s v="S1CS06444-WS"/>
    <n v="1140"/>
    <s v="207202296"/>
    <s v="NW"/>
    <n v="5"/>
    <n v="1.185802614405266"/>
    <x v="16"/>
    <x v="1"/>
    <n v="0"/>
    <x v="0"/>
    <m/>
  </r>
  <r>
    <s v="PPT1_BOI04"/>
    <s v="S1CS06444-WS"/>
    <n v="1140"/>
    <s v="207200565"/>
    <s v="NW"/>
    <n v="5"/>
    <n v="1.185802614405266"/>
    <x v="17"/>
    <x v="1"/>
    <n v="0"/>
    <x v="0"/>
    <m/>
  </r>
  <r>
    <s v="PPT1_BOI04"/>
    <s v="S1CS06444-WS"/>
    <n v="1140"/>
    <s v="207200546"/>
    <s v="NW"/>
    <n v="5"/>
    <n v="1.185802614405266"/>
    <x v="7"/>
    <x v="1"/>
    <n v="0"/>
    <x v="0"/>
    <m/>
  </r>
  <r>
    <s v="PPT1_BOI04"/>
    <s v="S1CS06444-WS"/>
    <n v="760"/>
    <s v="207202300"/>
    <s v="NW"/>
    <n v="5"/>
    <n v="0.79053507627017727"/>
    <x v="1"/>
    <x v="1"/>
    <n v="0"/>
    <x v="0"/>
    <m/>
  </r>
  <r>
    <s v="PPT1_BOI04"/>
    <s v="S1CS06471-WS"/>
    <n v="225"/>
    <s v="207198500"/>
    <s v="NW"/>
    <n v="30"/>
    <n v="0.58150453648409661"/>
    <x v="10"/>
    <x v="1"/>
    <n v="0"/>
    <x v="0"/>
    <m/>
  </r>
  <r>
    <s v="PPT1_BOI04"/>
    <s v="S1CS06471-WS"/>
    <n v="225"/>
    <s v="207201807"/>
    <s v="NW"/>
    <n v="30"/>
    <n v="0.58150453648409661"/>
    <x v="0"/>
    <x v="1"/>
    <n v="0"/>
    <x v="0"/>
    <m/>
  </r>
  <r>
    <s v="PPT1_BOI04"/>
    <s v="S1CS06471-WS"/>
    <n v="225"/>
    <s v="207201809"/>
    <s v="NW"/>
    <n v="30"/>
    <n v="0.58150453648409661"/>
    <x v="10"/>
    <x v="1"/>
    <n v="0"/>
    <x v="0"/>
    <m/>
  </r>
  <r>
    <s v="PPT1_BOI04"/>
    <s v="S1CS06471-WS"/>
    <n v="225"/>
    <s v="207198412"/>
    <s v="NW"/>
    <n v="30"/>
    <n v="0.58150453648409661"/>
    <x v="5"/>
    <x v="1"/>
    <n v="0"/>
    <x v="0"/>
    <m/>
  </r>
  <r>
    <s v="PPT1_BOI04"/>
    <s v="S1CS06471-WS"/>
    <n v="225"/>
    <s v="207198457"/>
    <s v="NW"/>
    <n v="30"/>
    <n v="0.58150453648409661"/>
    <x v="0"/>
    <x v="1"/>
    <n v="0"/>
    <x v="0"/>
    <m/>
  </r>
  <r>
    <s v="PPT1_BOI04"/>
    <s v="S1CS06471-WS"/>
    <n v="225"/>
    <s v="207201796"/>
    <s v="NW"/>
    <n v="30"/>
    <n v="0.58150453648409661"/>
    <x v="3"/>
    <x v="1"/>
    <n v="0"/>
    <x v="0"/>
    <m/>
  </r>
  <r>
    <s v="PPT1_BOI04"/>
    <s v="S1CS06471-WS"/>
    <n v="225"/>
    <s v="207198463"/>
    <s v="NW"/>
    <n v="30"/>
    <n v="0.58150453648409661"/>
    <x v="4"/>
    <x v="1"/>
    <n v="0"/>
    <x v="0"/>
    <m/>
  </r>
  <r>
    <s v="PPT1_BOI04"/>
    <s v="S1CS06471-WS"/>
    <n v="225"/>
    <s v="207201687"/>
    <s v="NW"/>
    <n v="30"/>
    <n v="0.58150453648409661"/>
    <x v="15"/>
    <x v="1"/>
    <n v="0"/>
    <x v="0"/>
    <m/>
  </r>
  <r>
    <s v="PPT1_BOI04"/>
    <s v="S1CS06471-WS"/>
    <n v="225"/>
    <s v="207201691"/>
    <s v="NW"/>
    <n v="30"/>
    <n v="0.58150453648409661"/>
    <x v="1"/>
    <x v="1"/>
    <n v="0"/>
    <x v="0"/>
    <m/>
  </r>
  <r>
    <s v="PPT1_BOI04"/>
    <s v="S1CS06471-WS"/>
    <n v="225"/>
    <s v="207201674"/>
    <s v="NW"/>
    <n v="30"/>
    <n v="0.58150453648409661"/>
    <x v="16"/>
    <x v="1"/>
    <n v="0"/>
    <x v="0"/>
    <m/>
  </r>
  <r>
    <s v="PPT1_BOI04"/>
    <s v="S1CS06471-WS"/>
    <n v="225"/>
    <s v="207201690"/>
    <s v="NW"/>
    <n v="30"/>
    <n v="0.58150453648409661"/>
    <x v="17"/>
    <x v="1"/>
    <n v="0"/>
    <x v="0"/>
    <m/>
  </r>
  <r>
    <s v="PPT1_BOI04"/>
    <s v="S1CS06471-WS"/>
    <n v="225"/>
    <s v="207199228"/>
    <s v="NW"/>
    <n v="30"/>
    <n v="0.58150453648409661"/>
    <x v="10"/>
    <x v="1"/>
    <n v="0"/>
    <x v="0"/>
    <m/>
  </r>
  <r>
    <s v="PPT1_BOI04"/>
    <s v="S1CS06471-WS"/>
    <n v="75"/>
    <s v="207202044"/>
    <s v="NW"/>
    <n v="30"/>
    <n v="0.19383484549469887"/>
    <x v="5"/>
    <x v="1"/>
    <n v="0"/>
    <x v="0"/>
    <m/>
  </r>
  <r>
    <s v="PPT1_BOI04"/>
    <s v="S1CS06471-WS"/>
    <n v="225"/>
    <s v="207201689"/>
    <s v="NW"/>
    <n v="30"/>
    <n v="0.58150453648409661"/>
    <x v="0"/>
    <x v="1"/>
    <n v="0"/>
    <x v="0"/>
    <m/>
  </r>
  <r>
    <s v="PPT1_BOI04"/>
    <s v="S1CS06471-WS"/>
    <n v="225"/>
    <s v="207199338"/>
    <s v="NW"/>
    <n v="30"/>
    <n v="0.58150453648409661"/>
    <x v="3"/>
    <x v="1"/>
    <n v="0"/>
    <x v="0"/>
    <m/>
  </r>
  <r>
    <s v="PPT1_BOI04"/>
    <s v="S1CS06471-WS"/>
    <n v="225"/>
    <s v="207199281"/>
    <s v="NW"/>
    <n v="30"/>
    <n v="0.58150453648409661"/>
    <x v="4"/>
    <x v="1"/>
    <n v="0"/>
    <x v="0"/>
    <m/>
  </r>
  <r>
    <s v="PPT1_BOI04"/>
    <s v="S1CS06471-WS"/>
    <n v="225"/>
    <s v="207199234"/>
    <s v="NW"/>
    <n v="30"/>
    <n v="0.58150453648409661"/>
    <x v="7"/>
    <x v="1"/>
    <n v="0"/>
    <x v="0"/>
    <m/>
  </r>
  <r>
    <s v="PPT1_BOI04"/>
    <s v="S1CS06471-WS"/>
    <n v="225"/>
    <s v="207201757"/>
    <s v="NW"/>
    <n v="30"/>
    <n v="0.58150453648409661"/>
    <x v="5"/>
    <x v="1"/>
    <n v="0"/>
    <x v="0"/>
    <m/>
  </r>
  <r>
    <s v="PPT1_BOI04"/>
    <s v="S1CS06471-WS"/>
    <n v="225"/>
    <s v="207199421"/>
    <s v="NW"/>
    <n v="30"/>
    <n v="0.58150453648409661"/>
    <x v="15"/>
    <x v="1"/>
    <n v="0"/>
    <x v="0"/>
    <m/>
  </r>
  <r>
    <s v="PPT1_BOI04"/>
    <s v="S1CS06471-WS"/>
    <n v="225"/>
    <s v="207199346"/>
    <s v="NW"/>
    <n v="30"/>
    <n v="0.58150453648409661"/>
    <x v="1"/>
    <x v="1"/>
    <n v="0"/>
    <x v="0"/>
    <m/>
  </r>
  <r>
    <s v="PPT1_BOI04"/>
    <s v="S1CS06471-WS"/>
    <n v="150"/>
    <s v="207199425"/>
    <s v="NW"/>
    <n v="30"/>
    <n v="0.38766969098939774"/>
    <x v="16"/>
    <x v="1"/>
    <n v="0"/>
    <x v="0"/>
    <m/>
  </r>
  <r>
    <s v="PPT1_BOI04"/>
    <s v="S1CS06471-WS"/>
    <n v="225"/>
    <s v="207201760"/>
    <s v="NW"/>
    <n v="30"/>
    <n v="0.58150453648409661"/>
    <x v="17"/>
    <x v="1"/>
    <n v="0"/>
    <x v="0"/>
    <m/>
  </r>
  <r>
    <s v="PPT1_BOI04"/>
    <s v="S1CS06471-WS"/>
    <n v="225"/>
    <s v="207201762"/>
    <s v="NW"/>
    <n v="30"/>
    <n v="0.58150453648409661"/>
    <x v="10"/>
    <x v="1"/>
    <n v="0"/>
    <x v="0"/>
    <m/>
  </r>
  <r>
    <s v="PPT1_BOI04"/>
    <s v="S1CS06471-WS"/>
    <n v="225"/>
    <s v="207201764"/>
    <s v="NW"/>
    <n v="30"/>
    <n v="0.58150453648409661"/>
    <x v="8"/>
    <x v="1"/>
    <n v="0"/>
    <x v="0"/>
    <m/>
  </r>
  <r>
    <s v="PPT1_BOI04"/>
    <s v="S1CS06471-WS"/>
    <n v="75"/>
    <s v="207199470"/>
    <s v="NW"/>
    <n v="30"/>
    <n v="0.19383484549469887"/>
    <x v="6"/>
    <x v="1"/>
    <n v="0"/>
    <x v="0"/>
    <m/>
  </r>
  <r>
    <s v="PPT1_BOI04"/>
    <s v="S1CS06471-WS"/>
    <n v="225"/>
    <s v="207199652"/>
    <s v="NW"/>
    <n v="30"/>
    <n v="0.58150453648409661"/>
    <x v="0"/>
    <x v="1"/>
    <n v="0"/>
    <x v="0"/>
    <m/>
  </r>
  <r>
    <s v="PPT1_BOI04"/>
    <s v="S1CS06471-WS"/>
    <n v="225"/>
    <s v="207201759"/>
    <s v="NW"/>
    <n v="30"/>
    <n v="0.58150453648409661"/>
    <x v="3"/>
    <x v="1"/>
    <n v="0"/>
    <x v="0"/>
    <m/>
  </r>
  <r>
    <s v="PPT1_BOI04"/>
    <s v="S1CS06472-WS"/>
    <n v="1080"/>
    <s v="207202247"/>
    <s v="NW"/>
    <n v="1"/>
    <n v="0.45791931659538637"/>
    <x v="11"/>
    <x v="1"/>
    <n v="0"/>
    <x v="0"/>
    <m/>
  </r>
  <r>
    <s v="PPT1_BOI04"/>
    <s v="S1CS06472-WS"/>
    <n v="1080"/>
    <s v="207202251"/>
    <s v="NW"/>
    <n v="1"/>
    <n v="0.45791931659538637"/>
    <x v="11"/>
    <x v="1"/>
    <n v="0"/>
    <x v="0"/>
    <m/>
  </r>
  <r>
    <s v="PPT1_BOI04"/>
    <s v="S1CS06472-WS"/>
    <n v="1080"/>
    <s v="207202250"/>
    <s v="NW"/>
    <n v="1"/>
    <n v="0.45791931659538637"/>
    <x v="11"/>
    <x v="1"/>
    <n v="0"/>
    <x v="0"/>
    <m/>
  </r>
  <r>
    <s v="PPT1_BOI04"/>
    <s v="S1CS06472-WS"/>
    <n v="720"/>
    <s v="207198129"/>
    <s v="NW"/>
    <n v="1"/>
    <n v="0.30527954439692423"/>
    <x v="11"/>
    <x v="1"/>
    <n v="0"/>
    <x v="0"/>
    <m/>
  </r>
  <r>
    <s v="PPT1_BOI04"/>
    <s v="S1CS06472-WS"/>
    <n v="1080"/>
    <s v="207197951"/>
    <s v="NW"/>
    <n v="1"/>
    <n v="0.45791931659538637"/>
    <x v="11"/>
    <x v="1"/>
    <n v="0"/>
    <x v="0"/>
    <m/>
  </r>
  <r>
    <s v="PPT1_BOI04"/>
    <s v="S1CS06472-WS"/>
    <n v="1080"/>
    <s v="207198003"/>
    <s v="NW"/>
    <n v="1"/>
    <n v="0.45791931659538637"/>
    <x v="11"/>
    <x v="1"/>
    <n v="0"/>
    <x v="0"/>
    <m/>
  </r>
  <r>
    <s v="PPT1_BOI04"/>
    <s v="S1CS06473-WS"/>
    <n v="330"/>
    <s v="207198357"/>
    <s v="NW"/>
    <n v="2"/>
    <n v="0.8571108562494093"/>
    <x v="12"/>
    <x v="1"/>
    <n v="0"/>
    <x v="0"/>
    <m/>
  </r>
  <r>
    <s v="PPT1_BOI04"/>
    <s v="S1CS06473-WS"/>
    <n v="110"/>
    <s v="207198363"/>
    <s v="NW"/>
    <n v="2"/>
    <n v="0.2857036187498031"/>
    <x v="4"/>
    <x v="1"/>
    <n v="0"/>
    <x v="0"/>
    <m/>
  </r>
  <r>
    <s v="PPT1_BOI04"/>
    <s v="S1CS06473-WS"/>
    <n v="330"/>
    <s v="207198271"/>
    <s v="NW"/>
    <n v="2"/>
    <n v="0.8571108562494093"/>
    <x v="4"/>
    <x v="1"/>
    <n v="0"/>
    <x v="0"/>
    <m/>
  </r>
  <r>
    <s v="PPT1_BOI04"/>
    <s v="S1CS06478-WS"/>
    <n v="110"/>
    <s v="207198682"/>
    <s v="NW"/>
    <n v="2"/>
    <n v="0.31853042320346997"/>
    <x v="6"/>
    <x v="1"/>
    <n v="0"/>
    <x v="0"/>
    <m/>
  </r>
  <r>
    <s v="PPT1_BOI04"/>
    <s v="S1CS06478-WS"/>
    <n v="110"/>
    <s v="207198631"/>
    <s v="NW"/>
    <n v="2"/>
    <n v="0.31853042320346997"/>
    <x v="7"/>
    <x v="1"/>
    <n v="0"/>
    <x v="0"/>
    <m/>
  </r>
  <r>
    <s v="PPT1_BOI04"/>
    <s v="S1CS06497-WS"/>
    <n v="1080"/>
    <s v="207199854"/>
    <s v="NW"/>
    <n v="9"/>
    <n v="0.27615019835644566"/>
    <x v="16"/>
    <x v="1"/>
    <n v="0"/>
    <x v="0"/>
    <m/>
  </r>
  <r>
    <s v="PPT1_BOI04"/>
    <s v="S1CS06497-WS"/>
    <n v="1080"/>
    <s v="207199832"/>
    <s v="NW"/>
    <n v="9"/>
    <n v="0.27615019835644566"/>
    <x v="5"/>
    <x v="1"/>
    <n v="0"/>
    <x v="0"/>
    <m/>
  </r>
  <r>
    <s v="PPT1_BOI04"/>
    <s v="S1CS06497-WS"/>
    <n v="1080"/>
    <s v="207199784"/>
    <s v="NW"/>
    <n v="9"/>
    <n v="0.27615019835644566"/>
    <x v="13"/>
    <x v="1"/>
    <n v="0"/>
    <x v="0"/>
    <m/>
  </r>
  <r>
    <s v="PPT1_BOI04"/>
    <s v="S1CS06497-WS"/>
    <n v="1080"/>
    <s v="207199611"/>
    <s v="NW"/>
    <n v="9"/>
    <n v="0.27615019835644566"/>
    <x v="2"/>
    <x v="1"/>
    <n v="0"/>
    <x v="0"/>
    <m/>
  </r>
  <r>
    <s v="PPT1_BOI04"/>
    <s v="S1CS06497-WS"/>
    <n v="1080"/>
    <s v="207199573"/>
    <s v="NW"/>
    <n v="9"/>
    <n v="0.27615019835644566"/>
    <x v="15"/>
    <x v="1"/>
    <n v="0"/>
    <x v="0"/>
    <m/>
  </r>
  <r>
    <s v="PPT1_BOI04"/>
    <s v="S1CS06497-WS"/>
    <n v="1080"/>
    <s v="207199896"/>
    <s v="NW"/>
    <n v="9"/>
    <n v="0.27615019835644566"/>
    <x v="1"/>
    <x v="1"/>
    <n v="0"/>
    <x v="0"/>
    <m/>
  </r>
  <r>
    <s v="PPT1_BOI04"/>
    <s v="S1CS06497-WS"/>
    <n v="720"/>
    <s v="207200037"/>
    <s v="NW"/>
    <n v="9"/>
    <n v="0.18410013223763042"/>
    <x v="17"/>
    <x v="1"/>
    <n v="0"/>
    <x v="0"/>
    <m/>
  </r>
  <r>
    <s v="PPT1_BOI04"/>
    <s v="S1CS06497-WS"/>
    <n v="1080"/>
    <s v="207199915"/>
    <s v="NW"/>
    <n v="9"/>
    <n v="0.27615019835644566"/>
    <x v="10"/>
    <x v="1"/>
    <n v="0"/>
    <x v="0"/>
    <m/>
  </r>
  <r>
    <s v="PPT1_BOI04"/>
    <s v="S1CS06497-WS"/>
    <n v="1080"/>
    <s v="207199874"/>
    <s v="NW"/>
    <n v="9"/>
    <n v="0.27615019835644566"/>
    <x v="6"/>
    <x v="1"/>
    <n v="0"/>
    <x v="0"/>
    <m/>
  </r>
  <r>
    <s v="PPT1_BOI04"/>
    <s v="S1CS06497-WS"/>
    <n v="1080"/>
    <s v="207199524"/>
    <s v="NW"/>
    <n v="9"/>
    <n v="0.27615019835644566"/>
    <x v="16"/>
    <x v="1"/>
    <n v="0"/>
    <x v="0"/>
    <m/>
  </r>
  <r>
    <s v="PPT1_BOI04"/>
    <s v="S1CS06516-WS"/>
    <n v="300"/>
    <s v="207202098"/>
    <s v="NW"/>
    <n v="5"/>
    <n v="0.57946534119794435"/>
    <x v="5"/>
    <x v="1"/>
    <n v="0"/>
    <x v="0"/>
    <m/>
  </r>
  <r>
    <s v="PPT1_BOI04"/>
    <s v="S1CS06516-WS"/>
    <n v="300"/>
    <s v="207198197"/>
    <s v="NW"/>
    <n v="5"/>
    <n v="0.57946534119794435"/>
    <x v="13"/>
    <x v="1"/>
    <n v="0"/>
    <x v="0"/>
    <m/>
  </r>
  <r>
    <s v="PPT1_BOI04"/>
    <s v="S1CS06516-WS"/>
    <n v="300"/>
    <s v="207198063"/>
    <s v="NW"/>
    <n v="5"/>
    <n v="0.57946534119794435"/>
    <x v="7"/>
    <x v="1"/>
    <n v="0"/>
    <x v="0"/>
    <m/>
  </r>
  <r>
    <s v="PPT1_BOI04"/>
    <s v="S1CS06516-WS"/>
    <n v="300"/>
    <s v="207197956"/>
    <s v="NW"/>
    <n v="5"/>
    <n v="0.57946534119794435"/>
    <x v="8"/>
    <x v="1"/>
    <n v="0"/>
    <x v="0"/>
    <m/>
  </r>
  <r>
    <s v="PPT1_BOI04"/>
    <s v="S1CS06516-WS"/>
    <n v="100"/>
    <s v="207202115"/>
    <s v="NW"/>
    <n v="5"/>
    <n v="0.19315511373264813"/>
    <x v="18"/>
    <x v="1"/>
    <n v="0"/>
    <x v="0"/>
    <m/>
  </r>
  <r>
    <s v="PPT1_BOI04"/>
    <s v="S1CS06516-WS"/>
    <n v="300"/>
    <s v="207202106"/>
    <s v="NW"/>
    <n v="5"/>
    <n v="0.57946534119794435"/>
    <x v="18"/>
    <x v="1"/>
    <n v="0"/>
    <x v="0"/>
    <m/>
  </r>
  <r>
    <s v="PPT1_BOI04"/>
    <s v="S1CS06516-WS"/>
    <n v="300"/>
    <s v="207202112"/>
    <s v="NW"/>
    <n v="5"/>
    <n v="0.57946534119794435"/>
    <x v="5"/>
    <x v="1"/>
    <n v="0"/>
    <x v="0"/>
    <m/>
  </r>
  <r>
    <s v="PPT1_BOI04"/>
    <s v="S1CS06516-WS"/>
    <n v="300"/>
    <s v="207202101"/>
    <s v="NW"/>
    <n v="5"/>
    <n v="0.57946534119794435"/>
    <x v="13"/>
    <x v="1"/>
    <n v="0"/>
    <x v="0"/>
    <m/>
  </r>
  <r>
    <s v="PPT1_BOI04"/>
    <s v="S1CS06516-WS"/>
    <n v="300"/>
    <s v="207202111"/>
    <s v="NW"/>
    <n v="5"/>
    <n v="0.57946534119794435"/>
    <x v="7"/>
    <x v="1"/>
    <n v="0"/>
    <x v="0"/>
    <m/>
  </r>
  <r>
    <s v="PPT1_BOI04"/>
    <s v="S1CS06516-WS"/>
    <n v="300"/>
    <s v="207198270"/>
    <s v="NW"/>
    <n v="5"/>
    <n v="0.57946534119794435"/>
    <x v="8"/>
    <x v="1"/>
    <n v="0"/>
    <x v="0"/>
    <m/>
  </r>
  <r>
    <s v="PPT1_BOI04"/>
    <s v="S1CS06516-WS"/>
    <n v="300"/>
    <s v="207202089"/>
    <s v="NW"/>
    <n v="5"/>
    <n v="0.57946534119794435"/>
    <x v="18"/>
    <x v="1"/>
    <n v="0"/>
    <x v="0"/>
    <m/>
  </r>
  <r>
    <s v="PPT1_BOI04"/>
    <s v="S1CS06516-WS"/>
    <n v="300"/>
    <s v="207202091"/>
    <s v="NW"/>
    <n v="5"/>
    <n v="0.57946534119794435"/>
    <x v="5"/>
    <x v="1"/>
    <n v="0"/>
    <x v="0"/>
    <m/>
  </r>
  <r>
    <s v="PPT1_BOI04"/>
    <s v="S1CS06516-WS"/>
    <n v="300"/>
    <s v="207202085"/>
    <s v="NW"/>
    <n v="5"/>
    <n v="0.57946534119794435"/>
    <x v="13"/>
    <x v="1"/>
    <n v="0"/>
    <x v="0"/>
    <m/>
  </r>
  <r>
    <s v="PPT1_BOI04"/>
    <s v="S1CS06516-WS"/>
    <n v="300"/>
    <s v="207202081"/>
    <s v="NW"/>
    <n v="5"/>
    <n v="0.57946534119794435"/>
    <x v="7"/>
    <x v="1"/>
    <n v="0"/>
    <x v="0"/>
    <m/>
  </r>
  <r>
    <s v="PPT1_BOI04"/>
    <s v="S1CS06516-WS"/>
    <n v="300"/>
    <s v="207202083"/>
    <s v="NW"/>
    <n v="5"/>
    <n v="0.57946534119794435"/>
    <x v="8"/>
    <x v="1"/>
    <n v="0"/>
    <x v="0"/>
    <m/>
  </r>
  <r>
    <s v="PPT1_BOI04"/>
    <s v="S1CS06516-WS"/>
    <n v="100"/>
    <s v="207198366"/>
    <s v="NW"/>
    <n v="5"/>
    <n v="0.19315511373264813"/>
    <x v="18"/>
    <x v="1"/>
    <n v="0"/>
    <x v="0"/>
    <m/>
  </r>
  <r>
    <s v="PPT1_BOI04"/>
    <s v="S1CS06516-WS"/>
    <n v="300"/>
    <s v="207198311"/>
    <s v="NW"/>
    <n v="5"/>
    <n v="0.57946534119794435"/>
    <x v="18"/>
    <x v="1"/>
    <n v="0"/>
    <x v="0"/>
    <m/>
  </r>
  <r>
    <s v="PPT1_BOI04"/>
    <s v="S1CS06516-WS"/>
    <n v="300"/>
    <s v="207202094"/>
    <s v="NW"/>
    <n v="5"/>
    <n v="0.57946534119794435"/>
    <x v="5"/>
    <x v="1"/>
    <n v="0"/>
    <x v="0"/>
    <m/>
  </r>
  <r>
    <s v="PPT1_BOI04"/>
    <s v="S1CS06516-WS"/>
    <n v="300"/>
    <s v="207202110"/>
    <s v="NW"/>
    <n v="5"/>
    <n v="0.57946534119794435"/>
    <x v="13"/>
    <x v="1"/>
    <n v="0"/>
    <x v="0"/>
    <m/>
  </r>
  <r>
    <s v="PPT1_BOI04"/>
    <s v="S1CS06516-WS"/>
    <n v="300"/>
    <s v="207202109"/>
    <s v="NW"/>
    <n v="5"/>
    <n v="0.57946534119794435"/>
    <x v="7"/>
    <x v="1"/>
    <n v="0"/>
    <x v="0"/>
    <m/>
  </r>
  <r>
    <s v="PPT1_BOI04"/>
    <s v="S1CS06517-WS"/>
    <n v="660"/>
    <s v="207198677"/>
    <s v="NW"/>
    <n v="10"/>
    <n v="0.40790839460294986"/>
    <x v="2"/>
    <x v="1"/>
    <n v="0"/>
    <x v="0"/>
    <m/>
  </r>
  <r>
    <s v="PPT1_BOI04"/>
    <s v="S1CS06517-WS"/>
    <n v="220"/>
    <s v="207198685"/>
    <s v="NW"/>
    <n v="10"/>
    <n v="0.13596946486764994"/>
    <x v="14"/>
    <x v="1"/>
    <n v="0"/>
    <x v="0"/>
    <m/>
  </r>
  <r>
    <s v="PPT1_BOI04"/>
    <s v="S1CS06517-WS"/>
    <n v="660"/>
    <s v="207202216"/>
    <s v="NW"/>
    <n v="10"/>
    <n v="0.40790839460294986"/>
    <x v="15"/>
    <x v="1"/>
    <n v="0"/>
    <x v="0"/>
    <m/>
  </r>
  <r>
    <s v="PPT1_BOI04"/>
    <s v="S1CS06517-WS"/>
    <n v="660"/>
    <s v="207202217"/>
    <s v="NW"/>
    <n v="10"/>
    <n v="0.40790839460294986"/>
    <x v="17"/>
    <x v="1"/>
    <n v="0"/>
    <x v="0"/>
    <m/>
  </r>
  <r>
    <s v="PPT1_BOI04"/>
    <s v="S1CS06517-WS"/>
    <n v="660"/>
    <s v="207202218"/>
    <s v="NW"/>
    <n v="10"/>
    <n v="0.40790839460294986"/>
    <x v="0"/>
    <x v="1"/>
    <n v="0"/>
    <x v="0"/>
    <m/>
  </r>
  <r>
    <s v="PPT1_BOI04"/>
    <s v="S1CS06517-WS"/>
    <n v="660"/>
    <s v="207202213"/>
    <s v="NW"/>
    <n v="10"/>
    <n v="0.40790839460294986"/>
    <x v="3"/>
    <x v="1"/>
    <n v="0"/>
    <x v="0"/>
    <m/>
  </r>
  <r>
    <s v="PPT1_BOI04"/>
    <s v="S1CS06517-WS"/>
    <n v="660"/>
    <s v="207202211"/>
    <s v="NW"/>
    <n v="10"/>
    <n v="0.40790839460294986"/>
    <x v="1"/>
    <x v="1"/>
    <n v="0"/>
    <x v="0"/>
    <m/>
  </r>
  <r>
    <s v="PPT1_BOI04"/>
    <s v="S1CS06517-WS"/>
    <n v="660"/>
    <s v="207198628"/>
    <s v="NW"/>
    <n v="10"/>
    <n v="0.40790839460294986"/>
    <x v="10"/>
    <x v="1"/>
    <n v="0"/>
    <x v="0"/>
    <m/>
  </r>
  <r>
    <s v="PPT1_BOI04"/>
    <s v="S1CS06517-WS"/>
    <n v="220"/>
    <s v="207202215"/>
    <s v="NW"/>
    <n v="10"/>
    <n v="0.13596946486764994"/>
    <x v="14"/>
    <x v="1"/>
    <n v="0"/>
    <x v="0"/>
    <m/>
  </r>
  <r>
    <s v="PPT1_BOI04"/>
    <s v="S1CS06517-WS"/>
    <n v="660"/>
    <s v="207202214"/>
    <s v="NW"/>
    <n v="10"/>
    <n v="0.40790839460294986"/>
    <x v="9"/>
    <x v="1"/>
    <n v="0"/>
    <x v="0"/>
    <m/>
  </r>
  <r>
    <s v="PPT1_BOI04"/>
    <s v="S1CS06524-WS"/>
    <n v="360"/>
    <s v="207200110"/>
    <s v="NW"/>
    <n v="4"/>
    <n v="0.48569132789714903"/>
    <x v="6"/>
    <x v="1"/>
    <n v="0"/>
    <x v="0"/>
    <m/>
  </r>
  <r>
    <s v="PPT1_BOI04"/>
    <s v="S1CS06524-WS"/>
    <n v="120"/>
    <s v="207200533"/>
    <s v="NW"/>
    <n v="4"/>
    <n v="0.16189710929904969"/>
    <x v="16"/>
    <x v="1"/>
    <n v="0"/>
    <x v="0"/>
    <m/>
  </r>
  <r>
    <s v="PPT1_BOI04"/>
    <s v="S1CS06524-WS"/>
    <n v="120"/>
    <s v="207200527"/>
    <s v="NW"/>
    <n v="4"/>
    <n v="0.16189710929904969"/>
    <x v="14"/>
    <x v="1"/>
    <n v="0"/>
    <x v="0"/>
    <m/>
  </r>
  <r>
    <s v="PPT1_BOI04"/>
    <s v="S1CS06524-WS"/>
    <n v="360"/>
    <s v="207200116"/>
    <s v="NW"/>
    <n v="4"/>
    <n v="0.48569132789714903"/>
    <x v="16"/>
    <x v="1"/>
    <n v="0"/>
    <x v="0"/>
    <m/>
  </r>
  <r>
    <s v="PPT1_BOI04"/>
    <s v="S1CS06539-WS"/>
    <n v="540"/>
    <s v="207201909"/>
    <s v="NW"/>
    <n v="2"/>
    <n v="0.49556068287341526"/>
    <x v="12"/>
    <x v="1"/>
    <n v="0"/>
    <x v="0"/>
    <m/>
  </r>
  <r>
    <s v="PPT1_BOI04"/>
    <s v="S1CS06539-WS"/>
    <n v="540"/>
    <s v="207201913"/>
    <s v="NW"/>
    <n v="2"/>
    <n v="0.49556068287341526"/>
    <x v="2"/>
    <x v="1"/>
    <n v="0"/>
    <x v="0"/>
    <m/>
  </r>
  <r>
    <s v="PPT1_BOI04"/>
    <s v="S1CS06539-WS"/>
    <n v="540"/>
    <s v="207201924"/>
    <s v="NW"/>
    <n v="2"/>
    <n v="0.49556068287341526"/>
    <x v="12"/>
    <x v="1"/>
    <n v="0"/>
    <x v="0"/>
    <m/>
  </r>
  <r>
    <s v="PPT1_BOI04"/>
    <s v="S1CS06539-WS"/>
    <n v="540"/>
    <s v="207201911"/>
    <s v="NW"/>
    <n v="2"/>
    <n v="0.49556068287341526"/>
    <x v="2"/>
    <x v="1"/>
    <n v="0"/>
    <x v="0"/>
    <m/>
  </r>
  <r>
    <s v="PPT1_BOI04"/>
    <s v="S1CS06539-WS"/>
    <n v="540"/>
    <s v="207201861"/>
    <s v="NW"/>
    <n v="2"/>
    <n v="0.49556068287341526"/>
    <x v="12"/>
    <x v="1"/>
    <n v="0"/>
    <x v="0"/>
    <m/>
  </r>
  <r>
    <s v="PPT1_BOI04"/>
    <s v="S1CS06539-WS"/>
    <n v="540"/>
    <s v="207201859"/>
    <s v="NW"/>
    <n v="2"/>
    <n v="0.49556068287341526"/>
    <x v="2"/>
    <x v="1"/>
    <n v="0"/>
    <x v="0"/>
    <m/>
  </r>
  <r>
    <s v="PPT1_BOI04"/>
    <s v="S1CS06539-WS"/>
    <n v="540"/>
    <s v="207201865"/>
    <s v="NW"/>
    <n v="2"/>
    <n v="0.49556068287341526"/>
    <x v="12"/>
    <x v="1"/>
    <n v="0"/>
    <x v="0"/>
    <m/>
  </r>
  <r>
    <s v="PPT1_BOI04"/>
    <s v="S1CS06539-WS"/>
    <n v="540"/>
    <s v="207201863"/>
    <s v="NW"/>
    <n v="2"/>
    <n v="0.49556068287341526"/>
    <x v="2"/>
    <x v="1"/>
    <n v="0"/>
    <x v="0"/>
    <m/>
  </r>
  <r>
    <s v="PPT1_BOI04"/>
    <s v="S1CS06539-WS"/>
    <n v="540"/>
    <s v="207199648"/>
    <s v="NW"/>
    <n v="2"/>
    <n v="0.49556068287341526"/>
    <x v="12"/>
    <x v="1"/>
    <n v="0"/>
    <x v="0"/>
    <m/>
  </r>
  <r>
    <s v="PPT1_BOI04"/>
    <s v="S1CS06539-WS"/>
    <n v="540"/>
    <s v="207201824"/>
    <s v="NW"/>
    <n v="2"/>
    <n v="0.49556068287341526"/>
    <x v="2"/>
    <x v="1"/>
    <n v="0"/>
    <x v="0"/>
    <m/>
  </r>
  <r>
    <s v="PPT1_BOI04"/>
    <s v="S1CS06539-WS"/>
    <n v="180"/>
    <s v="207199708"/>
    <s v="NW"/>
    <n v="2"/>
    <n v="0.16518689429113842"/>
    <x v="12"/>
    <x v="1"/>
    <n v="0"/>
    <x v="0"/>
    <m/>
  </r>
  <r>
    <s v="PPT1_BOI04"/>
    <s v="S1CS06539-WS"/>
    <n v="540"/>
    <s v="207199674"/>
    <s v="NW"/>
    <n v="2"/>
    <n v="0.49556068287341526"/>
    <x v="2"/>
    <x v="1"/>
    <n v="0"/>
    <x v="0"/>
    <m/>
  </r>
  <r>
    <s v="PPT1_BOI04"/>
    <s v="S1CS06557-WS"/>
    <n v="270"/>
    <s v="207198756"/>
    <s v="NW"/>
    <n v="1"/>
    <n v="0.91927767354596612"/>
    <x v="14"/>
    <x v="1"/>
    <n v="0"/>
    <x v="0"/>
    <m/>
  </r>
  <r>
    <s v="PPT1_BOI04"/>
    <s v="S1CS06557-WS"/>
    <n v="270"/>
    <s v="207198676"/>
    <s v="NW"/>
    <n v="1"/>
    <n v="0.91927767354596612"/>
    <x v="14"/>
    <x v="1"/>
    <n v="0"/>
    <x v="0"/>
    <m/>
  </r>
  <r>
    <s v="PPT1_BOI04"/>
    <s v="S1CS06557-WS"/>
    <n v="270"/>
    <s v="207198641"/>
    <s v="NW"/>
    <n v="1"/>
    <n v="0.91927767354596612"/>
    <x v="14"/>
    <x v="1"/>
    <n v="0"/>
    <x v="0"/>
    <m/>
  </r>
  <r>
    <s v="PPT1_BOI04"/>
    <s v="S1CS06557-WS"/>
    <n v="270"/>
    <s v="207198730"/>
    <s v="NW"/>
    <n v="1"/>
    <n v="0.91927767354596612"/>
    <x v="14"/>
    <x v="1"/>
    <n v="0"/>
    <x v="0"/>
    <m/>
  </r>
  <r>
    <s v="PPT1_BOI04"/>
    <s v="S1CS06560-WS"/>
    <n v="440"/>
    <s v="207199615"/>
    <s v="NW"/>
    <n v="6"/>
    <n v="0.63225627279093921"/>
    <x v="15"/>
    <x v="1"/>
    <n v="0"/>
    <x v="0"/>
    <m/>
  </r>
  <r>
    <s v="PPT1_BOI04"/>
    <s v="S1CS06561-WS"/>
    <n v="600"/>
    <s v="207199236"/>
    <s v="NW"/>
    <n v="3"/>
    <n v="1.1222835704678982"/>
    <x v="17"/>
    <x v="1"/>
    <n v="0"/>
    <x v="0"/>
    <m/>
  </r>
  <r>
    <s v="PPT1_BOI04"/>
    <s v="S1CS06561-WS"/>
    <n v="200"/>
    <s v="207199280"/>
    <s v="NW"/>
    <n v="3"/>
    <n v="0.37409452348929945"/>
    <x v="0"/>
    <x v="1"/>
    <n v="0"/>
    <x v="0"/>
    <m/>
  </r>
  <r>
    <s v="PPT1_BOI04"/>
    <s v="S1CS06561-WS"/>
    <n v="600"/>
    <s v="207198501"/>
    <s v="NW"/>
    <n v="3"/>
    <n v="1.1222835704678982"/>
    <x v="3"/>
    <x v="1"/>
    <n v="0"/>
    <x v="0"/>
    <m/>
  </r>
  <r>
    <s v="PPT1_BOI04"/>
    <s v="S1CS06562-WS"/>
    <n v="600"/>
    <s v="207199881"/>
    <s v="NW"/>
    <n v="9"/>
    <n v="0.60856385117171807"/>
    <x v="1"/>
    <x v="1"/>
    <n v="0"/>
    <x v="0"/>
    <m/>
  </r>
  <r>
    <s v="PPT1_BOI04"/>
    <s v="S1CS06562-WS"/>
    <n v="600"/>
    <s v="207199918"/>
    <s v="NW"/>
    <n v="9"/>
    <n v="0.60856385117171807"/>
    <x v="10"/>
    <x v="1"/>
    <n v="0"/>
    <x v="0"/>
    <m/>
  </r>
  <r>
    <s v="PPT1_BOI04"/>
    <s v="S1CS06563-WS"/>
    <n v="900"/>
    <s v="207199265"/>
    <s v="NW"/>
    <n v="10"/>
    <n v="0.42599998885185231"/>
    <x v="9"/>
    <x v="1"/>
    <n v="0"/>
    <x v="0"/>
    <m/>
  </r>
  <r>
    <s v="PPT1_BOI04"/>
    <s v="S1CS06563-WS"/>
    <n v="300"/>
    <s v="207199371"/>
    <s v="NW"/>
    <n v="10"/>
    <n v="0.14199999628395077"/>
    <x v="6"/>
    <x v="1"/>
    <n v="0"/>
    <x v="0"/>
    <m/>
  </r>
  <r>
    <s v="PPT1_BOI04"/>
    <s v="S1CS06564-WS"/>
    <n v="900"/>
    <s v="207199741"/>
    <s v="NW"/>
    <n v="10"/>
    <n v="0.50895722432108303"/>
    <x v="4"/>
    <x v="1"/>
    <n v="0"/>
    <x v="0"/>
    <m/>
  </r>
  <r>
    <s v="PPT1_BOI04"/>
    <s v="S1CS06564-WS"/>
    <n v="300"/>
    <s v="207202041"/>
    <s v="NW"/>
    <n v="10"/>
    <n v="0.16965240810702767"/>
    <x v="6"/>
    <x v="1"/>
    <n v="0"/>
    <x v="0"/>
    <m/>
  </r>
  <r>
    <s v="PPT1_BOI04"/>
    <s v="S1CS06588-WS"/>
    <n v="60"/>
    <s v="207200535"/>
    <s v="NW"/>
    <n v="3"/>
    <n v="0.15583116425705917"/>
    <x v="0"/>
    <x v="1"/>
    <n v="0"/>
    <x v="0"/>
    <m/>
  </r>
  <r>
    <s v="PPT1_BOI04"/>
    <s v="S1CS06588-WS"/>
    <n v="120"/>
    <s v="207200528"/>
    <s v="NW"/>
    <n v="3"/>
    <n v="0.31166232851411835"/>
    <x v="16"/>
    <x v="1"/>
    <n v="0"/>
    <x v="0"/>
    <m/>
  </r>
  <r>
    <s v="PPT1_BOI04"/>
    <s v="S1CS06589-WS"/>
    <n v="180"/>
    <s v="207197474"/>
    <s v="NW"/>
    <n v="4"/>
    <n v="0.55999527782150171"/>
    <x v="0"/>
    <x v="1"/>
    <n v="0"/>
    <x v="0"/>
    <m/>
  </r>
  <r>
    <s v="PPT1_BOI04"/>
    <s v="S1CS06597-WS"/>
    <n v="750"/>
    <s v="207199204"/>
    <s v="NW"/>
    <n v="5"/>
    <n v="0.91058052434456938"/>
    <x v="9"/>
    <x v="1"/>
    <n v="0"/>
    <x v="0"/>
    <m/>
  </r>
  <r>
    <s v="PPT1_BOI04"/>
    <s v="S1CS06598-WS"/>
    <n v="1080"/>
    <s v="207199647"/>
    <s v="NW"/>
    <n v="3"/>
    <n v="1.5538639035221387"/>
    <x v="6"/>
    <x v="1"/>
    <n v="0"/>
    <x v="0"/>
    <m/>
  </r>
  <r>
    <s v="PPT1_BOI04"/>
    <s v="S1CS06599-WS"/>
    <n v="100"/>
    <s v="207198460"/>
    <s v="NW"/>
    <n v="5"/>
    <n v="0.25899759074664014"/>
    <x v="15"/>
    <x v="1"/>
    <n v="0"/>
    <x v="0"/>
    <m/>
  </r>
  <r>
    <s v="PPT1_BOI04"/>
    <s v="S1CS06601-WS"/>
    <n v="50"/>
    <s v="207200108"/>
    <s v="NW"/>
    <n v="4"/>
    <n v="0.12054165119543263"/>
    <x v="1"/>
    <x v="1"/>
    <n v="0"/>
    <x v="0"/>
    <m/>
  </r>
  <r>
    <s v="PPT1_BOI04"/>
    <s v="S1CS06601-WS"/>
    <n v="150"/>
    <s v="207200083"/>
    <s v="NW"/>
    <n v="4"/>
    <n v="0.36162495358629787"/>
    <x v="16"/>
    <x v="1"/>
    <n v="0"/>
    <x v="0"/>
    <m/>
  </r>
  <r>
    <s v="PPT1_BOI04"/>
    <s v="S1CS06602-WS"/>
    <n v="200"/>
    <s v="207200547"/>
    <s v="NW"/>
    <n v="5"/>
    <n v="0.19457960671640639"/>
    <x v="10"/>
    <x v="1"/>
    <n v="0"/>
    <x v="0"/>
    <m/>
  </r>
  <r>
    <s v="PPT1_BOI04"/>
    <s v="S1CS06610-WS"/>
    <n v="110"/>
    <s v="207200490"/>
    <s v="NW"/>
    <n v="8"/>
    <n v="0.36528641841733539"/>
    <x v="4"/>
    <x v="1"/>
    <n v="0"/>
    <x v="0"/>
    <m/>
  </r>
  <r>
    <s v="PPT1_BOI04"/>
    <s v="S1CS06610-WS"/>
    <n v="330"/>
    <s v="207200358"/>
    <s v="NW"/>
    <n v="8"/>
    <n v="1.0958592552520061"/>
    <x v="1"/>
    <x v="1"/>
    <n v="0"/>
    <x v="0"/>
    <m/>
  </r>
  <r>
    <s v="PPT1_BOI04"/>
    <s v="S1CS06610-WS"/>
    <n v="110"/>
    <s v="207197385"/>
    <s v="NW"/>
    <n v="8"/>
    <n v="0.36528641841733539"/>
    <x v="15"/>
    <x v="1"/>
    <n v="0"/>
    <x v="0"/>
    <m/>
  </r>
  <r>
    <s v="PPT1_BOI04"/>
    <s v="S1CS06610-WS"/>
    <n v="330"/>
    <s v="207200365"/>
    <s v="NW"/>
    <n v="8"/>
    <n v="1.0958592552520061"/>
    <x v="10"/>
    <x v="1"/>
    <n v="0"/>
    <x v="0"/>
    <m/>
  </r>
  <r>
    <s v="PPT1_BOI04"/>
    <s v="S1CS06610-WS"/>
    <n v="330"/>
    <s v="207200451"/>
    <s v="NW"/>
    <n v="8"/>
    <n v="1.0958592552520061"/>
    <x v="16"/>
    <x v="1"/>
    <n v="0"/>
    <x v="0"/>
    <m/>
  </r>
  <r>
    <s v="PPT1_BOI04"/>
    <s v="S1CS06610-WS"/>
    <n v="330"/>
    <s v="207200406"/>
    <s v="NW"/>
    <n v="8"/>
    <n v="1.0958592552520061"/>
    <x v="0"/>
    <x v="1"/>
    <n v="0"/>
    <x v="0"/>
    <m/>
  </r>
  <r>
    <s v="PPT1_BOI04"/>
    <s v="S1CS06611-WS"/>
    <n v="340"/>
    <s v="207197890"/>
    <s v="NW"/>
    <n v="5"/>
    <n v="0.2256740015349149"/>
    <x v="4"/>
    <x v="1"/>
    <n v="0"/>
    <x v="0"/>
    <m/>
  </r>
  <r>
    <s v="PPT1_BOI04"/>
    <s v="S1CS06611-WS"/>
    <n v="1020"/>
    <s v="207197435"/>
    <s v="NW"/>
    <n v="5"/>
    <n v="0.67702200460474471"/>
    <x v="17"/>
    <x v="1"/>
    <n v="0"/>
    <x v="0"/>
    <m/>
  </r>
  <r>
    <s v="PPT1_BOI04"/>
    <s v="S1CS06613-WS"/>
    <n v="1020"/>
    <s v="207202067"/>
    <s v="NW"/>
    <n v="5"/>
    <n v="0.98799922557805064"/>
    <x v="3"/>
    <x v="1"/>
    <n v="0"/>
    <x v="0"/>
    <m/>
  </r>
  <r>
    <s v="PPT1_BOI04"/>
    <s v="S1CS06613-WS"/>
    <n v="1020"/>
    <s v="207198806"/>
    <s v="NW"/>
    <n v="5"/>
    <n v="0.98799922557805064"/>
    <x v="8"/>
    <x v="1"/>
    <n v="0"/>
    <x v="0"/>
    <m/>
  </r>
  <r>
    <s v="PPT1_BOI04"/>
    <s v="S1CS06613-WS"/>
    <n v="1020"/>
    <s v="207202061"/>
    <s v="NW"/>
    <n v="5"/>
    <n v="0.98799922557805064"/>
    <x v="15"/>
    <x v="1"/>
    <n v="0"/>
    <x v="0"/>
    <m/>
  </r>
  <r>
    <s v="PPT1_BOI04"/>
    <s v="S1CS06613-WS"/>
    <n v="1020"/>
    <s v="207198744"/>
    <s v="NW"/>
    <n v="5"/>
    <n v="0.98799922557805064"/>
    <x v="4"/>
    <x v="1"/>
    <n v="0"/>
    <x v="0"/>
    <m/>
  </r>
  <r>
    <s v="PPT1_BOI04"/>
    <s v="S1CS06613-WS"/>
    <n v="1020"/>
    <s v="207202063"/>
    <s v="NW"/>
    <n v="5"/>
    <n v="0.98799922557805064"/>
    <x v="9"/>
    <x v="1"/>
    <n v="0"/>
    <x v="0"/>
    <m/>
  </r>
  <r>
    <s v="PPT1_BOI04"/>
    <s v="S1CS06613-WS"/>
    <n v="1020"/>
    <s v="207202037"/>
    <s v="NW"/>
    <n v="5"/>
    <n v="0.98799922557805064"/>
    <x v="3"/>
    <x v="1"/>
    <n v="0"/>
    <x v="0"/>
    <m/>
  </r>
  <r>
    <s v="PPT1_BOI04"/>
    <s v="S1CS06613-WS"/>
    <n v="1020"/>
    <s v="207202039"/>
    <s v="NW"/>
    <n v="5"/>
    <n v="0.98799922557805064"/>
    <x v="8"/>
    <x v="1"/>
    <n v="0"/>
    <x v="0"/>
    <m/>
  </r>
  <r>
    <s v="PPT1_BOI04"/>
    <s v="S1CS06613-WS"/>
    <n v="1020"/>
    <s v="207199047"/>
    <s v="NW"/>
    <n v="5"/>
    <n v="0.98799922557805064"/>
    <x v="15"/>
    <x v="1"/>
    <n v="0"/>
    <x v="0"/>
    <m/>
  </r>
  <r>
    <s v="PPT1_BOI04"/>
    <s v="S1CS06613-WS"/>
    <n v="340"/>
    <s v="207199105"/>
    <s v="NW"/>
    <n v="5"/>
    <n v="0.32933307519268357"/>
    <x v="4"/>
    <x v="1"/>
    <n v="0"/>
    <x v="0"/>
    <m/>
  </r>
  <r>
    <s v="PPT1_BOI04"/>
    <s v="S1CS06613-WS"/>
    <n v="1020"/>
    <s v="207198922"/>
    <s v="NW"/>
    <n v="5"/>
    <n v="0.98799922557805064"/>
    <x v="9"/>
    <x v="1"/>
    <n v="0"/>
    <x v="0"/>
    <m/>
  </r>
  <r>
    <s v="PPT1_BOI04"/>
    <s v="S1CS06613-WS"/>
    <n v="1020"/>
    <s v="207198863"/>
    <s v="NW"/>
    <n v="5"/>
    <n v="0.98799922557805064"/>
    <x v="4"/>
    <x v="1"/>
    <n v="0"/>
    <x v="0"/>
    <m/>
  </r>
  <r>
    <s v="PPT1_BOI04"/>
    <s v="S1CS06615-WS"/>
    <n v="540"/>
    <s v="207198367"/>
    <s v="NW"/>
    <n v="6"/>
    <n v="0.22145435807186509"/>
    <x v="11"/>
    <x v="1"/>
    <n v="0"/>
    <x v="0"/>
    <m/>
  </r>
  <r>
    <s v="PPT1_BOI04"/>
    <s v="S1CS06615-WS"/>
    <n v="540"/>
    <s v="207198333"/>
    <s v="NW"/>
    <n v="6"/>
    <n v="0.22145435807186509"/>
    <x v="18"/>
    <x v="1"/>
    <n v="0"/>
    <x v="0"/>
    <m/>
  </r>
  <r>
    <s v="PPT1_BOI04"/>
    <s v="S1CS06615-WS"/>
    <n v="540"/>
    <s v="207201926"/>
    <s v="NW"/>
    <n v="6"/>
    <n v="0.22145435807186509"/>
    <x v="17"/>
    <x v="1"/>
    <n v="0"/>
    <x v="0"/>
    <m/>
  </r>
  <r>
    <s v="PPT1_BOI04"/>
    <s v="S1CS06615-WS"/>
    <n v="540"/>
    <s v="207199190"/>
    <s v="NW"/>
    <n v="6"/>
    <n v="0.22145435807186509"/>
    <x v="5"/>
    <x v="1"/>
    <n v="0"/>
    <x v="0"/>
    <m/>
  </r>
  <r>
    <s v="PPT1_BOI04"/>
    <s v="S1CS06615-WS"/>
    <n v="540"/>
    <s v="207198491"/>
    <s v="NW"/>
    <n v="6"/>
    <n v="0.22145435807186509"/>
    <x v="13"/>
    <x v="1"/>
    <n v="0"/>
    <x v="0"/>
    <m/>
  </r>
  <r>
    <s v="PPT1_BOI04"/>
    <s v="S1CS06615-WS"/>
    <n v="540"/>
    <s v="207198403"/>
    <s v="NW"/>
    <n v="6"/>
    <n v="0.22145435807186509"/>
    <x v="7"/>
    <x v="1"/>
    <n v="0"/>
    <x v="0"/>
    <m/>
  </r>
  <r>
    <s v="PPT1_BOI04"/>
    <s v="S1CS06615-WS"/>
    <n v="540"/>
    <s v="207201907"/>
    <s v="NW"/>
    <n v="6"/>
    <n v="0.22145435807186509"/>
    <x v="11"/>
    <x v="1"/>
    <n v="0"/>
    <x v="0"/>
    <m/>
  </r>
  <r>
    <s v="PPT1_BOI04"/>
    <s v="S1CS06615-WS"/>
    <n v="540"/>
    <s v="207198439"/>
    <s v="NW"/>
    <n v="6"/>
    <n v="0.22145435807186509"/>
    <x v="18"/>
    <x v="1"/>
    <n v="0"/>
    <x v="0"/>
    <m/>
  </r>
  <r>
    <s v="PPT1_BOI04"/>
    <s v="S1CS06615-WS"/>
    <n v="540"/>
    <s v="207201887"/>
    <s v="NW"/>
    <n v="6"/>
    <n v="0.22145435807186509"/>
    <x v="17"/>
    <x v="1"/>
    <n v="0"/>
    <x v="0"/>
    <m/>
  </r>
  <r>
    <s v="PPT1_BOI04"/>
    <s v="S1CS06615-WS"/>
    <n v="540"/>
    <s v="207201891"/>
    <s v="NW"/>
    <n v="6"/>
    <n v="0.22145435807186509"/>
    <x v="5"/>
    <x v="1"/>
    <n v="0"/>
    <x v="0"/>
    <m/>
  </r>
  <r>
    <s v="PPT1_BOI04"/>
    <s v="S1CS06615-WS"/>
    <n v="180"/>
    <s v="207199259"/>
    <s v="NW"/>
    <n v="6"/>
    <n v="7.3818119357288353E-2"/>
    <x v="13"/>
    <x v="1"/>
    <n v="0"/>
    <x v="0"/>
    <m/>
  </r>
  <r>
    <s v="PPT1_BOI04"/>
    <s v="S1CS06615-WS"/>
    <n v="540"/>
    <s v="207201974"/>
    <s v="NW"/>
    <n v="6"/>
    <n v="0.22145435807186509"/>
    <x v="7"/>
    <x v="1"/>
    <n v="0"/>
    <x v="0"/>
    <m/>
  </r>
  <r>
    <s v="PPT1_BOI04"/>
    <s v="S1CS06615-WS"/>
    <n v="540"/>
    <s v="207201949"/>
    <s v="NW"/>
    <n v="6"/>
    <n v="0.22145435807186509"/>
    <x v="11"/>
    <x v="1"/>
    <n v="0"/>
    <x v="0"/>
    <m/>
  </r>
  <r>
    <s v="PPT1_BOI04"/>
    <s v="S1CS06615-WS"/>
    <n v="540"/>
    <s v="207200177"/>
    <s v="NW"/>
    <n v="6"/>
    <n v="0.22145435807186509"/>
    <x v="18"/>
    <x v="1"/>
    <n v="0"/>
    <x v="0"/>
    <m/>
  </r>
  <r>
    <s v="PPT1_BOI04"/>
    <s v="S1CS06615-WS"/>
    <n v="540"/>
    <s v="207201980"/>
    <s v="NW"/>
    <n v="6"/>
    <n v="0.22145435807186509"/>
    <x v="13"/>
    <x v="1"/>
    <n v="0"/>
    <x v="0"/>
    <m/>
  </r>
  <r>
    <s v="PPT1_BOI04"/>
    <s v="S1CS06615-WS"/>
    <n v="540"/>
    <s v="207200186"/>
    <s v="NW"/>
    <n v="6"/>
    <n v="0.22145435807186509"/>
    <x v="17"/>
    <x v="1"/>
    <n v="0"/>
    <x v="0"/>
    <m/>
  </r>
  <r>
    <s v="PPT1_BOI04"/>
    <s v="S1CS06615-WS"/>
    <n v="540"/>
    <s v="207200182"/>
    <s v="NW"/>
    <n v="6"/>
    <n v="0.22145435807186509"/>
    <x v="5"/>
    <x v="1"/>
    <n v="0"/>
    <x v="0"/>
    <m/>
  </r>
  <r>
    <s v="PPT1_BOI04"/>
    <s v="S1CS06615-WS"/>
    <n v="540"/>
    <s v="207201943"/>
    <s v="NW"/>
    <n v="6"/>
    <n v="0.22145435807186509"/>
    <x v="7"/>
    <x v="1"/>
    <n v="0"/>
    <x v="0"/>
    <m/>
  </r>
  <r>
    <s v="PPT1_BOI04"/>
    <s v="S1CS06615-WS"/>
    <n v="540"/>
    <s v="207201941"/>
    <s v="NW"/>
    <n v="6"/>
    <n v="0.22145435807186509"/>
    <x v="11"/>
    <x v="1"/>
    <n v="0"/>
    <x v="0"/>
    <m/>
  </r>
  <r>
    <s v="PPT1_BOI04"/>
    <s v="S1CS06615-WS"/>
    <n v="540"/>
    <s v="207199220"/>
    <s v="NW"/>
    <n v="6"/>
    <n v="0.22145435807186509"/>
    <x v="18"/>
    <x v="1"/>
    <n v="0"/>
    <x v="0"/>
    <m/>
  </r>
  <r>
    <s v="PPT1_BOI04"/>
    <s v="S1CS06620-WS"/>
    <n v="810"/>
    <s v="207199349"/>
    <s v="NW"/>
    <n v="4"/>
    <n v="0.97555893688150408"/>
    <x v="1"/>
    <x v="1"/>
    <n v="0"/>
    <x v="0"/>
    <m/>
  </r>
  <r>
    <s v="PPT1_BOI04"/>
    <s v="S1CS06620-WS"/>
    <n v="270"/>
    <s v="207201116"/>
    <s v="NW"/>
    <n v="4"/>
    <n v="0.32518631229383471"/>
    <x v="10"/>
    <x v="1"/>
    <n v="0"/>
    <x v="0"/>
    <m/>
  </r>
  <r>
    <s v="PPT1_BOI04"/>
    <s v="S1CS06620-WS"/>
    <n v="810"/>
    <s v="207199315"/>
    <s v="NW"/>
    <n v="4"/>
    <n v="0.97555893688150408"/>
    <x v="6"/>
    <x v="1"/>
    <n v="0"/>
    <x v="0"/>
    <m/>
  </r>
  <r>
    <s v="PPT1_BOI04"/>
    <s v="S1CS06620-WS"/>
    <n v="810"/>
    <s v="207199313"/>
    <s v="NW"/>
    <n v="4"/>
    <n v="0.97555893688150408"/>
    <x v="16"/>
    <x v="1"/>
    <n v="0"/>
    <x v="0"/>
    <m/>
  </r>
  <r>
    <s v="PPT1_BOI04"/>
    <s v="S1CS06620-WS"/>
    <n v="810"/>
    <s v="207199347"/>
    <s v="NW"/>
    <n v="4"/>
    <n v="0.97555893688150408"/>
    <x v="10"/>
    <x v="1"/>
    <n v="0"/>
    <x v="0"/>
    <m/>
  </r>
  <r>
    <s v="PPT1_BOI04"/>
    <s v="S1CS06620-WS"/>
    <n v="810"/>
    <s v="207200983"/>
    <s v="NW"/>
    <n v="4"/>
    <n v="0.97555893688150408"/>
    <x v="1"/>
    <x v="1"/>
    <n v="0"/>
    <x v="0"/>
    <m/>
  </r>
  <r>
    <s v="PPT1_BOI04"/>
    <s v="S1CS06620-WS"/>
    <n v="540"/>
    <s v="207199566"/>
    <s v="NW"/>
    <n v="4"/>
    <n v="0.65037262458766942"/>
    <x v="6"/>
    <x v="1"/>
    <n v="0"/>
    <x v="0"/>
    <m/>
  </r>
  <r>
    <s v="PPT1_BOI04"/>
    <s v="S1CS06620-WS"/>
    <n v="810"/>
    <s v="207200950"/>
    <s v="NW"/>
    <n v="4"/>
    <n v="0.97555893688150408"/>
    <x v="16"/>
    <x v="1"/>
    <n v="0"/>
    <x v="0"/>
    <m/>
  </r>
  <r>
    <s v="PPT1_BOI04"/>
    <s v="S1CS06620-WS"/>
    <n v="810"/>
    <s v="207199311"/>
    <s v="NW"/>
    <n v="4"/>
    <n v="0.97555893688150408"/>
    <x v="10"/>
    <x v="1"/>
    <n v="0"/>
    <x v="0"/>
    <m/>
  </r>
  <r>
    <s v="PPT1_BOI04"/>
    <s v="S1CS06620-WS"/>
    <n v="810"/>
    <s v="207199564"/>
    <s v="NW"/>
    <n v="4"/>
    <n v="0.97555893688150408"/>
    <x v="6"/>
    <x v="1"/>
    <n v="0"/>
    <x v="0"/>
    <m/>
  </r>
  <r>
    <s v="PPT1_BOI04"/>
    <s v="S1CS06620-WS"/>
    <n v="810"/>
    <s v="207200973"/>
    <s v="NW"/>
    <n v="4"/>
    <n v="0.97555893688150408"/>
    <x v="1"/>
    <x v="1"/>
    <n v="0"/>
    <x v="0"/>
    <m/>
  </r>
  <r>
    <s v="PPT1_BOI04"/>
    <s v="S1CS06620-WS"/>
    <n v="810"/>
    <s v="207200981"/>
    <s v="NW"/>
    <n v="4"/>
    <n v="0.97555893688150408"/>
    <x v="16"/>
    <x v="1"/>
    <n v="0"/>
    <x v="0"/>
    <m/>
  </r>
  <r>
    <s v="PPT1_BOI04"/>
    <s v="S1CS06620-WS"/>
    <n v="810"/>
    <s v="207200952"/>
    <s v="NW"/>
    <n v="4"/>
    <n v="0.97555893688150408"/>
    <x v="10"/>
    <x v="1"/>
    <n v="0"/>
    <x v="0"/>
    <m/>
  </r>
  <r>
    <s v="PPT1_BOI04"/>
    <s v="S1CS06620-WS"/>
    <n v="810"/>
    <s v="207200954"/>
    <s v="NW"/>
    <n v="4"/>
    <n v="0.97555893688150408"/>
    <x v="6"/>
    <x v="1"/>
    <n v="0"/>
    <x v="0"/>
    <m/>
  </r>
  <r>
    <s v="PPT1_BOI04"/>
    <s v="S1CS06621-WS"/>
    <n v="810"/>
    <s v="207198320"/>
    <s v="NW"/>
    <n v="2"/>
    <n v="0.97555893688150408"/>
    <x v="0"/>
    <x v="1"/>
    <n v="0"/>
    <x v="0"/>
    <m/>
  </r>
  <r>
    <s v="PPT1_BOI04"/>
    <s v="S1CS06621-WS"/>
    <n v="810"/>
    <s v="207198248"/>
    <s v="NW"/>
    <n v="2"/>
    <n v="0.97555893688150408"/>
    <x v="13"/>
    <x v="1"/>
    <n v="0"/>
    <x v="0"/>
    <m/>
  </r>
  <r>
    <s v="PPT1_BOI04"/>
    <s v="S1CS06621-WS"/>
    <n v="810"/>
    <s v="207198279"/>
    <s v="NW"/>
    <n v="2"/>
    <n v="0.97555893688150408"/>
    <x v="0"/>
    <x v="1"/>
    <n v="0"/>
    <x v="0"/>
    <m/>
  </r>
  <r>
    <s v="PPT1_BOI04"/>
    <s v="S1CS06621-WS"/>
    <n v="810"/>
    <s v="207198338"/>
    <s v="NW"/>
    <n v="2"/>
    <n v="0.97555893688150408"/>
    <x v="13"/>
    <x v="1"/>
    <n v="0"/>
    <x v="0"/>
    <m/>
  </r>
  <r>
    <s v="PPT1_BOI04"/>
    <s v="S1CS06621-WS"/>
    <n v="270"/>
    <s v="207201375"/>
    <s v="NW"/>
    <n v="2"/>
    <n v="0.32518631229383471"/>
    <x v="0"/>
    <x v="1"/>
    <n v="0"/>
    <x v="0"/>
    <m/>
  </r>
  <r>
    <s v="PPT1_BOI04"/>
    <s v="S1CS06621-WS"/>
    <n v="810"/>
    <s v="207201371"/>
    <s v="NW"/>
    <n v="2"/>
    <n v="0.97555893688150408"/>
    <x v="13"/>
    <x v="1"/>
    <n v="0"/>
    <x v="0"/>
    <m/>
  </r>
  <r>
    <s v="PPT1_BOI04"/>
    <s v="S1CS06621-WS"/>
    <n v="810"/>
    <s v="207198341"/>
    <s v="NW"/>
    <n v="2"/>
    <n v="0.97555893688150408"/>
    <x v="0"/>
    <x v="1"/>
    <n v="0"/>
    <x v="0"/>
    <m/>
  </r>
  <r>
    <s v="PPT1_BOI04"/>
    <s v="S1CS06621-WS"/>
    <n v="270"/>
    <s v="207198395"/>
    <s v="NW"/>
    <n v="2"/>
    <n v="0.32518631229383471"/>
    <x v="13"/>
    <x v="1"/>
    <n v="0"/>
    <x v="0"/>
    <m/>
  </r>
  <r>
    <s v="PPT1_BOI04"/>
    <s v="S1CS06621-WS"/>
    <n v="810"/>
    <s v="207198391"/>
    <s v="NW"/>
    <n v="2"/>
    <n v="0.97555893688150408"/>
    <x v="0"/>
    <x v="1"/>
    <n v="0"/>
    <x v="0"/>
    <m/>
  </r>
  <r>
    <s v="PPT1_BOI04"/>
    <s v="S1CS06621-WS"/>
    <n v="810"/>
    <s v="207201360"/>
    <s v="NW"/>
    <n v="2"/>
    <n v="0.97555893688150408"/>
    <x v="13"/>
    <x v="1"/>
    <n v="0"/>
    <x v="0"/>
    <m/>
  </r>
  <r>
    <s v="PPT1_BOI04"/>
    <s v="S1CS06621-WS"/>
    <n v="810"/>
    <s v="207201368"/>
    <s v="NW"/>
    <n v="2"/>
    <n v="0.97555893688150408"/>
    <x v="0"/>
    <x v="1"/>
    <n v="0"/>
    <x v="0"/>
    <m/>
  </r>
  <r>
    <s v="PPT1_BOI04"/>
    <s v="S1CS06621-WS"/>
    <n v="810"/>
    <s v="207201366"/>
    <s v="NW"/>
    <n v="2"/>
    <n v="0.97555893688150408"/>
    <x v="13"/>
    <x v="1"/>
    <n v="0"/>
    <x v="0"/>
    <m/>
  </r>
  <r>
    <s v="PPT1_BOI04"/>
    <s v="S1CS06621-WS"/>
    <n v="810"/>
    <s v="207201364"/>
    <s v="NW"/>
    <n v="2"/>
    <n v="0.97555893688150408"/>
    <x v="0"/>
    <x v="1"/>
    <n v="0"/>
    <x v="0"/>
    <m/>
  </r>
  <r>
    <s v="PPT1_BOI04"/>
    <s v="S1CS06621-WS"/>
    <n v="810"/>
    <s v="207201369"/>
    <s v="NW"/>
    <n v="2"/>
    <n v="0.97555893688150408"/>
    <x v="13"/>
    <x v="1"/>
    <n v="0"/>
    <x v="0"/>
    <m/>
  </r>
  <r>
    <s v="PPT1_BOI04"/>
    <s v="S1CS06635-WS"/>
    <n v="100"/>
    <s v="207199442"/>
    <s v="NW"/>
    <n v="4"/>
    <n v="0.16782290342937661"/>
    <x v="17"/>
    <x v="1"/>
    <n v="0"/>
    <x v="0"/>
    <m/>
  </r>
  <r>
    <s v="PPT1_BOI04"/>
    <s v="S1CS06635-WS"/>
    <n v="300"/>
    <s v="207199295"/>
    <s v="NW"/>
    <n v="4"/>
    <n v="0.50346871028812989"/>
    <x v="5"/>
    <x v="1"/>
    <n v="0"/>
    <x v="0"/>
    <m/>
  </r>
  <r>
    <s v="PPT1_BOI04"/>
    <s v="S1CS06635-WS"/>
    <n v="300"/>
    <s v="207199363"/>
    <s v="NW"/>
    <n v="4"/>
    <n v="0.50346871028812989"/>
    <x v="7"/>
    <x v="1"/>
    <n v="0"/>
    <x v="0"/>
    <m/>
  </r>
  <r>
    <s v="PPT1_BOI04"/>
    <s v="S1CS06648-WS"/>
    <n v="225"/>
    <s v="207199961"/>
    <s v="NW"/>
    <n v="2"/>
    <n v="0.47116985530059935"/>
    <x v="11"/>
    <x v="1"/>
    <n v="0"/>
    <x v="0"/>
    <m/>
  </r>
  <r>
    <s v="PPT1_BOI04"/>
    <s v="S1CS06648-WS"/>
    <n v="225"/>
    <s v="207200150"/>
    <s v="NW"/>
    <n v="2"/>
    <n v="0.47116985530059935"/>
    <x v="18"/>
    <x v="1"/>
    <n v="0"/>
    <x v="0"/>
    <m/>
  </r>
  <r>
    <s v="PPT1_BOI04"/>
    <s v="S1CS06648-WS"/>
    <n v="225"/>
    <s v="207200197"/>
    <s v="NW"/>
    <n v="2"/>
    <n v="0.47116985530059935"/>
    <x v="11"/>
    <x v="1"/>
    <n v="0"/>
    <x v="0"/>
    <m/>
  </r>
  <r>
    <s v="PPT1_BOI04"/>
    <s v="S1CS06648-WS"/>
    <n v="225"/>
    <s v="207200022"/>
    <s v="NW"/>
    <n v="2"/>
    <n v="0.47116985530059935"/>
    <x v="18"/>
    <x v="1"/>
    <n v="0"/>
    <x v="0"/>
    <m/>
  </r>
  <r>
    <s v="PPT1_BOI04"/>
    <s v="S1CS06648-WS"/>
    <n v="225"/>
    <s v="207200087"/>
    <s v="NW"/>
    <n v="2"/>
    <n v="0.47116985530059935"/>
    <x v="11"/>
    <x v="1"/>
    <n v="0"/>
    <x v="0"/>
    <m/>
  </r>
  <r>
    <s v="PPT1_BOI04"/>
    <s v="S1CS06674-WS"/>
    <n v="540"/>
    <s v="207198305"/>
    <s v="NW"/>
    <n v="3"/>
    <n v="0.53588579051006802"/>
    <x v="12"/>
    <x v="1"/>
    <n v="0"/>
    <x v="0"/>
    <m/>
  </r>
  <r>
    <s v="PPT1_BOI04"/>
    <s v="S1CS06674-WS"/>
    <n v="540"/>
    <s v="207199020"/>
    <s v="NW"/>
    <n v="3"/>
    <n v="0.53588579051006802"/>
    <x v="17"/>
    <x v="1"/>
    <n v="0"/>
    <x v="0"/>
    <m/>
  </r>
  <r>
    <s v="PPT1_BOI04"/>
    <s v="S1CS06674-WS"/>
    <n v="540"/>
    <s v="207198994"/>
    <s v="NW"/>
    <n v="3"/>
    <n v="0.53588579051006802"/>
    <x v="2"/>
    <x v="1"/>
    <n v="0"/>
    <x v="0"/>
    <m/>
  </r>
  <r>
    <s v="PPT1_BOI04"/>
    <s v="S1CS06674-WS"/>
    <n v="540"/>
    <s v="207199044"/>
    <s v="NW"/>
    <n v="3"/>
    <n v="0.53588579051006802"/>
    <x v="12"/>
    <x v="1"/>
    <n v="0"/>
    <x v="0"/>
    <m/>
  </r>
  <r>
    <s v="PPT1_BOI04"/>
    <s v="S1CS06674-WS"/>
    <n v="180"/>
    <s v="207199129"/>
    <s v="NW"/>
    <n v="3"/>
    <n v="0.17862859683668933"/>
    <x v="17"/>
    <x v="1"/>
    <n v="0"/>
    <x v="0"/>
    <m/>
  </r>
  <r>
    <s v="PPT1_BOI04"/>
    <s v="S1CS06681-WS"/>
    <n v="150"/>
    <s v="207198571"/>
    <s v="NW"/>
    <n v="5"/>
    <n v="0.28739374579078614"/>
    <x v="5"/>
    <x v="1"/>
    <n v="0"/>
    <x v="0"/>
    <m/>
  </r>
  <r>
    <s v="PPT1_BOI04"/>
    <s v="S1CS06687-WS"/>
    <n v="240"/>
    <s v="207199686"/>
    <s v="NW"/>
    <n v="3"/>
    <n v="0.36910295902174928"/>
    <x v="7"/>
    <x v="1"/>
    <n v="0"/>
    <x v="0"/>
    <m/>
  </r>
  <r>
    <s v="PPT1_BOI04"/>
    <s v="S1CS06783-WS"/>
    <n v="330"/>
    <s v="207199100"/>
    <s v="NW"/>
    <n v="3"/>
    <n v="0.5966227167882302"/>
    <x v="3"/>
    <x v="1"/>
    <n v="0"/>
    <x v="0"/>
    <m/>
  </r>
  <r>
    <s v="PPT1_BOI04"/>
    <s v="S1CS06783-WS"/>
    <n v="330"/>
    <s v="207198803"/>
    <s v="NW"/>
    <n v="3"/>
    <n v="0.5966227167882302"/>
    <x v="8"/>
    <x v="1"/>
    <n v="0"/>
    <x v="0"/>
    <m/>
  </r>
  <r>
    <s v="PPT1_BOI04"/>
    <s v="S1CS06783-WS"/>
    <n v="330"/>
    <s v="207198926"/>
    <s v="NW"/>
    <n v="3"/>
    <n v="0.5966227167882302"/>
    <x v="15"/>
    <x v="1"/>
    <n v="0"/>
    <x v="0"/>
    <m/>
  </r>
  <r>
    <s v="PPT1_BOI04"/>
    <s v="S1CS06783-WS"/>
    <n v="330"/>
    <s v="207198866"/>
    <s v="NW"/>
    <n v="3"/>
    <n v="0.5966227167882302"/>
    <x v="3"/>
    <x v="1"/>
    <n v="0"/>
    <x v="0"/>
    <m/>
  </r>
  <r>
    <s v="PPT1_BOI04"/>
    <s v="S1CS06783-WS"/>
    <n v="330"/>
    <s v="207199050"/>
    <s v="NW"/>
    <n v="3"/>
    <n v="0.5966227167882302"/>
    <x v="8"/>
    <x v="1"/>
    <n v="0"/>
    <x v="0"/>
    <m/>
  </r>
  <r>
    <s v="PPT1_BOI04"/>
    <s v="S1CS06783-WS"/>
    <n v="330"/>
    <s v="207198861"/>
    <s v="NW"/>
    <n v="3"/>
    <n v="0.5966227167882302"/>
    <x v="15"/>
    <x v="1"/>
    <n v="0"/>
    <x v="0"/>
    <m/>
  </r>
  <r>
    <s v="PPT1_BOI04"/>
    <s v="S1CS06783-WS"/>
    <n v="330"/>
    <s v="207198738"/>
    <s v="NW"/>
    <n v="3"/>
    <n v="0.5966227167882302"/>
    <x v="3"/>
    <x v="1"/>
    <n v="0"/>
    <x v="0"/>
    <m/>
  </r>
  <r>
    <s v="PPT1_BOI04"/>
    <s v="S1CS06783-WS"/>
    <n v="110"/>
    <s v="207199546"/>
    <s v="NW"/>
    <n v="3"/>
    <n v="0.19887423892941006"/>
    <x v="8"/>
    <x v="1"/>
    <n v="0"/>
    <x v="0"/>
    <m/>
  </r>
  <r>
    <s v="PPT1_BOI04"/>
    <s v="S1CS06783-WS"/>
    <n v="330"/>
    <s v="207198745"/>
    <s v="NW"/>
    <n v="3"/>
    <n v="0.5966227167882302"/>
    <x v="15"/>
    <x v="1"/>
    <n v="0"/>
    <x v="0"/>
    <m/>
  </r>
  <r>
    <s v="PPT1_BOI04"/>
    <s v="S1CS06783-WS"/>
    <n v="330"/>
    <s v="207199474"/>
    <s v="NW"/>
    <n v="3"/>
    <n v="0.5966227167882302"/>
    <x v="8"/>
    <x v="1"/>
    <n v="0"/>
    <x v="0"/>
    <m/>
  </r>
  <r>
    <s v="PPT1_BOI04"/>
    <s v="S1CS06789-WS"/>
    <n v="170"/>
    <s v="207197940"/>
    <s v="NW"/>
    <n v="6"/>
    <n v="0.1482191658409234"/>
    <x v="5"/>
    <x v="1"/>
    <n v="0"/>
    <x v="0"/>
    <m/>
  </r>
  <r>
    <s v="PPT1_BOI04"/>
    <s v="S1CS06805-WS"/>
    <n v="100"/>
    <s v="207198743"/>
    <s v="NW"/>
    <n v="23"/>
    <n v="0.34509258932803688"/>
    <x v="7"/>
    <x v="1"/>
    <n v="0"/>
    <x v="0"/>
    <m/>
  </r>
  <r>
    <s v="PPT1_BOI04"/>
    <s v="S1CS06805-WS"/>
    <n v="150"/>
    <s v="207198575"/>
    <s v="NW"/>
    <n v="23"/>
    <n v="0.51763888399205538"/>
    <x v="17"/>
    <x v="1"/>
    <n v="0"/>
    <x v="0"/>
    <m/>
  </r>
  <r>
    <s v="PPT1_BOI04"/>
    <s v="S1CS06805-WS"/>
    <n v="150"/>
    <s v="207198635"/>
    <s v="NW"/>
    <n v="23"/>
    <n v="0.51763888399205538"/>
    <x v="5"/>
    <x v="1"/>
    <n v="0"/>
    <x v="0"/>
    <m/>
  </r>
  <r>
    <s v="PPT1_BOI04"/>
    <s v="S1CS06805-WS"/>
    <n v="150"/>
    <s v="207198740"/>
    <s v="NW"/>
    <n v="23"/>
    <n v="0.51763888399205538"/>
    <x v="9"/>
    <x v="1"/>
    <n v="0"/>
    <x v="0"/>
    <m/>
  </r>
  <r>
    <s v="PPT1_BOI04"/>
    <s v="S1CS06805-WS"/>
    <n v="150"/>
    <s v="207198680"/>
    <s v="NW"/>
    <n v="23"/>
    <n v="0.51763888399205538"/>
    <x v="18"/>
    <x v="1"/>
    <n v="0"/>
    <x v="0"/>
    <m/>
  </r>
  <r>
    <s v="PPT1_BOI04"/>
    <s v="S1CS06806-WS"/>
    <n v="300"/>
    <s v="207199504"/>
    <s v="NW"/>
    <n v="21"/>
    <n v="0.45653986859443968"/>
    <x v="2"/>
    <x v="1"/>
    <n v="0"/>
    <x v="0"/>
    <m/>
  </r>
  <r>
    <s v="PPT1_BOI04"/>
    <s v="S1CS06806-WS"/>
    <n v="100"/>
    <s v="207199707"/>
    <s v="NW"/>
    <n v="21"/>
    <n v="0.15217995619814656"/>
    <x v="4"/>
    <x v="1"/>
    <n v="0"/>
    <x v="0"/>
    <m/>
  </r>
  <r>
    <s v="PPT1_BOI04"/>
    <s v="S1CS06806-WS"/>
    <n v="300"/>
    <s v="207199556"/>
    <s v="NW"/>
    <n v="21"/>
    <n v="0.45653986859443968"/>
    <x v="12"/>
    <x v="1"/>
    <n v="0"/>
    <x v="0"/>
    <m/>
  </r>
  <r>
    <s v="PPT1_BOI04"/>
    <s v="S1CS06875-WS"/>
    <n v="210"/>
    <s v="207202120"/>
    <s v="NW"/>
    <n v="23"/>
    <n v="0.48569342377991331"/>
    <x v="14"/>
    <x v="1"/>
    <n v="0"/>
    <x v="0"/>
    <m/>
  </r>
  <r>
    <s v="PPT1_BOI04"/>
    <s v="S1CS06875-WS"/>
    <n v="210"/>
    <s v="207200675"/>
    <s v="NW"/>
    <n v="23"/>
    <n v="0.48569342377991331"/>
    <x v="7"/>
    <x v="1"/>
    <n v="0"/>
    <x v="0"/>
    <m/>
  </r>
  <r>
    <s v="PPT1_BOI04"/>
    <s v="S1CS06875-WS"/>
    <n v="210"/>
    <s v="207200663"/>
    <s v="NW"/>
    <n v="23"/>
    <n v="0.48569342377991331"/>
    <x v="4"/>
    <x v="1"/>
    <n v="0"/>
    <x v="0"/>
    <m/>
  </r>
  <r>
    <s v="PPT1_BOI04"/>
    <s v="S1CS06875-WS"/>
    <n v="210"/>
    <s v="207200690"/>
    <s v="NW"/>
    <n v="23"/>
    <n v="0.48569342377991331"/>
    <x v="17"/>
    <x v="1"/>
    <n v="0"/>
    <x v="0"/>
    <m/>
  </r>
  <r>
    <s v="PPT1_BOI04"/>
    <s v="S1CS06875-WS"/>
    <n v="210"/>
    <s v="207200708"/>
    <s v="NW"/>
    <n v="23"/>
    <n v="0.48569342377991331"/>
    <x v="2"/>
    <x v="1"/>
    <n v="0"/>
    <x v="0"/>
    <m/>
  </r>
  <r>
    <s v="PPT1_BOI04"/>
    <s v="S1CS06875-WS"/>
    <n v="210"/>
    <s v="207200695"/>
    <s v="NW"/>
    <n v="23"/>
    <n v="0.48569342377991331"/>
    <x v="11"/>
    <x v="1"/>
    <n v="0"/>
    <x v="0"/>
    <m/>
  </r>
  <r>
    <s v="PPT1_BOI04"/>
    <s v="S1CS06875-WS"/>
    <n v="210"/>
    <s v="207200642"/>
    <s v="NW"/>
    <n v="23"/>
    <n v="0.48569342377991331"/>
    <x v="5"/>
    <x v="1"/>
    <n v="0"/>
    <x v="0"/>
    <m/>
  </r>
  <r>
    <s v="PPT1_BOI04"/>
    <s v="S1CS06875-WS"/>
    <n v="210"/>
    <s v="207198847"/>
    <s v="NW"/>
    <n v="23"/>
    <n v="0.48569342377991331"/>
    <x v="9"/>
    <x v="1"/>
    <n v="0"/>
    <x v="0"/>
    <m/>
  </r>
  <r>
    <s v="PPT1_BOI04"/>
    <s v="S1CS06875-WS"/>
    <n v="210"/>
    <s v="207200635"/>
    <s v="NW"/>
    <n v="23"/>
    <n v="0.48569342377991331"/>
    <x v="18"/>
    <x v="1"/>
    <n v="0"/>
    <x v="0"/>
    <m/>
  </r>
  <r>
    <s v="PPT1_BOI04"/>
    <s v="S1CS06875-WS"/>
    <n v="210"/>
    <s v="207202122"/>
    <s v="NW"/>
    <n v="23"/>
    <n v="0.48569342377991331"/>
    <x v="12"/>
    <x v="1"/>
    <n v="0"/>
    <x v="0"/>
    <m/>
  </r>
  <r>
    <s v="PPT1_BOI04"/>
    <s v="S1CS06875-WS"/>
    <n v="210"/>
    <s v="207202130"/>
    <s v="NW"/>
    <n v="23"/>
    <n v="0.48569342377991331"/>
    <x v="14"/>
    <x v="1"/>
    <n v="0"/>
    <x v="0"/>
    <m/>
  </r>
  <r>
    <s v="PPT1_BOI04"/>
    <s v="S1CS06875-WS"/>
    <n v="210"/>
    <s v="207202129"/>
    <s v="NW"/>
    <n v="23"/>
    <n v="0.48569342377991331"/>
    <x v="7"/>
    <x v="1"/>
    <n v="0"/>
    <x v="0"/>
    <m/>
  </r>
  <r>
    <s v="PPT1_BOI04"/>
    <s v="S1CS06875-WS"/>
    <n v="210"/>
    <s v="207202118"/>
    <s v="NW"/>
    <n v="23"/>
    <n v="0.48569342377991331"/>
    <x v="4"/>
    <x v="1"/>
    <n v="0"/>
    <x v="0"/>
    <m/>
  </r>
  <r>
    <s v="PPT1_BOI04"/>
    <s v="S1CS06875-WS"/>
    <n v="210"/>
    <s v="207202116"/>
    <s v="NW"/>
    <n v="23"/>
    <n v="0.48569342377991331"/>
    <x v="17"/>
    <x v="1"/>
    <n v="0"/>
    <x v="0"/>
    <m/>
  </r>
  <r>
    <s v="PPT1_BOI04"/>
    <s v="S1CS06875-WS"/>
    <n v="210"/>
    <s v="207202121"/>
    <s v="NW"/>
    <n v="23"/>
    <n v="0.48569342377991331"/>
    <x v="2"/>
    <x v="1"/>
    <n v="0"/>
    <x v="0"/>
    <m/>
  </r>
  <r>
    <s v="PPT1_BOI04"/>
    <s v="S1CS06875-WS"/>
    <n v="210"/>
    <s v="207202119"/>
    <s v="NW"/>
    <n v="23"/>
    <n v="0.48569342377991331"/>
    <x v="11"/>
    <x v="1"/>
    <n v="0"/>
    <x v="0"/>
    <m/>
  </r>
  <r>
    <s v="PPT1_BOI04"/>
    <s v="S1CS06875-WS"/>
    <n v="210"/>
    <s v="207202117"/>
    <s v="NW"/>
    <n v="23"/>
    <n v="0.48569342377991331"/>
    <x v="5"/>
    <x v="1"/>
    <n v="0"/>
    <x v="0"/>
    <m/>
  </r>
  <r>
    <s v="PPT1_BOI04"/>
    <s v="S1CS06875-WS"/>
    <n v="210"/>
    <s v="207198830"/>
    <s v="NW"/>
    <n v="23"/>
    <n v="0.48569342377991331"/>
    <x v="9"/>
    <x v="1"/>
    <n v="0"/>
    <x v="0"/>
    <m/>
  </r>
  <r>
    <s v="PPT1_BOI04"/>
    <s v="S1CS06875-WS"/>
    <n v="210"/>
    <s v="207202131"/>
    <s v="NW"/>
    <n v="23"/>
    <n v="0.48569342377991331"/>
    <x v="18"/>
    <x v="1"/>
    <n v="0"/>
    <x v="0"/>
    <m/>
  </r>
  <r>
    <s v="PPT1_BOI04"/>
    <s v="S1CS06875-WS"/>
    <n v="210"/>
    <s v="207200711"/>
    <s v="NW"/>
    <n v="23"/>
    <n v="0.48569342377991331"/>
    <x v="12"/>
    <x v="1"/>
    <n v="0"/>
    <x v="0"/>
    <m/>
  </r>
  <r>
    <s v="PPT1_BOI04"/>
    <s v="S1CS06875-WS"/>
    <n v="210"/>
    <s v="207202133"/>
    <s v="NW"/>
    <n v="23"/>
    <n v="0.48569342377991331"/>
    <x v="14"/>
    <x v="1"/>
    <n v="0"/>
    <x v="0"/>
    <m/>
  </r>
  <r>
    <s v="PPT1_BOI04"/>
    <s v="S1CS06875-WS"/>
    <n v="210"/>
    <s v="207202132"/>
    <s v="NW"/>
    <n v="23"/>
    <n v="0.48569342377991331"/>
    <x v="7"/>
    <x v="1"/>
    <n v="0"/>
    <x v="0"/>
    <m/>
  </r>
  <r>
    <s v="PPT1_BOI04"/>
    <s v="S1CS06876-WS"/>
    <n v="810"/>
    <s v="207200479"/>
    <s v="NW"/>
    <n v="6"/>
    <n v="0.88599942173225688"/>
    <x v="4"/>
    <x v="1"/>
    <n v="0"/>
    <x v="0"/>
    <m/>
  </r>
  <r>
    <s v="PPT1_BOI04"/>
    <s v="S1CS06876-WS"/>
    <n v="810"/>
    <s v="207199949"/>
    <s v="NW"/>
    <n v="6"/>
    <n v="0.88599942173225688"/>
    <x v="1"/>
    <x v="1"/>
    <n v="0"/>
    <x v="0"/>
    <m/>
  </r>
  <r>
    <s v="PPT1_BOI04"/>
    <s v="S1CS06876-WS"/>
    <n v="540"/>
    <s v="207200484"/>
    <s v="NW"/>
    <n v="6"/>
    <n v="0.59066628115483788"/>
    <x v="17"/>
    <x v="1"/>
    <n v="0"/>
    <x v="0"/>
    <m/>
  </r>
  <r>
    <s v="PPT1_BOI04"/>
    <s v="S1CS06876-WS"/>
    <n v="270"/>
    <s v="207200502"/>
    <s v="NW"/>
    <n v="6"/>
    <n v="0.29533314057741894"/>
    <x v="2"/>
    <x v="1"/>
    <n v="0"/>
    <x v="0"/>
    <m/>
  </r>
  <r>
    <s v="PPT1_BOI04"/>
    <s v="S1CS06876-WS"/>
    <n v="810"/>
    <s v="207200595"/>
    <s v="NW"/>
    <n v="6"/>
    <n v="0.88599942173225688"/>
    <x v="11"/>
    <x v="1"/>
    <n v="0"/>
    <x v="0"/>
    <m/>
  </r>
  <r>
    <s v="PPT1_BOI04"/>
    <s v="S1CS06876-WS"/>
    <n v="810"/>
    <s v="207202333"/>
    <s v="NW"/>
    <n v="6"/>
    <n v="0.88599942173225688"/>
    <x v="5"/>
    <x v="1"/>
    <n v="0"/>
    <x v="0"/>
    <m/>
  </r>
  <r>
    <s v="PPT1_BOI04"/>
    <s v="S1CS06876-WS"/>
    <n v="810"/>
    <s v="207202332"/>
    <s v="NW"/>
    <n v="6"/>
    <n v="0.88599942173225688"/>
    <x v="2"/>
    <x v="1"/>
    <n v="0"/>
    <x v="0"/>
    <m/>
  </r>
  <r>
    <s v="PPT1_BOI04"/>
    <s v="S1CS06876-WS"/>
    <n v="810"/>
    <s v="207200518"/>
    <s v="NW"/>
    <n v="6"/>
    <n v="0.88599942173225688"/>
    <x v="17"/>
    <x v="1"/>
    <n v="0"/>
    <x v="0"/>
    <m/>
  </r>
  <r>
    <s v="PPT1_BOI04"/>
    <s v="S1CS06876-WS"/>
    <n v="810"/>
    <s v="207200525"/>
    <s v="NW"/>
    <n v="6"/>
    <n v="0.88599942173225688"/>
    <x v="4"/>
    <x v="1"/>
    <n v="0"/>
    <x v="0"/>
    <m/>
  </r>
  <r>
    <s v="PPT1_BOI04"/>
    <s v="S1CS06876-WS"/>
    <n v="810"/>
    <s v="207200541"/>
    <s v="NW"/>
    <n v="6"/>
    <n v="0.88599942173225688"/>
    <x v="1"/>
    <x v="1"/>
    <n v="0"/>
    <x v="0"/>
    <m/>
  </r>
  <r>
    <s v="PPT1_BOI04"/>
    <s v="S1CS06876-WS"/>
    <n v="810"/>
    <s v="207199962"/>
    <s v="NW"/>
    <n v="6"/>
    <n v="0.88599942173225688"/>
    <x v="11"/>
    <x v="1"/>
    <n v="0"/>
    <x v="0"/>
    <m/>
  </r>
  <r>
    <s v="PPT1_BOI04"/>
    <s v="S1CS06876-WS"/>
    <n v="810"/>
    <s v="207199958"/>
    <s v="NW"/>
    <n v="6"/>
    <n v="0.88599942173225688"/>
    <x v="5"/>
    <x v="1"/>
    <n v="0"/>
    <x v="0"/>
    <m/>
  </r>
  <r>
    <s v="PPT1_BOI04"/>
    <s v="S1CS06876-WS"/>
    <n v="540"/>
    <s v="207199968"/>
    <s v="NW"/>
    <n v="6"/>
    <n v="0.59066628115483788"/>
    <x v="2"/>
    <x v="1"/>
    <n v="0"/>
    <x v="0"/>
    <m/>
  </r>
  <r>
    <s v="PPT1_BOI04"/>
    <s v="S1CS06876-WS"/>
    <n v="810"/>
    <s v="207199991"/>
    <s v="NW"/>
    <n v="6"/>
    <n v="0.88599942173225688"/>
    <x v="17"/>
    <x v="1"/>
    <n v="0"/>
    <x v="0"/>
    <m/>
  </r>
  <r>
    <s v="PPT1_BOI04"/>
    <s v="S1CS06876-WS"/>
    <n v="810"/>
    <s v="207199987"/>
    <s v="NW"/>
    <n v="6"/>
    <n v="0.88599942173225688"/>
    <x v="4"/>
    <x v="1"/>
    <n v="0"/>
    <x v="0"/>
    <m/>
  </r>
  <r>
    <s v="PPT1_BOI04"/>
    <s v="S1CS06876-WS"/>
    <n v="810"/>
    <s v="207202334"/>
    <s v="NW"/>
    <n v="6"/>
    <n v="0.88599942173225688"/>
    <x v="1"/>
    <x v="1"/>
    <n v="0"/>
    <x v="0"/>
    <m/>
  </r>
  <r>
    <s v="PPT1_BOI04"/>
    <s v="S1CS06876-WS"/>
    <n v="810"/>
    <s v="207199864"/>
    <s v="NW"/>
    <n v="6"/>
    <n v="0.88599942173225688"/>
    <x v="2"/>
    <x v="1"/>
    <n v="0"/>
    <x v="0"/>
    <m/>
  </r>
  <r>
    <s v="PPT1_BOI04"/>
    <s v="S1CS06876-WS"/>
    <n v="810"/>
    <s v="207199846"/>
    <s v="NW"/>
    <n v="6"/>
    <n v="0.88599942173225688"/>
    <x v="11"/>
    <x v="1"/>
    <n v="0"/>
    <x v="0"/>
    <m/>
  </r>
  <r>
    <s v="PPT1_BOI04"/>
    <s v="S1CS06876-WS"/>
    <n v="810"/>
    <s v="207199942"/>
    <s v="NW"/>
    <n v="6"/>
    <n v="0.88599942173225688"/>
    <x v="5"/>
    <x v="1"/>
    <n v="0"/>
    <x v="0"/>
    <m/>
  </r>
  <r>
    <s v="PPT1_BOI04"/>
    <s v="S1CS06876-WS"/>
    <n v="810"/>
    <s v="207199755"/>
    <s v="NW"/>
    <n v="6"/>
    <n v="0.88599942173225688"/>
    <x v="17"/>
    <x v="1"/>
    <n v="0"/>
    <x v="0"/>
    <m/>
  </r>
  <r>
    <s v="PPT1_BOI04"/>
    <s v="S1CS06876-WS"/>
    <n v="810"/>
    <s v="207199811"/>
    <s v="NW"/>
    <n v="6"/>
    <n v="0.88599942173225688"/>
    <x v="4"/>
    <x v="1"/>
    <n v="0"/>
    <x v="0"/>
    <m/>
  </r>
  <r>
    <s v="PPT1_BOI04"/>
    <s v="S1CS06876-WS"/>
    <n v="810"/>
    <s v="207199996"/>
    <s v="NW"/>
    <n v="6"/>
    <n v="0.88599942173225688"/>
    <x v="1"/>
    <x v="1"/>
    <n v="0"/>
    <x v="0"/>
    <m/>
  </r>
  <r>
    <s v="PPT1_BOI04"/>
    <s v="S1CS06876-WS"/>
    <n v="810"/>
    <s v="207200251"/>
    <s v="NW"/>
    <n v="6"/>
    <n v="0.88599942173225688"/>
    <x v="2"/>
    <x v="1"/>
    <n v="0"/>
    <x v="0"/>
    <m/>
  </r>
  <r>
    <s v="PPT1_BOI04"/>
    <s v="S1CS06876-WS"/>
    <n v="810"/>
    <s v="207200225"/>
    <s v="NW"/>
    <n v="6"/>
    <n v="0.88599942173225688"/>
    <x v="11"/>
    <x v="1"/>
    <n v="0"/>
    <x v="0"/>
    <m/>
  </r>
  <r>
    <s v="PPT1_BOI04"/>
    <s v="S1CS06876-WS"/>
    <n v="810"/>
    <s v="207200217"/>
    <s v="NW"/>
    <n v="6"/>
    <n v="0.88599942173225688"/>
    <x v="5"/>
    <x v="1"/>
    <n v="0"/>
    <x v="0"/>
    <m/>
  </r>
  <r>
    <s v="PPT1_BOI04"/>
    <s v="S1CS06876-WS"/>
    <n v="810"/>
    <s v="207200458"/>
    <s v="NW"/>
    <n v="6"/>
    <n v="0.88599942173225688"/>
    <x v="17"/>
    <x v="1"/>
    <n v="0"/>
    <x v="0"/>
    <m/>
  </r>
  <r>
    <s v="PPT1_BOI04"/>
    <s v="S1CS06876-WS"/>
    <n v="810"/>
    <s v="207199838"/>
    <s v="NW"/>
    <n v="6"/>
    <n v="0.88599942173225688"/>
    <x v="4"/>
    <x v="1"/>
    <n v="0"/>
    <x v="0"/>
    <m/>
  </r>
  <r>
    <s v="PPT1_BOI04"/>
    <s v="S1CS06876-WS"/>
    <n v="810"/>
    <s v="207200279"/>
    <s v="NW"/>
    <n v="6"/>
    <n v="0.88599942173225688"/>
    <x v="1"/>
    <x v="1"/>
    <n v="0"/>
    <x v="0"/>
    <m/>
  </r>
  <r>
    <s v="PPT1_BOI04"/>
    <s v="S1CS06876-WS"/>
    <n v="810"/>
    <s v="207200023"/>
    <s v="NW"/>
    <n v="6"/>
    <n v="0.88599942173225688"/>
    <x v="2"/>
    <x v="1"/>
    <n v="0"/>
    <x v="0"/>
    <m/>
  </r>
  <r>
    <s v="PPT1_BOI04"/>
    <s v="S1CS06876-WS"/>
    <n v="810"/>
    <s v="207200198"/>
    <s v="NW"/>
    <n v="6"/>
    <n v="0.88599942173225688"/>
    <x v="11"/>
    <x v="1"/>
    <n v="0"/>
    <x v="0"/>
    <m/>
  </r>
  <r>
    <s v="PPT1_BOI04"/>
    <s v="S1CS06876-WS"/>
    <n v="810"/>
    <s v="207200201"/>
    <s v="NW"/>
    <n v="6"/>
    <n v="0.88599942173225688"/>
    <x v="5"/>
    <x v="1"/>
    <n v="0"/>
    <x v="0"/>
    <m/>
  </r>
  <r>
    <s v="PPT1_BOI04"/>
    <s v="S1CS06883-WS"/>
    <n v="240"/>
    <s v="207199783"/>
    <s v="NW"/>
    <n v="6"/>
    <n v="0.43707514490516863"/>
    <x v="3"/>
    <x v="1"/>
    <n v="0"/>
    <x v="0"/>
    <m/>
  </r>
  <r>
    <s v="PPT1_BOI04"/>
    <s v="S1CS06883-WS"/>
    <n v="80"/>
    <s v="207199853"/>
    <s v="NW"/>
    <n v="6"/>
    <n v="0.14569171496838954"/>
    <x v="9"/>
    <x v="1"/>
    <n v="0"/>
    <x v="0"/>
    <m/>
  </r>
  <r>
    <s v="PPT1_BOI04"/>
    <s v="S1CS06888-WS"/>
    <n v="300"/>
    <s v="207200140"/>
    <s v="NW"/>
    <n v="10"/>
    <n v="0.40659758389904577"/>
    <x v="18"/>
    <x v="1"/>
    <n v="0"/>
    <x v="0"/>
    <m/>
  </r>
  <r>
    <s v="PPT1_BOI04"/>
    <s v="S1CS06888-WS"/>
    <n v="300"/>
    <s v="207200056"/>
    <s v="NW"/>
    <n v="10"/>
    <n v="0.40659758389904577"/>
    <x v="15"/>
    <x v="1"/>
    <n v="0"/>
    <x v="0"/>
    <m/>
  </r>
  <r>
    <s v="PPT1_BOI04"/>
    <s v="S1CS06888-WS"/>
    <n v="300"/>
    <s v="207200053"/>
    <s v="NW"/>
    <n v="10"/>
    <n v="0.40659758389904577"/>
    <x v="9"/>
    <x v="1"/>
    <n v="0"/>
    <x v="0"/>
    <m/>
  </r>
  <r>
    <s v="PPT1_BOI04"/>
    <s v="S1CS06888-WS"/>
    <n v="300"/>
    <s v="207200050"/>
    <s v="NW"/>
    <n v="10"/>
    <n v="0.40659758389904577"/>
    <x v="12"/>
    <x v="1"/>
    <n v="0"/>
    <x v="0"/>
    <m/>
  </r>
  <r>
    <s v="PPT1_BOI04"/>
    <s v="S1CS06888-WS"/>
    <n v="300"/>
    <s v="207198329"/>
    <s v="NW"/>
    <n v="10"/>
    <n v="0.40659758389904577"/>
    <x v="16"/>
    <x v="1"/>
    <n v="0"/>
    <x v="0"/>
    <m/>
  </r>
  <r>
    <s v="PPT1_BOI04"/>
    <s v="S1CS06888-WS"/>
    <n v="300"/>
    <s v="207200104"/>
    <s v="NW"/>
    <n v="10"/>
    <n v="0.40659758389904577"/>
    <x v="14"/>
    <x v="1"/>
    <n v="0"/>
    <x v="0"/>
    <m/>
  </r>
  <r>
    <s v="PPT1_BOI04"/>
    <s v="S1CS06888-WS"/>
    <n v="300"/>
    <s v="207200101"/>
    <s v="NW"/>
    <n v="10"/>
    <n v="0.40659758389904577"/>
    <x v="7"/>
    <x v="1"/>
    <n v="0"/>
    <x v="0"/>
    <m/>
  </r>
  <r>
    <s v="PPT1_BOI04"/>
    <s v="S1CS06888-WS"/>
    <n v="300"/>
    <s v="207199835"/>
    <s v="NW"/>
    <n v="10"/>
    <n v="0.40659758389904577"/>
    <x v="8"/>
    <x v="1"/>
    <n v="0"/>
    <x v="0"/>
    <m/>
  </r>
  <r>
    <s v="PPT1_BOI04"/>
    <s v="S1CS06888-WS"/>
    <n v="300"/>
    <s v="207199820"/>
    <s v="NW"/>
    <n v="10"/>
    <n v="0.40659758389904577"/>
    <x v="10"/>
    <x v="1"/>
    <n v="0"/>
    <x v="0"/>
    <m/>
  </r>
  <r>
    <s v="PPT1_BOI04"/>
    <s v="S1CS06888-WS"/>
    <n v="300"/>
    <s v="207199781"/>
    <s v="NW"/>
    <n v="10"/>
    <n v="0.40659758389904577"/>
    <x v="3"/>
    <x v="1"/>
    <n v="0"/>
    <x v="0"/>
    <m/>
  </r>
  <r>
    <s v="PPT1_BOI04"/>
    <s v="S1CS06888-WS"/>
    <n v="300"/>
    <s v="207200015"/>
    <s v="NW"/>
    <n v="10"/>
    <n v="0.40659758389904577"/>
    <x v="18"/>
    <x v="1"/>
    <n v="0"/>
    <x v="0"/>
    <m/>
  </r>
  <r>
    <s v="PPT1_BOI04"/>
    <s v="S1CS06888-WS"/>
    <n v="100"/>
    <s v="207199888"/>
    <s v="NW"/>
    <n v="10"/>
    <n v="0.13553252796634857"/>
    <x v="15"/>
    <x v="1"/>
    <n v="0"/>
    <x v="0"/>
    <m/>
  </r>
  <r>
    <s v="PPT1_BOI04"/>
    <s v="S1CS06888-WS"/>
    <n v="300"/>
    <s v="207199852"/>
    <s v="NW"/>
    <n v="10"/>
    <n v="0.40659758389904577"/>
    <x v="9"/>
    <x v="1"/>
    <n v="0"/>
    <x v="0"/>
    <m/>
  </r>
  <r>
    <s v="PPT1_BOI04"/>
    <s v="S1CS06888-WS"/>
    <n v="300"/>
    <s v="207198354"/>
    <s v="NW"/>
    <n v="10"/>
    <n v="0.40659758389904577"/>
    <x v="12"/>
    <x v="1"/>
    <n v="0"/>
    <x v="0"/>
    <m/>
  </r>
  <r>
    <s v="PPT1_BOI04"/>
    <s v="S1CS06888-WS"/>
    <n v="300"/>
    <s v="207199101"/>
    <s v="NW"/>
    <n v="10"/>
    <n v="0.40659758389904577"/>
    <x v="16"/>
    <x v="1"/>
    <n v="0"/>
    <x v="0"/>
    <m/>
  </r>
  <r>
    <s v="PPT1_BOI04"/>
    <s v="S1CS06888-WS"/>
    <n v="300"/>
    <s v="207199053"/>
    <s v="NW"/>
    <n v="10"/>
    <n v="0.40659758389904577"/>
    <x v="14"/>
    <x v="1"/>
    <n v="0"/>
    <x v="0"/>
    <m/>
  </r>
  <r>
    <s v="PPT1_BOI04"/>
    <s v="S1CS06888-WS"/>
    <n v="300"/>
    <s v="207198983"/>
    <s v="NW"/>
    <n v="10"/>
    <n v="0.40659758389904577"/>
    <x v="7"/>
    <x v="1"/>
    <n v="0"/>
    <x v="0"/>
    <m/>
  </r>
  <r>
    <s v="PPT1_BOI04"/>
    <s v="S1CS06888-WS"/>
    <n v="300"/>
    <s v="207199336"/>
    <s v="NW"/>
    <n v="10"/>
    <n v="0.40659758389904577"/>
    <x v="15"/>
    <x v="1"/>
    <n v="0"/>
    <x v="0"/>
    <m/>
  </r>
  <r>
    <s v="PPT1_BOI04"/>
    <s v="S1CS06888-WS"/>
    <n v="300"/>
    <s v="207199218"/>
    <s v="NW"/>
    <n v="10"/>
    <n v="0.40659758389904577"/>
    <x v="8"/>
    <x v="1"/>
    <n v="0"/>
    <x v="0"/>
    <m/>
  </r>
  <r>
    <s v="PPT1_BOI04"/>
    <s v="S1CS06888-WS"/>
    <n v="300"/>
    <s v="207199187"/>
    <s v="NW"/>
    <n v="10"/>
    <n v="0.40659758389904577"/>
    <x v="10"/>
    <x v="1"/>
    <n v="0"/>
    <x v="0"/>
    <m/>
  </r>
  <r>
    <s v="PPT1_BOI04"/>
    <s v="S1CS06888-WS"/>
    <n v="300"/>
    <s v="207198494"/>
    <s v="NW"/>
    <n v="10"/>
    <n v="0.40659758389904577"/>
    <x v="3"/>
    <x v="1"/>
    <n v="0"/>
    <x v="0"/>
    <m/>
  </r>
  <r>
    <s v="PPT1_BOI04"/>
    <s v="S1CS06888-WS"/>
    <n v="300"/>
    <s v="207198445"/>
    <s v="NW"/>
    <n v="10"/>
    <n v="0.40659758389904577"/>
    <x v="18"/>
    <x v="1"/>
    <n v="0"/>
    <x v="0"/>
    <m/>
  </r>
  <r>
    <s v="PPT1_BOI04"/>
    <s v="S1CS06888-WS"/>
    <n v="300"/>
    <s v="207198430"/>
    <s v="NW"/>
    <n v="10"/>
    <n v="0.40659758389904577"/>
    <x v="9"/>
    <x v="1"/>
    <n v="0"/>
    <x v="0"/>
    <m/>
  </r>
  <r>
    <s v="PPT1_BOI04"/>
    <s v="S1CS06888-WS"/>
    <n v="300"/>
    <s v="207198923"/>
    <s v="NW"/>
    <n v="10"/>
    <n v="0.40659758389904577"/>
    <x v="12"/>
    <x v="1"/>
    <n v="0"/>
    <x v="0"/>
    <m/>
  </r>
  <r>
    <s v="PPT1_BOI04"/>
    <s v="S1CS06888-WS"/>
    <n v="300"/>
    <s v="207198918"/>
    <s v="NW"/>
    <n v="10"/>
    <n v="0.40659758389904577"/>
    <x v="16"/>
    <x v="1"/>
    <n v="0"/>
    <x v="0"/>
    <m/>
  </r>
  <r>
    <s v="PPT1_BOI04"/>
    <s v="S1CS06888-WS"/>
    <n v="300"/>
    <s v="207198860"/>
    <s v="NW"/>
    <n v="10"/>
    <n v="0.40659758389904577"/>
    <x v="14"/>
    <x v="1"/>
    <n v="0"/>
    <x v="0"/>
    <m/>
  </r>
  <r>
    <s v="PPT1_BOI04"/>
    <s v="S1CS06888-WS"/>
    <n v="300"/>
    <s v="207199776"/>
    <s v="NW"/>
    <n v="10"/>
    <n v="0.40659758389904577"/>
    <x v="7"/>
    <x v="1"/>
    <n v="0"/>
    <x v="0"/>
    <m/>
  </r>
  <r>
    <s v="PPT1_BOI04"/>
    <s v="S1CS06888-WS"/>
    <n v="300"/>
    <s v="207199325"/>
    <s v="NW"/>
    <n v="10"/>
    <n v="0.40659758389904577"/>
    <x v="15"/>
    <x v="1"/>
    <n v="0"/>
    <x v="0"/>
    <m/>
  </r>
  <r>
    <s v="PPT1_BOI04"/>
    <s v="S1CS06888-WS"/>
    <n v="300"/>
    <s v="207199290"/>
    <s v="NW"/>
    <n v="10"/>
    <n v="0.40659758389904577"/>
    <x v="8"/>
    <x v="1"/>
    <n v="0"/>
    <x v="0"/>
    <m/>
  </r>
  <r>
    <s v="PPT1_BOI04"/>
    <s v="S1CS06888-WS"/>
    <n v="300"/>
    <s v="207200137"/>
    <s v="NW"/>
    <n v="10"/>
    <n v="0.40659758389904577"/>
    <x v="10"/>
    <x v="1"/>
    <n v="0"/>
    <x v="0"/>
    <m/>
  </r>
  <r>
    <s v="PPT1_BOI04"/>
    <s v="S1CS06888-WS"/>
    <n v="300"/>
    <s v="207199476"/>
    <s v="NW"/>
    <n v="10"/>
    <n v="0.40659758389904577"/>
    <x v="3"/>
    <x v="1"/>
    <n v="0"/>
    <x v="0"/>
    <m/>
  </r>
  <r>
    <s v="PPT1_BOI04"/>
    <s v="S1CS06888-WS"/>
    <n v="300"/>
    <s v="207199486"/>
    <s v="NW"/>
    <n v="10"/>
    <n v="0.40659758389904577"/>
    <x v="18"/>
    <x v="1"/>
    <n v="0"/>
    <x v="0"/>
    <m/>
  </r>
  <r>
    <s v="PPT1_BOI04"/>
    <s v="S1CS06888-WS"/>
    <n v="300"/>
    <s v="207199576"/>
    <s v="NW"/>
    <n v="10"/>
    <n v="0.40659758389904577"/>
    <x v="9"/>
    <x v="1"/>
    <n v="0"/>
    <x v="0"/>
    <m/>
  </r>
  <r>
    <s v="PPT1_BOI04"/>
    <s v="S1CS06888-WS"/>
    <n v="300"/>
    <s v="207200144"/>
    <s v="NW"/>
    <n v="10"/>
    <n v="0.40659758389904577"/>
    <x v="12"/>
    <x v="1"/>
    <n v="0"/>
    <x v="0"/>
    <m/>
  </r>
  <r>
    <s v="PPT1_BOI04"/>
    <s v="S1CS06888-WS"/>
    <n v="300"/>
    <s v="207199517"/>
    <s v="NW"/>
    <n v="10"/>
    <n v="0.40659758389904577"/>
    <x v="16"/>
    <x v="1"/>
    <n v="0"/>
    <x v="0"/>
    <m/>
  </r>
  <r>
    <s v="PPT1_BOI04"/>
    <s v="S1CS06888-WS"/>
    <n v="300"/>
    <s v="207199555"/>
    <s v="NW"/>
    <n v="10"/>
    <n v="0.40659758389904577"/>
    <x v="14"/>
    <x v="1"/>
    <n v="0"/>
    <x v="0"/>
    <m/>
  </r>
  <r>
    <s v="PPT1_BOI04"/>
    <s v="S1CS06888-WS"/>
    <n v="300"/>
    <s v="207200183"/>
    <s v="NW"/>
    <n v="10"/>
    <n v="0.40659758389904577"/>
    <x v="7"/>
    <x v="1"/>
    <n v="0"/>
    <x v="0"/>
    <m/>
  </r>
  <r>
    <s v="PPT1_BOI04"/>
    <s v="S1CS06888-WS"/>
    <n v="300"/>
    <s v="207199253"/>
    <s v="NW"/>
    <n v="10"/>
    <n v="0.40659758389904577"/>
    <x v="15"/>
    <x v="1"/>
    <n v="0"/>
    <x v="0"/>
    <m/>
  </r>
  <r>
    <s v="PPT1_BOI04"/>
    <s v="S1CS06888-WS"/>
    <n v="300"/>
    <s v="207200178"/>
    <s v="NW"/>
    <n v="10"/>
    <n v="0.40659758389904577"/>
    <x v="8"/>
    <x v="1"/>
    <n v="0"/>
    <x v="0"/>
    <m/>
  </r>
  <r>
    <s v="PPT1_BOI04"/>
    <s v="S1CS06888-WS"/>
    <n v="300"/>
    <s v="207199370"/>
    <s v="NW"/>
    <n v="10"/>
    <n v="0.40659758389904577"/>
    <x v="10"/>
    <x v="1"/>
    <n v="0"/>
    <x v="0"/>
    <m/>
  </r>
  <r>
    <s v="PPT1_BOI04"/>
    <s v="S1CS06888-WS"/>
    <n v="300"/>
    <s v="207199718"/>
    <s v="NW"/>
    <n v="10"/>
    <n v="0.40659758389904577"/>
    <x v="3"/>
    <x v="1"/>
    <n v="0"/>
    <x v="0"/>
    <m/>
  </r>
  <r>
    <s v="PPT1_BOI04"/>
    <s v="S1CS06888-WS"/>
    <n v="300"/>
    <s v="207199608"/>
    <s v="NW"/>
    <n v="10"/>
    <n v="0.40659758389904577"/>
    <x v="18"/>
    <x v="1"/>
    <n v="0"/>
    <x v="0"/>
    <m/>
  </r>
  <r>
    <s v="PPT1_BOI04"/>
    <s v="S1CS06888-WS"/>
    <n v="300"/>
    <s v="207199723"/>
    <s v="NW"/>
    <n v="10"/>
    <n v="0.40659758389904577"/>
    <x v="9"/>
    <x v="1"/>
    <n v="0"/>
    <x v="0"/>
    <m/>
  </r>
  <r>
    <s v="PPT1_BOI04"/>
    <s v="S1CS06888-WS"/>
    <n v="300"/>
    <s v="207199660"/>
    <s v="NW"/>
    <n v="10"/>
    <n v="0.40659758389904577"/>
    <x v="12"/>
    <x v="1"/>
    <n v="0"/>
    <x v="0"/>
    <m/>
  </r>
  <r>
    <s v="PPT1_BOI04"/>
    <s v="S1CS06888-WS"/>
    <n v="300"/>
    <s v="207199453"/>
    <s v="NW"/>
    <n v="10"/>
    <n v="0.40659758389904577"/>
    <x v="16"/>
    <x v="1"/>
    <n v="0"/>
    <x v="0"/>
    <m/>
  </r>
  <r>
    <s v="PPT1_BOI04"/>
    <s v="S1CS06888-WS"/>
    <n v="300"/>
    <s v="207199579"/>
    <s v="NW"/>
    <n v="10"/>
    <n v="0.40659758389904577"/>
    <x v="14"/>
    <x v="1"/>
    <n v="0"/>
    <x v="0"/>
    <m/>
  </r>
  <r>
    <s v="PPT1_BOI04"/>
    <s v="S1CS06888-WS"/>
    <n v="300"/>
    <s v="207199769"/>
    <s v="NW"/>
    <n v="10"/>
    <n v="0.40659758389904577"/>
    <x v="7"/>
    <x v="1"/>
    <n v="0"/>
    <x v="0"/>
    <m/>
  </r>
  <r>
    <s v="PPT1_BOI04"/>
    <s v="S1CS06912-WS"/>
    <n v="240"/>
    <s v="207199829"/>
    <s v="NW"/>
    <n v="4"/>
    <n v="0.44579362154002777"/>
    <x v="6"/>
    <x v="1"/>
    <n v="0"/>
    <x v="0"/>
    <m/>
  </r>
  <r>
    <s v="PPT1_BOI04"/>
    <s v="S1CS06912-WS"/>
    <n v="240"/>
    <s v="207200091"/>
    <s v="NW"/>
    <n v="4"/>
    <n v="0.44579362154002777"/>
    <x v="6"/>
    <x v="1"/>
    <n v="0"/>
    <x v="0"/>
    <m/>
  </r>
  <r>
    <s v="PPT1_BOI04"/>
    <s v="S1CS06912-WS"/>
    <n v="80"/>
    <s v="207202113"/>
    <s v="NW"/>
    <n v="4"/>
    <n v="0.14859787384667592"/>
    <x v="6"/>
    <x v="1"/>
    <n v="0"/>
    <x v="0"/>
    <m/>
  </r>
  <r>
    <s v="PPT1_BOI04"/>
    <s v="S1CS06912-WS"/>
    <n v="240"/>
    <s v="207200017"/>
    <s v="NW"/>
    <n v="4"/>
    <n v="0.44579362154002777"/>
    <x v="6"/>
    <x v="1"/>
    <n v="0"/>
    <x v="0"/>
    <m/>
  </r>
  <r>
    <s v="PPT1_BOI04"/>
    <s v="S1CS06912-WS"/>
    <n v="240"/>
    <s v="207199941"/>
    <s v="NW"/>
    <n v="4"/>
    <n v="0.44579362154002777"/>
    <x v="15"/>
    <x v="1"/>
    <n v="0"/>
    <x v="0"/>
    <m/>
  </r>
  <r>
    <s v="PPT1_BOI04"/>
    <s v="S1CS06912-WS"/>
    <n v="240"/>
    <s v="207200026"/>
    <s v="NW"/>
    <n v="4"/>
    <n v="0.44579362154002777"/>
    <x v="8"/>
    <x v="1"/>
    <n v="0"/>
    <x v="0"/>
    <m/>
  </r>
  <r>
    <s v="PPT1_BOI04"/>
    <s v="S1CS06912-WS"/>
    <n v="240"/>
    <s v="207199867"/>
    <s v="NW"/>
    <n v="4"/>
    <n v="0.44579362154002777"/>
    <x v="10"/>
    <x v="1"/>
    <n v="0"/>
    <x v="0"/>
    <m/>
  </r>
  <r>
    <s v="PPT1_BOI04"/>
    <s v="S1CS06912-WS"/>
    <n v="80"/>
    <s v="207200126"/>
    <s v="NW"/>
    <n v="4"/>
    <n v="0.14859787384667592"/>
    <x v="6"/>
    <x v="1"/>
    <n v="0"/>
    <x v="0"/>
    <m/>
  </r>
  <r>
    <s v="PPT1_BOI04"/>
    <s v="S1CS06914-WS"/>
    <n v="180"/>
    <s v="207199914"/>
    <s v="NW"/>
    <n v="9"/>
    <n v="0.43394994430355749"/>
    <x v="3"/>
    <x v="1"/>
    <n v="0"/>
    <x v="0"/>
    <m/>
  </r>
  <r>
    <s v="PPT1_BOI04"/>
    <s v="S1CS06915-WS"/>
    <n v="120"/>
    <s v="207200523"/>
    <s v="NW"/>
    <n v="7"/>
    <n v="0.11674776402984383"/>
    <x v="18"/>
    <x v="1"/>
    <n v="0"/>
    <x v="0"/>
    <m/>
  </r>
  <r>
    <s v="PPT1_BOI04"/>
    <s v="S1CS06926-WS"/>
    <n v="300"/>
    <s v="207202092"/>
    <s v="NW"/>
    <n v="12"/>
    <n v="0.26629042187668989"/>
    <x v="18"/>
    <x v="1"/>
    <n v="0"/>
    <x v="0"/>
    <m/>
  </r>
  <r>
    <s v="PPT1_BOI04"/>
    <s v="S1CS06926-WS"/>
    <n v="300"/>
    <s v="207202090"/>
    <s v="NW"/>
    <n v="12"/>
    <n v="0.26629042187668989"/>
    <x v="9"/>
    <x v="1"/>
    <n v="0"/>
    <x v="0"/>
    <m/>
  </r>
  <r>
    <s v="PPT1_BOI04"/>
    <s v="S1CS06926-WS"/>
    <n v="200"/>
    <s v="207202099"/>
    <s v="NW"/>
    <n v="12"/>
    <n v="0.17752694791779325"/>
    <x v="12"/>
    <x v="1"/>
    <n v="0"/>
    <x v="0"/>
    <m/>
  </r>
  <r>
    <s v="PPT1_BOI04"/>
    <s v="S1CS06926-WS"/>
    <n v="300"/>
    <s v="207202087"/>
    <s v="NW"/>
    <n v="12"/>
    <n v="0.26629042187668989"/>
    <x v="16"/>
    <x v="1"/>
    <n v="0"/>
    <x v="0"/>
    <m/>
  </r>
  <r>
    <s v="PPT1_BOI04"/>
    <s v="S1CS06926-WS"/>
    <n v="300"/>
    <s v="207202097"/>
    <s v="NW"/>
    <n v="12"/>
    <n v="0.26629042187668989"/>
    <x v="14"/>
    <x v="1"/>
    <n v="0"/>
    <x v="0"/>
    <m/>
  </r>
  <r>
    <s v="PPT1_BOI04"/>
    <s v="S1CS06926-WS"/>
    <n v="300"/>
    <s v="207202088"/>
    <s v="NW"/>
    <n v="12"/>
    <n v="0.26629042187668989"/>
    <x v="7"/>
    <x v="1"/>
    <n v="0"/>
    <x v="0"/>
    <m/>
  </r>
  <r>
    <s v="PPT1_BOI04"/>
    <s v="S1CS06926-WS"/>
    <n v="300"/>
    <s v="207202095"/>
    <s v="NW"/>
    <n v="12"/>
    <n v="0.26629042187668989"/>
    <x v="15"/>
    <x v="1"/>
    <n v="0"/>
    <x v="0"/>
    <m/>
  </r>
  <r>
    <s v="PPT1_BOI04"/>
    <s v="S1CS06926-WS"/>
    <n v="100"/>
    <s v="207198774"/>
    <s v="NW"/>
    <n v="12"/>
    <n v="8.8763473958896624E-2"/>
    <x v="8"/>
    <x v="1"/>
    <n v="0"/>
    <x v="0"/>
    <m/>
  </r>
  <r>
    <s v="PPT1_BOI04"/>
    <s v="S1CS06926-WS"/>
    <n v="300"/>
    <s v="207198537"/>
    <s v="NW"/>
    <n v="12"/>
    <n v="0.26629042187668989"/>
    <x v="12"/>
    <x v="1"/>
    <n v="0"/>
    <x v="0"/>
    <m/>
  </r>
  <r>
    <s v="PPT1_BOI04"/>
    <s v="S1CS06926-WS"/>
    <n v="300"/>
    <s v="207198750"/>
    <s v="NW"/>
    <n v="12"/>
    <n v="0.26629042187668989"/>
    <x v="6"/>
    <x v="1"/>
    <n v="0"/>
    <x v="0"/>
    <m/>
  </r>
  <r>
    <s v="PPT1_BOI04"/>
    <s v="S1CS06926-WS"/>
    <n v="300"/>
    <s v="207197842"/>
    <s v="NW"/>
    <n v="12"/>
    <n v="0.26629042187668989"/>
    <x v="10"/>
    <x v="1"/>
    <n v="0"/>
    <x v="0"/>
    <m/>
  </r>
  <r>
    <s v="PPT1_BOI04"/>
    <s v="S1CS06926-WS"/>
    <n v="300"/>
    <s v="207197820"/>
    <s v="NW"/>
    <n v="12"/>
    <n v="0.26629042187668989"/>
    <x v="18"/>
    <x v="1"/>
    <n v="0"/>
    <x v="0"/>
    <m/>
  </r>
  <r>
    <s v="PPT1_BOI04"/>
    <s v="S1CS06926-WS"/>
    <n v="300"/>
    <s v="207198657"/>
    <s v="NW"/>
    <n v="12"/>
    <n v="0.26629042187668989"/>
    <x v="8"/>
    <x v="1"/>
    <n v="0"/>
    <x v="0"/>
    <m/>
  </r>
  <r>
    <s v="PPT1_BOI04"/>
    <s v="S1CS06926-WS"/>
    <n v="300"/>
    <s v="207198548"/>
    <s v="NW"/>
    <n v="12"/>
    <n v="0.26629042187668989"/>
    <x v="9"/>
    <x v="1"/>
    <n v="0"/>
    <x v="0"/>
    <m/>
  </r>
  <r>
    <s v="PPT1_BOI04"/>
    <s v="S1CS06926-WS"/>
    <n v="300"/>
    <s v="207198617"/>
    <s v="NW"/>
    <n v="12"/>
    <n v="0.26629042187668989"/>
    <x v="16"/>
    <x v="1"/>
    <n v="0"/>
    <x v="0"/>
    <m/>
  </r>
  <r>
    <s v="PPT1_BOI04"/>
    <s v="S1CS06926-WS"/>
    <n v="300"/>
    <s v="207198586"/>
    <s v="NW"/>
    <n v="12"/>
    <n v="0.26629042187668989"/>
    <x v="3"/>
    <x v="1"/>
    <n v="0"/>
    <x v="0"/>
    <m/>
  </r>
  <r>
    <s v="PPT1_BOI04"/>
    <s v="S1CS07060-WS"/>
    <n v="870"/>
    <s v="207200705"/>
    <s v="NW"/>
    <n v="10"/>
    <n v="0.9505285819240169"/>
    <x v="14"/>
    <x v="1"/>
    <n v="0"/>
    <x v="0"/>
    <m/>
  </r>
  <r>
    <s v="PPT1_BOI04"/>
    <s v="S1CS07060-WS"/>
    <n v="870"/>
    <s v="207200704"/>
    <s v="NW"/>
    <n v="10"/>
    <n v="0.9505285819240169"/>
    <x v="7"/>
    <x v="1"/>
    <n v="0"/>
    <x v="0"/>
    <m/>
  </r>
  <r>
    <s v="PPT1_BOI04"/>
    <s v="S1CS07060-WS"/>
    <n v="580"/>
    <s v="207200706"/>
    <s v="NW"/>
    <n v="10"/>
    <n v="0.63368572128267797"/>
    <x v="15"/>
    <x v="1"/>
    <n v="0"/>
    <x v="0"/>
    <m/>
  </r>
  <r>
    <s v="PPT1_BOI04"/>
    <s v="S1CS07083-WS"/>
    <n v="255"/>
    <s v="207199526"/>
    <s v="NW"/>
    <n v="3"/>
    <n v="0.42952236010606981"/>
    <x v="12"/>
    <x v="1"/>
    <n v="0"/>
    <x v="0"/>
    <m/>
  </r>
  <r>
    <s v="PPT1_BOI04"/>
    <s v="S1CS07083-WS"/>
    <n v="255"/>
    <s v="207199484"/>
    <s v="NW"/>
    <n v="3"/>
    <n v="0.42952236010606981"/>
    <x v="6"/>
    <x v="1"/>
    <n v="0"/>
    <x v="0"/>
    <m/>
  </r>
  <r>
    <s v="PPT1_BOI04"/>
    <s v="S1CS07083-WS"/>
    <n v="255"/>
    <s v="207199359"/>
    <s v="NW"/>
    <n v="3"/>
    <n v="0.42952236010606981"/>
    <x v="10"/>
    <x v="1"/>
    <n v="0"/>
    <x v="0"/>
    <m/>
  </r>
  <r>
    <s v="PPT1_BOI04"/>
    <s v="S1CS07083-WS"/>
    <n v="255"/>
    <s v="207199444"/>
    <s v="NW"/>
    <n v="3"/>
    <n v="0.42952236010606981"/>
    <x v="12"/>
    <x v="1"/>
    <n v="0"/>
    <x v="0"/>
    <m/>
  </r>
  <r>
    <s v="PPT1_BOI04"/>
    <s v="S1CS07084-WS"/>
    <n v="360"/>
    <s v="207199630"/>
    <s v="NW"/>
    <n v="2"/>
    <n v="0.72589344357300156"/>
    <x v="18"/>
    <x v="1"/>
    <n v="0"/>
    <x v="0"/>
    <m/>
  </r>
  <r>
    <s v="PPT1_BOI04"/>
    <s v="S1CS07084-WS"/>
    <n v="360"/>
    <s v="207199804"/>
    <s v="NW"/>
    <n v="2"/>
    <n v="0.72589344357300156"/>
    <x v="8"/>
    <x v="1"/>
    <n v="0"/>
    <x v="0"/>
    <m/>
  </r>
  <r>
    <s v="PPT1_BOI04"/>
    <s v="S1CS07084-WS"/>
    <n v="360"/>
    <s v="207200073"/>
    <s v="NW"/>
    <n v="2"/>
    <n v="0.72589344357300156"/>
    <x v="18"/>
    <x v="1"/>
    <n v="0"/>
    <x v="0"/>
    <m/>
  </r>
  <r>
    <s v="PPT1_BOI04"/>
    <s v="S1CS07084-WS"/>
    <n v="360"/>
    <s v="207200046"/>
    <s v="NW"/>
    <n v="2"/>
    <n v="0.72589344357300156"/>
    <x v="8"/>
    <x v="1"/>
    <n v="0"/>
    <x v="0"/>
    <m/>
  </r>
  <r>
    <s v="PPT1_BOI04"/>
    <s v="S1CS07084-WS"/>
    <n v="360"/>
    <s v="207200041"/>
    <s v="NW"/>
    <n v="2"/>
    <n v="0.72589344357300156"/>
    <x v="18"/>
    <x v="1"/>
    <n v="0"/>
    <x v="0"/>
    <m/>
  </r>
  <r>
    <s v="PPT1_BOI04"/>
    <s v="S1CS07084-WS"/>
    <n v="360"/>
    <s v="207200088"/>
    <s v="NW"/>
    <n v="2"/>
    <n v="0.72589344357300156"/>
    <x v="8"/>
    <x v="1"/>
    <n v="0"/>
    <x v="0"/>
    <m/>
  </r>
  <r>
    <s v="PPT1_BOI04"/>
    <s v="S1CS07084-WS"/>
    <n v="360"/>
    <s v="207199833"/>
    <s v="NW"/>
    <n v="2"/>
    <n v="0.72589344357300156"/>
    <x v="18"/>
    <x v="1"/>
    <n v="0"/>
    <x v="0"/>
    <m/>
  </r>
  <r>
    <s v="PPT1_BOI04"/>
    <s v="S1CS07084-WS"/>
    <n v="120"/>
    <s v="207200120"/>
    <s v="NW"/>
    <n v="2"/>
    <n v="0.24196448119100053"/>
    <x v="8"/>
    <x v="1"/>
    <n v="0"/>
    <x v="0"/>
    <m/>
  </r>
  <r>
    <s v="PPT1_BOI04"/>
    <s v="S1CS07084-WS"/>
    <n v="120"/>
    <s v="207200094"/>
    <s v="NW"/>
    <n v="2"/>
    <n v="0.24196448119100053"/>
    <x v="8"/>
    <x v="1"/>
    <n v="0"/>
    <x v="0"/>
    <m/>
  </r>
  <r>
    <s v="PPT1_BOI04"/>
    <s v="S1CS07084-WS"/>
    <n v="360"/>
    <s v="207199913"/>
    <s v="NW"/>
    <n v="2"/>
    <n v="0.72589344357300156"/>
    <x v="8"/>
    <x v="1"/>
    <n v="0"/>
    <x v="0"/>
    <m/>
  </r>
  <r>
    <s v="PPT1_BOI04"/>
    <s v="S1CS07084-WS"/>
    <n v="360"/>
    <s v="207199895"/>
    <s v="NW"/>
    <n v="2"/>
    <n v="0.72589344357300156"/>
    <x v="18"/>
    <x v="1"/>
    <n v="0"/>
    <x v="0"/>
    <m/>
  </r>
  <r>
    <s v="PPT1_BOI04"/>
    <s v="S1CS07084-WS"/>
    <n v="360"/>
    <s v="207199876"/>
    <s v="NW"/>
    <n v="2"/>
    <n v="0.72589344357300156"/>
    <x v="18"/>
    <x v="1"/>
    <n v="0"/>
    <x v="0"/>
    <m/>
  </r>
  <r>
    <s v="PPT1_BOI04"/>
    <s v="S1CS07084-WS"/>
    <n v="360"/>
    <s v="207199938"/>
    <s v="NW"/>
    <n v="2"/>
    <n v="0.72589344357300156"/>
    <x v="8"/>
    <x v="1"/>
    <n v="0"/>
    <x v="0"/>
    <m/>
  </r>
  <r>
    <s v="PPT1_BOI04"/>
    <s v="S1CS07084-WS"/>
    <n v="360"/>
    <s v="207199856"/>
    <s v="NW"/>
    <n v="2"/>
    <n v="0.72589344357300156"/>
    <x v="18"/>
    <x v="1"/>
    <n v="0"/>
    <x v="0"/>
    <m/>
  </r>
  <r>
    <s v="PPT1_BOI04"/>
    <s v="S1CS07085-WS"/>
    <n v="180"/>
    <s v="207198924"/>
    <s v="NW"/>
    <n v="4"/>
    <n v="0.73939103791650684"/>
    <x v="9"/>
    <x v="1"/>
    <n v="0"/>
    <x v="0"/>
    <m/>
  </r>
  <r>
    <s v="PPT1_BOI04"/>
    <s v="S1CS07085-WS"/>
    <n v="180"/>
    <s v="207199102"/>
    <s v="NW"/>
    <n v="4"/>
    <n v="0.73939103791650684"/>
    <x v="16"/>
    <x v="1"/>
    <n v="0"/>
    <x v="0"/>
    <m/>
  </r>
  <r>
    <s v="PPT1_BOI04"/>
    <s v="S1CS07085-WS"/>
    <n v="180"/>
    <s v="207199475"/>
    <s v="NW"/>
    <n v="4"/>
    <n v="0.73939103791650684"/>
    <x v="3"/>
    <x v="1"/>
    <n v="0"/>
    <x v="0"/>
    <m/>
  </r>
  <r>
    <s v="PPT1_BOI04"/>
    <s v="S1CS07085-WS"/>
    <n v="180"/>
    <s v="207199544"/>
    <s v="NW"/>
    <n v="4"/>
    <n v="0.73939103791650684"/>
    <x v="6"/>
    <x v="1"/>
    <n v="0"/>
    <x v="0"/>
    <m/>
  </r>
  <r>
    <s v="PPT1_BOI04"/>
    <s v="S1CS07085-WS"/>
    <n v="180"/>
    <s v="207199721"/>
    <s v="NW"/>
    <n v="4"/>
    <n v="0.73939103791650684"/>
    <x v="9"/>
    <x v="1"/>
    <n v="0"/>
    <x v="0"/>
    <m/>
  </r>
  <r>
    <s v="PPT1_BOI04"/>
    <s v="S1CS07085-WS"/>
    <n v="120"/>
    <s v="207199767"/>
    <s v="NW"/>
    <n v="4"/>
    <n v="0.49292735861100456"/>
    <x v="16"/>
    <x v="1"/>
    <n v="0"/>
    <x v="0"/>
    <m/>
  </r>
  <r>
    <s v="PPT1_BOI04"/>
    <s v="S1CS07085-WS"/>
    <n v="180"/>
    <s v="207199051"/>
    <s v="NW"/>
    <n v="4"/>
    <n v="0.73939103791650684"/>
    <x v="3"/>
    <x v="1"/>
    <n v="0"/>
    <x v="0"/>
    <m/>
  </r>
  <r>
    <s v="PPT1_BOI04"/>
    <s v="S1CS07085-WS"/>
    <n v="180"/>
    <s v="207199664"/>
    <s v="NW"/>
    <n v="4"/>
    <n v="0.73939103791650684"/>
    <x v="6"/>
    <x v="1"/>
    <n v="0"/>
    <x v="0"/>
    <m/>
  </r>
  <r>
    <s v="PPT1_BOI04"/>
    <s v="S1CS07085-WS"/>
    <n v="180"/>
    <s v="207198802"/>
    <s v="NW"/>
    <n v="4"/>
    <n v="0.73939103791650684"/>
    <x v="16"/>
    <x v="1"/>
    <n v="0"/>
    <x v="0"/>
    <m/>
  </r>
  <r>
    <s v="PPT1_BOI04"/>
    <s v="S1CS07085-WS"/>
    <n v="180"/>
    <s v="207198917"/>
    <s v="NW"/>
    <n v="4"/>
    <n v="0.73939103791650684"/>
    <x v="9"/>
    <x v="1"/>
    <n v="0"/>
    <x v="0"/>
    <m/>
  </r>
  <r>
    <s v="PPT1_BOI04"/>
    <s v="S1CS07085-WS"/>
    <n v="180"/>
    <s v="207199585"/>
    <s v="NW"/>
    <n v="4"/>
    <n v="0.73939103791650684"/>
    <x v="3"/>
    <x v="1"/>
    <n v="0"/>
    <x v="0"/>
    <m/>
  </r>
  <r>
    <s v="PPT1_BOI04"/>
    <s v="S1CS07086-WS"/>
    <n v="300"/>
    <s v="207198405"/>
    <s v="NW"/>
    <n v="7"/>
    <n v="0.5718707969191984"/>
    <x v="10"/>
    <x v="1"/>
    <n v="0"/>
    <x v="0"/>
    <m/>
  </r>
  <r>
    <s v="PPT1_BOI04"/>
    <s v="S1CS07086-WS"/>
    <n v="200"/>
    <s v="207202078"/>
    <s v="NW"/>
    <n v="7"/>
    <n v="0.38124719794613227"/>
    <x v="15"/>
    <x v="1"/>
    <n v="0"/>
    <x v="0"/>
    <m/>
  </r>
  <r>
    <s v="PPT1_BOI04"/>
    <s v="S1CS07086-WS"/>
    <n v="300"/>
    <s v="207199261"/>
    <s v="NW"/>
    <n v="7"/>
    <n v="0.5718707969191984"/>
    <x v="0"/>
    <x v="1"/>
    <n v="0"/>
    <x v="0"/>
    <m/>
  </r>
  <r>
    <s v="PPT1_BOI04"/>
    <s v="S1CS07086-WS"/>
    <n v="300"/>
    <s v="207199154"/>
    <s v="NW"/>
    <n v="7"/>
    <n v="0.5718707969191984"/>
    <x v="14"/>
    <x v="1"/>
    <n v="0"/>
    <x v="0"/>
    <m/>
  </r>
  <r>
    <s v="PPT1_BOI04"/>
    <s v="S1CS07086-WS"/>
    <n v="300"/>
    <s v="207199205"/>
    <s v="NW"/>
    <n v="7"/>
    <n v="0.5718707969191984"/>
    <x v="7"/>
    <x v="1"/>
    <n v="0"/>
    <x v="0"/>
    <m/>
  </r>
  <r>
    <s v="PPT1_BOI04"/>
    <s v="S1CS07086-WS"/>
    <n v="300"/>
    <s v="207198509"/>
    <s v="NW"/>
    <n v="7"/>
    <n v="0.5718707969191984"/>
    <x v="12"/>
    <x v="1"/>
    <n v="0"/>
    <x v="0"/>
    <m/>
  </r>
  <r>
    <s v="PPT1_BOI04"/>
    <s v="S1CS07086-WS"/>
    <n v="300"/>
    <s v="207198469"/>
    <s v="NW"/>
    <n v="7"/>
    <n v="0.5718707969191984"/>
    <x v="13"/>
    <x v="1"/>
    <n v="0"/>
    <x v="0"/>
    <m/>
  </r>
  <r>
    <s v="PPT1_BOI04"/>
    <s v="S1CS07129-WS"/>
    <n v="240"/>
    <s v="207199545"/>
    <s v="NW"/>
    <n v="4"/>
    <n v="0.47780548311983301"/>
    <x v="15"/>
    <x v="1"/>
    <n v="0"/>
    <x v="0"/>
    <m/>
  </r>
  <r>
    <s v="PPT1_BOI04"/>
    <s v="S1CS07129-WS"/>
    <n v="80"/>
    <s v="207199720"/>
    <s v="NW"/>
    <n v="4"/>
    <n v="0.15926849437327767"/>
    <x v="10"/>
    <x v="1"/>
    <n v="0"/>
    <x v="0"/>
    <m/>
  </r>
  <r>
    <s v="PPT1_BOI04"/>
    <s v="S1CS07129-WS"/>
    <n v="240"/>
    <s v="207199724"/>
    <s v="NW"/>
    <n v="4"/>
    <n v="0.47780548311983301"/>
    <x v="10"/>
    <x v="1"/>
    <n v="0"/>
    <x v="0"/>
    <m/>
  </r>
  <r>
    <s v="PPT1_BOI04"/>
    <s v="S1CS07129-WS"/>
    <n v="240"/>
    <s v="207199770"/>
    <s v="NW"/>
    <n v="4"/>
    <n v="0.47780548311983301"/>
    <x v="0"/>
    <x v="1"/>
    <n v="0"/>
    <x v="0"/>
    <m/>
  </r>
  <r>
    <s v="PPT1_BOI04"/>
    <s v="S1CS07129-WS"/>
    <n v="80"/>
    <s v="207199775"/>
    <s v="NW"/>
    <n v="4"/>
    <n v="0.15926849437327767"/>
    <x v="14"/>
    <x v="1"/>
    <n v="0"/>
    <x v="0"/>
    <m/>
  </r>
  <r>
    <s v="PPT1_BOI04"/>
    <s v="S1CS07149-WS"/>
    <n v="300"/>
    <s v="207200148"/>
    <s v="NW"/>
    <n v="8"/>
    <n v="0.25728717457275196"/>
    <x v="7"/>
    <x v="1"/>
    <n v="0"/>
    <x v="0"/>
    <m/>
  </r>
  <r>
    <s v="PPT1_BOI04"/>
    <s v="S1CS07150-WS"/>
    <n v="300"/>
    <s v="207200298"/>
    <s v="NW"/>
    <n v="9"/>
    <n v="0.3235214801205365"/>
    <x v="17"/>
    <x v="1"/>
    <n v="0"/>
    <x v="0"/>
    <m/>
  </r>
  <r>
    <s v="PPT1_BOI04"/>
    <s v="S1CS07150-WS"/>
    <n v="100"/>
    <s v="207200351"/>
    <s v="NW"/>
    <n v="9"/>
    <n v="0.10784049337351216"/>
    <x v="15"/>
    <x v="1"/>
    <n v="0"/>
    <x v="0"/>
    <m/>
  </r>
  <r>
    <s v="PPT1_BOI04"/>
    <s v="S1CS07155-WS"/>
    <n v="300"/>
    <s v="207200278"/>
    <s v="NW"/>
    <n v="2"/>
    <n v="0.61728895568827535"/>
    <x v="12"/>
    <x v="1"/>
    <n v="0"/>
    <x v="0"/>
    <m/>
  </r>
  <r>
    <s v="PPT1_BOI04"/>
    <s v="S1CS07155-WS"/>
    <n v="300"/>
    <s v="207200540"/>
    <s v="NW"/>
    <n v="2"/>
    <n v="0.61728895568827535"/>
    <x v="13"/>
    <x v="1"/>
    <n v="0"/>
    <x v="0"/>
    <m/>
  </r>
  <r>
    <s v="PPT1_BOI04"/>
    <s v="S1CS07155-WS"/>
    <n v="300"/>
    <s v="207200559"/>
    <s v="NW"/>
    <n v="2"/>
    <n v="0.61728895568827535"/>
    <x v="12"/>
    <x v="1"/>
    <n v="0"/>
    <x v="0"/>
    <m/>
  </r>
  <r>
    <s v="PPT1_BOI04"/>
    <s v="S1CS07155-WS"/>
    <n v="300"/>
    <s v="207200524"/>
    <s v="NW"/>
    <n v="2"/>
    <n v="0.61728895568827535"/>
    <x v="13"/>
    <x v="1"/>
    <n v="0"/>
    <x v="0"/>
    <m/>
  </r>
  <r>
    <s v="PPT1_BOI04"/>
    <s v="S1CS07155-WS"/>
    <n v="300"/>
    <s v="207200499"/>
    <s v="NW"/>
    <n v="2"/>
    <n v="0.61728895568827535"/>
    <x v="12"/>
    <x v="1"/>
    <n v="0"/>
    <x v="0"/>
    <m/>
  </r>
  <r>
    <s v="PPT1_BOI04"/>
    <s v="S1CS07155-WS"/>
    <n v="300"/>
    <s v="207200505"/>
    <s v="NW"/>
    <n v="2"/>
    <n v="0.61728895568827535"/>
    <x v="13"/>
    <x v="1"/>
    <n v="0"/>
    <x v="0"/>
    <m/>
  </r>
  <r>
    <s v="PPT1_BOI04"/>
    <s v="S1CS07155-WS"/>
    <n v="300"/>
    <s v="207200605"/>
    <s v="NW"/>
    <n v="2"/>
    <n v="0.61728895568827535"/>
    <x v="12"/>
    <x v="1"/>
    <n v="0"/>
    <x v="0"/>
    <m/>
  </r>
  <r>
    <s v="PPT1_BOI04"/>
    <s v="S1CS07155-WS"/>
    <n v="200"/>
    <s v="207200631"/>
    <s v="NW"/>
    <n v="2"/>
    <n v="0.41152597045885025"/>
    <x v="13"/>
    <x v="1"/>
    <n v="0"/>
    <x v="0"/>
    <m/>
  </r>
  <r>
    <s v="PPT1_BOI04"/>
    <s v="S1CS07155-WS"/>
    <n v="300"/>
    <s v="207200598"/>
    <s v="NW"/>
    <n v="2"/>
    <n v="0.61728895568827535"/>
    <x v="12"/>
    <x v="1"/>
    <n v="0"/>
    <x v="0"/>
    <m/>
  </r>
  <r>
    <s v="PPT1_BOI04"/>
    <s v="S1CS07155-WS"/>
    <n v="300"/>
    <s v="207200569"/>
    <s v="NW"/>
    <n v="2"/>
    <n v="0.61728895568827535"/>
    <x v="13"/>
    <x v="1"/>
    <n v="0"/>
    <x v="0"/>
    <m/>
  </r>
  <r>
    <s v="PPT1_BOI04"/>
    <s v="S1CS07155-WS"/>
    <n v="300"/>
    <s v="207200588"/>
    <s v="NW"/>
    <n v="2"/>
    <n v="0.61728895568827535"/>
    <x v="12"/>
    <x v="1"/>
    <n v="0"/>
    <x v="0"/>
    <m/>
  </r>
  <r>
    <s v="PPT1_BOI04"/>
    <s v="S1CS07155-WS"/>
    <n v="300"/>
    <s v="207200482"/>
    <s v="NW"/>
    <n v="2"/>
    <n v="0.61728895568827535"/>
    <x v="13"/>
    <x v="1"/>
    <n v="0"/>
    <x v="0"/>
    <m/>
  </r>
  <r>
    <s v="PPT1_BOI04"/>
    <s v="S1CS07155-WS"/>
    <n v="300"/>
    <s v="207200384"/>
    <s v="NW"/>
    <n v="2"/>
    <n v="0.61728895568827535"/>
    <x v="12"/>
    <x v="1"/>
    <n v="0"/>
    <x v="0"/>
    <m/>
  </r>
  <r>
    <s v="PPT1_BOI04"/>
    <s v="S1CS07155-WS"/>
    <n v="300"/>
    <s v="207200390"/>
    <s v="NW"/>
    <n v="2"/>
    <n v="0.61728895568827535"/>
    <x v="13"/>
    <x v="1"/>
    <n v="0"/>
    <x v="0"/>
    <m/>
  </r>
  <r>
    <s v="PPT1_BOI04"/>
    <s v="S1CS07155-WS"/>
    <n v="300"/>
    <s v="207200349"/>
    <s v="NW"/>
    <n v="2"/>
    <n v="0.61728895568827535"/>
    <x v="12"/>
    <x v="1"/>
    <n v="0"/>
    <x v="0"/>
    <m/>
  </r>
  <r>
    <s v="PPT1_BOI04"/>
    <s v="S1CS07155-WS"/>
    <n v="300"/>
    <s v="207200612"/>
    <s v="NW"/>
    <n v="2"/>
    <n v="0.61728895568827535"/>
    <x v="13"/>
    <x v="1"/>
    <n v="0"/>
    <x v="0"/>
    <m/>
  </r>
  <r>
    <s v="PPT1_BOI04"/>
    <s v="S1CS07155-WS"/>
    <n v="300"/>
    <s v="207200327"/>
    <s v="NW"/>
    <n v="2"/>
    <n v="0.61728895568827535"/>
    <x v="12"/>
    <x v="1"/>
    <n v="0"/>
    <x v="0"/>
    <m/>
  </r>
  <r>
    <s v="PPT1_BOI04"/>
    <s v="S1CS07155-WS"/>
    <n v="300"/>
    <s v="207200459"/>
    <s v="NW"/>
    <n v="2"/>
    <n v="0.61728895568827535"/>
    <x v="13"/>
    <x v="1"/>
    <n v="0"/>
    <x v="0"/>
    <m/>
  </r>
  <r>
    <s v="PPT1_BOI04"/>
    <s v="S1CS07155-WS"/>
    <n v="300"/>
    <s v="207200465"/>
    <s v="NW"/>
    <n v="2"/>
    <n v="0.61728895568827535"/>
    <x v="12"/>
    <x v="1"/>
    <n v="0"/>
    <x v="0"/>
    <m/>
  </r>
  <r>
    <s v="PPT1_BOI04"/>
    <s v="S1CS07155-WS"/>
    <n v="300"/>
    <s v="207200444"/>
    <s v="NW"/>
    <n v="2"/>
    <n v="0.61728895568827535"/>
    <x v="13"/>
    <x v="1"/>
    <n v="0"/>
    <x v="0"/>
    <m/>
  </r>
  <r>
    <s v="PPT1_BOI04"/>
    <s v="S1CS07155-WS"/>
    <n v="300"/>
    <s v="207200410"/>
    <s v="NW"/>
    <n v="2"/>
    <n v="0.61728895568827535"/>
    <x v="12"/>
    <x v="1"/>
    <n v="0"/>
    <x v="0"/>
    <m/>
  </r>
  <r>
    <s v="PPT1_BOI04"/>
    <s v="S1CS07155-WS"/>
    <n v="300"/>
    <s v="207200416"/>
    <s v="NW"/>
    <n v="2"/>
    <n v="0.61728895568827535"/>
    <x v="13"/>
    <x v="1"/>
    <n v="0"/>
    <x v="0"/>
    <m/>
  </r>
  <r>
    <s v="PPT1_BOI04"/>
    <s v="S1CS07155-WS"/>
    <n v="300"/>
    <s v="207202022"/>
    <s v="NW"/>
    <n v="2"/>
    <n v="0.61728895568827535"/>
    <x v="12"/>
    <x v="1"/>
    <n v="0"/>
    <x v="0"/>
    <m/>
  </r>
  <r>
    <s v="PPT1_BOI04"/>
    <s v="S1CS07155-WS"/>
    <n v="300"/>
    <s v="207202018"/>
    <s v="NW"/>
    <n v="2"/>
    <n v="0.61728895568827535"/>
    <x v="13"/>
    <x v="1"/>
    <n v="0"/>
    <x v="0"/>
    <m/>
  </r>
  <r>
    <s v="PPT1_BOI04"/>
    <s v="S1CS07155-WS"/>
    <n v="300"/>
    <s v="207201998"/>
    <s v="NW"/>
    <n v="2"/>
    <n v="0.61728895568827535"/>
    <x v="12"/>
    <x v="1"/>
    <n v="0"/>
    <x v="0"/>
    <m/>
  </r>
  <r>
    <s v="PPT1_BOI04"/>
    <s v="S1CS07155-WS"/>
    <n v="300"/>
    <s v="207202002"/>
    <s v="NW"/>
    <n v="2"/>
    <n v="0.61728895568827535"/>
    <x v="13"/>
    <x v="1"/>
    <n v="0"/>
    <x v="0"/>
    <m/>
  </r>
  <r>
    <s v="PPT1_BOI04"/>
    <s v="S1CS07155-WS"/>
    <n v="300"/>
    <s v="207202020"/>
    <s v="NW"/>
    <n v="2"/>
    <n v="0.61728895568827535"/>
    <x v="12"/>
    <x v="1"/>
    <n v="0"/>
    <x v="0"/>
    <m/>
  </r>
  <r>
    <s v="PPT1_BOI04"/>
    <s v="S1CS07155-WS"/>
    <n v="300"/>
    <s v="207201984"/>
    <s v="NW"/>
    <n v="2"/>
    <n v="0.61728895568827535"/>
    <x v="13"/>
    <x v="1"/>
    <n v="0"/>
    <x v="0"/>
    <m/>
  </r>
  <r>
    <s v="PPT1_BOI04"/>
    <s v="S1CS07155-WS"/>
    <n v="200"/>
    <s v="207202125"/>
    <s v="NW"/>
    <n v="2"/>
    <n v="0.41152597045885025"/>
    <x v="12"/>
    <x v="1"/>
    <n v="0"/>
    <x v="0"/>
    <m/>
  </r>
  <r>
    <s v="PPT1_BOI04"/>
    <s v="S1CS07182-WS"/>
    <n v="75"/>
    <s v="207202011"/>
    <s v="NW"/>
    <n v="6"/>
    <n v="0.14423595495347266"/>
    <x v="15"/>
    <x v="1"/>
    <n v="0"/>
    <x v="0"/>
    <m/>
  </r>
  <r>
    <s v="PPT1_BOI04"/>
    <s v="S1CS07182-WS"/>
    <n v="225"/>
    <s v="207200277"/>
    <s v="NW"/>
    <n v="6"/>
    <n v="0.43270786486041796"/>
    <x v="14"/>
    <x v="1"/>
    <n v="0"/>
    <x v="0"/>
    <m/>
  </r>
  <r>
    <s v="PPT1_BOI04"/>
    <s v="S1CS07182-WS"/>
    <n v="150"/>
    <s v="207200303"/>
    <s v="NW"/>
    <n v="6"/>
    <n v="0.28847190990694532"/>
    <x v="4"/>
    <x v="1"/>
    <n v="0"/>
    <x v="0"/>
    <m/>
  </r>
  <r>
    <s v="PPT1_BOI04"/>
    <s v="S1CS07182-WS"/>
    <n v="75"/>
    <s v="207202076"/>
    <s v="NW"/>
    <n v="6"/>
    <n v="0.14423595495347266"/>
    <x v="7"/>
    <x v="1"/>
    <n v="0"/>
    <x v="0"/>
    <m/>
  </r>
  <r>
    <s v="PPT1_BOI04"/>
    <s v="S1CS07182-WS"/>
    <n v="225"/>
    <s v="207200226"/>
    <s v="NW"/>
    <n v="6"/>
    <n v="0.43270786486041796"/>
    <x v="10"/>
    <x v="1"/>
    <n v="0"/>
    <x v="0"/>
    <m/>
  </r>
  <r>
    <s v="PPT1_BOI04"/>
    <s v="S1CS07182-WS"/>
    <n v="225"/>
    <s v="207200154"/>
    <s v="NW"/>
    <n v="6"/>
    <n v="0.43270786486041796"/>
    <x v="15"/>
    <x v="1"/>
    <n v="0"/>
    <x v="0"/>
    <m/>
  </r>
  <r>
    <s v="PPT1_BOI04"/>
    <s v="S1CS07183-WS"/>
    <n v="660"/>
    <s v="207200570"/>
    <s v="NW"/>
    <n v="8"/>
    <n v="1.5616515067136936"/>
    <x v="1"/>
    <x v="1"/>
    <n v="0"/>
    <x v="0"/>
    <m/>
  </r>
  <r>
    <s v="PPT1_BOI04"/>
    <s v="S1CS07219-WS"/>
    <n v="180"/>
    <s v="207200408"/>
    <s v="NW"/>
    <n v="5"/>
    <n v="0.41217303822937629"/>
    <x v="17"/>
    <x v="1"/>
    <n v="0"/>
    <x v="0"/>
    <m/>
  </r>
  <r>
    <s v="PPT1_BOI04"/>
    <s v="S1CS07255-WS"/>
    <n v="300"/>
    <s v="207199283"/>
    <s v="NW"/>
    <n v="9"/>
    <n v="0.48906771255973308"/>
    <x v="2"/>
    <x v="1"/>
    <n v="0"/>
    <x v="0"/>
    <m/>
  </r>
  <r>
    <s v="PPT1_BOI04"/>
    <s v="S1CS07255-WS"/>
    <n v="300"/>
    <s v="207199341"/>
    <s v="NW"/>
    <n v="9"/>
    <n v="0.48906771255973308"/>
    <x v="11"/>
    <x v="1"/>
    <n v="0"/>
    <x v="0"/>
    <m/>
  </r>
  <r>
    <s v="PPT1_BOI04"/>
    <s v="S1CS07255-WS"/>
    <n v="300"/>
    <s v="207199422"/>
    <s v="NW"/>
    <n v="9"/>
    <n v="0.48906771255973308"/>
    <x v="5"/>
    <x v="1"/>
    <n v="0"/>
    <x v="0"/>
    <m/>
  </r>
  <r>
    <s v="PPT1_BOI04"/>
    <s v="S1CS07255-WS"/>
    <n v="300"/>
    <s v="207199469"/>
    <s v="NW"/>
    <n v="9"/>
    <n v="0.48906771255973308"/>
    <x v="7"/>
    <x v="1"/>
    <n v="0"/>
    <x v="0"/>
    <m/>
  </r>
  <r>
    <s v="PPT1_BOI04"/>
    <s v="S1CS07256-WS"/>
    <n v="300"/>
    <s v="207199825"/>
    <s v="NW"/>
    <n v="10"/>
    <n v="0.42965145859788195"/>
    <x v="0"/>
    <x v="1"/>
    <n v="0"/>
    <x v="0"/>
    <m/>
  </r>
  <r>
    <s v="PPT1_BOI04"/>
    <s v="S1CS07256-WS"/>
    <n v="100"/>
    <s v="207199980"/>
    <s v="NW"/>
    <n v="10"/>
    <n v="0.14321715286596065"/>
    <x v="6"/>
    <x v="1"/>
    <n v="0"/>
    <x v="0"/>
    <m/>
  </r>
  <r>
    <s v="PPT1_BOI04"/>
    <s v="S1CS07256-WS"/>
    <n v="300"/>
    <s v="207199921"/>
    <s v="NW"/>
    <n v="10"/>
    <n v="0.42965145859788195"/>
    <x v="4"/>
    <x v="1"/>
    <n v="0"/>
    <x v="0"/>
    <m/>
  </r>
  <r>
    <s v="PPT1_BOI04"/>
    <s v="S1CS07256-WS"/>
    <n v="300"/>
    <s v="207199917"/>
    <s v="NW"/>
    <n v="10"/>
    <n v="0.42965145859788195"/>
    <x v="14"/>
    <x v="1"/>
    <n v="0"/>
    <x v="0"/>
    <m/>
  </r>
  <r>
    <s v="PPT1_BOI04"/>
    <s v="S1CS07256-WS"/>
    <n v="300"/>
    <s v="207199878"/>
    <s v="NW"/>
    <n v="10"/>
    <n v="0.42965145859788195"/>
    <x v="6"/>
    <x v="1"/>
    <n v="0"/>
    <x v="0"/>
    <m/>
  </r>
  <r>
    <s v="PPT1_BOI04"/>
    <s v="S1CS07399-WS"/>
    <n v="450"/>
    <s v="207200113"/>
    <s v="NW"/>
    <n v="4"/>
    <n v="0.23116333448537987"/>
    <x v="16"/>
    <x v="1"/>
    <n v="0"/>
    <x v="0"/>
    <m/>
  </r>
  <r>
    <s v="PPT1_BOI04"/>
    <s v="S1CS07399-WS"/>
    <n v="450"/>
    <s v="207200118"/>
    <s v="NW"/>
    <n v="4"/>
    <n v="0.23116333448537987"/>
    <x v="10"/>
    <x v="1"/>
    <n v="0"/>
    <x v="0"/>
    <m/>
  </r>
  <r>
    <s v="PPT1_BOI04"/>
    <s v="S1CS07399-WS"/>
    <n v="450"/>
    <s v="207200111"/>
    <s v="NW"/>
    <n v="4"/>
    <n v="0.23116333448537987"/>
    <x v="15"/>
    <x v="1"/>
    <n v="0"/>
    <x v="0"/>
    <m/>
  </r>
  <r>
    <s v="PPT1_BOI04"/>
    <s v="S1CS07399-WS"/>
    <n v="450"/>
    <s v="207200215"/>
    <s v="NW"/>
    <n v="4"/>
    <n v="0.23116333448537987"/>
    <x v="17"/>
    <x v="1"/>
    <n v="0"/>
    <x v="0"/>
    <m/>
  </r>
  <r>
    <s v="PPT1_BOI04"/>
    <s v="S1CS07399-WS"/>
    <n v="450"/>
    <s v="207200400"/>
    <s v="NW"/>
    <n v="4"/>
    <n v="0.23116333448537987"/>
    <x v="16"/>
    <x v="1"/>
    <n v="0"/>
    <x v="0"/>
    <m/>
  </r>
  <r>
    <s v="PPT1_BOI04"/>
    <s v="S1CS07399-WS"/>
    <n v="450"/>
    <s v="207200244"/>
    <s v="NW"/>
    <n v="4"/>
    <n v="0.23116333448537987"/>
    <x v="10"/>
    <x v="1"/>
    <n v="0"/>
    <x v="0"/>
    <m/>
  </r>
  <r>
    <s v="PPT1_BOI04"/>
    <s v="S1CS07399-WS"/>
    <n v="450"/>
    <s v="207200246"/>
    <s v="NW"/>
    <n v="4"/>
    <n v="0.23116333448537987"/>
    <x v="15"/>
    <x v="1"/>
    <n v="0"/>
    <x v="0"/>
    <m/>
  </r>
  <r>
    <s v="PPT1_BOI04"/>
    <s v="S1CS07399-WS"/>
    <n v="450"/>
    <s v="207200241"/>
    <s v="NW"/>
    <n v="4"/>
    <n v="0.23116333448537987"/>
    <x v="17"/>
    <x v="1"/>
    <n v="0"/>
    <x v="0"/>
    <m/>
  </r>
  <r>
    <s v="PPT1_BOI04"/>
    <s v="S1CS07399-WS"/>
    <n v="450"/>
    <s v="207200366"/>
    <s v="NW"/>
    <n v="4"/>
    <n v="0.23116333448537987"/>
    <x v="16"/>
    <x v="1"/>
    <n v="0"/>
    <x v="0"/>
    <m/>
  </r>
  <r>
    <s v="PPT1_BOI04"/>
    <s v="S1CS07399-WS"/>
    <n v="450"/>
    <s v="207200237"/>
    <s v="NW"/>
    <n v="4"/>
    <n v="0.23116333448537987"/>
    <x v="10"/>
    <x v="1"/>
    <n v="0"/>
    <x v="0"/>
    <m/>
  </r>
  <r>
    <s v="PPT1_BOI04"/>
    <s v="S1CS07399-WS"/>
    <n v="450"/>
    <s v="207200092"/>
    <s v="NW"/>
    <n v="4"/>
    <n v="0.23116333448537987"/>
    <x v="15"/>
    <x v="1"/>
    <n v="0"/>
    <x v="0"/>
    <m/>
  </r>
  <r>
    <s v="PPT1_BOI04"/>
    <s v="S1CS07399-WS"/>
    <n v="450"/>
    <s v="207200107"/>
    <s v="NW"/>
    <n v="4"/>
    <n v="0.23116333448537987"/>
    <x v="17"/>
    <x v="1"/>
    <n v="0"/>
    <x v="0"/>
    <m/>
  </r>
  <r>
    <s v="PPT1_BOI04"/>
    <s v="S1CS07399-WS"/>
    <n v="450"/>
    <s v="207200084"/>
    <s v="NW"/>
    <n v="4"/>
    <n v="0.23116333448537987"/>
    <x v="16"/>
    <x v="1"/>
    <n v="0"/>
    <x v="0"/>
    <m/>
  </r>
  <r>
    <s v="PPT1_BOI04"/>
    <s v="S1CS07399-WS"/>
    <n v="450"/>
    <s v="207200082"/>
    <s v="NW"/>
    <n v="4"/>
    <n v="0.23116333448537987"/>
    <x v="10"/>
    <x v="1"/>
    <n v="0"/>
    <x v="0"/>
    <m/>
  </r>
  <r>
    <s v="PPT1_BOI04"/>
    <s v="S1CS07399-WS"/>
    <n v="450"/>
    <s v="207200213"/>
    <s v="NW"/>
    <n v="4"/>
    <n v="0.23116333448537987"/>
    <x v="15"/>
    <x v="1"/>
    <n v="0"/>
    <x v="0"/>
    <m/>
  </r>
  <r>
    <s v="PPT1_BOI04"/>
    <s v="S1CS07399-WS"/>
    <n v="450"/>
    <s v="207200404"/>
    <s v="NW"/>
    <n v="4"/>
    <n v="0.23116333448537987"/>
    <x v="17"/>
    <x v="1"/>
    <n v="0"/>
    <x v="0"/>
    <m/>
  </r>
  <r>
    <s v="PPT1_BOI04"/>
    <s v="S1CS07399-WS"/>
    <n v="450"/>
    <s v="207200402"/>
    <s v="NW"/>
    <n v="4"/>
    <n v="0.23116333448537987"/>
    <x v="16"/>
    <x v="1"/>
    <n v="0"/>
    <x v="0"/>
    <m/>
  </r>
  <r>
    <s v="PPT1_BOI04"/>
    <s v="S1CS07399-WS"/>
    <n v="450"/>
    <s v="207200513"/>
    <s v="NW"/>
    <n v="4"/>
    <n v="0.23116333448537987"/>
    <x v="10"/>
    <x v="1"/>
    <n v="0"/>
    <x v="0"/>
    <m/>
  </r>
  <r>
    <s v="PPT1_BOI04"/>
    <s v="S1CS07399-WS"/>
    <n v="450"/>
    <s v="207200109"/>
    <s v="NW"/>
    <n v="4"/>
    <n v="0.23116333448537987"/>
    <x v="15"/>
    <x v="1"/>
    <n v="0"/>
    <x v="0"/>
    <m/>
  </r>
  <r>
    <s v="PPT1_BOI04"/>
    <s v="S1CS07399-WS"/>
    <n v="450"/>
    <s v="207200515"/>
    <s v="NW"/>
    <n v="4"/>
    <n v="0.23116333448537987"/>
    <x v="17"/>
    <x v="1"/>
    <n v="0"/>
    <x v="0"/>
    <m/>
  </r>
  <r>
    <s v="PPT1_BOI04"/>
    <s v="S1CS07399-WS"/>
    <n v="450"/>
    <s v="207200258"/>
    <s v="NW"/>
    <n v="4"/>
    <n v="0.23116333448537987"/>
    <x v="16"/>
    <x v="1"/>
    <n v="0"/>
    <x v="0"/>
    <m/>
  </r>
  <r>
    <s v="PPT1_BOI04"/>
    <s v="S1CS07399-WS"/>
    <n v="450"/>
    <s v="207200312"/>
    <s v="NW"/>
    <n v="4"/>
    <n v="0.23116333448537987"/>
    <x v="10"/>
    <x v="1"/>
    <n v="0"/>
    <x v="0"/>
    <m/>
  </r>
  <r>
    <s v="PPT1_BOI04"/>
    <s v="S1CS07399-WS"/>
    <n v="450"/>
    <s v="207200211"/>
    <s v="NW"/>
    <n v="4"/>
    <n v="0.23116333448537987"/>
    <x v="15"/>
    <x v="1"/>
    <n v="0"/>
    <x v="0"/>
    <m/>
  </r>
  <r>
    <s v="PPT1_BOI04"/>
    <s v="S1CS07399-WS"/>
    <n v="450"/>
    <s v="207200310"/>
    <s v="NW"/>
    <n v="4"/>
    <n v="0.23116333448537987"/>
    <x v="17"/>
    <x v="1"/>
    <n v="0"/>
    <x v="0"/>
    <m/>
  </r>
  <r>
    <s v="PPT1_BOI04"/>
    <s v="S1CS07399-WS"/>
    <n v="450"/>
    <s v="207200338"/>
    <s v="NW"/>
    <n v="4"/>
    <n v="0.23116333448537987"/>
    <x v="16"/>
    <x v="1"/>
    <n v="0"/>
    <x v="0"/>
    <m/>
  </r>
  <r>
    <s v="PPT1_BOI04"/>
    <s v="S1CS07399-WS"/>
    <n v="450"/>
    <s v="207200308"/>
    <s v="NW"/>
    <n v="4"/>
    <n v="0.23116333448537987"/>
    <x v="10"/>
    <x v="1"/>
    <n v="0"/>
    <x v="0"/>
    <m/>
  </r>
  <r>
    <s v="PPT1_BOI04"/>
    <s v="S1CS07399-WS"/>
    <n v="450"/>
    <s v="207200124"/>
    <s v="NW"/>
    <n v="4"/>
    <n v="0.23116333448537987"/>
    <x v="15"/>
    <x v="1"/>
    <n v="0"/>
    <x v="0"/>
    <m/>
  </r>
  <r>
    <s v="PPT1_BOI04"/>
    <s v="S1CS07399-WS"/>
    <n v="450"/>
    <s v="207200147"/>
    <s v="NW"/>
    <n v="4"/>
    <n v="0.23116333448537987"/>
    <x v="17"/>
    <x v="1"/>
    <n v="0"/>
    <x v="0"/>
    <m/>
  </r>
  <r>
    <s v="PPT1_BOI04"/>
    <s v="S1CS07399-WS"/>
    <n v="450"/>
    <s v="207200314"/>
    <s v="NW"/>
    <n v="4"/>
    <n v="0.23116333448537987"/>
    <x v="16"/>
    <x v="1"/>
    <n v="0"/>
    <x v="0"/>
    <m/>
  </r>
  <r>
    <s v="PPT1_BOI04"/>
    <s v="S1CS07399-WS"/>
    <n v="450"/>
    <s v="207200208"/>
    <s v="NW"/>
    <n v="4"/>
    <n v="0.23116333448537987"/>
    <x v="16"/>
    <x v="1"/>
    <n v="0"/>
    <x v="0"/>
    <m/>
  </r>
  <r>
    <s v="PPT1_BOI04"/>
    <s v="S1CS07399-WS"/>
    <n v="450"/>
    <s v="207200316"/>
    <s v="NW"/>
    <n v="4"/>
    <n v="0.23116333448537987"/>
    <x v="10"/>
    <x v="1"/>
    <n v="0"/>
    <x v="0"/>
    <m/>
  </r>
  <r>
    <s v="PPT1_BOI04"/>
    <s v="S1CS07399-WS"/>
    <n v="450"/>
    <s v="207200262"/>
    <s v="NW"/>
    <n v="4"/>
    <n v="0.23116333448537987"/>
    <x v="15"/>
    <x v="1"/>
    <n v="0"/>
    <x v="0"/>
    <m/>
  </r>
  <r>
    <s v="PPT1_BOI04"/>
    <s v="S1CS07399-WS"/>
    <n v="450"/>
    <s v="207200361"/>
    <s v="NW"/>
    <n v="4"/>
    <n v="0.23116333448537987"/>
    <x v="17"/>
    <x v="1"/>
    <n v="0"/>
    <x v="0"/>
    <m/>
  </r>
  <r>
    <s v="PPT1_BOI04"/>
    <s v="S1CS07399-WS"/>
    <n v="450"/>
    <s v="207200364"/>
    <s v="NW"/>
    <n v="4"/>
    <n v="0.23116333448537987"/>
    <x v="16"/>
    <x v="1"/>
    <n v="0"/>
    <x v="0"/>
    <m/>
  </r>
  <r>
    <s v="PPT1_BOI04"/>
    <s v="S1CS07399-WS"/>
    <n v="450"/>
    <s v="207200260"/>
    <s v="NW"/>
    <n v="4"/>
    <n v="0.23116333448537987"/>
    <x v="10"/>
    <x v="1"/>
    <n v="0"/>
    <x v="0"/>
    <m/>
  </r>
  <r>
    <s v="PPT1_BOI04"/>
    <s v="S1CS07399-WS"/>
    <n v="450"/>
    <s v="207200575"/>
    <s v="NW"/>
    <n v="4"/>
    <n v="0.23116333448537987"/>
    <x v="15"/>
    <x v="1"/>
    <n v="0"/>
    <x v="0"/>
    <m/>
  </r>
  <r>
    <s v="PPT1_BOI04"/>
    <s v="S1CS07399-WS"/>
    <n v="450"/>
    <s v="207200340"/>
    <s v="NW"/>
    <n v="4"/>
    <n v="0.23116333448537987"/>
    <x v="17"/>
    <x v="1"/>
    <n v="0"/>
    <x v="0"/>
    <m/>
  </r>
  <r>
    <s v="PPT1_BOI04"/>
    <s v="S1CS07399-WS"/>
    <n v="450"/>
    <s v="207200264"/>
    <s v="NW"/>
    <n v="4"/>
    <n v="0.23116333448537987"/>
    <x v="16"/>
    <x v="1"/>
    <n v="0"/>
    <x v="0"/>
    <m/>
  </r>
  <r>
    <s v="PPT1_BOI04"/>
    <s v="S1CS07399-WS"/>
    <n v="450"/>
    <s v="207200342"/>
    <s v="NW"/>
    <n v="4"/>
    <n v="0.23116333448537987"/>
    <x v="10"/>
    <x v="1"/>
    <n v="0"/>
    <x v="0"/>
    <m/>
  </r>
  <r>
    <s v="PPT1_BOI04"/>
    <s v="S1CS07399-WS"/>
    <n v="450"/>
    <s v="207200357"/>
    <s v="NW"/>
    <n v="4"/>
    <n v="0.23116333448537987"/>
    <x v="15"/>
    <x v="1"/>
    <n v="0"/>
    <x v="0"/>
    <m/>
  </r>
  <r>
    <s v="PPT1_BOI04"/>
    <s v="S1CS07399-WS"/>
    <n v="450"/>
    <s v="207200345"/>
    <s v="NW"/>
    <n v="4"/>
    <n v="0.23116333448537987"/>
    <x v="17"/>
    <x v="1"/>
    <n v="0"/>
    <x v="0"/>
    <m/>
  </r>
  <r>
    <s v="PPT1_BOI04"/>
    <s v="S1CS07399-WS"/>
    <n v="450"/>
    <s v="207200581"/>
    <s v="NW"/>
    <n v="4"/>
    <n v="0.23116333448537987"/>
    <x v="16"/>
    <x v="1"/>
    <n v="0"/>
    <x v="0"/>
    <m/>
  </r>
  <r>
    <s v="PPT1_BOI04"/>
    <s v="S1CS07399-WS"/>
    <n v="450"/>
    <s v="207200582"/>
    <s v="NW"/>
    <n v="4"/>
    <n v="0.23116333448537987"/>
    <x v="10"/>
    <x v="1"/>
    <n v="0"/>
    <x v="0"/>
    <m/>
  </r>
  <r>
    <s v="PPT1_BOI04"/>
    <s v="S1CS07399-WS"/>
    <n v="300"/>
    <s v="207200583"/>
    <s v="NW"/>
    <n v="4"/>
    <n v="0.15410888965691991"/>
    <x v="10"/>
    <x v="1"/>
    <n v="0"/>
    <x v="0"/>
    <m/>
  </r>
  <r>
    <s v="PPT1_BOI04"/>
    <s v="S1CS07399-WS"/>
    <n v="450"/>
    <s v="207199614"/>
    <s v="NW"/>
    <n v="4"/>
    <n v="0.23116333448537987"/>
    <x v="15"/>
    <x v="1"/>
    <n v="0"/>
    <x v="0"/>
    <m/>
  </r>
  <r>
    <s v="PPT1_BOI04"/>
    <s v="S1CS07399-WS"/>
    <n v="450"/>
    <s v="207199548"/>
    <s v="NW"/>
    <n v="4"/>
    <n v="0.23116333448537987"/>
    <x v="17"/>
    <x v="1"/>
    <n v="0"/>
    <x v="0"/>
    <m/>
  </r>
  <r>
    <s v="PPT1_BOI04"/>
    <s v="S1CS07399-WS"/>
    <n v="300"/>
    <s v="207199589"/>
    <s v="NW"/>
    <n v="4"/>
    <n v="0.15410888965691991"/>
    <x v="15"/>
    <x v="1"/>
    <n v="0"/>
    <x v="0"/>
    <m/>
  </r>
  <r>
    <s v="PPT1_BOI04"/>
    <s v="S1CS07399-WS"/>
    <n v="450"/>
    <s v="207200580"/>
    <s v="NW"/>
    <n v="4"/>
    <n v="0.23116333448537987"/>
    <x v="16"/>
    <x v="1"/>
    <n v="0"/>
    <x v="0"/>
    <m/>
  </r>
  <r>
    <s v="PPT1_BOI04"/>
    <s v="S1CS07399-WS"/>
    <n v="450"/>
    <s v="207200587"/>
    <s v="NW"/>
    <n v="4"/>
    <n v="0.23116333448537987"/>
    <x v="10"/>
    <x v="1"/>
    <n v="0"/>
    <x v="0"/>
    <m/>
  </r>
  <r>
    <s v="PPT1_BOI04"/>
    <s v="S1CS07399-WS"/>
    <n v="450"/>
    <s v="207200555"/>
    <s v="NW"/>
    <n v="4"/>
    <n v="0.23116333448537987"/>
    <x v="15"/>
    <x v="1"/>
    <n v="0"/>
    <x v="0"/>
    <m/>
  </r>
  <r>
    <s v="PPT1_BOI04"/>
    <s v="S1CS07399-WS"/>
    <n v="450"/>
    <s v="207200554"/>
    <s v="NW"/>
    <n v="4"/>
    <n v="0.23116333448537987"/>
    <x v="17"/>
    <x v="1"/>
    <n v="0"/>
    <x v="0"/>
    <m/>
  </r>
  <r>
    <s v="PPT1_BOI04"/>
    <s v="S1CS07399-WS"/>
    <n v="450"/>
    <s v="207199748"/>
    <s v="NW"/>
    <n v="4"/>
    <n v="0.23116333448537987"/>
    <x v="16"/>
    <x v="1"/>
    <n v="0"/>
    <x v="0"/>
    <m/>
  </r>
  <r>
    <s v="PPT1_BOI04"/>
    <s v="S1CS07399-WS"/>
    <n v="450"/>
    <s v="207200556"/>
    <s v="NW"/>
    <n v="4"/>
    <n v="0.23116333448537987"/>
    <x v="10"/>
    <x v="1"/>
    <n v="0"/>
    <x v="0"/>
    <m/>
  </r>
  <r>
    <s v="PPT1_BOI04"/>
    <s v="S1CS07399-WS"/>
    <n v="450"/>
    <s v="207199736"/>
    <s v="NW"/>
    <n v="4"/>
    <n v="0.23116333448537987"/>
    <x v="15"/>
    <x v="1"/>
    <n v="0"/>
    <x v="0"/>
    <m/>
  </r>
  <r>
    <s v="PPT1_BOI04"/>
    <s v="S1CS07399-WS"/>
    <n v="450"/>
    <s v="207200589"/>
    <s v="NW"/>
    <n v="4"/>
    <n v="0.23116333448537987"/>
    <x v="17"/>
    <x v="1"/>
    <n v="0"/>
    <x v="0"/>
    <m/>
  </r>
  <r>
    <s v="PPT1_BOI04"/>
    <s v="S1CS07399-WS"/>
    <n v="450"/>
    <s v="207200591"/>
    <s v="NW"/>
    <n v="4"/>
    <n v="0.23116333448537987"/>
    <x v="16"/>
    <x v="1"/>
    <n v="0"/>
    <x v="0"/>
    <m/>
  </r>
  <r>
    <s v="PPT1_BOI04"/>
    <s v="S1CS07399-WS"/>
    <n v="450"/>
    <s v="207199502"/>
    <s v="NW"/>
    <n v="4"/>
    <n v="0.23116333448537987"/>
    <x v="10"/>
    <x v="1"/>
    <n v="0"/>
    <x v="0"/>
    <m/>
  </r>
  <r>
    <s v="PPT1_BOI04"/>
    <s v="S1CS07399-WS"/>
    <n v="450"/>
    <s v="207199247"/>
    <s v="NW"/>
    <n v="4"/>
    <n v="0.23116333448537987"/>
    <x v="15"/>
    <x v="1"/>
    <n v="0"/>
    <x v="0"/>
    <m/>
  </r>
  <r>
    <s v="PPT1_BOI04"/>
    <s v="S1CS07399-WS"/>
    <n v="450"/>
    <s v="207199294"/>
    <s v="NW"/>
    <n v="4"/>
    <n v="0.23116333448537987"/>
    <x v="17"/>
    <x v="1"/>
    <n v="0"/>
    <x v="0"/>
    <m/>
  </r>
  <r>
    <s v="PPT1_BOI04"/>
    <s v="S1CS07399-WS"/>
    <n v="450"/>
    <s v="207200566"/>
    <s v="NW"/>
    <n v="4"/>
    <n v="0.23116333448537987"/>
    <x v="16"/>
    <x v="1"/>
    <n v="0"/>
    <x v="0"/>
    <m/>
  </r>
  <r>
    <s v="PPT1_BOI04"/>
    <s v="S1CS07399-WS"/>
    <n v="450"/>
    <s v="207199199"/>
    <s v="NW"/>
    <n v="4"/>
    <n v="0.23116333448537987"/>
    <x v="10"/>
    <x v="1"/>
    <n v="0"/>
    <x v="0"/>
    <m/>
  </r>
  <r>
    <s v="PPT1_BOI04"/>
    <s v="S1CS07399-WS"/>
    <n v="450"/>
    <s v="207200573"/>
    <s v="NW"/>
    <n v="4"/>
    <n v="0.23116333448537987"/>
    <x v="15"/>
    <x v="1"/>
    <n v="0"/>
    <x v="0"/>
    <m/>
  </r>
  <r>
    <s v="PPT1_BOI04"/>
    <s v="S1CS07399-WS"/>
    <n v="450"/>
    <s v="207200571"/>
    <s v="NW"/>
    <n v="4"/>
    <n v="0.23116333448537987"/>
    <x v="17"/>
    <x v="1"/>
    <n v="0"/>
    <x v="0"/>
    <m/>
  </r>
  <r>
    <s v="PPT1_BOI04"/>
    <s v="S1CS07399-WS"/>
    <n v="450"/>
    <s v="207198496"/>
    <s v="NW"/>
    <n v="4"/>
    <n v="0.23116333448537987"/>
    <x v="16"/>
    <x v="1"/>
    <n v="0"/>
    <x v="0"/>
    <m/>
  </r>
  <r>
    <s v="PPT1_BOI04"/>
    <s v="S1CS07399-WS"/>
    <n v="450"/>
    <s v="207199330"/>
    <s v="NW"/>
    <n v="4"/>
    <n v="0.23116333448537987"/>
    <x v="10"/>
    <x v="1"/>
    <n v="0"/>
    <x v="0"/>
    <m/>
  </r>
  <r>
    <s v="PPT1_BOI04"/>
    <s v="S1CS07399-WS"/>
    <n v="450"/>
    <s v="207199441"/>
    <s v="NW"/>
    <n v="4"/>
    <n v="0.23116333448537987"/>
    <x v="15"/>
    <x v="1"/>
    <n v="0"/>
    <x v="0"/>
    <m/>
  </r>
  <r>
    <s v="PPT1_BOI04"/>
    <s v="S1CS07399-WS"/>
    <n v="450"/>
    <s v="207199478"/>
    <s v="NW"/>
    <n v="4"/>
    <n v="0.23116333448537987"/>
    <x v="17"/>
    <x v="1"/>
    <n v="0"/>
    <x v="0"/>
    <m/>
  </r>
  <r>
    <s v="PPT1_BOI04"/>
    <s v="S1CS07399-WS"/>
    <n v="450"/>
    <s v="207200579"/>
    <s v="NW"/>
    <n v="4"/>
    <n v="0.23116333448537987"/>
    <x v="16"/>
    <x v="1"/>
    <n v="0"/>
    <x v="0"/>
    <m/>
  </r>
  <r>
    <s v="PPT1_BOI04"/>
    <s v="S1CS07399-WS"/>
    <n v="450"/>
    <s v="207200578"/>
    <s v="NW"/>
    <n v="4"/>
    <n v="0.23116333448537987"/>
    <x v="10"/>
    <x v="1"/>
    <n v="0"/>
    <x v="0"/>
    <m/>
  </r>
  <r>
    <s v="PPT1_BOI04"/>
    <s v="S1CS07399-WS"/>
    <n v="450"/>
    <s v="207199362"/>
    <s v="NW"/>
    <n v="4"/>
    <n v="0.23116333448537987"/>
    <x v="15"/>
    <x v="1"/>
    <n v="0"/>
    <x v="0"/>
    <m/>
  </r>
  <r>
    <s v="PPT1_BOI04"/>
    <s v="S1CS07399-WS"/>
    <n v="450"/>
    <s v="207200560"/>
    <s v="NW"/>
    <n v="4"/>
    <n v="0.23116333448537987"/>
    <x v="17"/>
    <x v="1"/>
    <n v="0"/>
    <x v="0"/>
    <m/>
  </r>
  <r>
    <s v="PPT1_BOI04"/>
    <s v="S1CS07399-WS"/>
    <n v="450"/>
    <s v="207200577"/>
    <s v="NW"/>
    <n v="4"/>
    <n v="0.23116333448537987"/>
    <x v="16"/>
    <x v="1"/>
    <n v="0"/>
    <x v="0"/>
    <m/>
  </r>
  <r>
    <s v="PPT1_BOI04"/>
    <s v="S1CS07399-WS"/>
    <n v="450"/>
    <s v="207200553"/>
    <s v="NW"/>
    <n v="4"/>
    <n v="0.23116333448537987"/>
    <x v="10"/>
    <x v="1"/>
    <n v="0"/>
    <x v="0"/>
    <m/>
  </r>
  <r>
    <s v="PPT1_BOI04"/>
    <s v="S1CS07399-WS"/>
    <n v="450"/>
    <s v="207199932"/>
    <s v="NW"/>
    <n v="4"/>
    <n v="0.23116333448537987"/>
    <x v="15"/>
    <x v="1"/>
    <n v="0"/>
    <x v="0"/>
    <m/>
  </r>
  <r>
    <s v="PPT1_BOI04"/>
    <s v="S1CS07399-WS"/>
    <n v="450"/>
    <s v="207199934"/>
    <s v="NW"/>
    <n v="4"/>
    <n v="0.23116333448537987"/>
    <x v="17"/>
    <x v="1"/>
    <n v="0"/>
    <x v="0"/>
    <m/>
  </r>
  <r>
    <s v="PPT1_BOI04"/>
    <s v="S1CS07399-WS"/>
    <n v="450"/>
    <s v="207199937"/>
    <s v="NW"/>
    <n v="4"/>
    <n v="0.23116333448537987"/>
    <x v="16"/>
    <x v="1"/>
    <n v="0"/>
    <x v="0"/>
    <m/>
  </r>
  <r>
    <s v="PPT1_BOI04"/>
    <s v="S1CS07399-WS"/>
    <n v="450"/>
    <s v="207199930"/>
    <s v="NW"/>
    <n v="4"/>
    <n v="0.23116333448537987"/>
    <x v="10"/>
    <x v="1"/>
    <n v="0"/>
    <x v="0"/>
    <m/>
  </r>
  <r>
    <s v="PPT1_BOI04"/>
    <s v="S1CS07399-WS"/>
    <n v="450"/>
    <s v="207199911"/>
    <s v="NW"/>
    <n v="4"/>
    <n v="0.23116333448537987"/>
    <x v="15"/>
    <x v="1"/>
    <n v="0"/>
    <x v="0"/>
    <m/>
  </r>
  <r>
    <s v="PPT1_BOI04"/>
    <s v="S1CS07399-WS"/>
    <n v="450"/>
    <s v="207199928"/>
    <s v="NW"/>
    <n v="4"/>
    <n v="0.23116333448537987"/>
    <x v="17"/>
    <x v="1"/>
    <n v="0"/>
    <x v="0"/>
    <m/>
  </r>
  <r>
    <s v="PPT1_BOI04"/>
    <s v="S1CS07399-WS"/>
    <n v="450"/>
    <s v="207200529"/>
    <s v="NW"/>
    <n v="4"/>
    <n v="0.23116333448537987"/>
    <x v="16"/>
    <x v="1"/>
    <n v="0"/>
    <x v="0"/>
    <m/>
  </r>
  <r>
    <s v="PPT1_BOI04"/>
    <s v="S1CS07399-WS"/>
    <n v="450"/>
    <s v="207200039"/>
    <s v="NW"/>
    <n v="4"/>
    <n v="0.23116333448537987"/>
    <x v="10"/>
    <x v="1"/>
    <n v="0"/>
    <x v="0"/>
    <m/>
  </r>
  <r>
    <s v="PPT1_BOI04"/>
    <s v="S1CS07399-WS"/>
    <n v="450"/>
    <s v="207200077"/>
    <s v="NW"/>
    <n v="4"/>
    <n v="0.23116333448537987"/>
    <x v="15"/>
    <x v="1"/>
    <n v="0"/>
    <x v="0"/>
    <m/>
  </r>
  <r>
    <s v="PPT1_BOI04"/>
    <s v="S1CS07399-WS"/>
    <n v="450"/>
    <s v="207200079"/>
    <s v="NW"/>
    <n v="4"/>
    <n v="0.23116333448537987"/>
    <x v="17"/>
    <x v="1"/>
    <n v="0"/>
    <x v="0"/>
    <m/>
  </r>
  <r>
    <s v="PPT1_BOI04"/>
    <s v="S1CS07399-WS"/>
    <n v="450"/>
    <s v="207200081"/>
    <s v="NW"/>
    <n v="4"/>
    <n v="0.23116333448537987"/>
    <x v="16"/>
    <x v="1"/>
    <n v="0"/>
    <x v="0"/>
    <m/>
  </r>
  <r>
    <s v="PPT1_BOI04"/>
    <s v="S1CS07399-WS"/>
    <n v="450"/>
    <s v="207200076"/>
    <s v="NW"/>
    <n v="4"/>
    <n v="0.23116333448537987"/>
    <x v="10"/>
    <x v="1"/>
    <n v="0"/>
    <x v="0"/>
    <m/>
  </r>
  <r>
    <s v="PPT1_BOI04"/>
    <s v="S1CS07399-WS"/>
    <n v="450"/>
    <s v="207200044"/>
    <s v="NW"/>
    <n v="4"/>
    <n v="0.23116333448537987"/>
    <x v="15"/>
    <x v="1"/>
    <n v="0"/>
    <x v="0"/>
    <m/>
  </r>
  <r>
    <s v="PPT1_BOI04"/>
    <s v="S1CS07399-WS"/>
    <n v="450"/>
    <s v="207200065"/>
    <s v="NW"/>
    <n v="4"/>
    <n v="0.23116333448537987"/>
    <x v="17"/>
    <x v="1"/>
    <n v="0"/>
    <x v="0"/>
    <m/>
  </r>
  <r>
    <s v="PPT1_BOI04"/>
    <s v="S1CS07399-WS"/>
    <n v="450"/>
    <s v="207200070"/>
    <s v="NW"/>
    <n v="4"/>
    <n v="0.23116333448537987"/>
    <x v="16"/>
    <x v="1"/>
    <n v="0"/>
    <x v="0"/>
    <m/>
  </r>
  <r>
    <s v="PPT1_BOI04"/>
    <s v="S1CS07399-WS"/>
    <n v="450"/>
    <s v="207199906"/>
    <s v="NW"/>
    <n v="4"/>
    <n v="0.23116333448537987"/>
    <x v="10"/>
    <x v="1"/>
    <n v="0"/>
    <x v="0"/>
    <m/>
  </r>
  <r>
    <s v="PPT1_BOI04"/>
    <s v="S1CS07399-WS"/>
    <n v="450"/>
    <s v="207199851"/>
    <s v="NW"/>
    <n v="4"/>
    <n v="0.23116333448537987"/>
    <x v="15"/>
    <x v="1"/>
    <n v="0"/>
    <x v="0"/>
    <m/>
  </r>
  <r>
    <s v="PPT1_BOI04"/>
    <s v="S1CS07399-WS"/>
    <n v="450"/>
    <s v="207200548"/>
    <s v="NW"/>
    <n v="4"/>
    <n v="0.23116333448537987"/>
    <x v="17"/>
    <x v="1"/>
    <n v="0"/>
    <x v="0"/>
    <m/>
  </r>
  <r>
    <s v="PPT1_BOI04"/>
    <s v="S1CS07399-WS"/>
    <n v="450"/>
    <s v="207199868"/>
    <s v="NW"/>
    <n v="4"/>
    <n v="0.23116333448537987"/>
    <x v="16"/>
    <x v="1"/>
    <n v="0"/>
    <x v="0"/>
    <m/>
  </r>
  <r>
    <s v="PPT1_BOI04"/>
    <s v="S1CS07399-WS"/>
    <n v="450"/>
    <s v="207200549"/>
    <s v="NW"/>
    <n v="4"/>
    <n v="0.23116333448537987"/>
    <x v="10"/>
    <x v="1"/>
    <n v="0"/>
    <x v="0"/>
    <m/>
  </r>
  <r>
    <s v="PPT1_BOI04"/>
    <s v="S1CS07399-WS"/>
    <n v="450"/>
    <s v="207199802"/>
    <s v="NW"/>
    <n v="4"/>
    <n v="0.23116333448537987"/>
    <x v="15"/>
    <x v="1"/>
    <n v="0"/>
    <x v="0"/>
    <m/>
  </r>
  <r>
    <s v="PPT1_BOI04"/>
    <s v="S1CS07399-WS"/>
    <n v="450"/>
    <s v="207199830"/>
    <s v="NW"/>
    <n v="4"/>
    <n v="0.23116333448537987"/>
    <x v="17"/>
    <x v="1"/>
    <n v="0"/>
    <x v="0"/>
    <m/>
  </r>
  <r>
    <s v="PPT1_BOI04"/>
    <s v="S1CS07399-WS"/>
    <n v="450"/>
    <s v="207200552"/>
    <s v="NW"/>
    <n v="4"/>
    <n v="0.23116333448537987"/>
    <x v="16"/>
    <x v="1"/>
    <n v="0"/>
    <x v="0"/>
    <m/>
  </r>
  <r>
    <s v="PPT1_BOI04"/>
    <s v="S1CS07399-WS"/>
    <n v="450"/>
    <s v="207199891"/>
    <s v="NW"/>
    <n v="4"/>
    <n v="0.23116333448537987"/>
    <x v="10"/>
    <x v="1"/>
    <n v="0"/>
    <x v="0"/>
    <m/>
  </r>
  <r>
    <s v="PPT1_BOI04"/>
    <s v="S1CS07399-WS"/>
    <n v="450"/>
    <s v="207199901"/>
    <s v="NW"/>
    <n v="4"/>
    <n v="0.23116333448537987"/>
    <x v="15"/>
    <x v="1"/>
    <n v="0"/>
    <x v="0"/>
    <m/>
  </r>
  <r>
    <s v="PPT1_BOI04"/>
    <s v="S1CS07399-WS"/>
    <n v="450"/>
    <s v="207199903"/>
    <s v="NW"/>
    <n v="4"/>
    <n v="0.23116333448537987"/>
    <x v="17"/>
    <x v="1"/>
    <n v="0"/>
    <x v="0"/>
    <m/>
  </r>
  <r>
    <s v="PPT1_BOI04"/>
    <s v="S1CS07399-WS"/>
    <n v="450"/>
    <s v="207199904"/>
    <s v="NW"/>
    <n v="4"/>
    <n v="0.23116333448537987"/>
    <x v="16"/>
    <x v="1"/>
    <n v="0"/>
    <x v="0"/>
    <m/>
  </r>
  <r>
    <s v="PPT1_BOI04"/>
    <s v="S1CS07399-WS"/>
    <n v="450"/>
    <s v="207199899"/>
    <s v="NW"/>
    <n v="4"/>
    <n v="0.23116333448537987"/>
    <x v="10"/>
    <x v="1"/>
    <n v="0"/>
    <x v="0"/>
    <m/>
  </r>
  <r>
    <s v="PPT1_BOI04"/>
    <s v="S1CS07399-WS"/>
    <n v="450"/>
    <s v="207200534"/>
    <s v="NW"/>
    <n v="4"/>
    <n v="0.23116333448537987"/>
    <x v="15"/>
    <x v="1"/>
    <n v="0"/>
    <x v="0"/>
    <m/>
  </r>
  <r>
    <s v="PPT1_BOI04"/>
    <s v="S1CS07399-WS"/>
    <n v="450"/>
    <s v="207199897"/>
    <s v="NW"/>
    <n v="4"/>
    <n v="0.23116333448537987"/>
    <x v="17"/>
    <x v="1"/>
    <n v="0"/>
    <x v="0"/>
    <m/>
  </r>
  <r>
    <s v="PPT1_BOI04"/>
    <s v="S1CS07399-WS"/>
    <n v="450"/>
    <s v="207200532"/>
    <s v="NW"/>
    <n v="4"/>
    <n v="0.23116333448537987"/>
    <x v="16"/>
    <x v="1"/>
    <n v="0"/>
    <x v="0"/>
    <m/>
  </r>
  <r>
    <s v="PPT1_BOI04"/>
    <s v="S1CS07400-WS"/>
    <n v="480"/>
    <s v="207200731"/>
    <s v="NW"/>
    <n v="4"/>
    <n v="0.34832611474875924"/>
    <x v="2"/>
    <x v="1"/>
    <n v="0"/>
    <x v="0"/>
    <m/>
  </r>
  <r>
    <s v="PPT1_BOI04"/>
    <s v="S1CS07400-WS"/>
    <n v="480"/>
    <s v="207200730"/>
    <s v="NW"/>
    <n v="4"/>
    <n v="0.34832611474875924"/>
    <x v="11"/>
    <x v="1"/>
    <n v="0"/>
    <x v="0"/>
    <m/>
  </r>
  <r>
    <s v="PPT1_BOI04"/>
    <s v="S1CS07400-WS"/>
    <n v="480"/>
    <s v="207200729"/>
    <s v="NW"/>
    <n v="4"/>
    <n v="0.34832611474875924"/>
    <x v="5"/>
    <x v="1"/>
    <n v="0"/>
    <x v="0"/>
    <m/>
  </r>
  <r>
    <s v="PPT1_BOI04"/>
    <s v="S1CS07400-WS"/>
    <n v="480"/>
    <s v="207200734"/>
    <s v="NW"/>
    <n v="4"/>
    <n v="0.34832611474875924"/>
    <x v="9"/>
    <x v="1"/>
    <n v="0"/>
    <x v="0"/>
    <m/>
  </r>
  <r>
    <s v="PPT1_BOI04"/>
    <s v="S1CS07400-WS"/>
    <n v="480"/>
    <s v="207200733"/>
    <s v="NW"/>
    <n v="4"/>
    <n v="0.34832611474875924"/>
    <x v="2"/>
    <x v="1"/>
    <n v="0"/>
    <x v="0"/>
    <m/>
  </r>
  <r>
    <s v="PPT1_BOI04"/>
    <s v="S1CS07400-WS"/>
    <n v="480"/>
    <s v="207200732"/>
    <s v="NW"/>
    <n v="4"/>
    <n v="0.34832611474875924"/>
    <x v="11"/>
    <x v="1"/>
    <n v="0"/>
    <x v="0"/>
    <m/>
  </r>
  <r>
    <s v="PPT1_BOI04"/>
    <s v="S1CS07400-WS"/>
    <n v="480"/>
    <s v="207200725"/>
    <s v="NW"/>
    <n v="4"/>
    <n v="0.34832611474875924"/>
    <x v="5"/>
    <x v="1"/>
    <n v="0"/>
    <x v="0"/>
    <m/>
  </r>
  <r>
    <s v="PPT1_BOI04"/>
    <s v="S1CS07400-WS"/>
    <n v="480"/>
    <s v="207200724"/>
    <s v="NW"/>
    <n v="4"/>
    <n v="0.34832611474875924"/>
    <x v="9"/>
    <x v="1"/>
    <n v="0"/>
    <x v="0"/>
    <m/>
  </r>
  <r>
    <s v="PPT1_BOI04"/>
    <s v="S1CS07400-WS"/>
    <n v="480"/>
    <s v="207200723"/>
    <s v="NW"/>
    <n v="4"/>
    <n v="0.34832611474875924"/>
    <x v="2"/>
    <x v="1"/>
    <n v="0"/>
    <x v="0"/>
    <m/>
  </r>
  <r>
    <s v="PPT1_BOI04"/>
    <s v="S1CS07400-WS"/>
    <n v="480"/>
    <s v="207200728"/>
    <s v="NW"/>
    <n v="4"/>
    <n v="0.34832611474875924"/>
    <x v="11"/>
    <x v="1"/>
    <n v="0"/>
    <x v="0"/>
    <m/>
  </r>
  <r>
    <s v="PPT1_BOI04"/>
    <s v="S1CS07400-WS"/>
    <n v="480"/>
    <s v="207200727"/>
    <s v="NW"/>
    <n v="4"/>
    <n v="0.34832611474875924"/>
    <x v="5"/>
    <x v="1"/>
    <n v="0"/>
    <x v="0"/>
    <m/>
  </r>
  <r>
    <s v="PPT1_BOI04"/>
    <s v="S1CS07400-WS"/>
    <n v="480"/>
    <s v="207200726"/>
    <s v="NW"/>
    <n v="4"/>
    <n v="0.34832611474875924"/>
    <x v="9"/>
    <x v="1"/>
    <n v="0"/>
    <x v="0"/>
    <m/>
  </r>
  <r>
    <s v="PPT1_BOI04"/>
    <s v="S1CS07400-WS"/>
    <n v="480"/>
    <s v="207200744"/>
    <s v="NW"/>
    <n v="4"/>
    <n v="0.34832611474875924"/>
    <x v="2"/>
    <x v="1"/>
    <n v="0"/>
    <x v="0"/>
    <m/>
  </r>
  <r>
    <s v="PPT1_BOI04"/>
    <s v="S1CS07400-WS"/>
    <n v="480"/>
    <s v="207200743"/>
    <s v="NW"/>
    <n v="4"/>
    <n v="0.34832611474875924"/>
    <x v="11"/>
    <x v="1"/>
    <n v="0"/>
    <x v="0"/>
    <m/>
  </r>
  <r>
    <s v="PPT1_BOI04"/>
    <s v="S1CS07400-WS"/>
    <n v="480"/>
    <s v="207200742"/>
    <s v="NW"/>
    <n v="4"/>
    <n v="0.34832611474875924"/>
    <x v="5"/>
    <x v="1"/>
    <n v="0"/>
    <x v="0"/>
    <m/>
  </r>
  <r>
    <s v="PPT1_BOI04"/>
    <s v="S1CS07400-WS"/>
    <n v="480"/>
    <s v="207200747"/>
    <s v="NW"/>
    <n v="4"/>
    <n v="0.34832611474875924"/>
    <x v="9"/>
    <x v="1"/>
    <n v="0"/>
    <x v="0"/>
    <m/>
  </r>
  <r>
    <s v="PPT1_BOI04"/>
    <s v="S1CS07400-WS"/>
    <n v="480"/>
    <s v="207200746"/>
    <s v="NW"/>
    <n v="4"/>
    <n v="0.34832611474875924"/>
    <x v="2"/>
    <x v="1"/>
    <n v="0"/>
    <x v="0"/>
    <m/>
  </r>
  <r>
    <s v="PPT1_BOI04"/>
    <s v="S1CS07400-WS"/>
    <n v="480"/>
    <s v="207200745"/>
    <s v="NW"/>
    <n v="4"/>
    <n v="0.34832611474875924"/>
    <x v="11"/>
    <x v="1"/>
    <n v="0"/>
    <x v="0"/>
    <m/>
  </r>
  <r>
    <s v="PPT1_BOI04"/>
    <s v="S1CS07400-WS"/>
    <n v="480"/>
    <s v="207200737"/>
    <s v="NW"/>
    <n v="4"/>
    <n v="0.34832611474875924"/>
    <x v="5"/>
    <x v="1"/>
    <n v="0"/>
    <x v="0"/>
    <m/>
  </r>
  <r>
    <s v="PPT1_BOI04"/>
    <s v="S1CS07400-WS"/>
    <n v="480"/>
    <s v="207200736"/>
    <s v="NW"/>
    <n v="4"/>
    <n v="0.34832611474875924"/>
    <x v="9"/>
    <x v="1"/>
    <n v="0"/>
    <x v="0"/>
    <m/>
  </r>
  <r>
    <s v="PPT1_BOI04"/>
    <s v="S1CS07400-WS"/>
    <n v="480"/>
    <s v="207200735"/>
    <s v="NW"/>
    <n v="4"/>
    <n v="0.34832611474875924"/>
    <x v="2"/>
    <x v="1"/>
    <n v="0"/>
    <x v="0"/>
    <m/>
  </r>
  <r>
    <s v="PPT1_BOI04"/>
    <s v="S1CS07400-WS"/>
    <n v="480"/>
    <s v="207200741"/>
    <s v="NW"/>
    <n v="4"/>
    <n v="0.34832611474875924"/>
    <x v="11"/>
    <x v="1"/>
    <n v="0"/>
    <x v="0"/>
    <m/>
  </r>
  <r>
    <s v="PPT1_BOI04"/>
    <s v="S1CS07400-WS"/>
    <n v="480"/>
    <s v="207200740"/>
    <s v="NW"/>
    <n v="4"/>
    <n v="0.34832611474875924"/>
    <x v="5"/>
    <x v="1"/>
    <n v="0"/>
    <x v="0"/>
    <m/>
  </r>
  <r>
    <s v="PPT1_BOI04"/>
    <s v="S1CS07400-WS"/>
    <n v="480"/>
    <s v="207200738"/>
    <s v="NW"/>
    <n v="4"/>
    <n v="0.34832611474875924"/>
    <x v="9"/>
    <x v="1"/>
    <n v="0"/>
    <x v="0"/>
    <m/>
  </r>
  <r>
    <s v="PPT1_BOI04"/>
    <s v="S1CS07400-WS"/>
    <n v="480"/>
    <s v="207200621"/>
    <s v="NW"/>
    <n v="4"/>
    <n v="0.34832611474875924"/>
    <x v="2"/>
    <x v="1"/>
    <n v="0"/>
    <x v="0"/>
    <m/>
  </r>
  <r>
    <s v="PPT1_BOI04"/>
    <s v="S1CS07400-WS"/>
    <n v="480"/>
    <s v="207200620"/>
    <s v="NW"/>
    <n v="4"/>
    <n v="0.34832611474875924"/>
    <x v="11"/>
    <x v="1"/>
    <n v="0"/>
    <x v="0"/>
    <m/>
  </r>
  <r>
    <s v="PPT1_BOI04"/>
    <s v="S1CS07400-WS"/>
    <n v="480"/>
    <s v="207200619"/>
    <s v="NW"/>
    <n v="4"/>
    <n v="0.34832611474875924"/>
    <x v="5"/>
    <x v="1"/>
    <n v="0"/>
    <x v="0"/>
    <m/>
  </r>
  <r>
    <s v="PPT1_BOI04"/>
    <s v="S1CS07400-WS"/>
    <n v="480"/>
    <s v="207200624"/>
    <s v="NW"/>
    <n v="4"/>
    <n v="0.34832611474875924"/>
    <x v="9"/>
    <x v="1"/>
    <n v="0"/>
    <x v="0"/>
    <m/>
  </r>
  <r>
    <s v="PPT1_BOI04"/>
    <s v="S1CS07400-WS"/>
    <n v="160"/>
    <s v="207200623"/>
    <s v="NW"/>
    <n v="4"/>
    <n v="0.11610870491625308"/>
    <x v="2"/>
    <x v="1"/>
    <n v="0"/>
    <x v="0"/>
    <m/>
  </r>
  <r>
    <s v="PPT1_BOI04"/>
    <s v="S1CS07400-WS"/>
    <n v="480"/>
    <s v="207200622"/>
    <s v="NW"/>
    <n v="4"/>
    <n v="0.34832611474875924"/>
    <x v="2"/>
    <x v="1"/>
    <n v="0"/>
    <x v="0"/>
    <m/>
  </r>
  <r>
    <s v="PPT1_BOI04"/>
    <s v="S1CS07400-WS"/>
    <n v="480"/>
    <s v="207200585"/>
    <s v="NW"/>
    <n v="4"/>
    <n v="0.34832611474875924"/>
    <x v="11"/>
    <x v="1"/>
    <n v="0"/>
    <x v="0"/>
    <m/>
  </r>
  <r>
    <s v="PPT1_BOI04"/>
    <s v="S1CS07400-WS"/>
    <n v="480"/>
    <s v="207200584"/>
    <s v="NW"/>
    <n v="4"/>
    <n v="0.34832611474875924"/>
    <x v="5"/>
    <x v="1"/>
    <n v="0"/>
    <x v="0"/>
    <m/>
  </r>
  <r>
    <s v="PPT1_BOI04"/>
    <s v="S1CS07400-WS"/>
    <n v="480"/>
    <s v="207200739"/>
    <s v="NW"/>
    <n v="4"/>
    <n v="0.34832611474875924"/>
    <x v="9"/>
    <x v="1"/>
    <n v="0"/>
    <x v="0"/>
    <m/>
  </r>
  <r>
    <s v="PPT1_BOI04"/>
    <s v="S1CS07400-WS"/>
    <n v="480"/>
    <s v="207200618"/>
    <s v="NW"/>
    <n v="4"/>
    <n v="0.34832611474875924"/>
    <x v="2"/>
    <x v="1"/>
    <n v="0"/>
    <x v="0"/>
    <m/>
  </r>
  <r>
    <s v="PPT1_BOI04"/>
    <s v="S1CS07400-WS"/>
    <n v="480"/>
    <s v="207200617"/>
    <s v="NW"/>
    <n v="4"/>
    <n v="0.34832611474875924"/>
    <x v="11"/>
    <x v="1"/>
    <n v="0"/>
    <x v="0"/>
    <m/>
  </r>
  <r>
    <s v="PPT1_BOI04"/>
    <s v="S1CS07400-WS"/>
    <n v="480"/>
    <s v="207200586"/>
    <s v="NW"/>
    <n v="4"/>
    <n v="0.34832611474875924"/>
    <x v="5"/>
    <x v="1"/>
    <n v="0"/>
    <x v="0"/>
    <m/>
  </r>
  <r>
    <s v="PPT1_BOI04"/>
    <s v="S1CS07400-WS"/>
    <n v="480"/>
    <s v="207200719"/>
    <s v="NW"/>
    <n v="4"/>
    <n v="0.34832611474875924"/>
    <x v="9"/>
    <x v="1"/>
    <n v="0"/>
    <x v="0"/>
    <m/>
  </r>
  <r>
    <s v="PPT1_BOI04"/>
    <s v="S1CS07400-WS"/>
    <n v="480"/>
    <s v="207200718"/>
    <s v="NW"/>
    <n v="4"/>
    <n v="0.34832611474875924"/>
    <x v="2"/>
    <x v="1"/>
    <n v="0"/>
    <x v="0"/>
    <m/>
  </r>
  <r>
    <s v="PPT1_BOI04"/>
    <s v="S1CS07400-WS"/>
    <n v="480"/>
    <s v="207200717"/>
    <s v="NW"/>
    <n v="4"/>
    <n v="0.34832611474875924"/>
    <x v="11"/>
    <x v="1"/>
    <n v="0"/>
    <x v="0"/>
    <m/>
  </r>
  <r>
    <s v="PPT1_BOI04"/>
    <s v="S1CS07400-WS"/>
    <n v="480"/>
    <s v="207200722"/>
    <s v="NW"/>
    <n v="4"/>
    <n v="0.34832611474875924"/>
    <x v="5"/>
    <x v="1"/>
    <n v="0"/>
    <x v="0"/>
    <m/>
  </r>
  <r>
    <s v="PPT1_BOI04"/>
    <s v="S1CS07400-WS"/>
    <n v="480"/>
    <s v="207200721"/>
    <s v="NW"/>
    <n v="4"/>
    <n v="0.34832611474875924"/>
    <x v="9"/>
    <x v="1"/>
    <n v="0"/>
    <x v="0"/>
    <m/>
  </r>
  <r>
    <s v="PPT1_BOI04"/>
    <s v="S1CS07400-WS"/>
    <n v="480"/>
    <s v="207200720"/>
    <s v="NW"/>
    <n v="4"/>
    <n v="0.34832611474875924"/>
    <x v="2"/>
    <x v="1"/>
    <n v="0"/>
    <x v="0"/>
    <m/>
  </r>
  <r>
    <s v="PPT1_BOI04"/>
    <s v="S1CS07400-WS"/>
    <n v="480"/>
    <s v="207200647"/>
    <s v="NW"/>
    <n v="4"/>
    <n v="0.34832611474875924"/>
    <x v="11"/>
    <x v="1"/>
    <n v="0"/>
    <x v="0"/>
    <m/>
  </r>
  <r>
    <s v="PPT1_BOI04"/>
    <s v="S1CS07400-WS"/>
    <n v="480"/>
    <s v="207200626"/>
    <s v="NW"/>
    <n v="4"/>
    <n v="0.34832611474875924"/>
    <x v="5"/>
    <x v="1"/>
    <n v="0"/>
    <x v="0"/>
    <m/>
  </r>
  <r>
    <s v="PPT1_BOI04"/>
    <s v="S1CS07400-WS"/>
    <n v="480"/>
    <s v="207200625"/>
    <s v="NW"/>
    <n v="4"/>
    <n v="0.34832611474875924"/>
    <x v="9"/>
    <x v="1"/>
    <n v="0"/>
    <x v="0"/>
    <m/>
  </r>
  <r>
    <s v="PPT1_BOI04"/>
    <s v="S1CS07400-WS"/>
    <n v="480"/>
    <s v="207200650"/>
    <s v="NW"/>
    <n v="4"/>
    <n v="0.34832611474875924"/>
    <x v="2"/>
    <x v="1"/>
    <n v="0"/>
    <x v="0"/>
    <m/>
  </r>
  <r>
    <s v="PPT1_BOI04"/>
    <s v="S1CS07400-WS"/>
    <n v="480"/>
    <s v="207200649"/>
    <s v="NW"/>
    <n v="4"/>
    <n v="0.34832611474875924"/>
    <x v="11"/>
    <x v="1"/>
    <n v="0"/>
    <x v="0"/>
    <m/>
  </r>
  <r>
    <s v="PPT1_BOI04"/>
    <s v="S1CS07400-WS"/>
    <n v="480"/>
    <s v="207200648"/>
    <s v="NW"/>
    <n v="4"/>
    <n v="0.34832611474875924"/>
    <x v="5"/>
    <x v="1"/>
    <n v="0"/>
    <x v="0"/>
    <m/>
  </r>
  <r>
    <s v="PPT1_BOI04"/>
    <s v="S1CS07400-WS"/>
    <n v="480"/>
    <s v="207200776"/>
    <s v="NW"/>
    <n v="4"/>
    <n v="0.34832611474875924"/>
    <x v="9"/>
    <x v="1"/>
    <n v="0"/>
    <x v="0"/>
    <m/>
  </r>
  <r>
    <s v="PPT1_BOI04"/>
    <s v="S1CS07400-WS"/>
    <n v="480"/>
    <s v="207200775"/>
    <s v="NW"/>
    <n v="4"/>
    <n v="0.34832611474875924"/>
    <x v="2"/>
    <x v="1"/>
    <n v="0"/>
    <x v="0"/>
    <m/>
  </r>
  <r>
    <s v="PPT1_BOI04"/>
    <s v="S1CS07400-WS"/>
    <n v="480"/>
    <s v="207200774"/>
    <s v="NW"/>
    <n v="4"/>
    <n v="0.34832611474875924"/>
    <x v="11"/>
    <x v="1"/>
    <n v="0"/>
    <x v="0"/>
    <m/>
  </r>
  <r>
    <s v="PPT1_BOI04"/>
    <s v="S1CS07400-WS"/>
    <n v="480"/>
    <s v="207200777"/>
    <s v="NW"/>
    <n v="4"/>
    <n v="0.34832611474875924"/>
    <x v="5"/>
    <x v="1"/>
    <n v="0"/>
    <x v="0"/>
    <m/>
  </r>
  <r>
    <s v="PPT1_BOI04"/>
    <s v="S1CS07400-WS"/>
    <n v="480"/>
    <s v="207200780"/>
    <s v="NW"/>
    <n v="4"/>
    <n v="0.34832611474875924"/>
    <x v="9"/>
    <x v="1"/>
    <n v="0"/>
    <x v="0"/>
    <m/>
  </r>
  <r>
    <s v="PPT1_BOI04"/>
    <s v="S1CS07400-WS"/>
    <n v="480"/>
    <s v="207200779"/>
    <s v="NW"/>
    <n v="4"/>
    <n v="0.34832611474875924"/>
    <x v="2"/>
    <x v="1"/>
    <n v="0"/>
    <x v="0"/>
    <m/>
  </r>
  <r>
    <s v="PPT1_BOI04"/>
    <s v="S1CS07400-WS"/>
    <n v="480"/>
    <s v="207200778"/>
    <s v="NW"/>
    <n v="4"/>
    <n v="0.34832611474875924"/>
    <x v="11"/>
    <x v="1"/>
    <n v="0"/>
    <x v="0"/>
    <m/>
  </r>
  <r>
    <s v="PPT1_BOI04"/>
    <s v="S1CS07400-WS"/>
    <n v="480"/>
    <s v="207200773"/>
    <s v="NW"/>
    <n v="4"/>
    <n v="0.34832611474875924"/>
    <x v="5"/>
    <x v="1"/>
    <n v="0"/>
    <x v="0"/>
    <m/>
  </r>
  <r>
    <s v="PPT1_BOI04"/>
    <s v="S1CS07400-WS"/>
    <n v="480"/>
    <s v="207200768"/>
    <s v="NW"/>
    <n v="4"/>
    <n v="0.34832611474875924"/>
    <x v="9"/>
    <x v="1"/>
    <n v="0"/>
    <x v="0"/>
    <m/>
  </r>
  <r>
    <s v="PPT1_BOI04"/>
    <s v="S1CS07400-WS"/>
    <n v="480"/>
    <s v="207200767"/>
    <s v="NW"/>
    <n v="4"/>
    <n v="0.34832611474875924"/>
    <x v="2"/>
    <x v="1"/>
    <n v="0"/>
    <x v="0"/>
    <m/>
  </r>
  <r>
    <s v="PPT1_BOI04"/>
    <s v="S1CS07400-WS"/>
    <n v="480"/>
    <s v="207200766"/>
    <s v="NW"/>
    <n v="4"/>
    <n v="0.34832611474875924"/>
    <x v="11"/>
    <x v="1"/>
    <n v="0"/>
    <x v="0"/>
    <m/>
  </r>
  <r>
    <s v="PPT1_BOI04"/>
    <s v="S1CS07400-WS"/>
    <n v="480"/>
    <s v="207200769"/>
    <s v="NW"/>
    <n v="4"/>
    <n v="0.34832611474875924"/>
    <x v="5"/>
    <x v="1"/>
    <n v="0"/>
    <x v="0"/>
    <m/>
  </r>
  <r>
    <s v="PPT1_BOI04"/>
    <s v="S1CS07400-WS"/>
    <n v="480"/>
    <s v="207200772"/>
    <s v="NW"/>
    <n v="4"/>
    <n v="0.34832611474875924"/>
    <x v="9"/>
    <x v="1"/>
    <n v="0"/>
    <x v="0"/>
    <m/>
  </r>
  <r>
    <s v="PPT1_BOI04"/>
    <s v="S1CS07400-WS"/>
    <n v="480"/>
    <s v="207200771"/>
    <s v="NW"/>
    <n v="4"/>
    <n v="0.34832611474875924"/>
    <x v="2"/>
    <x v="1"/>
    <n v="0"/>
    <x v="0"/>
    <m/>
  </r>
  <r>
    <s v="PPT1_BOI04"/>
    <s v="S1CS07400-WS"/>
    <n v="480"/>
    <s v="207200770"/>
    <s v="NW"/>
    <n v="4"/>
    <n v="0.34832611474875924"/>
    <x v="11"/>
    <x v="1"/>
    <n v="0"/>
    <x v="0"/>
    <m/>
  </r>
  <r>
    <s v="PPT1_BOI04"/>
    <s v="S1CS07400-WS"/>
    <n v="480"/>
    <s v="207200781"/>
    <s v="NW"/>
    <n v="4"/>
    <n v="0.34832611474875924"/>
    <x v="5"/>
    <x v="1"/>
    <n v="0"/>
    <x v="0"/>
    <m/>
  </r>
  <r>
    <s v="PPT1_BOI04"/>
    <s v="S1CS07400-WS"/>
    <n v="480"/>
    <s v="207200792"/>
    <s v="NW"/>
    <n v="4"/>
    <n v="0.34832611474875924"/>
    <x v="9"/>
    <x v="1"/>
    <n v="0"/>
    <x v="0"/>
    <m/>
  </r>
  <r>
    <s v="PPT1_BOI04"/>
    <s v="S1CS07400-WS"/>
    <n v="480"/>
    <s v="207200791"/>
    <s v="NW"/>
    <n v="4"/>
    <n v="0.34832611474875924"/>
    <x v="2"/>
    <x v="1"/>
    <n v="0"/>
    <x v="0"/>
    <m/>
  </r>
  <r>
    <s v="PPT1_BOI04"/>
    <s v="S1CS07400-WS"/>
    <n v="480"/>
    <s v="207200790"/>
    <s v="NW"/>
    <n v="4"/>
    <n v="0.34832611474875924"/>
    <x v="11"/>
    <x v="1"/>
    <n v="0"/>
    <x v="0"/>
    <m/>
  </r>
  <r>
    <s v="PPT1_BOI04"/>
    <s v="S1CS07400-WS"/>
    <n v="480"/>
    <s v="207200793"/>
    <s v="NW"/>
    <n v="4"/>
    <n v="0.34832611474875924"/>
    <x v="5"/>
    <x v="1"/>
    <n v="0"/>
    <x v="0"/>
    <m/>
  </r>
  <r>
    <s v="PPT1_BOI04"/>
    <s v="S1CS07400-WS"/>
    <n v="320"/>
    <s v="207200796"/>
    <s v="NW"/>
    <n v="4"/>
    <n v="0.23221740983250616"/>
    <x v="11"/>
    <x v="1"/>
    <n v="0"/>
    <x v="0"/>
    <m/>
  </r>
  <r>
    <s v="PPT1_BOI04"/>
    <s v="S1CS07400-WS"/>
    <n v="480"/>
    <s v="207200795"/>
    <s v="NW"/>
    <n v="4"/>
    <n v="0.34832611474875924"/>
    <x v="9"/>
    <x v="1"/>
    <n v="0"/>
    <x v="0"/>
    <m/>
  </r>
  <r>
    <s v="PPT1_BOI04"/>
    <s v="S1CS07400-WS"/>
    <n v="480"/>
    <s v="207200794"/>
    <s v="NW"/>
    <n v="4"/>
    <n v="0.34832611474875924"/>
    <x v="2"/>
    <x v="1"/>
    <n v="0"/>
    <x v="0"/>
    <m/>
  </r>
  <r>
    <s v="PPT1_BOI04"/>
    <s v="S1CS07400-WS"/>
    <n v="480"/>
    <s v="207200789"/>
    <s v="NW"/>
    <n v="4"/>
    <n v="0.34832611474875924"/>
    <x v="11"/>
    <x v="1"/>
    <n v="0"/>
    <x v="0"/>
    <m/>
  </r>
  <r>
    <s v="PPT1_BOI04"/>
    <s v="S1CS07400-WS"/>
    <n v="480"/>
    <s v="207200784"/>
    <s v="NW"/>
    <n v="4"/>
    <n v="0.34832611474875924"/>
    <x v="5"/>
    <x v="1"/>
    <n v="0"/>
    <x v="0"/>
    <m/>
  </r>
  <r>
    <s v="PPT1_BOI04"/>
    <s v="S1CS07400-WS"/>
    <n v="480"/>
    <s v="207200783"/>
    <s v="NW"/>
    <n v="4"/>
    <n v="0.34832611474875924"/>
    <x v="9"/>
    <x v="1"/>
    <n v="0"/>
    <x v="0"/>
    <m/>
  </r>
  <r>
    <s v="PPT1_BOI04"/>
    <s v="S1CS07400-WS"/>
    <n v="480"/>
    <s v="207200782"/>
    <s v="NW"/>
    <n v="4"/>
    <n v="0.34832611474875924"/>
    <x v="2"/>
    <x v="1"/>
    <n v="0"/>
    <x v="0"/>
    <m/>
  </r>
  <r>
    <s v="PPT1_BOI04"/>
    <s v="S1CS07400-WS"/>
    <n v="480"/>
    <s v="207200785"/>
    <s v="NW"/>
    <n v="4"/>
    <n v="0.34832611474875924"/>
    <x v="11"/>
    <x v="1"/>
    <n v="0"/>
    <x v="0"/>
    <m/>
  </r>
  <r>
    <s v="PPT1_BOI04"/>
    <s v="S1CS07400-WS"/>
    <n v="480"/>
    <s v="207200788"/>
    <s v="NW"/>
    <n v="4"/>
    <n v="0.34832611474875924"/>
    <x v="5"/>
    <x v="1"/>
    <n v="0"/>
    <x v="0"/>
    <m/>
  </r>
  <r>
    <s v="PPT1_BOI04"/>
    <s v="S1CS07400-WS"/>
    <n v="480"/>
    <s v="207200787"/>
    <s v="NW"/>
    <n v="4"/>
    <n v="0.34832611474875924"/>
    <x v="9"/>
    <x v="1"/>
    <n v="0"/>
    <x v="0"/>
    <m/>
  </r>
  <r>
    <s v="PPT1_BOI04"/>
    <s v="S1CS07400-WS"/>
    <n v="480"/>
    <s v="207200786"/>
    <s v="NW"/>
    <n v="4"/>
    <n v="0.34832611474875924"/>
    <x v="2"/>
    <x v="1"/>
    <n v="0"/>
    <x v="0"/>
    <m/>
  </r>
  <r>
    <s v="PPT1_BOI04"/>
    <s v="S1CS07400-WS"/>
    <n v="480"/>
    <s v="207200758"/>
    <s v="NW"/>
    <n v="4"/>
    <n v="0.34832611474875924"/>
    <x v="11"/>
    <x v="1"/>
    <n v="0"/>
    <x v="0"/>
    <m/>
  </r>
  <r>
    <s v="PPT1_BOI04"/>
    <s v="S1CS07400-WS"/>
    <n v="480"/>
    <s v="207200757"/>
    <s v="NW"/>
    <n v="4"/>
    <n v="0.34832611474875924"/>
    <x v="5"/>
    <x v="1"/>
    <n v="0"/>
    <x v="0"/>
    <m/>
  </r>
  <r>
    <s v="PPT1_BOI04"/>
    <s v="S1CS07400-WS"/>
    <n v="480"/>
    <s v="207200756"/>
    <s v="NW"/>
    <n v="4"/>
    <n v="0.34832611474875924"/>
    <x v="9"/>
    <x v="1"/>
    <n v="0"/>
    <x v="0"/>
    <m/>
  </r>
  <r>
    <s v="PPT1_BOI04"/>
    <s v="S1CS07400-WS"/>
    <n v="480"/>
    <s v="207200759"/>
    <s v="NW"/>
    <n v="4"/>
    <n v="0.34832611474875924"/>
    <x v="2"/>
    <x v="1"/>
    <n v="0"/>
    <x v="0"/>
    <m/>
  </r>
  <r>
    <s v="PPT1_BOI04"/>
    <s v="S1CS07400-WS"/>
    <n v="480"/>
    <s v="207200762"/>
    <s v="NW"/>
    <n v="4"/>
    <n v="0.34832611474875924"/>
    <x v="11"/>
    <x v="1"/>
    <n v="0"/>
    <x v="0"/>
    <m/>
  </r>
  <r>
    <s v="PPT1_BOI04"/>
    <s v="S1CS07400-WS"/>
    <n v="480"/>
    <s v="207200761"/>
    <s v="NW"/>
    <n v="4"/>
    <n v="0.34832611474875924"/>
    <x v="5"/>
    <x v="1"/>
    <n v="0"/>
    <x v="0"/>
    <m/>
  </r>
  <r>
    <s v="PPT1_BOI04"/>
    <s v="S1CS07400-WS"/>
    <n v="480"/>
    <s v="207200760"/>
    <s v="NW"/>
    <n v="4"/>
    <n v="0.34832611474875924"/>
    <x v="9"/>
    <x v="1"/>
    <n v="0"/>
    <x v="0"/>
    <m/>
  </r>
  <r>
    <s v="PPT1_BOI04"/>
    <s v="S1CS07400-WS"/>
    <n v="480"/>
    <s v="207200755"/>
    <s v="NW"/>
    <n v="4"/>
    <n v="0.34832611474875924"/>
    <x v="2"/>
    <x v="1"/>
    <n v="0"/>
    <x v="0"/>
    <m/>
  </r>
  <r>
    <s v="PPT1_BOI04"/>
    <s v="S1CS07400-WS"/>
    <n v="480"/>
    <s v="207200750"/>
    <s v="NW"/>
    <n v="4"/>
    <n v="0.34832611474875924"/>
    <x v="11"/>
    <x v="1"/>
    <n v="0"/>
    <x v="0"/>
    <m/>
  </r>
  <r>
    <s v="PPT1_BOI04"/>
    <s v="S1CS07400-WS"/>
    <n v="480"/>
    <s v="207200749"/>
    <s v="NW"/>
    <n v="4"/>
    <n v="0.34832611474875924"/>
    <x v="5"/>
    <x v="1"/>
    <n v="0"/>
    <x v="0"/>
    <m/>
  </r>
  <r>
    <s v="PPT1_BOI04"/>
    <s v="S1CS07400-WS"/>
    <n v="480"/>
    <s v="207200748"/>
    <s v="NW"/>
    <n v="4"/>
    <n v="0.34832611474875924"/>
    <x v="9"/>
    <x v="1"/>
    <n v="0"/>
    <x v="0"/>
    <m/>
  </r>
  <r>
    <s v="PPT1_BOI04"/>
    <s v="S1CS07400-WS"/>
    <n v="480"/>
    <s v="207200751"/>
    <s v="NW"/>
    <n v="4"/>
    <n v="0.34832611474875924"/>
    <x v="2"/>
    <x v="1"/>
    <n v="0"/>
    <x v="0"/>
    <m/>
  </r>
  <r>
    <s v="PPT1_BOI04"/>
    <s v="S1CS07400-WS"/>
    <n v="480"/>
    <s v="207200754"/>
    <s v="NW"/>
    <n v="4"/>
    <n v="0.34832611474875924"/>
    <x v="11"/>
    <x v="1"/>
    <n v="0"/>
    <x v="0"/>
    <m/>
  </r>
  <r>
    <s v="PPT1_BOI04"/>
    <s v="S1CS07400-WS"/>
    <n v="480"/>
    <s v="207200753"/>
    <s v="NW"/>
    <n v="4"/>
    <n v="0.34832611474875924"/>
    <x v="5"/>
    <x v="1"/>
    <n v="0"/>
    <x v="0"/>
    <m/>
  </r>
  <r>
    <s v="PPT1_BOI04"/>
    <s v="S1CS07400-WS"/>
    <n v="480"/>
    <s v="207200752"/>
    <s v="NW"/>
    <n v="4"/>
    <n v="0.34832611474875924"/>
    <x v="9"/>
    <x v="1"/>
    <n v="0"/>
    <x v="0"/>
    <m/>
  </r>
  <r>
    <s v="PPT1_BOI04"/>
    <s v="S1CS07400-WS"/>
    <n v="480"/>
    <s v="207200764"/>
    <s v="NW"/>
    <n v="4"/>
    <n v="0.34832611474875924"/>
    <x v="2"/>
    <x v="1"/>
    <n v="0"/>
    <x v="0"/>
    <m/>
  </r>
  <r>
    <s v="PPT1_BOI04"/>
    <s v="S1CS07400-WS"/>
    <n v="480"/>
    <s v="207200763"/>
    <s v="NW"/>
    <n v="4"/>
    <n v="0.34832611474875924"/>
    <x v="11"/>
    <x v="1"/>
    <n v="0"/>
    <x v="0"/>
    <m/>
  </r>
  <r>
    <s v="PPT1_BOI04"/>
    <s v="S1CS07400-WS"/>
    <n v="480"/>
    <s v="207200765"/>
    <s v="NW"/>
    <n v="4"/>
    <n v="0.34832611474875924"/>
    <x v="5"/>
    <x v="1"/>
    <n v="0"/>
    <x v="0"/>
    <m/>
  </r>
  <r>
    <s v="PPT1_BOI04"/>
    <s v="S1CS07401-WS"/>
    <n v="750"/>
    <s v="207198470"/>
    <s v="NW"/>
    <n v="5"/>
    <n v="0.4750396742544537"/>
    <x v="0"/>
    <x v="1"/>
    <n v="0"/>
    <x v="0"/>
    <m/>
  </r>
  <r>
    <s v="PPT1_BOI04"/>
    <s v="S1CS07401-WS"/>
    <n v="750"/>
    <s v="207198437"/>
    <s v="NW"/>
    <n v="5"/>
    <n v="0.4750396742544537"/>
    <x v="7"/>
    <x v="1"/>
    <n v="0"/>
    <x v="0"/>
    <m/>
  </r>
  <r>
    <s v="PPT1_BOI04"/>
    <s v="S1CS07401-WS"/>
    <n v="750"/>
    <s v="207198444"/>
    <s v="NW"/>
    <n v="5"/>
    <n v="0.4750396742544537"/>
    <x v="3"/>
    <x v="1"/>
    <n v="0"/>
    <x v="0"/>
    <m/>
  </r>
  <r>
    <s v="PPT1_BOI04"/>
    <s v="S1CS07401-WS"/>
    <n v="750"/>
    <s v="207198542"/>
    <s v="NW"/>
    <n v="5"/>
    <n v="0.4750396742544537"/>
    <x v="4"/>
    <x v="1"/>
    <n v="0"/>
    <x v="0"/>
    <m/>
  </r>
  <r>
    <s v="PPT1_BOI04"/>
    <s v="S1CS07401-WS"/>
    <n v="750"/>
    <s v="207198489"/>
    <s v="NW"/>
    <n v="5"/>
    <n v="0.4750396742544537"/>
    <x v="14"/>
    <x v="1"/>
    <n v="0"/>
    <x v="0"/>
    <m/>
  </r>
  <r>
    <s v="PPT1_BOI04"/>
    <s v="S1CS07401-WS"/>
    <n v="750"/>
    <s v="207198473"/>
    <s v="NW"/>
    <n v="5"/>
    <n v="0.4750396742544537"/>
    <x v="0"/>
    <x v="1"/>
    <n v="0"/>
    <x v="0"/>
    <m/>
  </r>
  <r>
    <s v="PPT1_BOI04"/>
    <s v="S1CS07401-WS"/>
    <n v="750"/>
    <s v="207198433"/>
    <s v="NW"/>
    <n v="5"/>
    <n v="0.4750396742544537"/>
    <x v="7"/>
    <x v="1"/>
    <n v="0"/>
    <x v="0"/>
    <m/>
  </r>
  <r>
    <s v="PPT1_BOI04"/>
    <s v="S1CS07401-WS"/>
    <n v="750"/>
    <s v="207198511"/>
    <s v="NW"/>
    <n v="5"/>
    <n v="0.4750396742544537"/>
    <x v="3"/>
    <x v="1"/>
    <n v="0"/>
    <x v="0"/>
    <m/>
  </r>
  <r>
    <s v="PPT1_BOI04"/>
    <s v="S1CS07401-WS"/>
    <n v="750"/>
    <s v="207198553"/>
    <s v="NW"/>
    <n v="5"/>
    <n v="0.4750396742544537"/>
    <x v="4"/>
    <x v="1"/>
    <n v="0"/>
    <x v="0"/>
    <m/>
  </r>
  <r>
    <s v="PPT1_BOI04"/>
    <s v="S1CS07401-WS"/>
    <n v="750"/>
    <s v="207198516"/>
    <s v="NW"/>
    <n v="5"/>
    <n v="0.4750396742544537"/>
    <x v="14"/>
    <x v="1"/>
    <n v="0"/>
    <x v="0"/>
    <m/>
  </r>
  <r>
    <s v="PPT1_BOI04"/>
    <s v="S1CS07401-WS"/>
    <n v="750"/>
    <s v="207198546"/>
    <s v="NW"/>
    <n v="5"/>
    <n v="0.4750396742544537"/>
    <x v="0"/>
    <x v="1"/>
    <n v="0"/>
    <x v="0"/>
    <m/>
  </r>
  <r>
    <s v="PPT1_BOI04"/>
    <s v="S1CS07401-WS"/>
    <n v="250"/>
    <s v="207198368"/>
    <s v="NW"/>
    <n v="5"/>
    <n v="0.1583465580848179"/>
    <x v="7"/>
    <x v="1"/>
    <n v="0"/>
    <x v="0"/>
    <m/>
  </r>
  <r>
    <s v="PPT1_BOI04"/>
    <s v="S1CS07401-WS"/>
    <n v="750"/>
    <s v="207198398"/>
    <s v="NW"/>
    <n v="5"/>
    <n v="0.4750396742544537"/>
    <x v="3"/>
    <x v="1"/>
    <n v="0"/>
    <x v="0"/>
    <m/>
  </r>
  <r>
    <s v="PPT1_BOI04"/>
    <s v="S1CS07401-WS"/>
    <n v="750"/>
    <s v="207198579"/>
    <s v="NW"/>
    <n v="5"/>
    <n v="0.4750396742544537"/>
    <x v="4"/>
    <x v="1"/>
    <n v="0"/>
    <x v="0"/>
    <m/>
  </r>
  <r>
    <s v="PPT1_BOI04"/>
    <s v="S1CS07401-WS"/>
    <n v="500"/>
    <s v="207198584"/>
    <s v="NW"/>
    <n v="5"/>
    <n v="0.3166931161696358"/>
    <x v="14"/>
    <x v="1"/>
    <n v="0"/>
    <x v="0"/>
    <m/>
  </r>
  <r>
    <s v="PPT1_BOI04"/>
    <s v="S1CS07401-WS"/>
    <n v="750"/>
    <s v="207201463"/>
    <s v="NW"/>
    <n v="5"/>
    <n v="0.4750396742544537"/>
    <x v="7"/>
    <x v="1"/>
    <n v="0"/>
    <x v="0"/>
    <m/>
  </r>
  <r>
    <s v="PPT1_BOI04"/>
    <s v="S1CS07401-WS"/>
    <n v="750"/>
    <s v="207201465"/>
    <s v="NW"/>
    <n v="5"/>
    <n v="0.4750396742544537"/>
    <x v="0"/>
    <x v="1"/>
    <n v="0"/>
    <x v="0"/>
    <m/>
  </r>
  <r>
    <s v="PPT1_BOI04"/>
    <s v="S1CS07401-WS"/>
    <n v="750"/>
    <s v="207201446"/>
    <s v="NW"/>
    <n v="5"/>
    <n v="0.4750396742544537"/>
    <x v="7"/>
    <x v="1"/>
    <n v="0"/>
    <x v="0"/>
    <m/>
  </r>
  <r>
    <s v="PPT1_BOI04"/>
    <s v="S1CS07401-WS"/>
    <n v="750"/>
    <s v="207201461"/>
    <s v="NW"/>
    <n v="5"/>
    <n v="0.4750396742544537"/>
    <x v="3"/>
    <x v="1"/>
    <n v="0"/>
    <x v="0"/>
    <m/>
  </r>
  <r>
    <s v="PPT1_BOI04"/>
    <s v="S1CS07401-WS"/>
    <n v="750"/>
    <s v="207201459"/>
    <s v="NW"/>
    <n v="5"/>
    <n v="0.4750396742544537"/>
    <x v="4"/>
    <x v="1"/>
    <n v="0"/>
    <x v="0"/>
    <m/>
  </r>
  <r>
    <s v="PPT1_BOI04"/>
    <s v="S1CS07401-WS"/>
    <n v="750"/>
    <s v="207198495"/>
    <s v="NW"/>
    <n v="5"/>
    <n v="0.4750396742544537"/>
    <x v="14"/>
    <x v="1"/>
    <n v="0"/>
    <x v="0"/>
    <m/>
  </r>
  <r>
    <s v="PPT1_BOI04"/>
    <s v="S1CS07401-WS"/>
    <n v="250"/>
    <s v="207201444"/>
    <s v="NW"/>
    <n v="5"/>
    <n v="0.1583465580848179"/>
    <x v="14"/>
    <x v="1"/>
    <n v="0"/>
    <x v="0"/>
    <m/>
  </r>
  <r>
    <s v="PPT1_BOI04"/>
    <s v="S1CS07401-WS"/>
    <n v="750"/>
    <s v="207201458"/>
    <s v="NW"/>
    <n v="5"/>
    <n v="0.4750396742544537"/>
    <x v="0"/>
    <x v="1"/>
    <n v="0"/>
    <x v="0"/>
    <m/>
  </r>
  <r>
    <s v="PPT1_BOI04"/>
    <s v="S1CS07401-WS"/>
    <n v="250"/>
    <s v="207201467"/>
    <s v="NW"/>
    <n v="5"/>
    <n v="0.1583465580848179"/>
    <x v="0"/>
    <x v="1"/>
    <n v="0"/>
    <x v="0"/>
    <m/>
  </r>
  <r>
    <s v="PPT1_BOI04"/>
    <s v="S1CS07401-WS"/>
    <n v="500"/>
    <s v="207201468"/>
    <s v="NW"/>
    <n v="5"/>
    <n v="0.3166931161696358"/>
    <x v="7"/>
    <x v="1"/>
    <n v="0"/>
    <x v="0"/>
    <m/>
  </r>
  <r>
    <s v="PPT1_BOI04"/>
    <s v="S1CS07402-WS"/>
    <n v="750"/>
    <s v="207198848"/>
    <s v="NW"/>
    <n v="5"/>
    <n v="0.27205335223446087"/>
    <x v="6"/>
    <x v="1"/>
    <n v="0"/>
    <x v="0"/>
    <m/>
  </r>
  <r>
    <s v="PPT1_BOI04"/>
    <s v="S1CS07402-WS"/>
    <n v="750"/>
    <s v="207198831"/>
    <s v="NW"/>
    <n v="5"/>
    <n v="0.27205335223446087"/>
    <x v="6"/>
    <x v="1"/>
    <n v="0"/>
    <x v="0"/>
    <m/>
  </r>
  <r>
    <s v="PPT1_BOI04"/>
    <s v="S1CS07402-WS"/>
    <n v="500"/>
    <s v="207198833"/>
    <s v="NW"/>
    <n v="5"/>
    <n v="0.18136890148964058"/>
    <x v="6"/>
    <x v="1"/>
    <n v="0"/>
    <x v="0"/>
    <m/>
  </r>
  <r>
    <s v="PPT1_BOI04"/>
    <s v="S1CS07402-WS"/>
    <n v="750"/>
    <s v="207201142"/>
    <s v="NW"/>
    <n v="5"/>
    <n v="0.27205335223446087"/>
    <x v="6"/>
    <x v="1"/>
    <n v="0"/>
    <x v="0"/>
    <m/>
  </r>
  <r>
    <s v="PPT1_BOI04"/>
    <s v="S1CS07402-WS"/>
    <n v="500"/>
    <s v="207201138"/>
    <s v="NW"/>
    <n v="5"/>
    <n v="0.18136890148964058"/>
    <x v="1"/>
    <x v="1"/>
    <n v="0"/>
    <x v="0"/>
    <m/>
  </r>
  <r>
    <s v="PPT1_BOI04"/>
    <s v="S1CS07402-WS"/>
    <n v="750"/>
    <s v="207201172"/>
    <s v="NW"/>
    <n v="5"/>
    <n v="0.27205335223446087"/>
    <x v="1"/>
    <x v="1"/>
    <n v="0"/>
    <x v="0"/>
    <m/>
  </r>
  <r>
    <s v="PPT1_BOI04"/>
    <s v="S1CS07402-WS"/>
    <n v="750"/>
    <s v="207201176"/>
    <s v="NW"/>
    <n v="5"/>
    <n v="0.27205335223446087"/>
    <x v="8"/>
    <x v="1"/>
    <n v="0"/>
    <x v="0"/>
    <m/>
  </r>
  <r>
    <s v="PPT1_BOI04"/>
    <s v="S1CS07402-WS"/>
    <n v="750"/>
    <s v="207201170"/>
    <s v="NW"/>
    <n v="5"/>
    <n v="0.27205335223446087"/>
    <x v="6"/>
    <x v="1"/>
    <n v="0"/>
    <x v="0"/>
    <m/>
  </r>
  <r>
    <s v="PPT1_BOI04"/>
    <s v="S1CS07402-WS"/>
    <n v="750"/>
    <s v="207201204"/>
    <s v="NW"/>
    <n v="5"/>
    <n v="0.27205335223446087"/>
    <x v="5"/>
    <x v="1"/>
    <n v="0"/>
    <x v="0"/>
    <m/>
  </r>
  <r>
    <s v="PPT1_BOI04"/>
    <s v="S1CS07402-WS"/>
    <n v="750"/>
    <s v="207198827"/>
    <s v="NW"/>
    <n v="5"/>
    <n v="0.27205335223446087"/>
    <x v="6"/>
    <x v="1"/>
    <n v="0"/>
    <x v="0"/>
    <m/>
  </r>
  <r>
    <s v="PPT1_BOI04"/>
    <s v="S1CS07402-WS"/>
    <n v="750"/>
    <s v="207198790"/>
    <s v="NW"/>
    <n v="5"/>
    <n v="0.27205335223446087"/>
    <x v="1"/>
    <x v="1"/>
    <n v="0"/>
    <x v="0"/>
    <m/>
  </r>
  <r>
    <s v="PPT1_BOI04"/>
    <s v="S1CS07402-WS"/>
    <n v="750"/>
    <s v="207198769"/>
    <s v="NW"/>
    <n v="5"/>
    <n v="0.27205335223446087"/>
    <x v="8"/>
    <x v="1"/>
    <n v="0"/>
    <x v="0"/>
    <m/>
  </r>
  <r>
    <s v="PPT1_BOI04"/>
    <s v="S1CS07402-WS"/>
    <n v="750"/>
    <s v="207198773"/>
    <s v="NW"/>
    <n v="5"/>
    <n v="0.27205335223446087"/>
    <x v="5"/>
    <x v="1"/>
    <n v="0"/>
    <x v="0"/>
    <m/>
  </r>
  <r>
    <s v="PPT1_BOI04"/>
    <s v="S1CS07402-WS"/>
    <n v="750"/>
    <s v="207198814"/>
    <s v="NW"/>
    <n v="5"/>
    <n v="0.27205335223446087"/>
    <x v="9"/>
    <x v="1"/>
    <n v="0"/>
    <x v="0"/>
    <m/>
  </r>
  <r>
    <s v="PPT1_BOI04"/>
    <s v="S1CS07402-WS"/>
    <n v="750"/>
    <s v="207198792"/>
    <s v="NW"/>
    <n v="5"/>
    <n v="0.27205335223446087"/>
    <x v="6"/>
    <x v="1"/>
    <n v="0"/>
    <x v="0"/>
    <m/>
  </r>
  <r>
    <s v="PPT1_BOI04"/>
    <s v="S1CS07402-WS"/>
    <n v="750"/>
    <s v="207198771"/>
    <s v="NW"/>
    <n v="5"/>
    <n v="0.27205335223446087"/>
    <x v="1"/>
    <x v="1"/>
    <n v="0"/>
    <x v="0"/>
    <m/>
  </r>
  <r>
    <s v="PPT1_BOI04"/>
    <s v="S1CS07402-WS"/>
    <n v="750"/>
    <s v="207198811"/>
    <s v="NW"/>
    <n v="5"/>
    <n v="0.27205335223446087"/>
    <x v="8"/>
    <x v="1"/>
    <n v="0"/>
    <x v="0"/>
    <m/>
  </r>
  <r>
    <s v="PPT1_BOI04"/>
    <s v="S1CS07402-WS"/>
    <n v="750"/>
    <s v="207198807"/>
    <s v="NW"/>
    <n v="5"/>
    <n v="0.27205335223446087"/>
    <x v="5"/>
    <x v="1"/>
    <n v="0"/>
    <x v="0"/>
    <m/>
  </r>
  <r>
    <s v="PPT1_BOI04"/>
    <s v="S1CS07402-WS"/>
    <n v="500"/>
    <s v="207198755"/>
    <s v="NW"/>
    <n v="5"/>
    <n v="0.18136890148964058"/>
    <x v="9"/>
    <x v="1"/>
    <n v="0"/>
    <x v="0"/>
    <m/>
  </r>
  <r>
    <s v="PPT1_BOI04"/>
    <s v="S1CS07402-WS"/>
    <n v="750"/>
    <s v="207198768"/>
    <s v="NW"/>
    <n v="5"/>
    <n v="0.27205335223446087"/>
    <x v="9"/>
    <x v="1"/>
    <n v="0"/>
    <x v="0"/>
    <m/>
  </r>
  <r>
    <s v="PPT1_BOI04"/>
    <s v="S1CS07402-WS"/>
    <n v="750"/>
    <s v="207198788"/>
    <s v="NW"/>
    <n v="5"/>
    <n v="0.27205335223446087"/>
    <x v="6"/>
    <x v="1"/>
    <n v="0"/>
    <x v="0"/>
    <m/>
  </r>
  <r>
    <s v="PPT1_BOI04"/>
    <s v="S1CS07402-WS"/>
    <n v="750"/>
    <s v="207198775"/>
    <s v="NW"/>
    <n v="5"/>
    <n v="0.27205335223446087"/>
    <x v="1"/>
    <x v="1"/>
    <n v="0"/>
    <x v="0"/>
    <m/>
  </r>
  <r>
    <s v="PPT1_BOI04"/>
    <s v="S1CS07402-WS"/>
    <n v="750"/>
    <s v="207201156"/>
    <s v="NW"/>
    <n v="5"/>
    <n v="0.27205335223446087"/>
    <x v="8"/>
    <x v="1"/>
    <n v="0"/>
    <x v="0"/>
    <m/>
  </r>
  <r>
    <s v="PPT1_BOI04"/>
    <s v="S1CS03540-WS"/>
    <n v="90"/>
    <s v="207197256"/>
    <s v="NWZ"/>
    <n v="3"/>
    <n v="0.16487354082144243"/>
    <x v="18"/>
    <x v="1"/>
    <n v="0"/>
    <x v="0"/>
    <m/>
  </r>
  <r>
    <s v="PPT1_BOI04"/>
    <s v="S1CS03541-WS"/>
    <n v="90"/>
    <s v="207197263"/>
    <s v="NWZ"/>
    <n v="3"/>
    <n v="0.15895497026338148"/>
    <x v="1"/>
    <x v="1"/>
    <n v="0"/>
    <x v="0"/>
    <m/>
  </r>
  <r>
    <s v="PPT1_BOI04"/>
    <s v="S1CS05038-WS"/>
    <n v="200"/>
    <s v="207198092"/>
    <s v="NWZ"/>
    <n v="2"/>
    <n v="0.3643543996561518"/>
    <x v="8"/>
    <x v="1"/>
    <n v="0"/>
    <x v="0"/>
    <m/>
  </r>
  <r>
    <s v="PPT1_BOI04"/>
    <s v="S1CS05038-WS"/>
    <n v="100"/>
    <s v="207201797"/>
    <s v="NWZ"/>
    <n v="2"/>
    <n v="0.1821771998280759"/>
    <x v="8"/>
    <x v="1"/>
    <n v="0"/>
    <x v="0"/>
    <m/>
  </r>
  <r>
    <s v="PPT1_BOI04"/>
    <s v="S1CS05099-WS"/>
    <n v="100"/>
    <s v="207197974"/>
    <s v="NWZ"/>
    <n v="2"/>
    <n v="0.16807616281245813"/>
    <x v="3"/>
    <x v="1"/>
    <n v="0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4A5BF41-6BBC-44BE-8275-B136F2946646}" name="PivotTable3" cacheId="223" applyNumberFormats="0" applyBorderFormats="0" applyFontFormats="0" applyPatternFormats="0" applyAlignmentFormats="0" applyWidthHeightFormats="1" dataCaption="Values" updatedVersion="8" minRefreshableVersion="3" itemPrintTitles="1" createdVersion="6" indent="0" outline="1" outlineData="1" multipleFieldFilters="0" chartFormat="1">
  <location ref="L36:M56" firstHeaderRow="1" firstDataRow="1" firstDataCol="1"/>
  <pivotFields count="12"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87">
        <item x="0"/>
        <item m="1" x="30"/>
        <item m="1" x="27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m="1" x="46"/>
        <item x="16"/>
        <item x="17"/>
        <item x="18"/>
        <item m="1" x="74"/>
        <item m="1" x="72"/>
        <item m="1" x="69"/>
        <item m="1" x="66"/>
        <item m="1" x="65"/>
        <item m="1" x="63"/>
        <item m="1" x="62"/>
        <item m="1" x="40"/>
        <item m="1" x="38"/>
        <item m="1" x="35"/>
        <item m="1" x="32"/>
        <item m="1" x="29"/>
        <item m="1" x="26"/>
        <item m="1" x="25"/>
        <item m="1" x="24"/>
        <item m="1" x="54"/>
        <item m="1" x="47"/>
        <item m="1" x="67"/>
        <item m="1" x="68"/>
        <item m="1" x="70"/>
        <item m="1" x="71"/>
        <item m="1" x="73"/>
        <item m="1" x="75"/>
        <item m="1" x="76"/>
        <item m="1" x="78"/>
        <item m="1" x="79"/>
        <item m="1" x="22"/>
        <item m="1" x="49"/>
        <item m="1" x="50"/>
        <item m="1" x="51"/>
        <item m="1" x="52"/>
        <item m="1" x="53"/>
        <item m="1" x="55"/>
        <item m="1" x="56"/>
        <item m="1" x="57"/>
        <item m="1" x="59"/>
        <item m="1" x="60"/>
        <item m="1" x="61"/>
        <item m="1" x="31"/>
        <item m="1" x="33"/>
        <item m="1" x="34"/>
        <item m="1" x="36"/>
        <item m="1" x="37"/>
        <item m="1" x="39"/>
        <item m="1" x="41"/>
        <item m="1" x="42"/>
        <item m="1" x="43"/>
        <item m="1" x="44"/>
        <item m="1" x="45"/>
        <item m="1" x="80"/>
        <item m="1" x="81"/>
        <item m="1" x="82"/>
        <item m="1" x="83"/>
        <item m="1" x="84"/>
        <item m="1" x="85"/>
        <item m="1" x="20"/>
        <item m="1" x="21"/>
        <item m="1" x="23"/>
        <item m="1" x="64"/>
        <item m="1" x="48"/>
        <item m="1" x="28"/>
        <item m="1" x="77"/>
        <item m="1" x="58"/>
        <item m="1" x="19"/>
        <item t="default"/>
      </items>
    </pivotField>
    <pivotField showAll="0"/>
    <pivotField dataField="1" showAll="0"/>
    <pivotField showAll="0"/>
    <pivotField showAll="0"/>
  </pivotFields>
  <rowFields count="1">
    <field x="7"/>
  </rowFields>
  <rowItems count="20">
    <i>
      <x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9"/>
    </i>
    <i>
      <x v="20"/>
    </i>
    <i>
      <x v="21"/>
    </i>
    <i t="grand">
      <x/>
    </i>
  </rowItems>
  <colItems count="1">
    <i/>
  </colItems>
  <dataFields count="1">
    <dataField name="Sum of GMQty" fld="9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499215-E889-4801-B4CB-720DF3651F1A}" name="PIVOT_AllocationMix" cacheId="223" applyNumberFormats="0" applyBorderFormats="0" applyFontFormats="0" applyPatternFormats="0" applyAlignmentFormats="0" applyWidthHeightFormats="1" dataCaption="Values" updatedVersion="8" minRefreshableVersion="3" itemPrintTitles="1" createdVersion="6" indent="0" outline="1" outlineData="1" multipleFieldFilters="0" chartFormat="1">
  <location ref="L3:R25" firstHeaderRow="1" firstDataRow="3" firstDataCol="1"/>
  <pivotFields count="12">
    <pivotField showAll="0"/>
    <pivotField showAll="0"/>
    <pivotField showAll="0"/>
    <pivotField showAll="0"/>
    <pivotField showAll="0"/>
    <pivotField showAll="0"/>
    <pivotField dataField="1" showAll="0"/>
    <pivotField axis="axisRow" showAll="0" sortType="ascending">
      <items count="87">
        <item x="0"/>
        <item m="1" x="30"/>
        <item m="1" x="27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m="1" x="46"/>
        <item x="16"/>
        <item x="17"/>
        <item x="18"/>
        <item m="1" x="74"/>
        <item m="1" x="72"/>
        <item m="1" x="69"/>
        <item m="1" x="66"/>
        <item m="1" x="65"/>
        <item m="1" x="63"/>
        <item m="1" x="62"/>
        <item m="1" x="40"/>
        <item m="1" x="38"/>
        <item m="1" x="35"/>
        <item m="1" x="32"/>
        <item m="1" x="29"/>
        <item m="1" x="26"/>
        <item m="1" x="25"/>
        <item m="1" x="24"/>
        <item m="1" x="54"/>
        <item m="1" x="47"/>
        <item m="1" x="67"/>
        <item m="1" x="68"/>
        <item m="1" x="70"/>
        <item m="1" x="71"/>
        <item m="1" x="73"/>
        <item m="1" x="75"/>
        <item m="1" x="76"/>
        <item m="1" x="78"/>
        <item m="1" x="79"/>
        <item m="1" x="22"/>
        <item m="1" x="49"/>
        <item m="1" x="50"/>
        <item m="1" x="51"/>
        <item m="1" x="52"/>
        <item m="1" x="53"/>
        <item m="1" x="55"/>
        <item m="1" x="56"/>
        <item m="1" x="57"/>
        <item m="1" x="59"/>
        <item m="1" x="60"/>
        <item m="1" x="61"/>
        <item m="1" x="31"/>
        <item m="1" x="33"/>
        <item m="1" x="34"/>
        <item m="1" x="36"/>
        <item m="1" x="37"/>
        <item m="1" x="39"/>
        <item m="1" x="41"/>
        <item m="1" x="42"/>
        <item m="1" x="43"/>
        <item m="1" x="44"/>
        <item m="1" x="45"/>
        <item m="1" x="80"/>
        <item m="1" x="81"/>
        <item m="1" x="82"/>
        <item m="1" x="83"/>
        <item m="1" x="84"/>
        <item m="1" x="85"/>
        <item m="1" x="20"/>
        <item m="1" x="21"/>
        <item m="1" x="23"/>
        <item m="1" x="64"/>
        <item m="1" x="48"/>
        <item m="1" x="28"/>
        <item m="1" x="77"/>
        <item m="1" x="58"/>
        <item m="1" x="19"/>
        <item t="default"/>
      </items>
    </pivotField>
    <pivotField axis="axisCol" showAll="0">
      <items count="3">
        <item x="1"/>
        <item x="0"/>
        <item t="default"/>
      </items>
    </pivotField>
    <pivotField showAll="0"/>
    <pivotField axis="axisCol" showAll="0">
      <items count="3">
        <item x="0"/>
        <item x="1"/>
        <item t="default"/>
      </items>
    </pivotField>
    <pivotField showAll="0"/>
  </pivotFields>
  <rowFields count="1">
    <field x="7"/>
  </rowFields>
  <rowItems count="20">
    <i>
      <x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9"/>
    </i>
    <i>
      <x v="20"/>
    </i>
    <i>
      <x v="21"/>
    </i>
    <i t="grand">
      <x/>
    </i>
  </rowItems>
  <colFields count="2">
    <field x="8"/>
    <field x="10"/>
  </colFields>
  <colItems count="6">
    <i>
      <x/>
      <x/>
    </i>
    <i r="1">
      <x v="1"/>
    </i>
    <i t="default">
      <x/>
    </i>
    <i>
      <x v="1"/>
      <x/>
    </i>
    <i t="default">
      <x v="1"/>
    </i>
    <i t="grand">
      <x/>
    </i>
  </colItems>
  <dataFields count="1">
    <dataField name="Sum of ProductionHour" fld="6" showDataAs="percentOfRow" baseField="6" baseItem="3" numFmtId="190"/>
  </dataFields>
  <chartFormats count="5">
    <chartFormat chart="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  <chartFormat chart="0" format="21" series="1">
      <pivotArea type="data" outline="0" fieldPosition="0">
        <references count="3">
          <reference field="4294967294" count="1" selected="0">
            <x v="0"/>
          </reference>
          <reference field="8" count="1" selected="0">
            <x v="1"/>
          </reference>
          <reference field="10" count="1" selected="0">
            <x v="0"/>
          </reference>
        </references>
      </pivotArea>
    </chartFormat>
    <chartFormat chart="0" format="22" series="1">
      <pivotArea type="data" outline="0" fieldPosition="0">
        <references count="3">
          <reference field="4294967294" count="1" selected="0">
            <x v="0"/>
          </reference>
          <reference field="8" count="1" selected="0">
            <x v="0"/>
          </reference>
          <reference field="10" count="1" selected="0">
            <x v="0"/>
          </reference>
        </references>
      </pivotArea>
    </chartFormat>
    <chartFormat chart="0" format="23" series="1">
      <pivotArea type="data" outline="0" fieldPosition="0">
        <references count="3">
          <reference field="4294967294" count="1" selected="0">
            <x v="0"/>
          </reference>
          <reference field="8" count="1" selected="0">
            <x v="0"/>
          </reference>
          <reference field="10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6" xr16:uid="{E89635AC-C689-4E4F-A4B2-2796040E1318}" autoFormatId="16" applyNumberFormats="0" applyBorderFormats="0" applyFontFormats="0" applyPatternFormats="0" applyAlignmentFormats="0" applyWidthHeightFormats="0">
  <queryTableRefresh nextId="3">
    <queryTableFields count="2">
      <queryTableField id="1" name="Date" tableColumnId="1"/>
      <queryTableField id="2" name="Total Hours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D881F49D-EA51-4C69-B76B-0CAFE636CE02}" autoFormatId="16" applyNumberFormats="0" applyBorderFormats="0" applyFontFormats="0" applyPatternFormats="0" applyAlignmentFormats="0" applyWidthHeightFormats="0">
  <queryTableRefresh nextId="8" unboundColumnsRight="2">
    <queryTableFields count="6">
      <queryTableField id="1" name="Site" tableColumnId="1"/>
      <queryTableField id="2" name="Wax Cell" tableColumnId="2"/>
      <queryTableField id="3" name="Total Hours/Week per cell" tableColumnId="3"/>
      <queryTableField id="4" name="Consumed Hour" tableColumnId="4"/>
      <queryTableField id="5" dataBound="0" tableColumnId="5"/>
      <queryTableField id="7" dataBound="0" tableColumnId="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growShrinkType="overwriteClear" adjustColumnWidth="0" connectionId="28" xr16:uid="{9F34149C-CD95-4EDD-9758-8F4C9E6F93E9}" autoFormatId="16" applyNumberFormats="0" applyBorderFormats="0" applyFontFormats="0" applyPatternFormats="0" applyAlignmentFormats="0" applyWidthHeightFormats="0">
  <queryTableRefresh nextId="6" unboundColumnsRight="1">
    <queryTableFields count="5">
      <queryTableField id="1" name="InventSiteId" tableColumnId="1"/>
      <queryTableField id="2" name="Category" tableColumnId="2"/>
      <queryTableField id="3" name="ProductionHour" tableColumnId="3"/>
      <queryTableField id="5" name="Quantity" tableColumnId="5"/>
      <queryTableField id="4" dataBound="0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growShrinkType="insertClear" adjustColumnWidth="0" connectionId="30" xr16:uid="{9B8C9A86-3312-4570-BE6C-77751A1D0AF1}" autoFormatId="16" applyNumberFormats="0" applyBorderFormats="0" applyFontFormats="0" applyPatternFormats="0" applyAlignmentFormats="0" applyWidthHeightFormats="0">
  <queryTableRefresh nextId="22" unboundColumnsRight="2">
    <queryTableFields count="14">
      <queryTableField id="1" name="InventSiteId" tableColumnId="1"/>
      <queryTableField id="2" name="ItemId" tableColumnId="2"/>
      <queryTableField id="3" name="RubberMouldId" tableColumnId="3"/>
      <queryTableField id="4" name="DetailedProcessFamily" tableColumnId="4"/>
      <queryTableField id="5" name="MetalCodeDescription" tableColumnId="5"/>
      <queryTableField id="6" name="Category" tableColumnId="6"/>
      <queryTableField id="7" name="QtySched" tableColumnId="7"/>
      <queryTableField id="8" name="Hour/pc" tableColumnId="8"/>
      <queryTableField id="9" name="ProductionHour" tableColumnId="9"/>
      <queryTableField id="10" name="RMQty" tableColumnId="10"/>
      <queryTableField id="11" name="RMRequired" tableColumnId="11"/>
      <queryTableField id="12" name="MaximumWaxCellAllocation" tableColumnId="12"/>
      <queryTableField id="13" dataBound="0" tableColumnId="13"/>
      <queryTableField id="18" dataBound="0" tableColumnId="14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27" xr16:uid="{C7A4B68F-F09F-428E-B5E2-1C9CF9DCA3A9}" autoFormatId="16" applyNumberFormats="0" applyBorderFormats="0" applyFontFormats="0" applyPatternFormats="0" applyAlignmentFormats="0" applyWidthHeightFormats="0">
  <queryTableRefresh nextId="20" unboundColumnsRight="1">
    <queryTableFields count="12">
      <queryTableField id="1" name="InventSiteId" tableColumnId="1"/>
      <queryTableField id="7" name="ItemId" tableColumnId="7"/>
      <queryTableField id="4" name="QtySched" tableColumnId="4"/>
      <queryTableField id="3" name="ProdId" tableColumnId="3"/>
      <queryTableField id="2" name="Category" tableColumnId="2"/>
      <queryTableField id="11" name="MaximumWaxCellAllocation" tableColumnId="8"/>
      <queryTableField id="5" name="ProductionHour" tableColumnId="5"/>
      <queryTableField id="6" name="TargetWaxCell" tableColumnId="6"/>
      <queryTableField id="17" name="IsLongRoute" tableColumnId="11"/>
      <queryTableField id="18" name="GMQty" tableColumnId="12"/>
      <queryTableField id="19" name="IsSparePart" tableColumnId="13"/>
      <queryTableField id="15" dataBound="0" tableColumnId="9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23" xr16:uid="{9105A2F8-7812-495F-9ECB-69B8D080F1DE}" autoFormatId="16" applyNumberFormats="0" applyBorderFormats="0" applyFontFormats="0" applyPatternFormats="0" applyAlignmentFormats="0" applyWidthHeightFormats="0">
  <queryTableRefresh nextId="3">
    <queryTableFields count="2">
      <queryTableField id="1" name="ProdId" tableColumnId="1"/>
      <queryTableField id="2" name="AssignedLineOCPMANU" tableColumnId="2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3" xr16:uid="{501F6BD2-EDDE-4686-96DE-3DFBE70732DD}" autoFormatId="16" applyNumberFormats="0" applyBorderFormats="0" applyFontFormats="0" applyPatternFormats="0" applyAlignmentFormats="0" applyWidthHeightFormats="0">
  <queryTableRefresh nextId="9" unboundColumnsRight="1">
    <queryTableFields count="7">
      <queryTableField id="1" name="InventSiteId" tableColumnId="1"/>
      <queryTableField id="2" name="ItemId" tableColumnId="2"/>
      <queryTableField id="3" name="MaximumWaxCellAllocation" tableColumnId="3"/>
      <queryTableField id="4" name="NumberOfWaxCells" tableColumnId="4"/>
      <queryTableField id="5" name="WaxCells" tableColumnId="5"/>
      <queryTableField id="8" name="RemainingUnassignedOrders" tableColumnId="8"/>
      <queryTableField id="6" dataBound="0" tableColumnId="6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1" xr16:uid="{A1B0965D-1F42-4BE9-AF80-A891D69549BA}" autoFormatId="16" applyNumberFormats="0" applyBorderFormats="0" applyFontFormats="0" applyPatternFormats="0" applyAlignmentFormats="0" applyWidthHeightFormats="0">
  <queryTableRefresh nextId="34" unboundColumnsRight="2">
    <queryTableFields count="20">
      <queryTableField id="4" name="DetailedProcessFamily" tableColumnId="4"/>
      <queryTableField id="1" name="InventSiteId" tableColumnId="1"/>
      <queryTableField id="2" name="ItemId" tableColumnId="2"/>
      <queryTableField id="5" name="MetalCodeDescription" tableColumnId="5"/>
      <queryTableField id="7" name="QtySched" tableColumnId="7"/>
      <queryTableField id="8" name="Hour/pc" tableColumnId="8"/>
      <queryTableField id="28" name="IsLongRoute" tableColumnId="18"/>
      <queryTableField id="32" name="GMQty.1" tableColumnId="20"/>
      <queryTableField id="29" name="GMQty" tableColumnId="19"/>
      <queryTableField id="6" name="Category" tableColumnId="6"/>
      <queryTableField id="9" name="ProductionHour" tableColumnId="9"/>
      <queryTableField id="3" name="RubberMouldId" tableColumnId="3"/>
      <queryTableField id="10" name="RMQty" tableColumnId="10"/>
      <queryTableField id="15" name="%KeyJoin" tableColumnId="15"/>
      <queryTableField id="16" name="RMPerMachine" tableColumnId="16"/>
      <queryTableField id="17" name="RMPerMachineCal" tableColumnId="17"/>
      <queryTableField id="11" name="RMRequired" tableColumnId="11"/>
      <queryTableField id="12" name="MaximumWaxCellAllocation" tableColumnId="12"/>
      <queryTableField id="13" dataBound="0" tableColumnId="13"/>
      <queryTableField id="14" dataBound="0" tableColumnId="14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7" xr16:uid="{B5922387-6E30-4474-B338-3424B6C1435F}" autoFormatId="16" applyNumberFormats="0" applyBorderFormats="0" applyFontFormats="0" applyPatternFormats="0" applyAlignmentFormats="0" applyWidthHeightFormats="0">
  <queryTableRefresh nextId="11">
    <queryTableFields count="10">
      <queryTableField id="1" name="CalendarId" tableColumnId="1"/>
      <queryTableField id="2" name="TransDate" tableColumnId="2"/>
      <queryTableField id="3" name="Effectivity" tableColumnId="3"/>
      <queryTableField id="4" name="FromTime" tableColumnId="4"/>
      <queryTableField id="5" name="PropertyId" tableColumnId="5"/>
      <queryTableField id="6" name="ToTime" tableColumnId="6"/>
      <queryTableField id="7" name="StartShiftDateTime" tableColumnId="7"/>
      <queryTableField id="8" name="Duration" tableColumnId="8"/>
      <queryTableField id="9" name="Date" tableColumnId="9"/>
      <queryTableField id="10" name="Total Hours" tableColumnId="10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26" xr16:uid="{5C6AA740-482F-4B8C-94F2-5C1C5093D4B2}" autoFormatId="16" applyNumberFormats="0" applyBorderFormats="0" applyFontFormats="0" applyPatternFormats="0" applyAlignmentFormats="0" applyWidthHeightFormats="0">
  <queryTableRefresh nextId="7">
    <queryTableFields count="4">
      <queryTableField id="1" name="ItemId" tableColumnId="1"/>
      <queryTableField id="5" name="Category" tableColumnId="4"/>
      <queryTableField id="3" name="Lines" tableColumnId="3"/>
      <queryTableField id="2" name="TargetWaxCell" tableColumnId="2"/>
    </queryTableFields>
  </queryTableRefresh>
</queryTable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3BBDF71-CFE0-4E0A-8529-933CF45A9689}" name="t_config_filepath" displayName="t_config_filepath" ref="A16:C21" totalsRowShown="0">
  <autoFilter ref="A16:C21" xr:uid="{14239396-8385-422E-A225-BA983F5B1ECA}"/>
  <tableColumns count="3">
    <tableColumn id="1" xr3:uid="{30B6D40E-F94A-451E-B04B-369B4D6431F8}" name="Description"/>
    <tableColumn id="2" xr3:uid="{26563D20-D485-4027-8C6E-806643101C71}" name="Directory" dataDxfId="103"/>
    <tableColumn id="3" xr3:uid="{2D79B283-D152-43CF-8A42-CD5487BB3F99}" name="Filename" dataDxfId="102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0588116-BF98-452C-89C4-7163BF4A49E8}" name="t_config_SiteAvailTime" displayName="t_config_SiteAvailTime" ref="A71:D75" totalsRowShown="0" tableBorderDxfId="101">
  <autoFilter ref="A71:D75" xr:uid="{D28BAB37-9935-47C0-9B0A-082F1B5FC328}"/>
  <tableColumns count="4">
    <tableColumn id="1" xr3:uid="{171BC2C4-1171-423A-84D3-CD8124903065}" name="Site" dataDxfId="100"/>
    <tableColumn id="2" xr3:uid="{2F1EB7C0-55C0-4C0A-9D35-3B176F1FDCD5}" name="Available Hours/Week" dataDxfId="99">
      <calculatedColumnFormula>SUM(Calendar[Total Hours])</calculatedColumnFormula>
    </tableColumn>
    <tableColumn id="3" xr3:uid="{918176BE-3D53-4709-8E65-AE2639BA04E7}" name="%Efficiency" dataDxfId="98"/>
    <tableColumn id="4" xr3:uid="{31B45781-2EA6-418A-ADD0-977F4847CD52}" name="Total Hours/Week" dataDxfId="97">
      <calculatedColumnFormula>t_config_SiteAvailTime[[#This Row],[Available Hours/Week]]*t_config_SiteAvailTime[[#This Row],[%Efficiency]]</calculatedColumnFormula>
    </tableColumn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B4DECD9-7DA5-4D9C-822F-E29B10B462CE}" name="t_config_WaxCell" displayName="t_config_WaxCell" ref="A80:H130" totalsRowShown="0" headerRowDxfId="96">
  <autoFilter ref="A80:H130" xr:uid="{413722CE-8C84-4B9A-ADFC-D55538C99B37}">
    <filterColumn colId="6">
      <filters>
        <filter val="Production"/>
      </filters>
    </filterColumn>
  </autoFilter>
  <tableColumns count="8">
    <tableColumn id="1" xr3:uid="{16DD8CF8-4D11-4ECF-A4FD-A9C524FE0176}" name="Site" dataDxfId="95"/>
    <tableColumn id="2" xr3:uid="{ABFF9E92-07E1-4125-866B-604FDC73D1CF}" name="Wax Cell" dataDxfId="94"/>
    <tableColumn id="5" xr3:uid="{22D09169-BF08-45FB-AED1-617794F479D6}" name="Active" dataDxfId="93"/>
    <tableColumn id="3" xr3:uid="{2DA5EAB2-3687-4258-93C9-F0C0FEC47D0D}" name="Resource Qty" dataDxfId="92"/>
    <tableColumn id="4" xr3:uid="{8D4FF331-ED69-4D96-8B2A-2ACAC0099524}" name="Total Hours/Week per cell" dataDxfId="91">
      <calculatedColumnFormula>VLOOKUP(t_config_WaxCell[[#This Row],[Site]],t_config_SiteAvailTime[#Data],MATCH("Total Hours/Week",t_config_SiteAvailTime[#Headers],0),0)*t_config_WaxCell[[#This Row],[Resource Qty]]*t_config_WaxCell[[#This Row],[Active]]</calculatedColumnFormula>
    </tableColumn>
    <tableColumn id="6" xr3:uid="{C5D4CE18-5997-4833-A6EF-D78876EC941A}" name="Column1"/>
    <tableColumn id="7" xr3:uid="{B66B08A4-DE28-4D64-84D5-DE651D072CFB}" name="Column2" dataDxfId="90"/>
    <tableColumn id="8" xr3:uid="{3183F4FA-21AA-4415-9163-DF8338D92B8A}" name="Column3" dataDxfId="89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4D433CC-9D6E-464E-A5C0-EF1C3C36B099}" name="Table7" displayName="Table7" ref="G71:I75" totalsRowShown="0" headerRowDxfId="88" dataDxfId="87" tableBorderDxfId="86">
  <autoFilter ref="G71:I75" xr:uid="{D1BFEA45-F04E-4316-8494-C39A04E5F180}"/>
  <tableColumns count="3">
    <tableColumn id="1" xr3:uid="{E6FEE1FA-C3CE-45CE-84AF-73B3AF971FF0}" name="Site" dataDxfId="85"/>
    <tableColumn id="2" xr3:uid="{A299AB30-92C0-439D-BEB7-C47CC97195B7}" name="No. of Wax Cell" dataDxfId="84"/>
    <tableColumn id="3" xr3:uid="{7A32A3B0-89A4-4809-A10C-FF5DD0CD1DF9}" name="Sum Hours/Week" dataDxfId="83" dataCellStyle="Comma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217C8E1-02A1-41C8-A6C1-38400563E378}" name="t_config_site" displayName="t_config_site" ref="A43:B47" totalsRowShown="0">
  <autoFilter ref="A43:B47" xr:uid="{0D49A760-C7FB-4616-8030-AFBD254A2DB6}"/>
  <tableColumns count="2">
    <tableColumn id="1" xr3:uid="{8AE6F642-E1A9-43E1-9E50-7F7782290698}" name="Site"/>
    <tableColumn id="2" xr3:uid="{D1CFAE54-72FE-4399-8F7F-82E73EB02B42}" name="Selected Site" dataDxfId="82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6962E38-4B75-43E2-806C-55228F890E78}" name="t_config_operation" displayName="t_config_operation" ref="A53:B62" totalsRowShown="0" headerRowDxfId="81" tableBorderDxfId="80">
  <autoFilter ref="A53:B62" xr:uid="{3ED8937D-B907-4A53-8C02-E574A4DD13C4}"/>
  <tableColumns count="2">
    <tableColumn id="1" xr3:uid="{87822B4A-73E8-4FE1-B9F5-DC2C182F90E0}" name="Operation"/>
    <tableColumn id="2" xr3:uid="{C7A3AA7B-8F02-4027-8C3F-4F0F02B6961B}" name="Selected Opr" dataDxfId="79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E1B89BB-94F0-4DE2-846E-B029A7D1A741}" name="temp_RouteSelection" displayName="temp_RouteSelection" ref="A25:A26" totalsRowShown="0" dataDxfId="78">
  <autoFilter ref="A25:A26" xr:uid="{FD9CFE42-7FD1-4B40-90E2-6D6F8F4FD8F0}"/>
  <tableColumns count="1">
    <tableColumn id="1" xr3:uid="{B6253268-772E-4DE1-88BC-90B56029F90C}" name="SELECTION" dataDxfId="77"/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4A1A068-375E-49EB-A6E8-620218201977}" name="t_config_GlobalParameters" displayName="t_config_GlobalParameters" ref="A31:B36" totalsRowShown="0">
  <autoFilter ref="A31:B36" xr:uid="{E42E8A62-2AE6-4113-976B-4A87AE01C1FD}"/>
  <tableColumns count="2">
    <tableColumn id="1" xr3:uid="{5DF0A273-A3F1-452C-B6A6-AFFF9D42E2F9}" name="Parameter"/>
    <tableColumn id="2" xr3:uid="{A2CAC464-2C3C-40E3-BD3E-1504F547DB62}" name="Value" dataDxfId="76"/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E2796B42-0687-4423-81BC-CFEDADF30B16}" name="tblParameter" displayName="tblParameter" ref="B5:C7" totalsRowShown="0">
  <autoFilter ref="B5:C7" xr:uid="{E2796B42-0687-4423-81BC-CFEDADF30B16}"/>
  <tableColumns count="2">
    <tableColumn id="1" xr3:uid="{0DD8AEB8-A3C9-45DC-A0D5-ACF2F0F350BA}" name="Name"/>
    <tableColumn id="2" xr3:uid="{FE2F54FB-D00A-4157-86FE-7294B42DFB75}" name="Value" dataDxfId="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51DDEBC0-6882-4099-A812-FE30751011D4}" name="tblFixedLine" displayName="tblFixedLine" ref="B3:C4" insertRow="1" totalsRowShown="0">
  <autoFilter ref="B3:C4" xr:uid="{51DDEBC0-6882-4099-A812-FE30751011D4}"/>
  <tableColumns count="2">
    <tableColumn id="1" xr3:uid="{568633D4-E127-4BD7-B915-C96919DB472B}" name="ItemID" dataDxfId="75"/>
    <tableColumn id="2" xr3:uid="{C140DB6E-2D9D-4E57-8092-E03A7EC9916F}" name="Lin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8D7FBCE2-FDF9-4E3A-AAFE-54DD4EAE0FF4}" name="tblScatter" displayName="tblScatter" ref="G3:G4" totalsRowShown="0" dataDxfId="74">
  <autoFilter ref="G3:G4" xr:uid="{8D7FBCE2-FDF9-4E3A-AAFE-54DD4EAE0FF4}"/>
  <tableColumns count="1">
    <tableColumn id="1" xr3:uid="{906A3B98-C272-468C-9E7B-2AD0AC803C62}" name="ItemID" dataDxfId="7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1D3A6344-51BE-4A14-979B-2FBAD9DBDA90}" name="tblItemSP" displayName="tblItemSP" ref="B3:C4" totalsRowShown="0">
  <autoFilter ref="B3:C4" xr:uid="{1D3A6344-51BE-4A14-979B-2FBAD9DBDA90}"/>
  <tableColumns count="2">
    <tableColumn id="1" xr3:uid="{1CC01B7F-272F-4F29-9AA0-5F5DB6B4F71A}" name="ItemID"/>
    <tableColumn id="2" xr3:uid="{357F077F-693F-4BEA-8006-00C7B25452EC}" name="IsSparePart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F3131DC2-E5C5-4F62-A54A-948B0621E947}" name="tblRMMachine" displayName="tblRMMachine" ref="A3:D2717" totalsRowShown="0" headerRowDxfId="72" dataDxfId="71" tableBorderDxfId="70">
  <autoFilter ref="A3:D2717" xr:uid="{F3131DC2-E5C5-4F62-A54A-948B0621E947}"/>
  <tableColumns count="4">
    <tableColumn id="1" xr3:uid="{F279E5C4-B671-4B55-9858-C2AC8EE17584}" name="InventSiteId" dataDxfId="69"/>
    <tableColumn id="4" xr3:uid="{4E318719-85C7-44A3-A044-60B5298ED9A8}" name="ItemId" dataDxfId="68"/>
    <tableColumn id="2" xr3:uid="{259FD430-4920-4BFD-BACF-CDE9E13365A5}" name="RubberMouldId" dataDxfId="67"/>
    <tableColumn id="3" xr3:uid="{86810D30-8BEE-45B5-A623-A5B34B4C086D}" name="RMPerMachine" dataDxfId="66"/>
  </tableColumns>
  <tableStyleInfo name="TableStyleMedium8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9E0C2766-F2EA-4B25-A367-22305211D82B}" name="Calendar" displayName="Calendar" ref="A6:B7" tableType="queryTable" totalsRowShown="0">
  <autoFilter ref="A6:B7" xr:uid="{2FFB5E89-A417-477B-AB25-98A4889E0FC5}"/>
  <tableColumns count="2">
    <tableColumn id="1" xr3:uid="{A240DCE4-2894-4D68-AE56-ACD0B457F152}" uniqueName="1" name="Date" queryTableFieldId="1" dataDxfId="65"/>
    <tableColumn id="2" xr3:uid="{2ACAF097-DB5D-4C6F-B1ED-CAA544FBC8D7}" uniqueName="2" name="Total Hours" queryTableFieldId="2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CE5135F-54EC-4FF5-9347-C401A5F5F178}" name="ActiveWaxCells" displayName="ActiveWaxCells" ref="Q7:V26" tableType="queryTable" totalsRowShown="0">
  <autoFilter ref="Q7:V26" xr:uid="{9882E692-4CD7-47FD-B986-FF845B1CAD3A}"/>
  <sortState xmlns:xlrd2="http://schemas.microsoft.com/office/spreadsheetml/2017/richdata2" ref="Q8:V26">
    <sortCondition descending="1" ref="V7:V26"/>
  </sortState>
  <tableColumns count="6">
    <tableColumn id="1" xr3:uid="{2D497074-A50F-4A45-921E-8D8D165223D0}" uniqueName="1" name="Site" queryTableFieldId="1" dataDxfId="64"/>
    <tableColumn id="2" xr3:uid="{4B0B5BBB-F3C4-4A41-A6EB-61715A7653CE}" uniqueName="2" name="Wax Cell" queryTableFieldId="2" dataDxfId="63"/>
    <tableColumn id="3" xr3:uid="{A9AC3BB0-97C9-4C02-B486-4068762E1AC4}" uniqueName="3" name="Total Hours/Week per cell" queryTableFieldId="3" dataDxfId="62" dataCellStyle="Comma"/>
    <tableColumn id="4" xr3:uid="{80E37E48-3375-425B-96E3-C7074D8AF7C7}" uniqueName="4" name="Consumed Hour" queryTableFieldId="4"/>
    <tableColumn id="5" xr3:uid="{A7F8C064-B38C-4B67-B9BB-1358C9091782}" uniqueName="5" name="Utilization" queryTableFieldId="5" dataDxfId="61" dataCellStyle="Percent">
      <calculatedColumnFormula>ActiveWaxCells[[#This Row],[Consumed Hour]]/ActiveWaxCells[[#This Row],[Total Hours/Week per cell]]</calculatedColumnFormula>
    </tableColumn>
    <tableColumn id="6" xr3:uid="{E4C4F657-CE57-495E-89A7-ED9931A1B8E9}" uniqueName="6" name="Remaining" queryTableFieldId="7" dataDxfId="60" dataCellStyle="Comma">
      <calculatedColumnFormula>ActiveWaxCells[[#This Row],[Total Hours/Week per cell]]-ActiveWaxCells[[#This Row],[Consumed Hour]]</calculatedColumnFormula>
    </tableColumn>
  </tableColumns>
  <tableStyleInfo name="TableStyleLight8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02927E1-76AF-42C4-912E-08648D029B7B}" name="ProductionOrdersByCategory" displayName="ProductionOrdersByCategory" ref="A20:E26" tableType="queryTable">
  <autoFilter ref="A20:E26" xr:uid="{BE262473-F592-4BB2-9A77-03BA0FC0EF1A}"/>
  <sortState xmlns:xlrd2="http://schemas.microsoft.com/office/spreadsheetml/2017/richdata2" ref="A21:E26">
    <sortCondition descending="1" ref="C20:C26"/>
  </sortState>
  <tableColumns count="5">
    <tableColumn id="1" xr3:uid="{EABEAF82-6C3E-4438-8CBE-13D142E33B58}" uniqueName="1" name="InventSiteId" queryTableFieldId="1" dataDxfId="59"/>
    <tableColumn id="2" xr3:uid="{762E11D8-6F21-42F0-954E-329945A7EDD9}" uniqueName="2" name="Category" queryTableFieldId="2" dataDxfId="58"/>
    <tableColumn id="3" xr3:uid="{A8E9F100-13C0-405B-9629-67AAF7A133C7}" uniqueName="3" name="ProductionHour" totalsRowFunction="sum" queryTableFieldId="3" dataDxfId="57" totalsRowDxfId="56" dataCellStyle="Comma"/>
    <tableColumn id="5" xr3:uid="{5D2C6DF4-08B7-4EC8-8655-3808FD3BE4FB}" uniqueName="5" name="Quantity" totalsRowFunction="sum" queryTableFieldId="5" dataDxfId="55" totalsRowDxfId="54" dataCellStyle="Comma"/>
    <tableColumn id="4" xr3:uid="{A88E849A-A9FA-45C3-9F53-68E608CC3D29}" uniqueName="4" name="Contribution" totalsRowFunction="sum" queryTableFieldId="4" dataDxfId="53" totalsRowDxfId="52" dataCellStyle="Percent">
      <calculatedColumnFormula>ProductionOrdersByCategory[[#This Row],[ProductionHour]]/SUM(ProductionOrdersByCategory[ProductionHour])</calculatedColumnFormula>
    </tableColumn>
  </tableColumns>
  <tableStyleInfo name="TableStyleLight8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8600F75-10CC-4004-84A2-B6D92144A151}" name="ProductionOrdersByItem_Display" displayName="ProductionOrdersByItem_Display" ref="A39:N499" tableType="queryTable" totalsRowShown="0" headerRowDxfId="51">
  <autoFilter ref="A39:N499" xr:uid="{09E8850E-2F6D-48E6-A392-E919EDA22949}">
    <filterColumn colId="1">
      <filters>
        <filter val="S1CS07021-WS"/>
      </filters>
    </filterColumn>
  </autoFilter>
  <tableColumns count="14">
    <tableColumn id="1" xr3:uid="{514DD4B4-B10F-48C2-9310-8B5C970D0D91}" uniqueName="1" name="InventSiteId" queryTableFieldId="1" dataDxfId="50"/>
    <tableColumn id="2" xr3:uid="{DAD426A8-3F49-47BB-9268-C68B301E7260}" uniqueName="2" name="ItemId" queryTableFieldId="2" dataDxfId="49"/>
    <tableColumn id="3" xr3:uid="{D08945B6-CC88-4BF8-A02B-83AACFAD6DDD}" uniqueName="3" name="RubberMouldId" queryTableFieldId="3" dataDxfId="48"/>
    <tableColumn id="4" xr3:uid="{F501AF2D-6BB7-4F6B-BAD1-388191B0030C}" uniqueName="4" name="DetailedProcessFamily" queryTableFieldId="4" dataDxfId="47"/>
    <tableColumn id="5" xr3:uid="{781F80F3-6295-41B6-A773-C3580A592FD7}" uniqueName="5" name="MetalCodeDescription" queryTableFieldId="5" dataDxfId="46"/>
    <tableColumn id="6" xr3:uid="{93B93389-C654-4C22-8058-1B3D5C81990B}" uniqueName="6" name="Category" queryTableFieldId="6" dataDxfId="45"/>
    <tableColumn id="7" xr3:uid="{AE84A2CD-FB21-4AC1-A1E4-69D71C528AE3}" uniqueName="7" name="QtySched" queryTableFieldId="7"/>
    <tableColumn id="8" xr3:uid="{A8A2E93F-8910-4DBB-BEC5-47E1C1A09396}" uniqueName="8" name="Hour/pc" queryTableFieldId="8" dataDxfId="44"/>
    <tableColumn id="9" xr3:uid="{BE565AB3-68BA-4D81-8105-AB5E40B10240}" uniqueName="9" name="ProductionHour" queryTableFieldId="9" dataDxfId="43" dataCellStyle="Comma"/>
    <tableColumn id="10" xr3:uid="{6A576795-2049-47A2-929E-7757F2C296C2}" uniqueName="10" name="RMQty" queryTableFieldId="10" dataDxfId="42" dataCellStyle="Comma"/>
    <tableColumn id="11" xr3:uid="{259628CD-9A6E-446E-8382-594DCB17C0BE}" uniqueName="11" name="RMRequired" queryTableFieldId="11" dataDxfId="41" dataCellStyle="Comma"/>
    <tableColumn id="12" xr3:uid="{DCD3AF89-9FAB-4EEA-8AC1-30B29F79FA23}" uniqueName="12" name="MaximumWaxCellAllocation" queryTableFieldId="12"/>
    <tableColumn id="13" xr3:uid="{82F9793A-7C22-4928-B0CA-967D2ADB0676}" uniqueName="13" name="Utilization" queryTableFieldId="13" dataDxfId="40" dataCellStyle="Percent">
      <calculatedColumnFormula>ProductionOrdersByItem_Display[[#This Row],[ProductionHour]]/r_TotalProductionHour</calculatedColumnFormula>
    </tableColumn>
    <tableColumn id="14" xr3:uid="{54736266-3EE5-4EB6-91AC-29B551E3342D}" uniqueName="14" name="RM shortage" queryTableFieldId="18" dataDxfId="39">
      <calculatedColumnFormula>ProductionOrdersByItem_Display[[#This Row],[RMQty]]-ProductionOrdersByItem_Display[[#This Row],[RMRequired]]</calculatedColumnFormula>
    </tableColumn>
  </tableColumns>
  <tableStyleInfo name="TableStyleLight8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C414136-7180-4F8F-9CD6-E93C2323ED69}" name="ProductionOrders_Display" displayName="ProductionOrders_Display" ref="A12:L4351" tableType="queryTable" totalsRowShown="0">
  <autoFilter ref="A12:L4351" xr:uid="{24C29684-6B1E-4A5C-B8F7-A0C5D618FF12}"/>
  <sortState xmlns:xlrd2="http://schemas.microsoft.com/office/spreadsheetml/2017/richdata2" ref="A13:L4351">
    <sortCondition descending="1" ref="I13:I4351"/>
    <sortCondition descending="1" ref="K13:K4351"/>
    <sortCondition descending="1" ref="J13:J4351"/>
  </sortState>
  <tableColumns count="12">
    <tableColumn id="1" xr3:uid="{573C4FB3-1D3E-4EF2-B697-3C010F76FDC9}" uniqueName="1" name="InventSiteId" queryTableFieldId="1" dataDxfId="38"/>
    <tableColumn id="7" xr3:uid="{75CEF3F1-3D3D-490C-8323-911991A0399B}" uniqueName="7" name="ItemId" queryTableFieldId="7" dataDxfId="37"/>
    <tableColumn id="4" xr3:uid="{7E83C39D-9E39-47D0-B685-FC27E25F5EC0}" uniqueName="4" name="QtySched" queryTableFieldId="4"/>
    <tableColumn id="3" xr3:uid="{A774E3B5-001E-4867-87DC-FC44E3CEAE39}" uniqueName="3" name="ProdId" queryTableFieldId="3" dataDxfId="36"/>
    <tableColumn id="2" xr3:uid="{13DD7A07-3EB2-4E63-A929-7150345A80D6}" uniqueName="2" name="Category" queryTableFieldId="2" dataDxfId="35"/>
    <tableColumn id="8" xr3:uid="{2082A37E-374A-4B74-878E-4E81A53A998F}" uniqueName="8" name="MaximumWaxCellAllocation" queryTableFieldId="11"/>
    <tableColumn id="5" xr3:uid="{DD2ED882-1492-4130-818F-436446B5A603}" uniqueName="5" name="ProductionHour" queryTableFieldId="5"/>
    <tableColumn id="6" xr3:uid="{7BBEADCE-FE5F-4AB7-A4A1-4FCCEC08FD61}" uniqueName="6" name="TargetWaxCell" queryTableFieldId="6" dataDxfId="34"/>
    <tableColumn id="11" xr3:uid="{CA176067-FB41-4FCC-9B41-2035BCAFE19C}" uniqueName="11" name="IsLongRoute" queryTableFieldId="17"/>
    <tableColumn id="12" xr3:uid="{C46E3976-4730-4ADF-91CB-AFB90AA22191}" uniqueName="12" name="GMQty" queryTableFieldId="18"/>
    <tableColumn id="13" xr3:uid="{46887088-882D-47A9-ADC2-D977C718B6E9}" uniqueName="13" name="IsSparePart" queryTableFieldId="19" dataDxfId="33"/>
    <tableColumn id="9" xr3:uid="{746BCA7E-FB20-46AE-B86E-5377413931D8}" uniqueName="9" name="PriorWkLine" queryTableFieldId="15" dataDxfId="32"/>
  </tableColumns>
  <tableStyleInfo name="TableStyleLight8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C7368C5-A4C4-4D8C-BFE0-E1BFF7CEF137}" name="PreAssignedLine_FINAL" displayName="PreAssignedLine_FINAL" ref="A6:B4997" tableType="queryTable" totalsRowShown="0">
  <autoFilter ref="A6:B4997" xr:uid="{464AEBE6-5C8D-48EA-BF8C-036C5B9EDD05}"/>
  <tableColumns count="2">
    <tableColumn id="1" xr3:uid="{97A477E7-3073-489A-8375-5A3BAC01E601}" uniqueName="1" name="ProdId" queryTableFieldId="1" dataDxfId="31"/>
    <tableColumn id="2" xr3:uid="{EA8C6171-38BD-4538-BD3B-E4807F666999}" uniqueName="2" name="AssignedLineOCPMANU" queryTableFieldId="2" dataDxfId="30"/>
  </tableColumns>
  <tableStyleInfo name="TableStyleLight9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E4604A0-32C4-4094-9B86-3B6A72908525}" name="ItemAllocation" displayName="ItemAllocation" ref="A1:G461" tableType="queryTable" totalsRowShown="0">
  <autoFilter ref="A1:G461" xr:uid="{B65D08AA-BDBA-4CF6-ACED-F5D67B8C6222}"/>
  <tableColumns count="7">
    <tableColumn id="1" xr3:uid="{DC81427F-167C-4634-9483-8CCD18B18DD9}" uniqueName="1" name="InventSiteId" queryTableFieldId="1" dataDxfId="29"/>
    <tableColumn id="2" xr3:uid="{090810C1-273D-4688-8D87-AFEC92A4ADBE}" uniqueName="2" name="ItemId" queryTableFieldId="2" dataDxfId="28"/>
    <tableColumn id="3" xr3:uid="{C6A629FE-3EAB-4A56-ACEE-5FB93DE7B97B}" uniqueName="3" name="MaximumWaxCellAllocation" queryTableFieldId="3"/>
    <tableColumn id="4" xr3:uid="{C0398C62-C328-44AF-86DF-C123505723DF}" uniqueName="4" name="NumberOfWaxCells" queryTableFieldId="4"/>
    <tableColumn id="5" xr3:uid="{59B21B0E-489D-43D9-AE32-283143170691}" uniqueName="5" name="WaxCells" queryTableFieldId="5" dataDxfId="27"/>
    <tableColumn id="8" xr3:uid="{25D801E7-97D1-44B3-8812-A568F165C679}" uniqueName="8" name="RemainingUnassignedOrders" queryTableFieldId="8"/>
    <tableColumn id="6" xr3:uid="{5804B31B-68AF-4C43-AC08-E7756EBE5A06}" uniqueName="6" name="Validate Allocation" queryTableFieldId="6" dataDxfId="26">
      <calculatedColumnFormula>ItemAllocation[[#This Row],[MaximumWaxCellAllocation]]&gt;=ItemAllocation[[#This Row],[NumberOfWaxCells]]</calculatedColumnFormula>
    </tableColumn>
  </tableColumns>
  <tableStyleInfo name="TableStyleMedium7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9654409D-93DE-4CD0-8325-4DF015C2747E}" name="ProductionOrdersByItem_Plastic" displayName="ProductionOrdersByItem_Plastic" ref="A6:T42" tableType="queryTable" totalsRowShown="0">
  <autoFilter ref="A6:T42" xr:uid="{D6669F9B-3DC1-43C5-B568-6D6303A0EF21}"/>
  <tableColumns count="20">
    <tableColumn id="4" xr3:uid="{459F7DBF-4B99-4FE1-B27D-969F6D013B67}" uniqueName="4" name="DetailedProcessFamily" queryTableFieldId="4" dataDxfId="25"/>
    <tableColumn id="1" xr3:uid="{38BF807E-6DB9-4A85-8B53-3440E91B605E}" uniqueName="1" name="InventSiteId" queryTableFieldId="1" dataDxfId="24"/>
    <tableColumn id="2" xr3:uid="{D583CAD5-66D4-4F73-B232-1DE049A97EBC}" uniqueName="2" name="ItemId" queryTableFieldId="2" dataDxfId="23"/>
    <tableColumn id="5" xr3:uid="{18F234BB-6C86-4068-8E3D-9409BC446D4D}" uniqueName="5" name="MetalCodeDescription" queryTableFieldId="5" dataDxfId="22"/>
    <tableColumn id="7" xr3:uid="{66C79A7C-A517-433D-BA4E-B413C130F72C}" uniqueName="7" name="QtySched" queryTableFieldId="7"/>
    <tableColumn id="8" xr3:uid="{A094A8B9-A24A-433B-AE27-E5BF754DD88A}" uniqueName="8" name="Hour/pc" queryTableFieldId="8"/>
    <tableColumn id="18" xr3:uid="{63209CAA-2C37-433A-9119-79090BCE3AE4}" uniqueName="18" name="IsLongRoute" queryTableFieldId="28"/>
    <tableColumn id="20" xr3:uid="{385E150A-B4B0-4592-A428-5DAEC217C99C}" uniqueName="20" name="GMQty.1" queryTableFieldId="32"/>
    <tableColumn id="19" xr3:uid="{78F98C6C-E0D9-40EA-AE8E-044DC6DFF2A8}" uniqueName="19" name="GMQty" queryTableFieldId="29"/>
    <tableColumn id="6" xr3:uid="{D8C93572-AF4E-401F-85CC-030A29EB514A}" uniqueName="6" name="Category" queryTableFieldId="6" dataDxfId="21"/>
    <tableColumn id="9" xr3:uid="{6D73E0D7-665E-49DD-B0AD-B08D000C0D6E}" uniqueName="9" name="ProductionHour" queryTableFieldId="9"/>
    <tableColumn id="3" xr3:uid="{4D0DACC9-2A77-49A5-97D3-4029BB25BEE9}" uniqueName="3" name="RubberMouldId" queryTableFieldId="3" dataDxfId="20"/>
    <tableColumn id="10" xr3:uid="{4F4239A6-FE21-4584-A7CF-94AA6FFD5E3D}" uniqueName="10" name="RMQty" queryTableFieldId="10"/>
    <tableColumn id="15" xr3:uid="{67870DC3-F5EB-428F-83F3-79E04020C7FF}" uniqueName="15" name="%KeyJoin" queryTableFieldId="15" dataDxfId="19"/>
    <tableColumn id="16" xr3:uid="{B4B9CE33-00C0-4C72-8066-2256BB5A0401}" uniqueName="16" name="RMPerMachine" queryTableFieldId="16"/>
    <tableColumn id="17" xr3:uid="{99AD17F6-05A9-4CF0-83DD-8A8E223199C8}" uniqueName="17" name="RMPerMachineCal" queryTableFieldId="17"/>
    <tableColumn id="11" xr3:uid="{BEE7A594-3B54-4B4F-A04D-EB6E0529AC55}" uniqueName="11" name="RMRequired" queryTableFieldId="11" dataDxfId="18"/>
    <tableColumn id="12" xr3:uid="{016030B0-BF10-48E3-825C-0F53940718D0}" uniqueName="12" name="MaximumWaxCellAllocation" queryTableFieldId="12"/>
    <tableColumn id="13" xr3:uid="{E7F82877-7D19-400F-8E47-2F5D9410693A}" uniqueName="13" name="Column1" queryTableFieldId="13" dataDxfId="17"/>
    <tableColumn id="14" xr3:uid="{6354EF82-9588-49BE-ABEC-A896376BE7CD}" uniqueName="14" name="Column2" queryTableFieldId="14" dataDxfId="16">
      <calculatedColumnFormula>ProductionOrdersByItem_Plastic[[#This Row],[Column1]]=ProductionOrdersByItem_Plastic[[#This Row],[QtySched]]</calculatedColumnFormula>
    </tableColumn>
  </tableColumns>
  <tableStyleInfo name="TableStyleMedium7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6695BC11-8E0D-4365-84FE-1E5D93AA5C5C}" name="Calendar_Detail" displayName="Calendar_Detail" ref="A1:J5" tableType="queryTable" totalsRowShown="0">
  <autoFilter ref="A1:J5" xr:uid="{A88B82F9-9D06-44D6-B769-37F6BE526644}"/>
  <tableColumns count="10">
    <tableColumn id="1" xr3:uid="{27E3EA06-87CD-485F-8ADF-7B8E2B7252D3}" uniqueName="1" name="CalendarId" queryTableFieldId="1" dataDxfId="15"/>
    <tableColumn id="2" xr3:uid="{9AF83B9B-6F11-4416-8264-04DF382294B2}" uniqueName="2" name="TransDate" queryTableFieldId="2" dataDxfId="14"/>
    <tableColumn id="3" xr3:uid="{6ED941E2-7168-4935-AF07-1029A88A8E0E}" uniqueName="3" name="Effectivity" queryTableFieldId="3"/>
    <tableColumn id="4" xr3:uid="{823BD066-EB0C-4BF4-9369-CE917F2A19A0}" uniqueName="4" name="FromTime" queryTableFieldId="4" dataDxfId="13"/>
    <tableColumn id="5" xr3:uid="{AE487209-CD6B-4C15-9A7D-48205699CC9A}" uniqueName="5" name="PropertyId" queryTableFieldId="5" dataDxfId="12"/>
    <tableColumn id="6" xr3:uid="{30E5D4A3-ED04-4ACD-9D06-3665257BE76F}" uniqueName="6" name="ToTime" queryTableFieldId="6" dataDxfId="11"/>
    <tableColumn id="7" xr3:uid="{321A7F7A-8B80-4251-8E4F-5C075A44E1E3}" uniqueName="7" name="StartShiftDateTime" queryTableFieldId="7" dataDxfId="10"/>
    <tableColumn id="8" xr3:uid="{CB43A63B-0ABB-46B1-874D-4AB9E0BE910D}" uniqueName="8" name="Duration" queryTableFieldId="8" dataDxfId="9"/>
    <tableColumn id="9" xr3:uid="{BF001901-5C86-4AD7-A63C-15B4EBC79899}" uniqueName="9" name="Date" queryTableFieldId="9" dataDxfId="8"/>
    <tableColumn id="10" xr3:uid="{A65EF379-8DB2-4FDC-A36B-BF6F9EE1F955}" uniqueName="10" name="Total Hours" queryTableFieldId="10"/>
  </tableColumns>
  <tableStyleInfo name="TableStyleMedium7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D62B6D74-AFA2-4938-89A6-916EC61BD4E6}" name="PriorWk" displayName="PriorWk" ref="A1:D461" totalsRowShown="0">
  <autoFilter ref="A1:D461" xr:uid="{F45DEEE0-FD49-44CF-A8D5-29E82843E64D}"/>
  <tableColumns count="4">
    <tableColumn id="1" xr3:uid="{02A65A13-2835-499E-9D49-C7C2F12E4D65}" name="ItemId"/>
    <tableColumn id="4" xr3:uid="{086F8751-FBEC-44F6-B407-C92139E1DA48}" name="Category"/>
    <tableColumn id="3" xr3:uid="{713FE001-1BE8-496B-AD30-2A1EF66F465D}" name="Lines"/>
    <tableColumn id="2" xr3:uid="{3223AC15-8C96-42CA-9C51-7A5C72B6B95D}" name="TargetWaxCell"/>
  </tableColumns>
  <tableStyleInfo name="TableStyleLight8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A30D56D4-E703-470C-A661-B3358403281D}" name="PriorWk_Pre" displayName="PriorWk_Pre" ref="A1:D461" tableType="queryTable" totalsRowShown="0">
  <autoFilter ref="A1:D461" xr:uid="{EAAE58E5-3E5A-4902-B0DE-C2465F92F1D8}"/>
  <tableColumns count="4">
    <tableColumn id="1" xr3:uid="{A6E8DCCF-50B0-4566-97BA-2D8BE58D4430}" uniqueName="1" name="ItemId" queryTableFieldId="1" dataDxfId="7"/>
    <tableColumn id="4" xr3:uid="{3D475C07-D95D-4C9B-A99F-72DE2744A306}" uniqueName="4" name="Category" queryTableFieldId="5" dataDxfId="6"/>
    <tableColumn id="3" xr3:uid="{314404B8-297D-486E-A86D-B000496C440B}" uniqueName="3" name="Lines" queryTableFieldId="3"/>
    <tableColumn id="2" xr3:uid="{9E96C426-F5D8-4C9C-BB2D-2B7B22BB5642}" uniqueName="2" name="TargetWaxCell" queryTableFieldId="2" dataDxfId="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13" Type="http://schemas.openxmlformats.org/officeDocument/2006/relationships/table" Target="../tables/table9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3.xml"/><Relationship Id="rId12" Type="http://schemas.openxmlformats.org/officeDocument/2006/relationships/table" Target="../tables/table8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11" Type="http://schemas.openxmlformats.org/officeDocument/2006/relationships/table" Target="../tables/table7.xml"/><Relationship Id="rId5" Type="http://schemas.openxmlformats.org/officeDocument/2006/relationships/table" Target="../tables/table1.xml"/><Relationship Id="rId10" Type="http://schemas.openxmlformats.org/officeDocument/2006/relationships/table" Target="../tables/table6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17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6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18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19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7D4EE6-3B69-462A-91BD-DBE271B0F0F3}">
  <sheetPr codeName="Sheet2">
    <tabColor theme="0" tint="-4.9989318521683403E-2"/>
  </sheetPr>
  <dimension ref="A1:E43"/>
  <sheetViews>
    <sheetView showGridLines="0" workbookViewId="0">
      <selection activeCell="C40" sqref="C40"/>
    </sheetView>
  </sheetViews>
  <sheetFormatPr defaultRowHeight="14.25" x14ac:dyDescent="0.2"/>
  <cols>
    <col min="1" max="1" width="20.125" customWidth="1"/>
    <col min="2" max="2" width="13.875" customWidth="1"/>
    <col min="3" max="3" width="32.625" customWidth="1"/>
    <col min="4" max="4" width="54.75" customWidth="1"/>
    <col min="5" max="5" width="26.125" customWidth="1"/>
  </cols>
  <sheetData>
    <row r="1" spans="1:5" ht="30" x14ac:dyDescent="0.4">
      <c r="A1" s="44" t="s">
        <v>148</v>
      </c>
    </row>
    <row r="2" spans="1:5" ht="30" x14ac:dyDescent="0.4">
      <c r="A2" s="44"/>
    </row>
    <row r="3" spans="1:5" ht="30" x14ac:dyDescent="0.4">
      <c r="A3" s="44"/>
    </row>
    <row r="4" spans="1:5" ht="30" x14ac:dyDescent="0.4">
      <c r="A4" s="44"/>
    </row>
    <row r="5" spans="1:5" x14ac:dyDescent="0.2">
      <c r="A5" s="2" t="s">
        <v>149</v>
      </c>
    </row>
    <row r="7" spans="1:5" s="41" customFormat="1" ht="85.5" x14ac:dyDescent="0.2">
      <c r="A7" s="42" t="s">
        <v>7</v>
      </c>
      <c r="B7" s="42" t="s">
        <v>141</v>
      </c>
      <c r="C7" s="43" t="s">
        <v>146</v>
      </c>
      <c r="D7" s="43" t="s">
        <v>143</v>
      </c>
      <c r="E7" s="42" t="s">
        <v>142</v>
      </c>
    </row>
    <row r="8" spans="1:5" s="41" customFormat="1" ht="85.5" x14ac:dyDescent="0.2">
      <c r="A8" s="42" t="s">
        <v>8</v>
      </c>
      <c r="B8" s="42" t="s">
        <v>141</v>
      </c>
      <c r="C8" s="43" t="s">
        <v>147</v>
      </c>
      <c r="D8" s="43" t="s">
        <v>145</v>
      </c>
      <c r="E8" s="42" t="s">
        <v>144</v>
      </c>
    </row>
    <row r="9" spans="1:5" ht="71.25" x14ac:dyDescent="0.2">
      <c r="A9" s="20" t="s">
        <v>53</v>
      </c>
      <c r="B9" s="20" t="s">
        <v>54</v>
      </c>
      <c r="C9" s="21" t="s">
        <v>151</v>
      </c>
      <c r="D9" s="21" t="s">
        <v>150</v>
      </c>
      <c r="E9" s="20" t="s">
        <v>55</v>
      </c>
    </row>
    <row r="12" spans="1:5" x14ac:dyDescent="0.2">
      <c r="A12" s="2" t="s">
        <v>152</v>
      </c>
    </row>
    <row r="14" spans="1:5" x14ac:dyDescent="0.2">
      <c r="A14" s="2" t="s">
        <v>153</v>
      </c>
    </row>
    <row r="16" spans="1:5" x14ac:dyDescent="0.2">
      <c r="C16" s="4" t="s">
        <v>3</v>
      </c>
    </row>
    <row r="17" spans="1:3" x14ac:dyDescent="0.2">
      <c r="A17" t="s">
        <v>154</v>
      </c>
      <c r="C17" s="45" t="s">
        <v>6</v>
      </c>
    </row>
    <row r="20" spans="1:3" x14ac:dyDescent="0.2">
      <c r="A20" s="2" t="s">
        <v>155</v>
      </c>
    </row>
    <row r="22" spans="1:3" x14ac:dyDescent="0.2">
      <c r="A22" s="2" t="s">
        <v>158</v>
      </c>
    </row>
    <row r="24" spans="1:3" x14ac:dyDescent="0.2">
      <c r="A24" s="2" t="s">
        <v>156</v>
      </c>
    </row>
    <row r="27" spans="1:3" x14ac:dyDescent="0.2">
      <c r="A27" t="s">
        <v>75</v>
      </c>
      <c r="C27" s="26">
        <v>3016</v>
      </c>
    </row>
    <row r="28" spans="1:3" x14ac:dyDescent="0.2">
      <c r="A28" t="s">
        <v>74</v>
      </c>
      <c r="C28" s="26">
        <v>2692.1805623632285</v>
      </c>
    </row>
    <row r="29" spans="1:3" x14ac:dyDescent="0.2">
      <c r="A29" t="s">
        <v>76</v>
      </c>
      <c r="C29" s="26">
        <v>323.81943763677145</v>
      </c>
    </row>
    <row r="31" spans="1:3" x14ac:dyDescent="0.2">
      <c r="A31" t="s">
        <v>78</v>
      </c>
      <c r="C31" s="18">
        <v>0.89263281245465143</v>
      </c>
    </row>
    <row r="33" spans="1:1" x14ac:dyDescent="0.2">
      <c r="A33" s="2" t="s">
        <v>157</v>
      </c>
    </row>
    <row r="35" spans="1:1" x14ac:dyDescent="0.2">
      <c r="A35" s="2" t="s">
        <v>159</v>
      </c>
    </row>
    <row r="37" spans="1:1" x14ac:dyDescent="0.2">
      <c r="A37" s="2" t="s">
        <v>160</v>
      </c>
    </row>
    <row r="39" spans="1:1" x14ac:dyDescent="0.2">
      <c r="A39" s="2" t="s">
        <v>161</v>
      </c>
    </row>
    <row r="41" spans="1:1" x14ac:dyDescent="0.2">
      <c r="A41" s="2" t="s">
        <v>162</v>
      </c>
    </row>
    <row r="43" spans="1:1" x14ac:dyDescent="0.2">
      <c r="A43" s="2" t="s">
        <v>163</v>
      </c>
    </row>
  </sheetData>
  <conditionalFormatting sqref="C29">
    <cfRule type="cellIs" dxfId="4" priority="1" operator="greaterThanOrEqual">
      <formula>0</formula>
    </cfRule>
    <cfRule type="cellIs" dxfId="3" priority="2" operator="lessThan">
      <formula>0</formula>
    </cfRule>
  </conditionalFormatting>
  <pageMargins left="0.7" right="0.7" top="0.75" bottom="0.75" header="0.3" footer="0.3"/>
  <pageSetup paperSize="9" orientation="portrait" r:id="rId1"/>
  <headerFooter>
    <oddFooter>&amp;C&amp;1#&amp;"Calibri"&amp;12&amp;K000000Classification: Pandora Internal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B9C1D1-1846-4453-A26A-6654AA68C315}">
  <sheetPr codeName="Sheet1">
    <tabColor theme="5" tint="0.39997558519241921"/>
  </sheetPr>
  <dimension ref="A1:K130"/>
  <sheetViews>
    <sheetView showGridLines="0" tabSelected="1" zoomScale="80" zoomScaleNormal="80" workbookViewId="0">
      <selection activeCell="B12" sqref="B12"/>
    </sheetView>
  </sheetViews>
  <sheetFormatPr defaultRowHeight="14.25" x14ac:dyDescent="0.2"/>
  <cols>
    <col min="1" max="1" width="26.125" customWidth="1"/>
    <col min="2" max="2" width="75" customWidth="1"/>
    <col min="3" max="3" width="41.75" bestFit="1" customWidth="1"/>
    <col min="4" max="4" width="16.375" customWidth="1"/>
    <col min="5" max="5" width="15.375" customWidth="1"/>
    <col min="7" max="7" width="25.625" bestFit="1" customWidth="1"/>
    <col min="8" max="8" width="20.125" customWidth="1"/>
    <col min="10" max="10" width="16.875" customWidth="1"/>
  </cols>
  <sheetData>
    <row r="1" spans="1:3" ht="30" x14ac:dyDescent="0.4">
      <c r="A1" s="1" t="s">
        <v>0</v>
      </c>
    </row>
    <row r="2" spans="1:3" ht="15" customHeight="1" x14ac:dyDescent="0.4">
      <c r="A2" s="1"/>
    </row>
    <row r="3" spans="1:3" ht="15" customHeight="1" x14ac:dyDescent="0.4">
      <c r="A3" s="1"/>
    </row>
    <row r="4" spans="1:3" ht="15" customHeight="1" x14ac:dyDescent="0.4">
      <c r="A4" s="1"/>
    </row>
    <row r="5" spans="1:3" ht="15" customHeight="1" x14ac:dyDescent="0.4">
      <c r="A5" s="1"/>
      <c r="B5" t="s">
        <v>11637</v>
      </c>
      <c r="C5" t="s">
        <v>59</v>
      </c>
    </row>
    <row r="6" spans="1:3" ht="15" customHeight="1" x14ac:dyDescent="0.2">
      <c r="B6" t="s">
        <v>11638</v>
      </c>
      <c r="C6" s="30" t="s">
        <v>11636</v>
      </c>
    </row>
    <row r="7" spans="1:3" ht="15" customHeight="1" x14ac:dyDescent="0.2">
      <c r="B7" t="s">
        <v>11639</v>
      </c>
      <c r="C7" s="30" t="b">
        <v>0</v>
      </c>
    </row>
    <row r="8" spans="1:3" ht="15" customHeight="1" x14ac:dyDescent="0.2"/>
    <row r="9" spans="1:3" ht="15" customHeight="1" x14ac:dyDescent="0.2"/>
    <row r="10" spans="1:3" ht="15" customHeight="1" x14ac:dyDescent="0.2"/>
    <row r="11" spans="1:3" ht="15" customHeight="1" x14ac:dyDescent="0.2"/>
    <row r="12" spans="1:3" ht="15" customHeight="1" x14ac:dyDescent="0.2"/>
    <row r="13" spans="1:3" ht="15" customHeight="1" x14ac:dyDescent="0.2"/>
    <row r="14" spans="1:3" ht="19.5" x14ac:dyDescent="0.25">
      <c r="A14" s="5" t="s">
        <v>4</v>
      </c>
    </row>
    <row r="16" spans="1:3" x14ac:dyDescent="0.2">
      <c r="A16" t="s">
        <v>1</v>
      </c>
      <c r="B16" t="s">
        <v>2</v>
      </c>
      <c r="C16" t="s">
        <v>3</v>
      </c>
    </row>
    <row r="17" spans="1:3" x14ac:dyDescent="0.2">
      <c r="A17" t="s">
        <v>5</v>
      </c>
      <c r="B17" s="49" t="s">
        <v>11034</v>
      </c>
      <c r="C17" s="15" t="s">
        <v>6</v>
      </c>
    </row>
    <row r="18" spans="1:3" x14ac:dyDescent="0.2">
      <c r="A18" t="s">
        <v>7</v>
      </c>
      <c r="B18" s="49" t="s">
        <v>11034</v>
      </c>
      <c r="C18" s="15" t="s">
        <v>142</v>
      </c>
    </row>
    <row r="19" spans="1:3" x14ac:dyDescent="0.2">
      <c r="A19" t="s">
        <v>8</v>
      </c>
      <c r="B19" s="49" t="s">
        <v>11034</v>
      </c>
      <c r="C19" s="15" t="s">
        <v>144</v>
      </c>
    </row>
    <row r="20" spans="1:3" x14ac:dyDescent="0.2">
      <c r="A20" t="s">
        <v>56</v>
      </c>
      <c r="B20" s="49" t="s">
        <v>11034</v>
      </c>
      <c r="C20" s="15" t="s">
        <v>55</v>
      </c>
    </row>
    <row r="21" spans="1:3" x14ac:dyDescent="0.2">
      <c r="A21" t="s">
        <v>189</v>
      </c>
      <c r="B21" s="49" t="s">
        <v>11034</v>
      </c>
      <c r="C21" s="15" t="s">
        <v>203</v>
      </c>
    </row>
    <row r="23" spans="1:3" x14ac:dyDescent="0.2">
      <c r="A23" t="s">
        <v>45</v>
      </c>
    </row>
    <row r="25" spans="1:3" x14ac:dyDescent="0.2">
      <c r="A25" t="s">
        <v>46</v>
      </c>
    </row>
    <row r="26" spans="1:3" x14ac:dyDescent="0.2">
      <c r="A26" s="15" t="s">
        <v>20</v>
      </c>
    </row>
    <row r="29" spans="1:3" ht="19.5" x14ac:dyDescent="0.25">
      <c r="A29" s="5" t="s">
        <v>57</v>
      </c>
    </row>
    <row r="31" spans="1:3" x14ac:dyDescent="0.2">
      <c r="A31" t="s">
        <v>58</v>
      </c>
      <c r="B31" t="s">
        <v>59</v>
      </c>
    </row>
    <row r="32" spans="1:3" x14ac:dyDescent="0.2">
      <c r="A32" t="s">
        <v>60</v>
      </c>
      <c r="B32" s="54">
        <v>1</v>
      </c>
    </row>
    <row r="33" spans="1:2" x14ac:dyDescent="0.2">
      <c r="A33" t="s">
        <v>204</v>
      </c>
      <c r="B33" s="12">
        <v>40</v>
      </c>
    </row>
    <row r="34" spans="1:2" x14ac:dyDescent="0.2">
      <c r="A34" t="s">
        <v>190</v>
      </c>
      <c r="B34" s="55">
        <v>44932</v>
      </c>
    </row>
    <row r="35" spans="1:2" x14ac:dyDescent="0.2">
      <c r="A35" t="s">
        <v>191</v>
      </c>
      <c r="B35" s="12">
        <v>7</v>
      </c>
    </row>
    <row r="36" spans="1:2" x14ac:dyDescent="0.2">
      <c r="A36" t="s">
        <v>202</v>
      </c>
      <c r="B36" s="12" t="s">
        <v>5661</v>
      </c>
    </row>
    <row r="39" spans="1:2" ht="19.5" x14ac:dyDescent="0.25">
      <c r="A39" s="5" t="s">
        <v>29</v>
      </c>
    </row>
    <row r="41" spans="1:2" x14ac:dyDescent="0.2">
      <c r="A41" s="2" t="s">
        <v>11</v>
      </c>
    </row>
    <row r="43" spans="1:2" x14ac:dyDescent="0.2">
      <c r="A43" t="s">
        <v>11</v>
      </c>
      <c r="B43" t="s">
        <v>30</v>
      </c>
    </row>
    <row r="44" spans="1:2" x14ac:dyDescent="0.2">
      <c r="A44" t="s">
        <v>15</v>
      </c>
      <c r="B44" s="15" t="s">
        <v>31</v>
      </c>
    </row>
    <row r="45" spans="1:2" x14ac:dyDescent="0.2">
      <c r="A45" t="s">
        <v>16</v>
      </c>
      <c r="B45" s="15" t="s">
        <v>32</v>
      </c>
    </row>
    <row r="46" spans="1:2" x14ac:dyDescent="0.2">
      <c r="A46" t="s">
        <v>17</v>
      </c>
      <c r="B46" s="15" t="s">
        <v>31</v>
      </c>
    </row>
    <row r="47" spans="1:2" x14ac:dyDescent="0.2">
      <c r="A47" t="s">
        <v>18</v>
      </c>
      <c r="B47" s="15" t="s">
        <v>31</v>
      </c>
    </row>
    <row r="51" spans="1:2" x14ac:dyDescent="0.2">
      <c r="A51" s="2" t="s">
        <v>33</v>
      </c>
    </row>
    <row r="53" spans="1:2" x14ac:dyDescent="0.2">
      <c r="A53" s="10" t="s">
        <v>34</v>
      </c>
      <c r="B53" s="10" t="s">
        <v>35</v>
      </c>
    </row>
    <row r="54" spans="1:2" x14ac:dyDescent="0.2">
      <c r="A54" t="s">
        <v>36</v>
      </c>
      <c r="B54" s="15" t="s">
        <v>32</v>
      </c>
    </row>
    <row r="55" spans="1:2" x14ac:dyDescent="0.2">
      <c r="A55" t="s">
        <v>37</v>
      </c>
      <c r="B55" s="15" t="s">
        <v>31</v>
      </c>
    </row>
    <row r="56" spans="1:2" x14ac:dyDescent="0.2">
      <c r="A56" t="s">
        <v>38</v>
      </c>
      <c r="B56" s="15" t="s">
        <v>32</v>
      </c>
    </row>
    <row r="57" spans="1:2" x14ac:dyDescent="0.2">
      <c r="A57" t="s">
        <v>39</v>
      </c>
      <c r="B57" s="15" t="s">
        <v>31</v>
      </c>
    </row>
    <row r="58" spans="1:2" x14ac:dyDescent="0.2">
      <c r="A58" t="s">
        <v>40</v>
      </c>
      <c r="B58" s="15" t="s">
        <v>31</v>
      </c>
    </row>
    <row r="59" spans="1:2" x14ac:dyDescent="0.2">
      <c r="A59" t="s">
        <v>41</v>
      </c>
      <c r="B59" s="15" t="s">
        <v>32</v>
      </c>
    </row>
    <row r="60" spans="1:2" x14ac:dyDescent="0.2">
      <c r="A60" t="s">
        <v>42</v>
      </c>
      <c r="B60" s="15" t="s">
        <v>31</v>
      </c>
    </row>
    <row r="61" spans="1:2" x14ac:dyDescent="0.2">
      <c r="A61" t="s">
        <v>43</v>
      </c>
      <c r="B61" s="15" t="s">
        <v>31</v>
      </c>
    </row>
    <row r="62" spans="1:2" x14ac:dyDescent="0.2">
      <c r="A62" t="s">
        <v>44</v>
      </c>
      <c r="B62" s="15" t="s">
        <v>31</v>
      </c>
    </row>
    <row r="66" spans="1:11" ht="19.5" x14ac:dyDescent="0.25">
      <c r="A66" s="5" t="s">
        <v>9</v>
      </c>
    </row>
    <row r="68" spans="1:11" x14ac:dyDescent="0.2">
      <c r="A68" s="2" t="s">
        <v>10</v>
      </c>
      <c r="G68" s="2" t="s">
        <v>23</v>
      </c>
    </row>
    <row r="71" spans="1:11" x14ac:dyDescent="0.2">
      <c r="A71" s="3" t="s">
        <v>11</v>
      </c>
      <c r="B71" s="4" t="s">
        <v>12</v>
      </c>
      <c r="C71" t="s">
        <v>13</v>
      </c>
      <c r="D71" t="s">
        <v>14</v>
      </c>
      <c r="G71" s="13" t="s">
        <v>11</v>
      </c>
      <c r="H71" s="13" t="s">
        <v>24</v>
      </c>
      <c r="I71" s="13" t="s">
        <v>25</v>
      </c>
    </row>
    <row r="72" spans="1:11" x14ac:dyDescent="0.2">
      <c r="A72" s="6" t="s">
        <v>15</v>
      </c>
      <c r="B72" s="7">
        <f>SUM(Calendar[Total Hours])</f>
        <v>94</v>
      </c>
      <c r="C72" s="8">
        <v>1</v>
      </c>
      <c r="D72">
        <f>t_config_SiteAvailTime[[#This Row],[Available Hours/Week]]*t_config_SiteAvailTime[[#This Row],[%Efficiency]]</f>
        <v>94</v>
      </c>
      <c r="G72" t="s">
        <v>15</v>
      </c>
      <c r="H72">
        <f>COUNTIFS(t_config_WaxCell[Site],Table7[[#This Row],[Site]],t_config_WaxCell[Active],1)</f>
        <v>0</v>
      </c>
      <c r="I72" s="14">
        <f>SUMIFS(t_config_WaxCell[Total Hours/Week per cell],t_config_WaxCell[Site],Table7[[#This Row],[Site]],t_config_WaxCell[Active],1)</f>
        <v>0</v>
      </c>
    </row>
    <row r="73" spans="1:11" x14ac:dyDescent="0.2">
      <c r="A73" s="6" t="s">
        <v>16</v>
      </c>
      <c r="B73" s="7">
        <f>SUM(Calendar[Total Hours])</f>
        <v>94</v>
      </c>
      <c r="C73" s="8">
        <v>1.04</v>
      </c>
      <c r="D73">
        <f>t_config_SiteAvailTime[[#This Row],[Available Hours/Week]]*t_config_SiteAvailTime[[#This Row],[%Efficiency]]</f>
        <v>97.76</v>
      </c>
      <c r="G73" t="s">
        <v>16</v>
      </c>
      <c r="H73">
        <f>COUNTIFS(t_config_WaxCell[Site],Table7[[#This Row],[Site]],t_config_WaxCell[Active],1)</f>
        <v>19</v>
      </c>
      <c r="I73" s="14">
        <f>SUMIFS(t_config_WaxCell[Total Hours/Week per cell],t_config_WaxCell[Site],Table7[[#This Row],[Site]],t_config_WaxCell[Active],1)</f>
        <v>1857.44</v>
      </c>
    </row>
    <row r="74" spans="1:11" x14ac:dyDescent="0.2">
      <c r="A74" s="6" t="s">
        <v>17</v>
      </c>
      <c r="B74" s="7">
        <f>SUM(Calendar[Total Hours])</f>
        <v>94</v>
      </c>
      <c r="C74" s="8">
        <v>1</v>
      </c>
      <c r="D74">
        <f>t_config_SiteAvailTime[[#This Row],[Available Hours/Week]]*t_config_SiteAvailTime[[#This Row],[%Efficiency]]</f>
        <v>94</v>
      </c>
      <c r="G74" t="s">
        <v>17</v>
      </c>
      <c r="H74">
        <f>COUNTIFS(t_config_WaxCell[Site],Table7[[#This Row],[Site]],t_config_WaxCell[Active],1)</f>
        <v>0</v>
      </c>
      <c r="I74" s="14">
        <f>SUMIFS(t_config_WaxCell[Total Hours/Week per cell],t_config_WaxCell[Site],Table7[[#This Row],[Site]],t_config_WaxCell[Active],1)</f>
        <v>0</v>
      </c>
    </row>
    <row r="75" spans="1:11" x14ac:dyDescent="0.2">
      <c r="A75" s="9" t="s">
        <v>18</v>
      </c>
      <c r="B75" s="7">
        <f>SUM(Calendar[Total Hours])</f>
        <v>94</v>
      </c>
      <c r="C75" s="8">
        <v>1</v>
      </c>
      <c r="D75">
        <f>t_config_SiteAvailTime[[#This Row],[Available Hours/Week]]*t_config_SiteAvailTime[[#This Row],[%Efficiency]]</f>
        <v>94</v>
      </c>
      <c r="G75" t="s">
        <v>18</v>
      </c>
      <c r="H75">
        <f>COUNTIFS(t_config_WaxCell[Site],Table7[[#This Row],[Site]],t_config_WaxCell[Active],1)</f>
        <v>0</v>
      </c>
      <c r="I75" s="14">
        <f>SUMIFS(t_config_WaxCell[Total Hours/Week per cell],t_config_WaxCell[Site],Table7[[#This Row],[Site]],t_config_WaxCell[Active],1)</f>
        <v>0</v>
      </c>
    </row>
    <row r="78" spans="1:11" x14ac:dyDescent="0.2">
      <c r="A78" s="2" t="s">
        <v>19</v>
      </c>
    </row>
    <row r="80" spans="1:11" x14ac:dyDescent="0.2">
      <c r="A80" s="10" t="s">
        <v>11</v>
      </c>
      <c r="B80" s="10" t="s">
        <v>19</v>
      </c>
      <c r="C80" s="10" t="s">
        <v>20</v>
      </c>
      <c r="D80" s="10" t="s">
        <v>21</v>
      </c>
      <c r="E80" s="4" t="s">
        <v>22</v>
      </c>
      <c r="F80" s="57" t="s">
        <v>206</v>
      </c>
      <c r="G80" s="57" t="s">
        <v>207</v>
      </c>
      <c r="H80" s="57" t="s">
        <v>5637</v>
      </c>
      <c r="J80" t="s">
        <v>248</v>
      </c>
      <c r="K80" t="s">
        <v>249</v>
      </c>
    </row>
    <row r="81" spans="1:11" x14ac:dyDescent="0.2">
      <c r="A81" s="11" t="s">
        <v>16</v>
      </c>
      <c r="B81" s="33" t="s">
        <v>84</v>
      </c>
      <c r="C81" s="12">
        <v>1</v>
      </c>
      <c r="D81" s="37">
        <v>1</v>
      </c>
      <c r="E81">
        <f>VLOOKUP(t_config_WaxCell[[#This Row],[Site]],t_config_SiteAvailTime[#Data],MATCH("Total Hours/Week",t_config_SiteAvailTime[#Headers],0),0)*t_config_WaxCell[[#This Row],[Resource Qty]]*t_config_WaxCell[[#This Row],[Active]]</f>
        <v>97.76</v>
      </c>
      <c r="F81">
        <v>1</v>
      </c>
      <c r="G81" t="s">
        <v>5634</v>
      </c>
      <c r="J81" t="s">
        <v>250</v>
      </c>
      <c r="K81" t="s">
        <v>242</v>
      </c>
    </row>
    <row r="82" spans="1:11" hidden="1" x14ac:dyDescent="0.2">
      <c r="A82" s="11" t="s">
        <v>16</v>
      </c>
      <c r="B82" s="66" t="s">
        <v>85</v>
      </c>
      <c r="C82" s="12">
        <v>0</v>
      </c>
      <c r="D82" s="37">
        <v>1</v>
      </c>
      <c r="E82">
        <f>VLOOKUP(t_config_WaxCell[[#This Row],[Site]],t_config_SiteAvailTime[#Data],MATCH("Total Hours/Week",t_config_SiteAvailTime[#Headers],0),0)*t_config_WaxCell[[#This Row],[Resource Qty]]*t_config_WaxCell[[#This Row],[Active]]</f>
        <v>0</v>
      </c>
      <c r="F82">
        <v>2</v>
      </c>
      <c r="G82" t="s">
        <v>5876</v>
      </c>
      <c r="J82" t="s">
        <v>251</v>
      </c>
      <c r="K82" t="s">
        <v>242</v>
      </c>
    </row>
    <row r="83" spans="1:11" hidden="1" x14ac:dyDescent="0.2">
      <c r="A83" s="11" t="s">
        <v>16</v>
      </c>
      <c r="B83" s="65" t="s">
        <v>86</v>
      </c>
      <c r="C83" s="12">
        <v>0</v>
      </c>
      <c r="D83" s="37">
        <v>1</v>
      </c>
      <c r="E83">
        <f>VLOOKUP(t_config_WaxCell[[#This Row],[Site]],t_config_SiteAvailTime[#Data],MATCH("Total Hours/Week",t_config_SiteAvailTime[#Headers],0),0)*t_config_WaxCell[[#This Row],[Resource Qty]]*t_config_WaxCell[[#This Row],[Active]]</f>
        <v>0</v>
      </c>
      <c r="F83">
        <v>3</v>
      </c>
      <c r="G83" t="s">
        <v>5635</v>
      </c>
      <c r="J83" t="s">
        <v>252</v>
      </c>
      <c r="K83" t="s">
        <v>242</v>
      </c>
    </row>
    <row r="84" spans="1:11" x14ac:dyDescent="0.2">
      <c r="A84" s="11" t="s">
        <v>16</v>
      </c>
      <c r="B84" s="33" t="s">
        <v>87</v>
      </c>
      <c r="C84" s="12">
        <v>1</v>
      </c>
      <c r="D84" s="37">
        <v>1</v>
      </c>
      <c r="E84">
        <f>VLOOKUP(t_config_WaxCell[[#This Row],[Site]],t_config_SiteAvailTime[#Data],MATCH("Total Hours/Week",t_config_SiteAvailTime[#Headers],0),0)*t_config_WaxCell[[#This Row],[Resource Qty]]*t_config_WaxCell[[#This Row],[Active]]</f>
        <v>97.76</v>
      </c>
      <c r="F84">
        <v>4</v>
      </c>
      <c r="G84" t="s">
        <v>5634</v>
      </c>
      <c r="J84" t="s">
        <v>237</v>
      </c>
      <c r="K84" t="s">
        <v>242</v>
      </c>
    </row>
    <row r="85" spans="1:11" x14ac:dyDescent="0.2">
      <c r="A85" s="11" t="s">
        <v>16</v>
      </c>
      <c r="B85" s="66" t="s">
        <v>88</v>
      </c>
      <c r="C85" s="12">
        <v>1</v>
      </c>
      <c r="D85" s="37">
        <v>1</v>
      </c>
      <c r="E85">
        <f>VLOOKUP(t_config_WaxCell[[#This Row],[Site]],t_config_SiteAvailTime[#Data],MATCH("Total Hours/Week",t_config_SiteAvailTime[#Headers],0),0)*t_config_WaxCell[[#This Row],[Resource Qty]]*t_config_WaxCell[[#This Row],[Active]]</f>
        <v>97.76</v>
      </c>
      <c r="F85">
        <v>5</v>
      </c>
      <c r="G85" t="s">
        <v>5634</v>
      </c>
      <c r="J85" t="s">
        <v>235</v>
      </c>
      <c r="K85" t="s">
        <v>242</v>
      </c>
    </row>
    <row r="86" spans="1:11" x14ac:dyDescent="0.2">
      <c r="A86" s="11" t="s">
        <v>16</v>
      </c>
      <c r="B86" s="66" t="s">
        <v>89</v>
      </c>
      <c r="C86" s="12">
        <v>1</v>
      </c>
      <c r="D86" s="37">
        <v>1</v>
      </c>
      <c r="E86">
        <f>VLOOKUP(t_config_WaxCell[[#This Row],[Site]],t_config_SiteAvailTime[#Data],MATCH("Total Hours/Week",t_config_SiteAvailTime[#Headers],0),0)*t_config_WaxCell[[#This Row],[Resource Qty]]*t_config_WaxCell[[#This Row],[Active]]</f>
        <v>97.76</v>
      </c>
      <c r="F86">
        <v>6</v>
      </c>
      <c r="G86" t="s">
        <v>5634</v>
      </c>
      <c r="J86" t="s">
        <v>232</v>
      </c>
      <c r="K86" t="s">
        <v>242</v>
      </c>
    </row>
    <row r="87" spans="1:11" x14ac:dyDescent="0.2">
      <c r="A87" s="11" t="s">
        <v>16</v>
      </c>
      <c r="B87" s="66" t="s">
        <v>90</v>
      </c>
      <c r="C87" s="12">
        <v>1</v>
      </c>
      <c r="D87" s="37">
        <v>1</v>
      </c>
      <c r="E87">
        <f>VLOOKUP(t_config_WaxCell[[#This Row],[Site]],t_config_SiteAvailTime[#Data],MATCH("Total Hours/Week",t_config_SiteAvailTime[#Headers],0),0)*t_config_WaxCell[[#This Row],[Resource Qty]]*t_config_WaxCell[[#This Row],[Active]]</f>
        <v>97.76</v>
      </c>
      <c r="F87">
        <v>7</v>
      </c>
      <c r="G87" t="s">
        <v>5634</v>
      </c>
      <c r="J87" t="s">
        <v>245</v>
      </c>
      <c r="K87" t="s">
        <v>242</v>
      </c>
    </row>
    <row r="88" spans="1:11" x14ac:dyDescent="0.2">
      <c r="A88" s="11" t="s">
        <v>16</v>
      </c>
      <c r="B88" s="66" t="s">
        <v>91</v>
      </c>
      <c r="C88" s="12">
        <v>1</v>
      </c>
      <c r="D88" s="37">
        <v>1</v>
      </c>
      <c r="E88">
        <f>VLOOKUP(t_config_WaxCell[[#This Row],[Site]],t_config_SiteAvailTime[#Data],MATCH("Total Hours/Week",t_config_SiteAvailTime[#Headers],0),0)*t_config_WaxCell[[#This Row],[Resource Qty]]*t_config_WaxCell[[#This Row],[Active]]</f>
        <v>97.76</v>
      </c>
      <c r="F88">
        <v>8</v>
      </c>
      <c r="G88" t="s">
        <v>5634</v>
      </c>
      <c r="J88" t="s">
        <v>231</v>
      </c>
      <c r="K88" t="s">
        <v>242</v>
      </c>
    </row>
    <row r="89" spans="1:11" x14ac:dyDescent="0.2">
      <c r="A89" s="11" t="s">
        <v>16</v>
      </c>
      <c r="B89" s="33" t="s">
        <v>92</v>
      </c>
      <c r="C89" s="12">
        <v>1</v>
      </c>
      <c r="D89" s="37">
        <v>1</v>
      </c>
      <c r="E89">
        <f>VLOOKUP(t_config_WaxCell[[#This Row],[Site]],t_config_SiteAvailTime[#Data],MATCH("Total Hours/Week",t_config_SiteAvailTime[#Headers],0),0)*t_config_WaxCell[[#This Row],[Resource Qty]]*t_config_WaxCell[[#This Row],[Active]]</f>
        <v>97.76</v>
      </c>
      <c r="F89">
        <v>9</v>
      </c>
      <c r="G89" t="s">
        <v>5634</v>
      </c>
      <c r="J89" t="s">
        <v>240</v>
      </c>
      <c r="K89" t="s">
        <v>242</v>
      </c>
    </row>
    <row r="90" spans="1:11" x14ac:dyDescent="0.2">
      <c r="A90" s="11" t="s">
        <v>16</v>
      </c>
      <c r="B90" s="33" t="s">
        <v>93</v>
      </c>
      <c r="C90" s="12">
        <v>1</v>
      </c>
      <c r="D90" s="37">
        <v>1</v>
      </c>
      <c r="E90">
        <f>VLOOKUP(t_config_WaxCell[[#This Row],[Site]],t_config_SiteAvailTime[#Data],MATCH("Total Hours/Week",t_config_SiteAvailTime[#Headers],0),0)*t_config_WaxCell[[#This Row],[Resource Qty]]*t_config_WaxCell[[#This Row],[Active]]</f>
        <v>97.76</v>
      </c>
      <c r="F90">
        <v>10</v>
      </c>
      <c r="G90" t="s">
        <v>5634</v>
      </c>
      <c r="J90" t="s">
        <v>236</v>
      </c>
      <c r="K90" t="s">
        <v>242</v>
      </c>
    </row>
    <row r="91" spans="1:11" x14ac:dyDescent="0.2">
      <c r="A91" s="11" t="s">
        <v>16</v>
      </c>
      <c r="B91" s="66" t="s">
        <v>94</v>
      </c>
      <c r="C91" s="12">
        <v>1</v>
      </c>
      <c r="D91" s="37">
        <v>1</v>
      </c>
      <c r="E91">
        <f>VLOOKUP(t_config_WaxCell[[#This Row],[Site]],t_config_SiteAvailTime[#Data],MATCH("Total Hours/Week",t_config_SiteAvailTime[#Headers],0),0)*t_config_WaxCell[[#This Row],[Resource Qty]]*t_config_WaxCell[[#This Row],[Active]]</f>
        <v>97.76</v>
      </c>
      <c r="F91">
        <v>11</v>
      </c>
      <c r="G91" t="s">
        <v>5634</v>
      </c>
      <c r="J91" t="s">
        <v>233</v>
      </c>
      <c r="K91" t="s">
        <v>242</v>
      </c>
    </row>
    <row r="92" spans="1:11" x14ac:dyDescent="0.2">
      <c r="A92" s="11" t="s">
        <v>16</v>
      </c>
      <c r="B92" s="66" t="s">
        <v>95</v>
      </c>
      <c r="C92" s="12">
        <v>1</v>
      </c>
      <c r="D92" s="37">
        <v>1</v>
      </c>
      <c r="E92">
        <f>VLOOKUP(t_config_WaxCell[[#This Row],[Site]],t_config_SiteAvailTime[#Data],MATCH("Total Hours/Week",t_config_SiteAvailTime[#Headers],0),0)*t_config_WaxCell[[#This Row],[Resource Qty]]*t_config_WaxCell[[#This Row],[Active]]</f>
        <v>97.76</v>
      </c>
      <c r="F92">
        <v>12</v>
      </c>
      <c r="G92" t="s">
        <v>5634</v>
      </c>
    </row>
    <row r="93" spans="1:11" x14ac:dyDescent="0.2">
      <c r="A93" s="11" t="s">
        <v>16</v>
      </c>
      <c r="B93" s="66" t="s">
        <v>96</v>
      </c>
      <c r="C93" s="12">
        <v>1</v>
      </c>
      <c r="D93" s="37">
        <v>1</v>
      </c>
      <c r="E93">
        <f>VLOOKUP(t_config_WaxCell[[#This Row],[Site]],t_config_SiteAvailTime[#Data],MATCH("Total Hours/Week",t_config_SiteAvailTime[#Headers],0),0)*t_config_WaxCell[[#This Row],[Resource Qty]]*t_config_WaxCell[[#This Row],[Active]]</f>
        <v>97.76</v>
      </c>
      <c r="F93">
        <v>13</v>
      </c>
      <c r="G93" t="s">
        <v>5634</v>
      </c>
    </row>
    <row r="94" spans="1:11" x14ac:dyDescent="0.2">
      <c r="A94" s="11" t="s">
        <v>16</v>
      </c>
      <c r="B94" s="66" t="s">
        <v>97</v>
      </c>
      <c r="C94" s="12">
        <v>1</v>
      </c>
      <c r="D94" s="37">
        <v>1</v>
      </c>
      <c r="E94">
        <f>VLOOKUP(t_config_WaxCell[[#This Row],[Site]],t_config_SiteAvailTime[#Data],MATCH("Total Hours/Week",t_config_SiteAvailTime[#Headers],0),0)*t_config_WaxCell[[#This Row],[Resource Qty]]*t_config_WaxCell[[#This Row],[Active]]</f>
        <v>97.76</v>
      </c>
      <c r="F94">
        <v>14</v>
      </c>
      <c r="G94" t="s">
        <v>5634</v>
      </c>
    </row>
    <row r="95" spans="1:11" x14ac:dyDescent="0.2">
      <c r="A95" s="11" t="s">
        <v>16</v>
      </c>
      <c r="B95" s="33" t="s">
        <v>98</v>
      </c>
      <c r="C95" s="12">
        <v>1</v>
      </c>
      <c r="D95" s="37">
        <v>1</v>
      </c>
      <c r="E95">
        <f>VLOOKUP(t_config_WaxCell[[#This Row],[Site]],t_config_SiteAvailTime[#Data],MATCH("Total Hours/Week",t_config_SiteAvailTime[#Headers],0),0)*t_config_WaxCell[[#This Row],[Resource Qty]]*t_config_WaxCell[[#This Row],[Active]]</f>
        <v>97.76</v>
      </c>
      <c r="F95">
        <v>15</v>
      </c>
      <c r="G95" t="s">
        <v>5634</v>
      </c>
    </row>
    <row r="96" spans="1:11" x14ac:dyDescent="0.2">
      <c r="A96" s="11" t="s">
        <v>16</v>
      </c>
      <c r="B96" s="66" t="s">
        <v>99</v>
      </c>
      <c r="C96" s="12">
        <v>1</v>
      </c>
      <c r="D96" s="37">
        <v>1</v>
      </c>
      <c r="E96">
        <f>VLOOKUP(t_config_WaxCell[[#This Row],[Site]],t_config_SiteAvailTime[#Data],MATCH("Total Hours/Week",t_config_SiteAvailTime[#Headers],0),0)*t_config_WaxCell[[#This Row],[Resource Qty]]*t_config_WaxCell[[#This Row],[Active]]</f>
        <v>97.76</v>
      </c>
      <c r="F96">
        <v>16</v>
      </c>
      <c r="G96" t="s">
        <v>5634</v>
      </c>
    </row>
    <row r="97" spans="1:7" x14ac:dyDescent="0.2">
      <c r="A97" s="11" t="s">
        <v>16</v>
      </c>
      <c r="B97" s="66" t="s">
        <v>100</v>
      </c>
      <c r="C97" s="12">
        <v>1</v>
      </c>
      <c r="D97" s="37">
        <v>1</v>
      </c>
      <c r="E97">
        <f>VLOOKUP(t_config_WaxCell[[#This Row],[Site]],t_config_SiteAvailTime[#Data],MATCH("Total Hours/Week",t_config_SiteAvailTime[#Headers],0),0)*t_config_WaxCell[[#This Row],[Resource Qty]]*t_config_WaxCell[[#This Row],[Active]]</f>
        <v>97.76</v>
      </c>
      <c r="F97">
        <v>17</v>
      </c>
      <c r="G97" t="s">
        <v>5634</v>
      </c>
    </row>
    <row r="98" spans="1:7" x14ac:dyDescent="0.2">
      <c r="A98" s="11" t="s">
        <v>16</v>
      </c>
      <c r="B98" s="66" t="s">
        <v>101</v>
      </c>
      <c r="C98" s="12">
        <v>1</v>
      </c>
      <c r="D98" s="37">
        <v>1</v>
      </c>
      <c r="E98">
        <f>VLOOKUP(t_config_WaxCell[[#This Row],[Site]],t_config_SiteAvailTime[#Data],MATCH("Total Hours/Week",t_config_SiteAvailTime[#Headers],0),0)*t_config_WaxCell[[#This Row],[Resource Qty]]*t_config_WaxCell[[#This Row],[Active]]</f>
        <v>97.76</v>
      </c>
      <c r="F98">
        <v>18</v>
      </c>
      <c r="G98" t="s">
        <v>5634</v>
      </c>
    </row>
    <row r="99" spans="1:7" hidden="1" x14ac:dyDescent="0.2">
      <c r="A99" s="11" t="s">
        <v>16</v>
      </c>
      <c r="B99" s="33" t="s">
        <v>102</v>
      </c>
      <c r="C99" s="12">
        <v>0</v>
      </c>
      <c r="D99" s="37">
        <v>1</v>
      </c>
      <c r="E99">
        <f>VLOOKUP(t_config_WaxCell[[#This Row],[Site]],t_config_SiteAvailTime[#Data],MATCH("Total Hours/Week",t_config_SiteAvailTime[#Headers],0),0)*t_config_WaxCell[[#This Row],[Resource Qty]]*t_config_WaxCell[[#This Row],[Active]]</f>
        <v>0</v>
      </c>
      <c r="F99">
        <v>19</v>
      </c>
      <c r="G99" t="s">
        <v>5877</v>
      </c>
    </row>
    <row r="100" spans="1:7" x14ac:dyDescent="0.2">
      <c r="A100" s="11" t="s">
        <v>16</v>
      </c>
      <c r="B100" s="66" t="s">
        <v>103</v>
      </c>
      <c r="C100" s="12">
        <v>1</v>
      </c>
      <c r="D100" s="37">
        <v>1</v>
      </c>
      <c r="E100">
        <f>VLOOKUP(t_config_WaxCell[[#This Row],[Site]],t_config_SiteAvailTime[#Data],MATCH("Total Hours/Week",t_config_SiteAvailTime[#Headers],0),0)*t_config_WaxCell[[#This Row],[Resource Qty]]*t_config_WaxCell[[#This Row],[Active]]</f>
        <v>97.76</v>
      </c>
      <c r="F100">
        <v>20</v>
      </c>
      <c r="G100" t="s">
        <v>5634</v>
      </c>
    </row>
    <row r="101" spans="1:7" x14ac:dyDescent="0.2">
      <c r="A101" s="11" t="s">
        <v>16</v>
      </c>
      <c r="B101" s="66" t="s">
        <v>104</v>
      </c>
      <c r="C101" s="12">
        <v>1</v>
      </c>
      <c r="D101" s="37">
        <v>1</v>
      </c>
      <c r="E101">
        <f>VLOOKUP(t_config_WaxCell[[#This Row],[Site]],t_config_SiteAvailTime[#Data],MATCH("Total Hours/Week",t_config_SiteAvailTime[#Headers],0),0)*t_config_WaxCell[[#This Row],[Resource Qty]]*t_config_WaxCell[[#This Row],[Active]]</f>
        <v>97.76</v>
      </c>
      <c r="F101">
        <v>21</v>
      </c>
      <c r="G101" t="s">
        <v>5634</v>
      </c>
    </row>
    <row r="102" spans="1:7" x14ac:dyDescent="0.2">
      <c r="A102" s="11" t="s">
        <v>16</v>
      </c>
      <c r="B102" s="66" t="s">
        <v>105</v>
      </c>
      <c r="C102" s="12">
        <v>1</v>
      </c>
      <c r="D102" s="37">
        <v>1</v>
      </c>
      <c r="E102">
        <f>VLOOKUP(t_config_WaxCell[[#This Row],[Site]],t_config_SiteAvailTime[#Data],MATCH("Total Hours/Week",t_config_SiteAvailTime[#Headers],0),0)*t_config_WaxCell[[#This Row],[Resource Qty]]*t_config_WaxCell[[#This Row],[Active]]</f>
        <v>97.76</v>
      </c>
      <c r="F102">
        <v>22</v>
      </c>
      <c r="G102" t="s">
        <v>5634</v>
      </c>
    </row>
    <row r="103" spans="1:7" x14ac:dyDescent="0.2">
      <c r="A103" s="11" t="s">
        <v>16</v>
      </c>
      <c r="B103" s="33" t="s">
        <v>106</v>
      </c>
      <c r="C103" s="12">
        <v>0</v>
      </c>
      <c r="D103" s="37">
        <v>1</v>
      </c>
      <c r="E103">
        <f>VLOOKUP(t_config_WaxCell[[#This Row],[Site]],t_config_SiteAvailTime[#Data],MATCH("Total Hours/Week",t_config_SiteAvailTime[#Headers],0),0)*t_config_WaxCell[[#This Row],[Resource Qty]]*t_config_WaxCell[[#This Row],[Active]]</f>
        <v>0</v>
      </c>
      <c r="F103">
        <v>23</v>
      </c>
      <c r="G103" t="s">
        <v>5634</v>
      </c>
    </row>
    <row r="104" spans="1:7" x14ac:dyDescent="0.2">
      <c r="A104" s="11" t="s">
        <v>16</v>
      </c>
      <c r="B104" s="33" t="s">
        <v>107</v>
      </c>
      <c r="C104" s="12">
        <v>0</v>
      </c>
      <c r="D104" s="37">
        <v>1</v>
      </c>
      <c r="E104">
        <f>VLOOKUP(t_config_WaxCell[[#This Row],[Site]],t_config_SiteAvailTime[#Data],MATCH("Total Hours/Week",t_config_SiteAvailTime[#Headers],0),0)*t_config_WaxCell[[#This Row],[Resource Qty]]*t_config_WaxCell[[#This Row],[Active]]</f>
        <v>0</v>
      </c>
      <c r="F104">
        <v>24</v>
      </c>
      <c r="G104" t="s">
        <v>5634</v>
      </c>
    </row>
    <row r="105" spans="1:7" hidden="1" x14ac:dyDescent="0.2">
      <c r="A105" s="11" t="s">
        <v>16</v>
      </c>
      <c r="B105" s="33" t="s">
        <v>108</v>
      </c>
      <c r="C105" s="12">
        <v>0</v>
      </c>
      <c r="D105" s="37">
        <v>1</v>
      </c>
      <c r="E105">
        <f>VLOOKUP(t_config_WaxCell[[#This Row],[Site]],t_config_SiteAvailTime[#Data],MATCH("Total Hours/Week",t_config_SiteAvailTime[#Headers],0),0)*t_config_WaxCell[[#This Row],[Resource Qty]]*t_config_WaxCell[[#This Row],[Active]]</f>
        <v>0</v>
      </c>
      <c r="F105">
        <v>25</v>
      </c>
      <c r="G105" t="s">
        <v>5636</v>
      </c>
    </row>
    <row r="106" spans="1:7" hidden="1" x14ac:dyDescent="0.2">
      <c r="A106" s="11" t="s">
        <v>16</v>
      </c>
      <c r="B106" s="33" t="s">
        <v>109</v>
      </c>
      <c r="C106" s="12">
        <v>0</v>
      </c>
      <c r="D106" s="37">
        <v>1</v>
      </c>
      <c r="E106">
        <f>VLOOKUP(t_config_WaxCell[[#This Row],[Site]],t_config_SiteAvailTime[#Data],MATCH("Total Hours/Week",t_config_SiteAvailTime[#Headers],0),0)*t_config_WaxCell[[#This Row],[Resource Qty]]*t_config_WaxCell[[#This Row],[Active]]</f>
        <v>0</v>
      </c>
      <c r="F106">
        <v>26</v>
      </c>
      <c r="G106" t="s">
        <v>5636</v>
      </c>
    </row>
    <row r="107" spans="1:7" hidden="1" x14ac:dyDescent="0.2">
      <c r="A107" s="11" t="s">
        <v>16</v>
      </c>
      <c r="B107" s="33" t="s">
        <v>110</v>
      </c>
      <c r="C107" s="12">
        <v>0</v>
      </c>
      <c r="D107" s="37">
        <v>1</v>
      </c>
      <c r="E107">
        <f>VLOOKUP(t_config_WaxCell[[#This Row],[Site]],t_config_SiteAvailTime[#Data],MATCH("Total Hours/Week",t_config_SiteAvailTime[#Headers],0),0)*t_config_WaxCell[[#This Row],[Resource Qty]]*t_config_WaxCell[[#This Row],[Active]]</f>
        <v>0</v>
      </c>
      <c r="F107">
        <v>27</v>
      </c>
      <c r="G107" t="s">
        <v>5878</v>
      </c>
    </row>
    <row r="108" spans="1:7" x14ac:dyDescent="0.2">
      <c r="A108" s="11" t="s">
        <v>16</v>
      </c>
      <c r="B108" s="33" t="s">
        <v>111</v>
      </c>
      <c r="C108" s="12">
        <v>0</v>
      </c>
      <c r="D108" s="37">
        <v>1</v>
      </c>
      <c r="E108">
        <f>VLOOKUP(t_config_WaxCell[[#This Row],[Site]],t_config_SiteAvailTime[#Data],MATCH("Total Hours/Week",t_config_SiteAvailTime[#Headers],0),0)*t_config_WaxCell[[#This Row],[Resource Qty]]*t_config_WaxCell[[#This Row],[Active]]</f>
        <v>0</v>
      </c>
      <c r="F108">
        <v>28</v>
      </c>
      <c r="G108" t="s">
        <v>5634</v>
      </c>
    </row>
    <row r="109" spans="1:7" x14ac:dyDescent="0.2">
      <c r="A109" s="11" t="s">
        <v>16</v>
      </c>
      <c r="B109" s="33" t="s">
        <v>112</v>
      </c>
      <c r="C109" s="12">
        <v>0</v>
      </c>
      <c r="D109" s="37">
        <v>1</v>
      </c>
      <c r="E109">
        <f>VLOOKUP(t_config_WaxCell[[#This Row],[Site]],t_config_SiteAvailTime[#Data],MATCH("Total Hours/Week",t_config_SiteAvailTime[#Headers],0),0)*t_config_WaxCell[[#This Row],[Resource Qty]]*t_config_WaxCell[[#This Row],[Active]]</f>
        <v>0</v>
      </c>
      <c r="F109">
        <v>29</v>
      </c>
      <c r="G109" t="s">
        <v>5634</v>
      </c>
    </row>
    <row r="110" spans="1:7" x14ac:dyDescent="0.2">
      <c r="A110" s="11" t="s">
        <v>16</v>
      </c>
      <c r="B110" s="33" t="s">
        <v>113</v>
      </c>
      <c r="C110" s="12">
        <v>0</v>
      </c>
      <c r="D110" s="37">
        <v>1</v>
      </c>
      <c r="E110">
        <f>VLOOKUP(t_config_WaxCell[[#This Row],[Site]],t_config_SiteAvailTime[#Data],MATCH("Total Hours/Week",t_config_SiteAvailTime[#Headers],0),0)*t_config_WaxCell[[#This Row],[Resource Qty]]*t_config_WaxCell[[#This Row],[Active]]</f>
        <v>0</v>
      </c>
      <c r="F110">
        <v>30</v>
      </c>
      <c r="G110" t="s">
        <v>5634</v>
      </c>
    </row>
    <row r="111" spans="1:7" hidden="1" x14ac:dyDescent="0.2">
      <c r="A111" s="11" t="s">
        <v>16</v>
      </c>
      <c r="B111" s="33" t="s">
        <v>114</v>
      </c>
      <c r="C111" s="12">
        <v>0</v>
      </c>
      <c r="D111" s="37">
        <v>1</v>
      </c>
      <c r="E111">
        <f>VLOOKUP(t_config_WaxCell[[#This Row],[Site]],t_config_SiteAvailTime[#Data],MATCH("Total Hours/Week",t_config_SiteAvailTime[#Headers],0),0)*t_config_WaxCell[[#This Row],[Resource Qty]]*t_config_WaxCell[[#This Row],[Active]]</f>
        <v>0</v>
      </c>
      <c r="F111">
        <v>31</v>
      </c>
      <c r="G111" t="e">
        <v>#N/A</v>
      </c>
    </row>
    <row r="112" spans="1:7" hidden="1" x14ac:dyDescent="0.2">
      <c r="A112" s="11" t="s">
        <v>16</v>
      </c>
      <c r="B112" s="33" t="s">
        <v>115</v>
      </c>
      <c r="C112" s="12">
        <v>0</v>
      </c>
      <c r="D112" s="37">
        <v>1</v>
      </c>
      <c r="E112">
        <f>VLOOKUP(t_config_WaxCell[[#This Row],[Site]],t_config_SiteAvailTime[#Data],MATCH("Total Hours/Week",t_config_SiteAvailTime[#Headers],0),0)*t_config_WaxCell[[#This Row],[Resource Qty]]*t_config_WaxCell[[#This Row],[Active]]</f>
        <v>0</v>
      </c>
      <c r="F112">
        <v>32</v>
      </c>
      <c r="G112" t="e">
        <v>#N/A</v>
      </c>
    </row>
    <row r="113" spans="1:7" hidden="1" x14ac:dyDescent="0.2">
      <c r="A113" s="11" t="s">
        <v>16</v>
      </c>
      <c r="B113" s="33" t="s">
        <v>116</v>
      </c>
      <c r="C113" s="12">
        <v>0</v>
      </c>
      <c r="D113" s="37">
        <v>1</v>
      </c>
      <c r="E113">
        <f>VLOOKUP(t_config_WaxCell[[#This Row],[Site]],t_config_SiteAvailTime[#Data],MATCH("Total Hours/Week",t_config_SiteAvailTime[#Headers],0),0)*t_config_WaxCell[[#This Row],[Resource Qty]]*t_config_WaxCell[[#This Row],[Active]]</f>
        <v>0</v>
      </c>
      <c r="F113">
        <v>33</v>
      </c>
      <c r="G113" t="e">
        <v>#N/A</v>
      </c>
    </row>
    <row r="114" spans="1:7" hidden="1" x14ac:dyDescent="0.2">
      <c r="A114" s="11" t="s">
        <v>16</v>
      </c>
      <c r="B114" s="33" t="s">
        <v>117</v>
      </c>
      <c r="C114" s="12">
        <v>0</v>
      </c>
      <c r="D114" s="37">
        <v>1</v>
      </c>
      <c r="E114">
        <f>VLOOKUP(t_config_WaxCell[[#This Row],[Site]],t_config_SiteAvailTime[#Data],MATCH("Total Hours/Week",t_config_SiteAvailTime[#Headers],0),0)*t_config_WaxCell[[#This Row],[Resource Qty]]*t_config_WaxCell[[#This Row],[Active]]</f>
        <v>0</v>
      </c>
      <c r="F114">
        <v>34</v>
      </c>
      <c r="G114" t="e">
        <v>#N/A</v>
      </c>
    </row>
    <row r="115" spans="1:7" hidden="1" x14ac:dyDescent="0.2">
      <c r="A115" s="11" t="s">
        <v>16</v>
      </c>
      <c r="B115" s="33" t="s">
        <v>118</v>
      </c>
      <c r="C115" s="12">
        <v>0</v>
      </c>
      <c r="D115" s="37">
        <v>1</v>
      </c>
      <c r="E115">
        <f>VLOOKUP(t_config_WaxCell[[#This Row],[Site]],t_config_SiteAvailTime[#Data],MATCH("Total Hours/Week",t_config_SiteAvailTime[#Headers],0),0)*t_config_WaxCell[[#This Row],[Resource Qty]]*t_config_WaxCell[[#This Row],[Active]]</f>
        <v>0</v>
      </c>
      <c r="F115">
        <v>35</v>
      </c>
      <c r="G115" t="e">
        <v>#N/A</v>
      </c>
    </row>
    <row r="116" spans="1:7" hidden="1" x14ac:dyDescent="0.2">
      <c r="A116" s="11" t="s">
        <v>16</v>
      </c>
      <c r="B116" s="33" t="s">
        <v>119</v>
      </c>
      <c r="C116" s="12">
        <v>0</v>
      </c>
      <c r="D116" s="37">
        <v>1</v>
      </c>
      <c r="E116">
        <f>VLOOKUP(t_config_WaxCell[[#This Row],[Site]],t_config_SiteAvailTime[#Data],MATCH("Total Hours/Week",t_config_SiteAvailTime[#Headers],0),0)*t_config_WaxCell[[#This Row],[Resource Qty]]*t_config_WaxCell[[#This Row],[Active]]</f>
        <v>0</v>
      </c>
      <c r="F116">
        <v>36</v>
      </c>
      <c r="G116" t="e">
        <v>#N/A</v>
      </c>
    </row>
    <row r="117" spans="1:7" hidden="1" x14ac:dyDescent="0.2">
      <c r="A117" s="11" t="s">
        <v>16</v>
      </c>
      <c r="B117" s="33" t="s">
        <v>120</v>
      </c>
      <c r="C117" s="12">
        <v>0</v>
      </c>
      <c r="D117" s="37">
        <v>1</v>
      </c>
      <c r="E117">
        <f>VLOOKUP(t_config_WaxCell[[#This Row],[Site]],t_config_SiteAvailTime[#Data],MATCH("Total Hours/Week",t_config_SiteAvailTime[#Headers],0),0)*t_config_WaxCell[[#This Row],[Resource Qty]]*t_config_WaxCell[[#This Row],[Active]]</f>
        <v>0</v>
      </c>
      <c r="F117">
        <v>37</v>
      </c>
      <c r="G117" t="e">
        <v>#N/A</v>
      </c>
    </row>
    <row r="118" spans="1:7" hidden="1" x14ac:dyDescent="0.2">
      <c r="A118" s="11" t="s">
        <v>16</v>
      </c>
      <c r="B118" s="33" t="s">
        <v>173</v>
      </c>
      <c r="C118" s="12">
        <v>0</v>
      </c>
      <c r="D118" s="37">
        <v>1</v>
      </c>
      <c r="E118">
        <f>VLOOKUP(t_config_WaxCell[[#This Row],[Site]],t_config_SiteAvailTime[#Data],MATCH("Total Hours/Week",t_config_SiteAvailTime[#Headers],0),0)*t_config_WaxCell[[#This Row],[Resource Qty]]*t_config_WaxCell[[#This Row],[Active]]</f>
        <v>0</v>
      </c>
      <c r="F118">
        <v>38</v>
      </c>
      <c r="G118" t="e">
        <v>#N/A</v>
      </c>
    </row>
    <row r="119" spans="1:7" hidden="1" x14ac:dyDescent="0.2">
      <c r="A119" s="11" t="s">
        <v>16</v>
      </c>
      <c r="B119" s="33" t="s">
        <v>174</v>
      </c>
      <c r="C119" s="12">
        <v>0</v>
      </c>
      <c r="D119" s="37">
        <v>1</v>
      </c>
      <c r="E119">
        <f>VLOOKUP(t_config_WaxCell[[#This Row],[Site]],t_config_SiteAvailTime[#Data],MATCH("Total Hours/Week",t_config_SiteAvailTime[#Headers],0),0)*t_config_WaxCell[[#This Row],[Resource Qty]]*t_config_WaxCell[[#This Row],[Active]]</f>
        <v>0</v>
      </c>
      <c r="F119">
        <v>39</v>
      </c>
      <c r="G119" t="e">
        <v>#N/A</v>
      </c>
    </row>
    <row r="120" spans="1:7" hidden="1" x14ac:dyDescent="0.2">
      <c r="A120" s="11" t="s">
        <v>16</v>
      </c>
      <c r="B120" s="33" t="s">
        <v>175</v>
      </c>
      <c r="C120" s="12">
        <v>0</v>
      </c>
      <c r="D120" s="37">
        <v>1</v>
      </c>
      <c r="E120">
        <f>VLOOKUP(t_config_WaxCell[[#This Row],[Site]],t_config_SiteAvailTime[#Data],MATCH("Total Hours/Week",t_config_SiteAvailTime[#Headers],0),0)*t_config_WaxCell[[#This Row],[Resource Qty]]*t_config_WaxCell[[#This Row],[Active]]</f>
        <v>0</v>
      </c>
      <c r="F120">
        <v>40</v>
      </c>
      <c r="G120" t="e">
        <v>#N/A</v>
      </c>
    </row>
    <row r="121" spans="1:7" hidden="1" x14ac:dyDescent="0.2">
      <c r="A121" s="11" t="s">
        <v>16</v>
      </c>
      <c r="B121" s="33" t="s">
        <v>176</v>
      </c>
      <c r="C121" s="12">
        <v>0</v>
      </c>
      <c r="D121" s="37">
        <v>1</v>
      </c>
      <c r="E121">
        <f>VLOOKUP(t_config_WaxCell[[#This Row],[Site]],t_config_SiteAvailTime[#Data],MATCH("Total Hours/Week",t_config_SiteAvailTime[#Headers],0),0)*t_config_WaxCell[[#This Row],[Resource Qty]]*t_config_WaxCell[[#This Row],[Active]]</f>
        <v>0</v>
      </c>
      <c r="F121">
        <v>41</v>
      </c>
      <c r="G121" t="e">
        <v>#N/A</v>
      </c>
    </row>
    <row r="122" spans="1:7" hidden="1" x14ac:dyDescent="0.2">
      <c r="A122" s="11" t="s">
        <v>16</v>
      </c>
      <c r="B122" s="33" t="s">
        <v>177</v>
      </c>
      <c r="C122" s="12">
        <v>0</v>
      </c>
      <c r="D122" s="37">
        <v>1</v>
      </c>
      <c r="E122">
        <f>VLOOKUP(t_config_WaxCell[[#This Row],[Site]],t_config_SiteAvailTime[#Data],MATCH("Total Hours/Week",t_config_SiteAvailTime[#Headers],0),0)*t_config_WaxCell[[#This Row],[Resource Qty]]*t_config_WaxCell[[#This Row],[Active]]</f>
        <v>0</v>
      </c>
      <c r="F122">
        <v>42</v>
      </c>
      <c r="G122" t="e">
        <v>#N/A</v>
      </c>
    </row>
    <row r="123" spans="1:7" hidden="1" x14ac:dyDescent="0.2">
      <c r="A123" s="11" t="s">
        <v>16</v>
      </c>
      <c r="B123" s="33" t="s">
        <v>178</v>
      </c>
      <c r="C123" s="12">
        <v>0</v>
      </c>
      <c r="D123" s="37">
        <v>1</v>
      </c>
      <c r="E123">
        <f>VLOOKUP(t_config_WaxCell[[#This Row],[Site]],t_config_SiteAvailTime[#Data],MATCH("Total Hours/Week",t_config_SiteAvailTime[#Headers],0),0)*t_config_WaxCell[[#This Row],[Resource Qty]]*t_config_WaxCell[[#This Row],[Active]]</f>
        <v>0</v>
      </c>
      <c r="F123">
        <v>43</v>
      </c>
      <c r="G123" t="e">
        <v>#N/A</v>
      </c>
    </row>
    <row r="124" spans="1:7" hidden="1" x14ac:dyDescent="0.2">
      <c r="A124" s="11" t="s">
        <v>16</v>
      </c>
      <c r="B124" s="33" t="s">
        <v>179</v>
      </c>
      <c r="C124" s="12">
        <v>0</v>
      </c>
      <c r="D124" s="37">
        <v>1</v>
      </c>
      <c r="E124">
        <f>VLOOKUP(t_config_WaxCell[[#This Row],[Site]],t_config_SiteAvailTime[#Data],MATCH("Total Hours/Week",t_config_SiteAvailTime[#Headers],0),0)*t_config_WaxCell[[#This Row],[Resource Qty]]*t_config_WaxCell[[#This Row],[Active]]</f>
        <v>0</v>
      </c>
      <c r="F124">
        <v>44</v>
      </c>
      <c r="G124" t="e">
        <v>#N/A</v>
      </c>
    </row>
    <row r="125" spans="1:7" hidden="1" x14ac:dyDescent="0.2">
      <c r="A125" s="11" t="s">
        <v>16</v>
      </c>
      <c r="B125" s="33" t="s">
        <v>180</v>
      </c>
      <c r="C125" s="12">
        <v>0</v>
      </c>
      <c r="D125" s="37">
        <v>1</v>
      </c>
      <c r="E125">
        <f>VLOOKUP(t_config_WaxCell[[#This Row],[Site]],t_config_SiteAvailTime[#Data],MATCH("Total Hours/Week",t_config_SiteAvailTime[#Headers],0),0)*t_config_WaxCell[[#This Row],[Resource Qty]]*t_config_WaxCell[[#This Row],[Active]]</f>
        <v>0</v>
      </c>
      <c r="F125">
        <v>45</v>
      </c>
      <c r="G125" t="e">
        <v>#N/A</v>
      </c>
    </row>
    <row r="126" spans="1:7" hidden="1" x14ac:dyDescent="0.2">
      <c r="A126" s="11" t="s">
        <v>16</v>
      </c>
      <c r="B126" s="33" t="s">
        <v>181</v>
      </c>
      <c r="C126" s="12">
        <v>0</v>
      </c>
      <c r="D126" s="37">
        <v>1</v>
      </c>
      <c r="E126">
        <f>VLOOKUP(t_config_WaxCell[[#This Row],[Site]],t_config_SiteAvailTime[#Data],MATCH("Total Hours/Week",t_config_SiteAvailTime[#Headers],0),0)*t_config_WaxCell[[#This Row],[Resource Qty]]*t_config_WaxCell[[#This Row],[Active]]</f>
        <v>0</v>
      </c>
      <c r="F126">
        <v>46</v>
      </c>
      <c r="G126" t="e">
        <v>#N/A</v>
      </c>
    </row>
    <row r="127" spans="1:7" hidden="1" x14ac:dyDescent="0.2">
      <c r="A127" s="11" t="s">
        <v>16</v>
      </c>
      <c r="B127" s="33" t="s">
        <v>182</v>
      </c>
      <c r="C127" s="12">
        <v>0</v>
      </c>
      <c r="D127" s="37">
        <v>1</v>
      </c>
      <c r="E127">
        <f>VLOOKUP(t_config_WaxCell[[#This Row],[Site]],t_config_SiteAvailTime[#Data],MATCH("Total Hours/Week",t_config_SiteAvailTime[#Headers],0),0)*t_config_WaxCell[[#This Row],[Resource Qty]]*t_config_WaxCell[[#This Row],[Active]]</f>
        <v>0</v>
      </c>
      <c r="F127">
        <v>47</v>
      </c>
      <c r="G127" t="e">
        <v>#N/A</v>
      </c>
    </row>
    <row r="128" spans="1:7" hidden="1" x14ac:dyDescent="0.2">
      <c r="A128" s="11" t="s">
        <v>16</v>
      </c>
      <c r="B128" s="33" t="s">
        <v>183</v>
      </c>
      <c r="C128" s="12">
        <v>0</v>
      </c>
      <c r="D128" s="37">
        <v>1</v>
      </c>
      <c r="E128">
        <f>VLOOKUP(t_config_WaxCell[[#This Row],[Site]],t_config_SiteAvailTime[#Data],MATCH("Total Hours/Week",t_config_SiteAvailTime[#Headers],0),0)*t_config_WaxCell[[#This Row],[Resource Qty]]*t_config_WaxCell[[#This Row],[Active]]</f>
        <v>0</v>
      </c>
      <c r="F128">
        <v>48</v>
      </c>
      <c r="G128" t="e">
        <v>#N/A</v>
      </c>
    </row>
    <row r="129" spans="1:7" hidden="1" x14ac:dyDescent="0.2">
      <c r="A129" s="11" t="s">
        <v>16</v>
      </c>
      <c r="B129" s="33" t="s">
        <v>184</v>
      </c>
      <c r="C129" s="12">
        <v>0</v>
      </c>
      <c r="D129" s="37">
        <v>1</v>
      </c>
      <c r="E129">
        <f>VLOOKUP(t_config_WaxCell[[#This Row],[Site]],t_config_SiteAvailTime[#Data],MATCH("Total Hours/Week",t_config_SiteAvailTime[#Headers],0),0)*t_config_WaxCell[[#This Row],[Resource Qty]]*t_config_WaxCell[[#This Row],[Active]]</f>
        <v>0</v>
      </c>
      <c r="F129">
        <v>49</v>
      </c>
      <c r="G129" t="e">
        <v>#N/A</v>
      </c>
    </row>
    <row r="130" spans="1:7" hidden="1" x14ac:dyDescent="0.2">
      <c r="A130" s="11" t="s">
        <v>16</v>
      </c>
      <c r="B130" s="33" t="s">
        <v>185</v>
      </c>
      <c r="C130" s="12">
        <v>0</v>
      </c>
      <c r="D130" s="37">
        <v>1</v>
      </c>
      <c r="E130">
        <f>VLOOKUP(t_config_WaxCell[[#This Row],[Site]],t_config_SiteAvailTime[#Data],MATCH("Total Hours/Week",t_config_SiteAvailTime[#Headers],0),0)*t_config_WaxCell[[#This Row],[Resource Qty]]*t_config_WaxCell[[#This Row],[Active]]</f>
        <v>0</v>
      </c>
      <c r="F130">
        <v>50</v>
      </c>
      <c r="G130" t="e">
        <v>#N/A</v>
      </c>
    </row>
  </sheetData>
  <phoneticPr fontId="6" type="noConversion"/>
  <dataValidations count="3">
    <dataValidation type="list" allowBlank="1" showInputMessage="1" showErrorMessage="1" sqref="C81:C130" xr:uid="{81230632-549A-4125-8001-C7C46992DE8C}">
      <formula1>"0,1"</formula1>
    </dataValidation>
    <dataValidation type="list" allowBlank="1" showInputMessage="1" showErrorMessage="1" sqref="B44:B47 B54:B62" xr:uid="{9720D83C-6145-4825-8507-26FF63774E88}">
      <formula1>"Yes,No"</formula1>
    </dataValidation>
    <dataValidation type="list" allowBlank="1" showInputMessage="1" showErrorMessage="1" sqref="A26" xr:uid="{DC7F58A6-909F-43D3-8A4F-7F71C55947BF}">
      <formula1>"Active,APS"</formula1>
    </dataValidation>
  </dataValidations>
  <pageMargins left="0.7" right="0.7" top="0.75" bottom="0.75" header="0.3" footer="0.3"/>
  <pageSetup paperSize="9" orientation="portrait" r:id="rId1"/>
  <headerFooter>
    <oddFooter>&amp;C&amp;1#&amp;"Calibri"&amp;12&amp;K000000Classification: Pandora Internal</oddFooter>
  </headerFooter>
  <ignoredErrors>
    <ignoredError sqref="H72:H75 I72:I75" calculatedColumn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refreshCalendar">
                <anchor moveWithCells="1" sizeWithCells="1">
                  <from>
                    <xdr:col>1</xdr:col>
                    <xdr:colOff>609600</xdr:colOff>
                    <xdr:row>66</xdr:row>
                    <xdr:rowOff>161925</xdr:rowOff>
                  </from>
                  <to>
                    <xdr:col>1</xdr:col>
                    <xdr:colOff>2809875</xdr:colOff>
                    <xdr:row>68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tableParts count="9"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4EB9F-5627-4000-9438-5F11EB987B92}">
  <sheetPr codeName="Sheet17">
    <tabColor theme="5" tint="0.39997558519241921"/>
  </sheetPr>
  <dimension ref="B2:G4"/>
  <sheetViews>
    <sheetView zoomScale="80" zoomScaleNormal="80" workbookViewId="0">
      <selection activeCell="D25" sqref="D25"/>
    </sheetView>
  </sheetViews>
  <sheetFormatPr defaultRowHeight="14.25" x14ac:dyDescent="0.2"/>
  <cols>
    <col min="2" max="2" width="13.5" bestFit="1" customWidth="1"/>
    <col min="3" max="3" width="20.875" bestFit="1" customWidth="1"/>
    <col min="7" max="7" width="13.5" bestFit="1" customWidth="1"/>
  </cols>
  <sheetData>
    <row r="2" spans="2:7" x14ac:dyDescent="0.2">
      <c r="B2" t="s">
        <v>11039</v>
      </c>
      <c r="G2" t="s">
        <v>11040</v>
      </c>
    </row>
    <row r="3" spans="2:7" x14ac:dyDescent="0.2">
      <c r="B3" t="s">
        <v>11037</v>
      </c>
      <c r="C3" t="s">
        <v>11038</v>
      </c>
      <c r="G3" t="s">
        <v>11037</v>
      </c>
    </row>
    <row r="4" spans="2:7" x14ac:dyDescent="0.2">
      <c r="G4" t="s">
        <v>5615</v>
      </c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91600F-67AA-44A2-B6A9-BEA7B669AF20}">
  <sheetPr codeName="Sheet18">
    <tabColor theme="5" tint="0.39997558519241921"/>
  </sheetPr>
  <dimension ref="B3:C4"/>
  <sheetViews>
    <sheetView zoomScale="80" zoomScaleNormal="80" workbookViewId="0">
      <selection activeCell="D43" sqref="D43"/>
    </sheetView>
  </sheetViews>
  <sheetFormatPr defaultRowHeight="14.25" x14ac:dyDescent="0.2"/>
  <cols>
    <col min="2" max="2" width="13.5" bestFit="1" customWidth="1"/>
    <col min="3" max="3" width="15" bestFit="1" customWidth="1"/>
  </cols>
  <sheetData>
    <row r="3" spans="2:3" x14ac:dyDescent="0.2">
      <c r="B3" t="s">
        <v>11037</v>
      </c>
      <c r="C3" t="s">
        <v>11041</v>
      </c>
    </row>
    <row r="4" spans="2:3" x14ac:dyDescent="0.2">
      <c r="B4" t="s">
        <v>5615</v>
      </c>
      <c r="C4">
        <v>1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DA6848-569A-4CC9-A1AA-A1C37E8ED0D7}">
  <sheetPr codeName="Sheet16">
    <tabColor rgb="FF00B0F0"/>
  </sheetPr>
  <dimension ref="A3:D2717"/>
  <sheetViews>
    <sheetView workbookViewId="0">
      <selection activeCell="F19" sqref="F19"/>
    </sheetView>
  </sheetViews>
  <sheetFormatPr defaultRowHeight="14.25" x14ac:dyDescent="0.2"/>
  <cols>
    <col min="1" max="1" width="11.875" bestFit="1" customWidth="1"/>
    <col min="2" max="2" width="12.25" bestFit="1" customWidth="1"/>
    <col min="3" max="3" width="13.75" bestFit="1" customWidth="1"/>
    <col min="4" max="4" width="13.375" bestFit="1" customWidth="1"/>
  </cols>
  <sheetData>
    <row r="3" spans="1:4" x14ac:dyDescent="0.2">
      <c r="A3" s="59" t="s">
        <v>26</v>
      </c>
      <c r="B3" s="59" t="s">
        <v>28</v>
      </c>
      <c r="C3" s="63" t="s">
        <v>61</v>
      </c>
      <c r="D3" s="60" t="s">
        <v>393</v>
      </c>
    </row>
    <row r="4" spans="1:4" x14ac:dyDescent="0.2">
      <c r="A4" s="61" t="s">
        <v>16</v>
      </c>
      <c r="B4" s="61" t="s">
        <v>1031</v>
      </c>
      <c r="C4" s="61" t="s">
        <v>5227</v>
      </c>
      <c r="D4" s="61">
        <v>50</v>
      </c>
    </row>
    <row r="5" spans="1:4" x14ac:dyDescent="0.2">
      <c r="A5" s="61" t="s">
        <v>16</v>
      </c>
      <c r="B5" s="61" t="s">
        <v>1032</v>
      </c>
      <c r="C5" s="61" t="s">
        <v>5228</v>
      </c>
      <c r="D5" s="61">
        <v>50</v>
      </c>
    </row>
    <row r="6" spans="1:4" x14ac:dyDescent="0.2">
      <c r="A6" s="61" t="s">
        <v>16</v>
      </c>
      <c r="B6" s="61" t="s">
        <v>1033</v>
      </c>
      <c r="C6" s="61" t="s">
        <v>1034</v>
      </c>
      <c r="D6" s="61">
        <v>40</v>
      </c>
    </row>
    <row r="7" spans="1:4" x14ac:dyDescent="0.2">
      <c r="A7" s="61" t="s">
        <v>16</v>
      </c>
      <c r="B7" s="61" t="s">
        <v>1035</v>
      </c>
      <c r="C7" s="61" t="s">
        <v>1036</v>
      </c>
      <c r="D7" s="61">
        <v>40</v>
      </c>
    </row>
    <row r="8" spans="1:4" x14ac:dyDescent="0.2">
      <c r="A8" s="61" t="s">
        <v>16</v>
      </c>
      <c r="B8" s="61" t="s">
        <v>1037</v>
      </c>
      <c r="C8" s="61" t="s">
        <v>1038</v>
      </c>
      <c r="D8" s="61">
        <v>40</v>
      </c>
    </row>
    <row r="9" spans="1:4" x14ac:dyDescent="0.2">
      <c r="A9" s="61" t="s">
        <v>16</v>
      </c>
      <c r="B9" s="61" t="s">
        <v>1039</v>
      </c>
      <c r="C9" s="61" t="s">
        <v>5229</v>
      </c>
      <c r="D9" s="61">
        <v>40</v>
      </c>
    </row>
    <row r="10" spans="1:4" x14ac:dyDescent="0.2">
      <c r="A10" s="61" t="s">
        <v>16</v>
      </c>
      <c r="B10" s="61" t="s">
        <v>1040</v>
      </c>
      <c r="C10" s="62" t="s">
        <v>1041</v>
      </c>
      <c r="D10" s="61">
        <v>40</v>
      </c>
    </row>
    <row r="11" spans="1:4" x14ac:dyDescent="0.2">
      <c r="A11" s="61" t="s">
        <v>16</v>
      </c>
      <c r="B11" s="61" t="s">
        <v>1042</v>
      </c>
      <c r="C11" s="62" t="s">
        <v>1043</v>
      </c>
      <c r="D11" s="61">
        <v>40</v>
      </c>
    </row>
    <row r="12" spans="1:4" x14ac:dyDescent="0.2">
      <c r="A12" s="61" t="s">
        <v>16</v>
      </c>
      <c r="B12" s="61" t="s">
        <v>1044</v>
      </c>
      <c r="C12" s="62" t="s">
        <v>1045</v>
      </c>
      <c r="D12" s="61">
        <v>40</v>
      </c>
    </row>
    <row r="13" spans="1:4" x14ac:dyDescent="0.2">
      <c r="A13" s="61" t="s">
        <v>16</v>
      </c>
      <c r="B13" s="61" t="s">
        <v>1046</v>
      </c>
      <c r="C13" s="62" t="s">
        <v>1047</v>
      </c>
      <c r="D13" s="61">
        <v>40</v>
      </c>
    </row>
    <row r="14" spans="1:4" x14ac:dyDescent="0.2">
      <c r="A14" s="62" t="s">
        <v>16</v>
      </c>
      <c r="B14" s="61" t="s">
        <v>1048</v>
      </c>
      <c r="C14" s="62" t="s">
        <v>1049</v>
      </c>
      <c r="D14" s="61">
        <v>40</v>
      </c>
    </row>
    <row r="15" spans="1:4" x14ac:dyDescent="0.2">
      <c r="A15" s="61" t="s">
        <v>16</v>
      </c>
      <c r="B15" s="61" t="s">
        <v>1050</v>
      </c>
      <c r="C15" s="62" t="s">
        <v>5230</v>
      </c>
      <c r="D15" s="61">
        <v>40</v>
      </c>
    </row>
    <row r="16" spans="1:4" x14ac:dyDescent="0.2">
      <c r="A16" s="62" t="s">
        <v>16</v>
      </c>
      <c r="B16" s="61" t="s">
        <v>1051</v>
      </c>
      <c r="C16" s="62" t="s">
        <v>5231</v>
      </c>
      <c r="D16" s="61">
        <v>40</v>
      </c>
    </row>
    <row r="17" spans="1:4" x14ac:dyDescent="0.2">
      <c r="A17" s="61" t="s">
        <v>16</v>
      </c>
      <c r="B17" s="61" t="s">
        <v>1052</v>
      </c>
      <c r="C17" s="62" t="s">
        <v>1053</v>
      </c>
      <c r="D17" s="61">
        <v>40</v>
      </c>
    </row>
    <row r="18" spans="1:4" x14ac:dyDescent="0.2">
      <c r="A18" s="62" t="s">
        <v>16</v>
      </c>
      <c r="B18" s="61" t="s">
        <v>792</v>
      </c>
      <c r="C18" s="62" t="s">
        <v>4938</v>
      </c>
      <c r="D18" s="61">
        <v>40</v>
      </c>
    </row>
    <row r="19" spans="1:4" x14ac:dyDescent="0.2">
      <c r="A19" s="61" t="s">
        <v>16</v>
      </c>
      <c r="B19" s="61" t="s">
        <v>1054</v>
      </c>
      <c r="C19" s="62" t="s">
        <v>1055</v>
      </c>
      <c r="D19" s="61">
        <v>40</v>
      </c>
    </row>
    <row r="20" spans="1:4" x14ac:dyDescent="0.2">
      <c r="A20" s="62" t="s">
        <v>16</v>
      </c>
      <c r="B20" s="61" t="s">
        <v>1056</v>
      </c>
      <c r="C20" s="62" t="s">
        <v>1057</v>
      </c>
      <c r="D20" s="61">
        <v>40</v>
      </c>
    </row>
    <row r="21" spans="1:4" x14ac:dyDescent="0.2">
      <c r="A21" s="61" t="s">
        <v>16</v>
      </c>
      <c r="B21" s="61" t="s">
        <v>1058</v>
      </c>
      <c r="C21" s="62" t="s">
        <v>1059</v>
      </c>
      <c r="D21" s="61">
        <v>40</v>
      </c>
    </row>
    <row r="22" spans="1:4" x14ac:dyDescent="0.2">
      <c r="A22" s="62" t="s">
        <v>16</v>
      </c>
      <c r="B22" s="61" t="s">
        <v>1060</v>
      </c>
      <c r="C22" s="62" t="s">
        <v>1061</v>
      </c>
      <c r="D22" s="61">
        <v>40</v>
      </c>
    </row>
    <row r="23" spans="1:4" x14ac:dyDescent="0.2">
      <c r="A23" s="61" t="s">
        <v>16</v>
      </c>
      <c r="B23" s="61" t="s">
        <v>1062</v>
      </c>
      <c r="C23" s="62" t="s">
        <v>5232</v>
      </c>
      <c r="D23" s="61">
        <v>40</v>
      </c>
    </row>
    <row r="24" spans="1:4" x14ac:dyDescent="0.2">
      <c r="A24" s="62" t="s">
        <v>16</v>
      </c>
      <c r="B24" s="61" t="s">
        <v>969</v>
      </c>
      <c r="C24" s="62" t="s">
        <v>4971</v>
      </c>
      <c r="D24" s="61">
        <v>40</v>
      </c>
    </row>
    <row r="25" spans="1:4" x14ac:dyDescent="0.2">
      <c r="A25" s="61" t="s">
        <v>16</v>
      </c>
      <c r="B25" s="61" t="s">
        <v>1063</v>
      </c>
      <c r="C25" s="62" t="s">
        <v>1064</v>
      </c>
      <c r="D25" s="61">
        <v>40</v>
      </c>
    </row>
    <row r="26" spans="1:4" x14ac:dyDescent="0.2">
      <c r="A26" s="62" t="s">
        <v>16</v>
      </c>
      <c r="B26" s="61" t="s">
        <v>1065</v>
      </c>
      <c r="C26" s="62" t="s">
        <v>1066</v>
      </c>
      <c r="D26" s="61">
        <v>40</v>
      </c>
    </row>
    <row r="27" spans="1:4" x14ac:dyDescent="0.2">
      <c r="A27" s="61" t="s">
        <v>16</v>
      </c>
      <c r="B27" s="61" t="s">
        <v>1067</v>
      </c>
      <c r="C27" s="62" t="s">
        <v>5233</v>
      </c>
      <c r="D27" s="61">
        <v>40</v>
      </c>
    </row>
    <row r="28" spans="1:4" x14ac:dyDescent="0.2">
      <c r="A28" s="62" t="s">
        <v>16</v>
      </c>
      <c r="B28" s="61" t="s">
        <v>1068</v>
      </c>
      <c r="C28" s="62" t="s">
        <v>5234</v>
      </c>
      <c r="D28" s="61">
        <v>40</v>
      </c>
    </row>
    <row r="29" spans="1:4" x14ac:dyDescent="0.2">
      <c r="A29" s="61" t="s">
        <v>16</v>
      </c>
      <c r="B29" s="61" t="s">
        <v>1069</v>
      </c>
      <c r="C29" s="62" t="s">
        <v>5235</v>
      </c>
      <c r="D29" s="61">
        <v>40</v>
      </c>
    </row>
    <row r="30" spans="1:4" x14ac:dyDescent="0.2">
      <c r="A30" s="62" t="s">
        <v>16</v>
      </c>
      <c r="B30" s="61" t="s">
        <v>1070</v>
      </c>
      <c r="C30" s="62" t="s">
        <v>1071</v>
      </c>
      <c r="D30" s="61">
        <v>40</v>
      </c>
    </row>
    <row r="31" spans="1:4" x14ac:dyDescent="0.2">
      <c r="A31" s="61" t="s">
        <v>16</v>
      </c>
      <c r="B31" s="61" t="s">
        <v>1072</v>
      </c>
      <c r="C31" s="62" t="s">
        <v>5236</v>
      </c>
      <c r="D31" s="61">
        <v>50</v>
      </c>
    </row>
    <row r="32" spans="1:4" x14ac:dyDescent="0.2">
      <c r="A32" s="62" t="s">
        <v>16</v>
      </c>
      <c r="B32" s="61" t="s">
        <v>1073</v>
      </c>
      <c r="C32" s="62" t="s">
        <v>5237</v>
      </c>
      <c r="D32" s="61">
        <v>50</v>
      </c>
    </row>
    <row r="33" spans="1:4" x14ac:dyDescent="0.2">
      <c r="A33" s="61" t="s">
        <v>16</v>
      </c>
      <c r="B33" s="61" t="s">
        <v>1074</v>
      </c>
      <c r="C33" s="62" t="s">
        <v>5238</v>
      </c>
      <c r="D33" s="61">
        <v>40</v>
      </c>
    </row>
    <row r="34" spans="1:4" x14ac:dyDescent="0.2">
      <c r="A34" s="62" t="s">
        <v>16</v>
      </c>
      <c r="B34" s="61" t="s">
        <v>1075</v>
      </c>
      <c r="C34" s="62" t="s">
        <v>5239</v>
      </c>
      <c r="D34" s="61">
        <v>40</v>
      </c>
    </row>
    <row r="35" spans="1:4" x14ac:dyDescent="0.2">
      <c r="A35" s="61" t="s">
        <v>16</v>
      </c>
      <c r="B35" s="61" t="s">
        <v>1076</v>
      </c>
      <c r="C35" s="62" t="s">
        <v>5240</v>
      </c>
      <c r="D35" s="61">
        <v>40</v>
      </c>
    </row>
    <row r="36" spans="1:4" x14ac:dyDescent="0.2">
      <c r="A36" s="62" t="s">
        <v>16</v>
      </c>
      <c r="B36" s="61" t="s">
        <v>1077</v>
      </c>
      <c r="C36" s="62" t="s">
        <v>5241</v>
      </c>
      <c r="D36" s="61">
        <v>40</v>
      </c>
    </row>
    <row r="37" spans="1:4" x14ac:dyDescent="0.2">
      <c r="A37" s="61" t="s">
        <v>16</v>
      </c>
      <c r="B37" s="61" t="s">
        <v>1078</v>
      </c>
      <c r="C37" s="62" t="s">
        <v>1079</v>
      </c>
      <c r="D37" s="61">
        <v>40</v>
      </c>
    </row>
    <row r="38" spans="1:4" x14ac:dyDescent="0.2">
      <c r="A38" s="62" t="s">
        <v>16</v>
      </c>
      <c r="B38" s="61" t="s">
        <v>1080</v>
      </c>
      <c r="C38" s="62" t="s">
        <v>1081</v>
      </c>
      <c r="D38" s="61">
        <v>40</v>
      </c>
    </row>
    <row r="39" spans="1:4" x14ac:dyDescent="0.2">
      <c r="A39" s="61" t="s">
        <v>16</v>
      </c>
      <c r="B39" s="61" t="s">
        <v>1082</v>
      </c>
      <c r="C39" s="62" t="s">
        <v>1083</v>
      </c>
      <c r="D39" s="61">
        <v>40</v>
      </c>
    </row>
    <row r="40" spans="1:4" x14ac:dyDescent="0.2">
      <c r="A40" s="62" t="s">
        <v>16</v>
      </c>
      <c r="B40" s="61" t="s">
        <v>1084</v>
      </c>
      <c r="C40" s="62" t="s">
        <v>5242</v>
      </c>
      <c r="D40" s="61">
        <v>50</v>
      </c>
    </row>
    <row r="41" spans="1:4" x14ac:dyDescent="0.2">
      <c r="A41" s="61" t="s">
        <v>16</v>
      </c>
      <c r="B41" s="61" t="s">
        <v>1085</v>
      </c>
      <c r="C41" s="62" t="s">
        <v>5243</v>
      </c>
      <c r="D41" s="61">
        <v>50</v>
      </c>
    </row>
    <row r="42" spans="1:4" x14ac:dyDescent="0.2">
      <c r="A42" s="62" t="s">
        <v>16</v>
      </c>
      <c r="B42" s="61" t="s">
        <v>1086</v>
      </c>
      <c r="C42" s="62" t="s">
        <v>5244</v>
      </c>
      <c r="D42" s="61">
        <v>40</v>
      </c>
    </row>
    <row r="43" spans="1:4" x14ac:dyDescent="0.2">
      <c r="A43" s="61" t="s">
        <v>16</v>
      </c>
      <c r="B43" s="61" t="s">
        <v>1087</v>
      </c>
      <c r="C43" s="62" t="s">
        <v>1088</v>
      </c>
      <c r="D43" s="61">
        <v>40</v>
      </c>
    </row>
    <row r="44" spans="1:4" x14ac:dyDescent="0.2">
      <c r="A44" s="62" t="s">
        <v>16</v>
      </c>
      <c r="B44" s="61" t="s">
        <v>1089</v>
      </c>
      <c r="C44" s="62" t="s">
        <v>1090</v>
      </c>
      <c r="D44" s="61">
        <v>40</v>
      </c>
    </row>
    <row r="45" spans="1:4" x14ac:dyDescent="0.2">
      <c r="A45" s="61" t="s">
        <v>16</v>
      </c>
      <c r="B45" s="61" t="s">
        <v>1091</v>
      </c>
      <c r="C45" s="62" t="s">
        <v>4849</v>
      </c>
      <c r="D45" s="61">
        <v>40</v>
      </c>
    </row>
    <row r="46" spans="1:4" x14ac:dyDescent="0.2">
      <c r="A46" s="62" t="s">
        <v>16</v>
      </c>
      <c r="B46" s="61" t="s">
        <v>1092</v>
      </c>
      <c r="C46" s="62" t="s">
        <v>4850</v>
      </c>
      <c r="D46" s="61">
        <v>40</v>
      </c>
    </row>
    <row r="47" spans="1:4" x14ac:dyDescent="0.2">
      <c r="A47" s="61" t="s">
        <v>16</v>
      </c>
      <c r="B47" s="61" t="s">
        <v>1093</v>
      </c>
      <c r="C47" s="62" t="s">
        <v>1094</v>
      </c>
      <c r="D47" s="61">
        <v>40</v>
      </c>
    </row>
    <row r="48" spans="1:4" x14ac:dyDescent="0.2">
      <c r="A48" s="62" t="s">
        <v>16</v>
      </c>
      <c r="B48" s="61" t="s">
        <v>1095</v>
      </c>
      <c r="C48" s="62" t="s">
        <v>1096</v>
      </c>
      <c r="D48" s="61">
        <v>40</v>
      </c>
    </row>
    <row r="49" spans="1:4" x14ac:dyDescent="0.2">
      <c r="A49" s="61" t="s">
        <v>16</v>
      </c>
      <c r="B49" s="61" t="s">
        <v>1097</v>
      </c>
      <c r="C49" s="62" t="s">
        <v>5245</v>
      </c>
      <c r="D49" s="61">
        <v>40</v>
      </c>
    </row>
    <row r="50" spans="1:4" x14ac:dyDescent="0.2">
      <c r="A50" s="62" t="s">
        <v>16</v>
      </c>
      <c r="B50" s="61" t="s">
        <v>1098</v>
      </c>
      <c r="C50" s="62" t="s">
        <v>1099</v>
      </c>
      <c r="D50" s="61">
        <v>40</v>
      </c>
    </row>
    <row r="51" spans="1:4" x14ac:dyDescent="0.2">
      <c r="A51" s="61" t="s">
        <v>16</v>
      </c>
      <c r="B51" s="61" t="s">
        <v>1100</v>
      </c>
      <c r="C51" s="62" t="s">
        <v>1101</v>
      </c>
      <c r="D51" s="61">
        <v>40</v>
      </c>
    </row>
    <row r="52" spans="1:4" x14ac:dyDescent="0.2">
      <c r="A52" s="62" t="s">
        <v>16</v>
      </c>
      <c r="B52" s="61" t="s">
        <v>1102</v>
      </c>
      <c r="C52" s="62" t="s">
        <v>5246</v>
      </c>
      <c r="D52" s="61">
        <v>40</v>
      </c>
    </row>
    <row r="53" spans="1:4" x14ac:dyDescent="0.2">
      <c r="A53" s="61" t="s">
        <v>16</v>
      </c>
      <c r="B53" s="61" t="s">
        <v>1103</v>
      </c>
      <c r="C53" s="62" t="s">
        <v>1104</v>
      </c>
      <c r="D53" s="61">
        <v>40</v>
      </c>
    </row>
    <row r="54" spans="1:4" x14ac:dyDescent="0.2">
      <c r="A54" s="62" t="s">
        <v>16</v>
      </c>
      <c r="B54" s="61" t="s">
        <v>1105</v>
      </c>
      <c r="C54" s="62" t="s">
        <v>1106</v>
      </c>
      <c r="D54" s="61">
        <v>40</v>
      </c>
    </row>
    <row r="55" spans="1:4" x14ac:dyDescent="0.2">
      <c r="A55" s="61" t="s">
        <v>16</v>
      </c>
      <c r="B55" s="61" t="s">
        <v>1107</v>
      </c>
      <c r="C55" s="62" t="s">
        <v>1108</v>
      </c>
      <c r="D55" s="61">
        <v>40</v>
      </c>
    </row>
    <row r="56" spans="1:4" x14ac:dyDescent="0.2">
      <c r="A56" s="62" t="s">
        <v>16</v>
      </c>
      <c r="B56" s="61" t="s">
        <v>1109</v>
      </c>
      <c r="C56" s="62" t="s">
        <v>1110</v>
      </c>
      <c r="D56" s="61">
        <v>40</v>
      </c>
    </row>
    <row r="57" spans="1:4" x14ac:dyDescent="0.2">
      <c r="A57" s="61" t="s">
        <v>16</v>
      </c>
      <c r="B57" s="61" t="s">
        <v>1111</v>
      </c>
      <c r="C57" s="62" t="s">
        <v>1112</v>
      </c>
      <c r="D57" s="61">
        <v>40</v>
      </c>
    </row>
    <row r="58" spans="1:4" x14ac:dyDescent="0.2">
      <c r="A58" s="62" t="s">
        <v>16</v>
      </c>
      <c r="B58" s="61" t="s">
        <v>1113</v>
      </c>
      <c r="C58" s="62" t="s">
        <v>5247</v>
      </c>
      <c r="D58" s="61">
        <v>40</v>
      </c>
    </row>
    <row r="59" spans="1:4" x14ac:dyDescent="0.2">
      <c r="A59" s="61" t="s">
        <v>16</v>
      </c>
      <c r="B59" s="61" t="s">
        <v>1114</v>
      </c>
      <c r="C59" s="62" t="s">
        <v>5248</v>
      </c>
      <c r="D59" s="61">
        <v>40</v>
      </c>
    </row>
    <row r="60" spans="1:4" x14ac:dyDescent="0.2">
      <c r="A60" s="62" t="s">
        <v>16</v>
      </c>
      <c r="B60" s="61" t="s">
        <v>1115</v>
      </c>
      <c r="C60" s="62" t="s">
        <v>1116</v>
      </c>
      <c r="D60" s="61">
        <v>40</v>
      </c>
    </row>
    <row r="61" spans="1:4" x14ac:dyDescent="0.2">
      <c r="A61" s="61" t="s">
        <v>16</v>
      </c>
      <c r="B61" s="61" t="s">
        <v>1117</v>
      </c>
      <c r="C61" s="62" t="s">
        <v>1118</v>
      </c>
      <c r="D61" s="61">
        <v>40</v>
      </c>
    </row>
    <row r="62" spans="1:4" x14ac:dyDescent="0.2">
      <c r="A62" s="62" t="s">
        <v>16</v>
      </c>
      <c r="B62" s="61" t="s">
        <v>1119</v>
      </c>
      <c r="C62" s="62" t="s">
        <v>5249</v>
      </c>
      <c r="D62" s="61">
        <v>40</v>
      </c>
    </row>
    <row r="63" spans="1:4" x14ac:dyDescent="0.2">
      <c r="A63" s="61" t="s">
        <v>16</v>
      </c>
      <c r="B63" s="61" t="s">
        <v>1120</v>
      </c>
      <c r="C63" s="62" t="s">
        <v>5250</v>
      </c>
      <c r="D63" s="61">
        <v>40</v>
      </c>
    </row>
    <row r="64" spans="1:4" x14ac:dyDescent="0.2">
      <c r="A64" s="62" t="s">
        <v>16</v>
      </c>
      <c r="B64" s="61" t="s">
        <v>1121</v>
      </c>
      <c r="C64" s="62" t="s">
        <v>5251</v>
      </c>
      <c r="D64" s="61">
        <v>40</v>
      </c>
    </row>
    <row r="65" spans="1:4" x14ac:dyDescent="0.2">
      <c r="A65" s="61" t="s">
        <v>16</v>
      </c>
      <c r="B65" s="61" t="s">
        <v>1122</v>
      </c>
      <c r="C65" s="62" t="s">
        <v>5252</v>
      </c>
      <c r="D65" s="61">
        <v>40</v>
      </c>
    </row>
    <row r="66" spans="1:4" x14ac:dyDescent="0.2">
      <c r="A66" s="62" t="s">
        <v>16</v>
      </c>
      <c r="B66" s="61" t="s">
        <v>1123</v>
      </c>
      <c r="C66" s="62" t="s">
        <v>1124</v>
      </c>
      <c r="D66" s="61">
        <v>40</v>
      </c>
    </row>
    <row r="67" spans="1:4" x14ac:dyDescent="0.2">
      <c r="A67" s="61" t="s">
        <v>16</v>
      </c>
      <c r="B67" s="61" t="s">
        <v>1125</v>
      </c>
      <c r="C67" s="62" t="s">
        <v>1126</v>
      </c>
      <c r="D67" s="61">
        <v>40</v>
      </c>
    </row>
    <row r="68" spans="1:4" x14ac:dyDescent="0.2">
      <c r="A68" s="62" t="s">
        <v>16</v>
      </c>
      <c r="B68" s="61" t="s">
        <v>1127</v>
      </c>
      <c r="C68" s="62" t="s">
        <v>1128</v>
      </c>
      <c r="D68" s="61">
        <v>40</v>
      </c>
    </row>
    <row r="69" spans="1:4" x14ac:dyDescent="0.2">
      <c r="A69" s="61" t="s">
        <v>16</v>
      </c>
      <c r="B69" s="61" t="s">
        <v>1129</v>
      </c>
      <c r="C69" s="62" t="s">
        <v>1130</v>
      </c>
      <c r="D69" s="61">
        <v>40</v>
      </c>
    </row>
    <row r="70" spans="1:4" x14ac:dyDescent="0.2">
      <c r="A70" s="62" t="s">
        <v>16</v>
      </c>
      <c r="B70" s="61" t="s">
        <v>1131</v>
      </c>
      <c r="C70" s="62" t="s">
        <v>1132</v>
      </c>
      <c r="D70" s="61">
        <v>40</v>
      </c>
    </row>
    <row r="71" spans="1:4" x14ac:dyDescent="0.2">
      <c r="A71" s="61" t="s">
        <v>16</v>
      </c>
      <c r="B71" s="61" t="s">
        <v>679</v>
      </c>
      <c r="C71" s="62" t="s">
        <v>5253</v>
      </c>
      <c r="D71" s="61">
        <v>40</v>
      </c>
    </row>
    <row r="72" spans="1:4" x14ac:dyDescent="0.2">
      <c r="A72" s="62" t="s">
        <v>16</v>
      </c>
      <c r="B72" s="61" t="s">
        <v>1133</v>
      </c>
      <c r="C72" s="62" t="s">
        <v>1134</v>
      </c>
      <c r="D72" s="61">
        <v>40</v>
      </c>
    </row>
    <row r="73" spans="1:4" x14ac:dyDescent="0.2">
      <c r="A73" s="61" t="s">
        <v>16</v>
      </c>
      <c r="B73" s="61" t="s">
        <v>1135</v>
      </c>
      <c r="C73" s="62" t="s">
        <v>5254</v>
      </c>
      <c r="D73" s="61">
        <v>40</v>
      </c>
    </row>
    <row r="74" spans="1:4" x14ac:dyDescent="0.2">
      <c r="A74" s="62" t="s">
        <v>16</v>
      </c>
      <c r="B74" s="61" t="s">
        <v>1136</v>
      </c>
      <c r="C74" s="62" t="s">
        <v>1137</v>
      </c>
      <c r="D74" s="61">
        <v>40</v>
      </c>
    </row>
    <row r="75" spans="1:4" x14ac:dyDescent="0.2">
      <c r="A75" s="61" t="s">
        <v>16</v>
      </c>
      <c r="B75" s="61" t="s">
        <v>1138</v>
      </c>
      <c r="C75" s="62" t="s">
        <v>1139</v>
      </c>
      <c r="D75" s="61">
        <v>40</v>
      </c>
    </row>
    <row r="76" spans="1:4" x14ac:dyDescent="0.2">
      <c r="A76" s="62" t="s">
        <v>16</v>
      </c>
      <c r="B76" s="61" t="s">
        <v>1140</v>
      </c>
      <c r="C76" s="62" t="s">
        <v>1141</v>
      </c>
      <c r="D76" s="61">
        <v>40</v>
      </c>
    </row>
    <row r="77" spans="1:4" x14ac:dyDescent="0.2">
      <c r="A77" s="61" t="s">
        <v>16</v>
      </c>
      <c r="B77" s="61" t="s">
        <v>1142</v>
      </c>
      <c r="C77" s="62" t="s">
        <v>5255</v>
      </c>
      <c r="D77" s="61">
        <v>40</v>
      </c>
    </row>
    <row r="78" spans="1:4" x14ac:dyDescent="0.2">
      <c r="A78" s="62" t="s">
        <v>16</v>
      </c>
      <c r="B78" s="61" t="s">
        <v>1143</v>
      </c>
      <c r="C78" s="62" t="s">
        <v>1144</v>
      </c>
      <c r="D78" s="61">
        <v>40</v>
      </c>
    </row>
    <row r="79" spans="1:4" x14ac:dyDescent="0.2">
      <c r="A79" s="61" t="s">
        <v>16</v>
      </c>
      <c r="B79" s="61" t="s">
        <v>1145</v>
      </c>
      <c r="C79" s="62" t="s">
        <v>5256</v>
      </c>
      <c r="D79" s="61">
        <v>40</v>
      </c>
    </row>
    <row r="80" spans="1:4" x14ac:dyDescent="0.2">
      <c r="A80" s="62" t="s">
        <v>16</v>
      </c>
      <c r="B80" s="61" t="s">
        <v>1146</v>
      </c>
      <c r="C80" s="62" t="s">
        <v>1147</v>
      </c>
      <c r="D80" s="61">
        <v>40</v>
      </c>
    </row>
    <row r="81" spans="1:4" x14ac:dyDescent="0.2">
      <c r="A81" s="61" t="s">
        <v>16</v>
      </c>
      <c r="B81" s="61" t="s">
        <v>1148</v>
      </c>
      <c r="C81" s="62" t="s">
        <v>1149</v>
      </c>
      <c r="D81" s="61">
        <v>40</v>
      </c>
    </row>
    <row r="82" spans="1:4" x14ac:dyDescent="0.2">
      <c r="A82" s="62" t="s">
        <v>16</v>
      </c>
      <c r="B82" s="61" t="s">
        <v>1150</v>
      </c>
      <c r="C82" s="62" t="s">
        <v>1151</v>
      </c>
      <c r="D82" s="61">
        <v>40</v>
      </c>
    </row>
    <row r="83" spans="1:4" x14ac:dyDescent="0.2">
      <c r="A83" s="61" t="s">
        <v>16</v>
      </c>
      <c r="B83" s="61" t="s">
        <v>1152</v>
      </c>
      <c r="C83" s="62" t="s">
        <v>1153</v>
      </c>
      <c r="D83" s="61">
        <v>40</v>
      </c>
    </row>
    <row r="84" spans="1:4" x14ac:dyDescent="0.2">
      <c r="A84" s="62" t="s">
        <v>16</v>
      </c>
      <c r="B84" s="61" t="s">
        <v>1154</v>
      </c>
      <c r="C84" s="62" t="s">
        <v>1155</v>
      </c>
      <c r="D84" s="61">
        <v>40</v>
      </c>
    </row>
    <row r="85" spans="1:4" x14ac:dyDescent="0.2">
      <c r="A85" s="61" t="s">
        <v>16</v>
      </c>
      <c r="B85" s="61" t="s">
        <v>1156</v>
      </c>
      <c r="C85" s="62" t="s">
        <v>1157</v>
      </c>
      <c r="D85" s="61">
        <v>40</v>
      </c>
    </row>
    <row r="86" spans="1:4" x14ac:dyDescent="0.2">
      <c r="A86" s="62" t="s">
        <v>16</v>
      </c>
      <c r="B86" s="61" t="s">
        <v>1158</v>
      </c>
      <c r="C86" s="62" t="s">
        <v>1159</v>
      </c>
      <c r="D86" s="61">
        <v>40</v>
      </c>
    </row>
    <row r="87" spans="1:4" x14ac:dyDescent="0.2">
      <c r="A87" s="61" t="s">
        <v>16</v>
      </c>
      <c r="B87" s="61" t="s">
        <v>1160</v>
      </c>
      <c r="C87" s="62" t="s">
        <v>1161</v>
      </c>
      <c r="D87" s="61">
        <v>40</v>
      </c>
    </row>
    <row r="88" spans="1:4" x14ac:dyDescent="0.2">
      <c r="A88" s="62" t="s">
        <v>16</v>
      </c>
      <c r="B88" s="61" t="s">
        <v>1162</v>
      </c>
      <c r="C88" s="62" t="s">
        <v>1163</v>
      </c>
      <c r="D88" s="61">
        <v>40</v>
      </c>
    </row>
    <row r="89" spans="1:4" x14ac:dyDescent="0.2">
      <c r="A89" s="61" t="s">
        <v>16</v>
      </c>
      <c r="B89" s="61" t="s">
        <v>1164</v>
      </c>
      <c r="C89" s="62" t="s">
        <v>1165</v>
      </c>
      <c r="D89" s="61">
        <v>40</v>
      </c>
    </row>
    <row r="90" spans="1:4" x14ac:dyDescent="0.2">
      <c r="A90" s="62" t="s">
        <v>16</v>
      </c>
      <c r="B90" s="61" t="s">
        <v>1166</v>
      </c>
      <c r="C90" s="62" t="s">
        <v>1167</v>
      </c>
      <c r="D90" s="61">
        <v>40</v>
      </c>
    </row>
    <row r="91" spans="1:4" x14ac:dyDescent="0.2">
      <c r="A91" s="61" t="s">
        <v>16</v>
      </c>
      <c r="B91" s="61" t="s">
        <v>1168</v>
      </c>
      <c r="C91" s="62" t="s">
        <v>1169</v>
      </c>
      <c r="D91" s="61">
        <v>40</v>
      </c>
    </row>
    <row r="92" spans="1:4" x14ac:dyDescent="0.2">
      <c r="A92" s="62" t="s">
        <v>16</v>
      </c>
      <c r="B92" s="61" t="s">
        <v>1170</v>
      </c>
      <c r="C92" s="62" t="s">
        <v>1171</v>
      </c>
      <c r="D92" s="61">
        <v>40</v>
      </c>
    </row>
    <row r="93" spans="1:4" x14ac:dyDescent="0.2">
      <c r="A93" s="61" t="s">
        <v>16</v>
      </c>
      <c r="B93" s="61" t="s">
        <v>1172</v>
      </c>
      <c r="C93" s="62" t="s">
        <v>5257</v>
      </c>
      <c r="D93" s="61">
        <v>40</v>
      </c>
    </row>
    <row r="94" spans="1:4" x14ac:dyDescent="0.2">
      <c r="A94" s="62" t="s">
        <v>16</v>
      </c>
      <c r="B94" s="61" t="s">
        <v>1173</v>
      </c>
      <c r="C94" s="62" t="s">
        <v>5258</v>
      </c>
      <c r="D94" s="61">
        <v>40</v>
      </c>
    </row>
    <row r="95" spans="1:4" x14ac:dyDescent="0.2">
      <c r="A95" s="61" t="s">
        <v>16</v>
      </c>
      <c r="B95" s="61" t="s">
        <v>1174</v>
      </c>
      <c r="C95" s="62" t="s">
        <v>5259</v>
      </c>
      <c r="D95" s="61">
        <v>50</v>
      </c>
    </row>
    <row r="96" spans="1:4" x14ac:dyDescent="0.2">
      <c r="A96" s="62" t="s">
        <v>16</v>
      </c>
      <c r="B96" s="61" t="s">
        <v>1175</v>
      </c>
      <c r="C96" s="62" t="s">
        <v>5260</v>
      </c>
      <c r="D96" s="61">
        <v>50</v>
      </c>
    </row>
    <row r="97" spans="1:4" x14ac:dyDescent="0.2">
      <c r="A97" s="61" t="s">
        <v>16</v>
      </c>
      <c r="B97" s="61" t="s">
        <v>1176</v>
      </c>
      <c r="C97" s="62" t="s">
        <v>1177</v>
      </c>
      <c r="D97" s="61">
        <v>40</v>
      </c>
    </row>
    <row r="98" spans="1:4" x14ac:dyDescent="0.2">
      <c r="A98" s="62" t="s">
        <v>16</v>
      </c>
      <c r="B98" s="61" t="s">
        <v>1178</v>
      </c>
      <c r="C98" s="62" t="s">
        <v>1179</v>
      </c>
      <c r="D98" s="61">
        <v>40</v>
      </c>
    </row>
    <row r="99" spans="1:4" x14ac:dyDescent="0.2">
      <c r="A99" s="61" t="s">
        <v>16</v>
      </c>
      <c r="B99" s="61" t="s">
        <v>1180</v>
      </c>
      <c r="C99" s="62" t="s">
        <v>1181</v>
      </c>
      <c r="D99" s="61">
        <v>40</v>
      </c>
    </row>
    <row r="100" spans="1:4" x14ac:dyDescent="0.2">
      <c r="A100" s="62" t="s">
        <v>16</v>
      </c>
      <c r="B100" s="61" t="s">
        <v>1182</v>
      </c>
      <c r="C100" s="62" t="s">
        <v>1183</v>
      </c>
      <c r="D100" s="61">
        <v>40</v>
      </c>
    </row>
    <row r="101" spans="1:4" x14ac:dyDescent="0.2">
      <c r="A101" s="61" t="s">
        <v>16</v>
      </c>
      <c r="B101" s="61" t="s">
        <v>1184</v>
      </c>
      <c r="C101" s="62" t="s">
        <v>1185</v>
      </c>
      <c r="D101" s="61">
        <v>40</v>
      </c>
    </row>
    <row r="102" spans="1:4" x14ac:dyDescent="0.2">
      <c r="A102" s="62" t="s">
        <v>16</v>
      </c>
      <c r="B102" s="61" t="s">
        <v>1186</v>
      </c>
      <c r="C102" s="62" t="s">
        <v>1187</v>
      </c>
      <c r="D102" s="61">
        <v>40</v>
      </c>
    </row>
    <row r="103" spans="1:4" x14ac:dyDescent="0.2">
      <c r="A103" s="61" t="s">
        <v>16</v>
      </c>
      <c r="B103" s="61" t="s">
        <v>1188</v>
      </c>
      <c r="C103" s="62" t="s">
        <v>1189</v>
      </c>
      <c r="D103" s="61">
        <v>40</v>
      </c>
    </row>
    <row r="104" spans="1:4" x14ac:dyDescent="0.2">
      <c r="A104" s="62" t="s">
        <v>16</v>
      </c>
      <c r="B104" s="61" t="s">
        <v>1190</v>
      </c>
      <c r="C104" s="62" t="s">
        <v>1191</v>
      </c>
      <c r="D104" s="61">
        <v>40</v>
      </c>
    </row>
    <row r="105" spans="1:4" x14ac:dyDescent="0.2">
      <c r="A105" s="61" t="s">
        <v>16</v>
      </c>
      <c r="B105" s="61" t="s">
        <v>1192</v>
      </c>
      <c r="C105" s="62" t="s">
        <v>1193</v>
      </c>
      <c r="D105" s="61">
        <v>40</v>
      </c>
    </row>
    <row r="106" spans="1:4" x14ac:dyDescent="0.2">
      <c r="A106" s="62" t="s">
        <v>16</v>
      </c>
      <c r="B106" s="61" t="s">
        <v>1194</v>
      </c>
      <c r="C106" s="62" t="s">
        <v>1195</v>
      </c>
      <c r="D106" s="61">
        <v>40</v>
      </c>
    </row>
    <row r="107" spans="1:4" x14ac:dyDescent="0.2">
      <c r="A107" s="61" t="s">
        <v>16</v>
      </c>
      <c r="B107" s="61" t="s">
        <v>1196</v>
      </c>
      <c r="C107" s="62" t="s">
        <v>1197</v>
      </c>
      <c r="D107" s="61">
        <v>40</v>
      </c>
    </row>
    <row r="108" spans="1:4" x14ac:dyDescent="0.2">
      <c r="A108" s="62" t="s">
        <v>16</v>
      </c>
      <c r="B108" s="61" t="s">
        <v>1198</v>
      </c>
      <c r="C108" s="62" t="s">
        <v>5261</v>
      </c>
      <c r="D108" s="61">
        <v>40</v>
      </c>
    </row>
    <row r="109" spans="1:4" x14ac:dyDescent="0.2">
      <c r="A109" s="61" t="s">
        <v>16</v>
      </c>
      <c r="B109" s="61" t="s">
        <v>1199</v>
      </c>
      <c r="C109" s="62" t="s">
        <v>5262</v>
      </c>
      <c r="D109" s="61">
        <v>40</v>
      </c>
    </row>
    <row r="110" spans="1:4" x14ac:dyDescent="0.2">
      <c r="A110" s="62" t="s">
        <v>16</v>
      </c>
      <c r="B110" s="61" t="s">
        <v>425</v>
      </c>
      <c r="C110" s="62" t="s">
        <v>5263</v>
      </c>
      <c r="D110" s="61">
        <v>40</v>
      </c>
    </row>
    <row r="111" spans="1:4" x14ac:dyDescent="0.2">
      <c r="A111" s="61" t="s">
        <v>16</v>
      </c>
      <c r="B111" s="61" t="s">
        <v>430</v>
      </c>
      <c r="C111" s="62" t="s">
        <v>5264</v>
      </c>
      <c r="D111" s="61">
        <v>40</v>
      </c>
    </row>
    <row r="112" spans="1:4" x14ac:dyDescent="0.2">
      <c r="A112" s="62" t="s">
        <v>16</v>
      </c>
      <c r="B112" s="61" t="s">
        <v>1200</v>
      </c>
      <c r="C112" s="62" t="s">
        <v>5265</v>
      </c>
      <c r="D112" s="61">
        <v>40</v>
      </c>
    </row>
    <row r="113" spans="1:4" x14ac:dyDescent="0.2">
      <c r="A113" s="61" t="s">
        <v>16</v>
      </c>
      <c r="B113" s="61" t="s">
        <v>1201</v>
      </c>
      <c r="C113" s="62" t="s">
        <v>5266</v>
      </c>
      <c r="D113" s="61">
        <v>40</v>
      </c>
    </row>
    <row r="114" spans="1:4" x14ac:dyDescent="0.2">
      <c r="A114" s="62" t="s">
        <v>16</v>
      </c>
      <c r="B114" s="61" t="s">
        <v>426</v>
      </c>
      <c r="C114" s="62" t="s">
        <v>5267</v>
      </c>
      <c r="D114" s="61">
        <v>40</v>
      </c>
    </row>
    <row r="115" spans="1:4" x14ac:dyDescent="0.2">
      <c r="A115" s="61" t="s">
        <v>16</v>
      </c>
      <c r="B115" s="61" t="s">
        <v>431</v>
      </c>
      <c r="C115" s="62" t="s">
        <v>5268</v>
      </c>
      <c r="D115" s="61">
        <v>40</v>
      </c>
    </row>
    <row r="116" spans="1:4" x14ac:dyDescent="0.2">
      <c r="A116" s="62" t="s">
        <v>16</v>
      </c>
      <c r="B116" s="61" t="s">
        <v>1202</v>
      </c>
      <c r="C116" s="62" t="s">
        <v>5269</v>
      </c>
      <c r="D116" s="61">
        <v>40</v>
      </c>
    </row>
    <row r="117" spans="1:4" x14ac:dyDescent="0.2">
      <c r="A117" s="61" t="s">
        <v>16</v>
      </c>
      <c r="B117" s="61" t="s">
        <v>1203</v>
      </c>
      <c r="C117" s="62" t="s">
        <v>5270</v>
      </c>
      <c r="D117" s="61">
        <v>40</v>
      </c>
    </row>
    <row r="118" spans="1:4" x14ac:dyDescent="0.2">
      <c r="A118" s="62" t="s">
        <v>16</v>
      </c>
      <c r="B118" s="61" t="s">
        <v>1204</v>
      </c>
      <c r="C118" s="62" t="s">
        <v>5271</v>
      </c>
      <c r="D118" s="61">
        <v>40</v>
      </c>
    </row>
    <row r="119" spans="1:4" x14ac:dyDescent="0.2">
      <c r="A119" s="61" t="s">
        <v>16</v>
      </c>
      <c r="B119" s="61" t="s">
        <v>599</v>
      </c>
      <c r="C119" s="62" t="s">
        <v>4913</v>
      </c>
      <c r="D119" s="61">
        <v>40</v>
      </c>
    </row>
    <row r="120" spans="1:4" x14ac:dyDescent="0.2">
      <c r="A120" s="62" t="s">
        <v>16</v>
      </c>
      <c r="B120" s="61" t="s">
        <v>603</v>
      </c>
      <c r="C120" s="62" t="s">
        <v>4909</v>
      </c>
      <c r="D120" s="61">
        <v>40</v>
      </c>
    </row>
    <row r="121" spans="1:4" x14ac:dyDescent="0.2">
      <c r="A121" s="61" t="s">
        <v>16</v>
      </c>
      <c r="B121" s="61" t="s">
        <v>1205</v>
      </c>
      <c r="C121" s="62" t="s">
        <v>1206</v>
      </c>
      <c r="D121" s="61">
        <v>40</v>
      </c>
    </row>
    <row r="122" spans="1:4" x14ac:dyDescent="0.2">
      <c r="A122" s="62" t="s">
        <v>16</v>
      </c>
      <c r="B122" s="61" t="s">
        <v>1207</v>
      </c>
      <c r="C122" s="62" t="s">
        <v>1208</v>
      </c>
      <c r="D122" s="61">
        <v>40</v>
      </c>
    </row>
    <row r="123" spans="1:4" x14ac:dyDescent="0.2">
      <c r="A123" s="61" t="s">
        <v>16</v>
      </c>
      <c r="B123" s="61" t="s">
        <v>1209</v>
      </c>
      <c r="C123" s="62" t="s">
        <v>1210</v>
      </c>
      <c r="D123" s="61">
        <v>40</v>
      </c>
    </row>
    <row r="124" spans="1:4" x14ac:dyDescent="0.2">
      <c r="A124" s="62" t="s">
        <v>16</v>
      </c>
      <c r="B124" s="61" t="s">
        <v>1211</v>
      </c>
      <c r="C124" s="62" t="s">
        <v>1212</v>
      </c>
      <c r="D124" s="61">
        <v>40</v>
      </c>
    </row>
    <row r="125" spans="1:4" x14ac:dyDescent="0.2">
      <c r="A125" s="61" t="s">
        <v>16</v>
      </c>
      <c r="B125" s="61" t="s">
        <v>1213</v>
      </c>
      <c r="C125" s="62" t="s">
        <v>1214</v>
      </c>
      <c r="D125" s="61">
        <v>40</v>
      </c>
    </row>
    <row r="126" spans="1:4" x14ac:dyDescent="0.2">
      <c r="A126" s="62" t="s">
        <v>16</v>
      </c>
      <c r="B126" s="61" t="s">
        <v>1215</v>
      </c>
      <c r="C126" s="62" t="s">
        <v>1216</v>
      </c>
      <c r="D126" s="61">
        <v>40</v>
      </c>
    </row>
    <row r="127" spans="1:4" x14ac:dyDescent="0.2">
      <c r="A127" s="61" t="s">
        <v>16</v>
      </c>
      <c r="B127" s="61" t="s">
        <v>1217</v>
      </c>
      <c r="C127" s="62" t="s">
        <v>1218</v>
      </c>
      <c r="D127" s="61">
        <v>40</v>
      </c>
    </row>
    <row r="128" spans="1:4" x14ac:dyDescent="0.2">
      <c r="A128" s="62" t="s">
        <v>16</v>
      </c>
      <c r="B128" s="61" t="s">
        <v>1219</v>
      </c>
      <c r="C128" s="62" t="s">
        <v>1220</v>
      </c>
      <c r="D128" s="61">
        <v>40</v>
      </c>
    </row>
    <row r="129" spans="1:4" x14ac:dyDescent="0.2">
      <c r="A129" s="61" t="s">
        <v>16</v>
      </c>
      <c r="B129" s="61" t="s">
        <v>1221</v>
      </c>
      <c r="C129" s="62" t="s">
        <v>1222</v>
      </c>
      <c r="D129" s="61">
        <v>40</v>
      </c>
    </row>
    <row r="130" spans="1:4" x14ac:dyDescent="0.2">
      <c r="A130" s="62" t="s">
        <v>16</v>
      </c>
      <c r="B130" s="61" t="s">
        <v>1223</v>
      </c>
      <c r="C130" s="62" t="s">
        <v>5272</v>
      </c>
      <c r="D130" s="61">
        <v>40</v>
      </c>
    </row>
    <row r="131" spans="1:4" x14ac:dyDescent="0.2">
      <c r="A131" s="61" t="s">
        <v>16</v>
      </c>
      <c r="B131" s="61" t="s">
        <v>1224</v>
      </c>
      <c r="C131" s="62" t="s">
        <v>1225</v>
      </c>
      <c r="D131" s="61">
        <v>40</v>
      </c>
    </row>
    <row r="132" spans="1:4" x14ac:dyDescent="0.2">
      <c r="A132" s="62" t="s">
        <v>16</v>
      </c>
      <c r="B132" s="61" t="s">
        <v>1226</v>
      </c>
      <c r="C132" s="62" t="s">
        <v>1227</v>
      </c>
      <c r="D132" s="61">
        <v>40</v>
      </c>
    </row>
    <row r="133" spans="1:4" x14ac:dyDescent="0.2">
      <c r="A133" s="61" t="s">
        <v>16</v>
      </c>
      <c r="B133" s="61" t="s">
        <v>1228</v>
      </c>
      <c r="C133" s="62" t="s">
        <v>5273</v>
      </c>
      <c r="D133" s="61">
        <v>40</v>
      </c>
    </row>
    <row r="134" spans="1:4" x14ac:dyDescent="0.2">
      <c r="A134" s="62" t="s">
        <v>16</v>
      </c>
      <c r="B134" s="61" t="s">
        <v>1229</v>
      </c>
      <c r="C134" s="62" t="s">
        <v>5274</v>
      </c>
      <c r="D134" s="61">
        <v>40</v>
      </c>
    </row>
    <row r="135" spans="1:4" x14ac:dyDescent="0.2">
      <c r="A135" s="61" t="s">
        <v>16</v>
      </c>
      <c r="B135" s="61" t="s">
        <v>1230</v>
      </c>
      <c r="C135" s="62" t="s">
        <v>1231</v>
      </c>
      <c r="D135" s="61">
        <v>40</v>
      </c>
    </row>
    <row r="136" spans="1:4" x14ac:dyDescent="0.2">
      <c r="A136" s="62" t="s">
        <v>16</v>
      </c>
      <c r="B136" s="61" t="s">
        <v>1232</v>
      </c>
      <c r="C136" s="62" t="s">
        <v>1233</v>
      </c>
      <c r="D136" s="61">
        <v>40</v>
      </c>
    </row>
    <row r="137" spans="1:4" x14ac:dyDescent="0.2">
      <c r="A137" s="61" t="s">
        <v>16</v>
      </c>
      <c r="B137" s="61" t="s">
        <v>1234</v>
      </c>
      <c r="C137" s="62" t="s">
        <v>1235</v>
      </c>
      <c r="D137" s="61">
        <v>40</v>
      </c>
    </row>
    <row r="138" spans="1:4" x14ac:dyDescent="0.2">
      <c r="A138" s="62" t="s">
        <v>16</v>
      </c>
      <c r="B138" s="61" t="s">
        <v>1236</v>
      </c>
      <c r="C138" s="62" t="s">
        <v>1237</v>
      </c>
      <c r="D138" s="61">
        <v>50</v>
      </c>
    </row>
    <row r="139" spans="1:4" x14ac:dyDescent="0.2">
      <c r="A139" s="61" t="s">
        <v>16</v>
      </c>
      <c r="B139" s="61" t="s">
        <v>1238</v>
      </c>
      <c r="C139" s="62" t="s">
        <v>1239</v>
      </c>
      <c r="D139" s="61">
        <v>50</v>
      </c>
    </row>
    <row r="140" spans="1:4" x14ac:dyDescent="0.2">
      <c r="A140" s="62" t="s">
        <v>16</v>
      </c>
      <c r="B140" s="61" t="s">
        <v>1240</v>
      </c>
      <c r="C140" s="62" t="s">
        <v>1241</v>
      </c>
      <c r="D140" s="61">
        <v>40</v>
      </c>
    </row>
    <row r="141" spans="1:4" x14ac:dyDescent="0.2">
      <c r="A141" s="61" t="s">
        <v>16</v>
      </c>
      <c r="B141" s="61" t="s">
        <v>1242</v>
      </c>
      <c r="C141" s="62" t="s">
        <v>1243</v>
      </c>
      <c r="D141" s="61">
        <v>40</v>
      </c>
    </row>
    <row r="142" spans="1:4" x14ac:dyDescent="0.2">
      <c r="A142" s="62" t="s">
        <v>16</v>
      </c>
      <c r="B142" s="61" t="s">
        <v>1244</v>
      </c>
      <c r="C142" s="62" t="s">
        <v>1245</v>
      </c>
      <c r="D142" s="61">
        <v>40</v>
      </c>
    </row>
    <row r="143" spans="1:4" x14ac:dyDescent="0.2">
      <c r="A143" s="61" t="s">
        <v>16</v>
      </c>
      <c r="B143" s="61" t="s">
        <v>1246</v>
      </c>
      <c r="C143" s="62" t="s">
        <v>1247</v>
      </c>
      <c r="D143" s="61">
        <v>40</v>
      </c>
    </row>
    <row r="144" spans="1:4" x14ac:dyDescent="0.2">
      <c r="A144" s="62" t="s">
        <v>16</v>
      </c>
      <c r="B144" s="61" t="s">
        <v>602</v>
      </c>
      <c r="C144" s="62" t="s">
        <v>5275</v>
      </c>
      <c r="D144" s="61">
        <v>40</v>
      </c>
    </row>
    <row r="145" spans="1:4" x14ac:dyDescent="0.2">
      <c r="A145" s="61" t="s">
        <v>16</v>
      </c>
      <c r="B145" s="61" t="s">
        <v>591</v>
      </c>
      <c r="C145" s="62" t="s">
        <v>5276</v>
      </c>
      <c r="D145" s="61">
        <v>40</v>
      </c>
    </row>
    <row r="146" spans="1:4" x14ac:dyDescent="0.2">
      <c r="A146" s="62" t="s">
        <v>16</v>
      </c>
      <c r="B146" s="61" t="s">
        <v>1248</v>
      </c>
      <c r="C146" s="62" t="s">
        <v>1249</v>
      </c>
      <c r="D146" s="61">
        <v>40</v>
      </c>
    </row>
    <row r="147" spans="1:4" x14ac:dyDescent="0.2">
      <c r="A147" s="61" t="s">
        <v>16</v>
      </c>
      <c r="B147" s="61" t="s">
        <v>1250</v>
      </c>
      <c r="C147" s="62" t="s">
        <v>1251</v>
      </c>
      <c r="D147" s="61">
        <v>40</v>
      </c>
    </row>
    <row r="148" spans="1:4" x14ac:dyDescent="0.2">
      <c r="A148" s="62" t="s">
        <v>16</v>
      </c>
      <c r="B148" s="61" t="s">
        <v>1252</v>
      </c>
      <c r="C148" s="62" t="s">
        <v>1253</v>
      </c>
      <c r="D148" s="61">
        <v>40</v>
      </c>
    </row>
    <row r="149" spans="1:4" x14ac:dyDescent="0.2">
      <c r="A149" s="61" t="s">
        <v>16</v>
      </c>
      <c r="B149" s="61" t="s">
        <v>1254</v>
      </c>
      <c r="C149" s="62" t="s">
        <v>1255</v>
      </c>
      <c r="D149" s="61">
        <v>40</v>
      </c>
    </row>
    <row r="150" spans="1:4" x14ac:dyDescent="0.2">
      <c r="A150" s="62" t="s">
        <v>16</v>
      </c>
      <c r="B150" s="61" t="s">
        <v>1256</v>
      </c>
      <c r="C150" s="62" t="s">
        <v>1257</v>
      </c>
      <c r="D150" s="61">
        <v>40</v>
      </c>
    </row>
    <row r="151" spans="1:4" x14ac:dyDescent="0.2">
      <c r="A151" s="61" t="s">
        <v>16</v>
      </c>
      <c r="B151" s="61" t="s">
        <v>1258</v>
      </c>
      <c r="C151" s="62" t="s">
        <v>1259</v>
      </c>
      <c r="D151" s="61">
        <v>40</v>
      </c>
    </row>
    <row r="152" spans="1:4" x14ac:dyDescent="0.2">
      <c r="A152" s="62" t="s">
        <v>16</v>
      </c>
      <c r="B152" s="61" t="s">
        <v>1260</v>
      </c>
      <c r="C152" s="62" t="s">
        <v>1261</v>
      </c>
      <c r="D152" s="61">
        <v>40</v>
      </c>
    </row>
    <row r="153" spans="1:4" x14ac:dyDescent="0.2">
      <c r="A153" s="61" t="s">
        <v>16</v>
      </c>
      <c r="B153" s="61" t="s">
        <v>1262</v>
      </c>
      <c r="C153" s="62" t="s">
        <v>1263</v>
      </c>
      <c r="D153" s="61">
        <v>40</v>
      </c>
    </row>
    <row r="154" spans="1:4" x14ac:dyDescent="0.2">
      <c r="A154" s="62" t="s">
        <v>16</v>
      </c>
      <c r="B154" s="61" t="s">
        <v>1264</v>
      </c>
      <c r="C154" s="62" t="s">
        <v>1265</v>
      </c>
      <c r="D154" s="61">
        <v>40</v>
      </c>
    </row>
    <row r="155" spans="1:4" x14ac:dyDescent="0.2">
      <c r="A155" s="61" t="s">
        <v>16</v>
      </c>
      <c r="B155" s="61" t="s">
        <v>1266</v>
      </c>
      <c r="C155" s="62" t="s">
        <v>1267</v>
      </c>
      <c r="D155" s="61">
        <v>40</v>
      </c>
    </row>
    <row r="156" spans="1:4" x14ac:dyDescent="0.2">
      <c r="A156" s="62" t="s">
        <v>16</v>
      </c>
      <c r="B156" s="61" t="s">
        <v>1268</v>
      </c>
      <c r="C156" s="62" t="s">
        <v>1269</v>
      </c>
      <c r="D156" s="61">
        <v>40</v>
      </c>
    </row>
    <row r="157" spans="1:4" x14ac:dyDescent="0.2">
      <c r="A157" s="61" t="s">
        <v>16</v>
      </c>
      <c r="B157" s="61" t="s">
        <v>1270</v>
      </c>
      <c r="C157" s="62" t="s">
        <v>1271</v>
      </c>
      <c r="D157" s="61">
        <v>40</v>
      </c>
    </row>
    <row r="158" spans="1:4" x14ac:dyDescent="0.2">
      <c r="A158" s="62" t="s">
        <v>16</v>
      </c>
      <c r="B158" s="61" t="s">
        <v>1272</v>
      </c>
      <c r="C158" s="62" t="s">
        <v>5277</v>
      </c>
      <c r="D158" s="61">
        <v>40</v>
      </c>
    </row>
    <row r="159" spans="1:4" x14ac:dyDescent="0.2">
      <c r="A159" s="61" t="s">
        <v>16</v>
      </c>
      <c r="B159" s="61" t="s">
        <v>838</v>
      </c>
      <c r="C159" s="62" t="s">
        <v>4864</v>
      </c>
      <c r="D159" s="61">
        <v>40</v>
      </c>
    </row>
    <row r="160" spans="1:4" x14ac:dyDescent="0.2">
      <c r="A160" s="62" t="s">
        <v>16</v>
      </c>
      <c r="B160" s="61" t="s">
        <v>917</v>
      </c>
      <c r="C160" s="62" t="s">
        <v>4866</v>
      </c>
      <c r="D160" s="61">
        <v>40</v>
      </c>
    </row>
    <row r="161" spans="1:4" x14ac:dyDescent="0.2">
      <c r="A161" s="61" t="s">
        <v>16</v>
      </c>
      <c r="B161" s="61" t="s">
        <v>1273</v>
      </c>
      <c r="C161" s="62" t="s">
        <v>1274</v>
      </c>
      <c r="D161" s="61">
        <v>40</v>
      </c>
    </row>
    <row r="162" spans="1:4" x14ac:dyDescent="0.2">
      <c r="A162" s="62" t="s">
        <v>16</v>
      </c>
      <c r="B162" s="61" t="s">
        <v>1275</v>
      </c>
      <c r="C162" s="62" t="s">
        <v>5278</v>
      </c>
      <c r="D162" s="61">
        <v>40</v>
      </c>
    </row>
    <row r="163" spans="1:4" x14ac:dyDescent="0.2">
      <c r="A163" s="61" t="s">
        <v>16</v>
      </c>
      <c r="B163" s="61" t="s">
        <v>308</v>
      </c>
      <c r="C163" s="62" t="s">
        <v>4810</v>
      </c>
      <c r="D163" s="61">
        <v>40</v>
      </c>
    </row>
    <row r="164" spans="1:4" x14ac:dyDescent="0.2">
      <c r="A164" s="62" t="s">
        <v>16</v>
      </c>
      <c r="B164" s="61" t="s">
        <v>1276</v>
      </c>
      <c r="C164" s="62" t="s">
        <v>5279</v>
      </c>
      <c r="D164" s="61">
        <v>40</v>
      </c>
    </row>
    <row r="165" spans="1:4" x14ac:dyDescent="0.2">
      <c r="A165" s="61" t="s">
        <v>16</v>
      </c>
      <c r="B165" s="61" t="s">
        <v>1277</v>
      </c>
      <c r="C165" s="62" t="s">
        <v>1278</v>
      </c>
      <c r="D165" s="61">
        <v>40</v>
      </c>
    </row>
    <row r="166" spans="1:4" x14ac:dyDescent="0.2">
      <c r="A166" s="62" t="s">
        <v>16</v>
      </c>
      <c r="B166" s="61" t="s">
        <v>457</v>
      </c>
      <c r="C166" s="62" t="s">
        <v>5280</v>
      </c>
      <c r="D166" s="61">
        <v>50</v>
      </c>
    </row>
    <row r="167" spans="1:4" x14ac:dyDescent="0.2">
      <c r="A167" s="61" t="s">
        <v>16</v>
      </c>
      <c r="B167" s="61" t="s">
        <v>405</v>
      </c>
      <c r="C167" s="62" t="s">
        <v>5281</v>
      </c>
      <c r="D167" s="61">
        <v>50</v>
      </c>
    </row>
    <row r="168" spans="1:4" x14ac:dyDescent="0.2">
      <c r="A168" s="61" t="s">
        <v>16</v>
      </c>
      <c r="B168" s="61" t="s">
        <v>1279</v>
      </c>
      <c r="C168" s="62" t="s">
        <v>1280</v>
      </c>
      <c r="D168" s="61">
        <v>40</v>
      </c>
    </row>
    <row r="169" spans="1:4" x14ac:dyDescent="0.2">
      <c r="A169" s="62" t="s">
        <v>16</v>
      </c>
      <c r="B169" s="61" t="s">
        <v>1281</v>
      </c>
      <c r="C169" s="62" t="s">
        <v>1282</v>
      </c>
      <c r="D169" s="61">
        <v>40</v>
      </c>
    </row>
    <row r="170" spans="1:4" x14ac:dyDescent="0.2">
      <c r="A170" s="61" t="s">
        <v>16</v>
      </c>
      <c r="B170" s="61" t="s">
        <v>1024</v>
      </c>
      <c r="C170" s="62" t="s">
        <v>5282</v>
      </c>
      <c r="D170" s="61">
        <v>40</v>
      </c>
    </row>
    <row r="171" spans="1:4" x14ac:dyDescent="0.2">
      <c r="A171" s="62" t="s">
        <v>16</v>
      </c>
      <c r="B171" s="61" t="s">
        <v>1283</v>
      </c>
      <c r="C171" s="62" t="s">
        <v>5283</v>
      </c>
      <c r="D171" s="61">
        <v>40</v>
      </c>
    </row>
    <row r="172" spans="1:4" x14ac:dyDescent="0.2">
      <c r="A172" s="61" t="s">
        <v>16</v>
      </c>
      <c r="B172" s="61" t="s">
        <v>1284</v>
      </c>
      <c r="C172" s="62" t="s">
        <v>1285</v>
      </c>
      <c r="D172" s="61">
        <v>40</v>
      </c>
    </row>
    <row r="173" spans="1:4" x14ac:dyDescent="0.2">
      <c r="A173" s="62" t="s">
        <v>16</v>
      </c>
      <c r="B173" s="61" t="s">
        <v>1286</v>
      </c>
      <c r="C173" s="62" t="s">
        <v>1287</v>
      </c>
      <c r="D173" s="61">
        <v>40</v>
      </c>
    </row>
    <row r="174" spans="1:4" x14ac:dyDescent="0.2">
      <c r="A174" s="61" t="s">
        <v>16</v>
      </c>
      <c r="B174" s="61" t="s">
        <v>1288</v>
      </c>
      <c r="C174" s="62" t="s">
        <v>1289</v>
      </c>
      <c r="D174" s="61">
        <v>40</v>
      </c>
    </row>
    <row r="175" spans="1:4" x14ac:dyDescent="0.2">
      <c r="A175" s="62" t="s">
        <v>16</v>
      </c>
      <c r="B175" s="61" t="s">
        <v>709</v>
      </c>
      <c r="C175" s="62" t="s">
        <v>5226</v>
      </c>
      <c r="D175" s="61">
        <v>40</v>
      </c>
    </row>
    <row r="176" spans="1:4" x14ac:dyDescent="0.2">
      <c r="A176" s="61" t="s">
        <v>16</v>
      </c>
      <c r="B176" s="61" t="s">
        <v>1290</v>
      </c>
      <c r="C176" s="62" t="s">
        <v>5284</v>
      </c>
      <c r="D176" s="61">
        <v>40</v>
      </c>
    </row>
    <row r="177" spans="1:4" x14ac:dyDescent="0.2">
      <c r="A177" s="62" t="s">
        <v>16</v>
      </c>
      <c r="B177" s="61" t="s">
        <v>381</v>
      </c>
      <c r="C177" s="62" t="s">
        <v>4791</v>
      </c>
      <c r="D177" s="61">
        <v>40</v>
      </c>
    </row>
    <row r="178" spans="1:4" x14ac:dyDescent="0.2">
      <c r="A178" s="61" t="s">
        <v>16</v>
      </c>
      <c r="B178" s="61" t="s">
        <v>349</v>
      </c>
      <c r="C178" s="62" t="s">
        <v>4847</v>
      </c>
      <c r="D178" s="61">
        <v>40</v>
      </c>
    </row>
    <row r="179" spans="1:4" x14ac:dyDescent="0.2">
      <c r="A179" s="62" t="s">
        <v>16</v>
      </c>
      <c r="B179" s="61" t="s">
        <v>344</v>
      </c>
      <c r="C179" s="62" t="s">
        <v>4765</v>
      </c>
      <c r="D179" s="61">
        <v>40</v>
      </c>
    </row>
    <row r="180" spans="1:4" x14ac:dyDescent="0.2">
      <c r="A180" s="61" t="s">
        <v>16</v>
      </c>
      <c r="B180" s="61" t="s">
        <v>936</v>
      </c>
      <c r="C180" s="62" t="s">
        <v>4890</v>
      </c>
      <c r="D180" s="61">
        <v>40</v>
      </c>
    </row>
    <row r="181" spans="1:4" x14ac:dyDescent="0.2">
      <c r="A181" s="62" t="s">
        <v>16</v>
      </c>
      <c r="B181" s="61" t="s">
        <v>1291</v>
      </c>
      <c r="C181" s="62" t="s">
        <v>1292</v>
      </c>
      <c r="D181" s="61">
        <v>40</v>
      </c>
    </row>
    <row r="182" spans="1:4" x14ac:dyDescent="0.2">
      <c r="A182" s="61" t="s">
        <v>16</v>
      </c>
      <c r="B182" s="61" t="s">
        <v>1293</v>
      </c>
      <c r="C182" s="62" t="s">
        <v>1294</v>
      </c>
      <c r="D182" s="61">
        <v>40</v>
      </c>
    </row>
    <row r="183" spans="1:4" x14ac:dyDescent="0.2">
      <c r="A183" s="62" t="s">
        <v>16</v>
      </c>
      <c r="B183" s="61" t="s">
        <v>1295</v>
      </c>
      <c r="C183" s="62" t="s">
        <v>1296</v>
      </c>
      <c r="D183" s="61">
        <v>40</v>
      </c>
    </row>
    <row r="184" spans="1:4" x14ac:dyDescent="0.2">
      <c r="A184" s="61" t="s">
        <v>16</v>
      </c>
      <c r="B184" s="61" t="s">
        <v>1297</v>
      </c>
      <c r="C184" s="62" t="s">
        <v>1298</v>
      </c>
      <c r="D184" s="61">
        <v>40</v>
      </c>
    </row>
    <row r="185" spans="1:4" x14ac:dyDescent="0.2">
      <c r="A185" s="62" t="s">
        <v>16</v>
      </c>
      <c r="B185" s="61" t="s">
        <v>1299</v>
      </c>
      <c r="C185" s="62" t="s">
        <v>1300</v>
      </c>
      <c r="D185" s="61">
        <v>40</v>
      </c>
    </row>
    <row r="186" spans="1:4" x14ac:dyDescent="0.2">
      <c r="A186" s="61" t="s">
        <v>16</v>
      </c>
      <c r="B186" s="61" t="s">
        <v>1301</v>
      </c>
      <c r="C186" s="62" t="s">
        <v>1302</v>
      </c>
      <c r="D186" s="61">
        <v>40</v>
      </c>
    </row>
    <row r="187" spans="1:4" x14ac:dyDescent="0.2">
      <c r="A187" s="62" t="s">
        <v>16</v>
      </c>
      <c r="B187" s="61" t="s">
        <v>1303</v>
      </c>
      <c r="C187" s="62" t="s">
        <v>1304</v>
      </c>
      <c r="D187" s="61">
        <v>40</v>
      </c>
    </row>
    <row r="188" spans="1:4" x14ac:dyDescent="0.2">
      <c r="A188" s="61" t="s">
        <v>16</v>
      </c>
      <c r="B188" s="61" t="s">
        <v>1305</v>
      </c>
      <c r="C188" s="62" t="s">
        <v>1306</v>
      </c>
      <c r="D188" s="61">
        <v>40</v>
      </c>
    </row>
    <row r="189" spans="1:4" x14ac:dyDescent="0.2">
      <c r="A189" s="62" t="s">
        <v>16</v>
      </c>
      <c r="B189" s="61" t="s">
        <v>1307</v>
      </c>
      <c r="C189" s="62" t="s">
        <v>1308</v>
      </c>
      <c r="D189" s="61">
        <v>40</v>
      </c>
    </row>
    <row r="190" spans="1:4" x14ac:dyDescent="0.2">
      <c r="A190" s="61" t="s">
        <v>16</v>
      </c>
      <c r="B190" s="61" t="s">
        <v>1309</v>
      </c>
      <c r="C190" s="62" t="s">
        <v>1310</v>
      </c>
      <c r="D190" s="61">
        <v>40</v>
      </c>
    </row>
    <row r="191" spans="1:4" x14ac:dyDescent="0.2">
      <c r="A191" s="62" t="s">
        <v>16</v>
      </c>
      <c r="B191" s="61" t="s">
        <v>1311</v>
      </c>
      <c r="C191" s="62" t="s">
        <v>1312</v>
      </c>
      <c r="D191" s="61">
        <v>40</v>
      </c>
    </row>
    <row r="192" spans="1:4" x14ac:dyDescent="0.2">
      <c r="A192" s="61" t="s">
        <v>16</v>
      </c>
      <c r="B192" s="61" t="s">
        <v>1313</v>
      </c>
      <c r="C192" s="62" t="s">
        <v>1314</v>
      </c>
      <c r="D192" s="61">
        <v>40</v>
      </c>
    </row>
    <row r="193" spans="1:4" x14ac:dyDescent="0.2">
      <c r="A193" s="62" t="s">
        <v>16</v>
      </c>
      <c r="B193" s="61" t="s">
        <v>1315</v>
      </c>
      <c r="C193" s="62" t="s">
        <v>5285</v>
      </c>
      <c r="D193" s="61">
        <v>40</v>
      </c>
    </row>
    <row r="194" spans="1:4" x14ac:dyDescent="0.2">
      <c r="A194" s="61" t="s">
        <v>16</v>
      </c>
      <c r="B194" s="61" t="s">
        <v>1316</v>
      </c>
      <c r="C194" s="62" t="s">
        <v>1317</v>
      </c>
      <c r="D194" s="61">
        <v>40</v>
      </c>
    </row>
    <row r="195" spans="1:4" x14ac:dyDescent="0.2">
      <c r="A195" s="62" t="s">
        <v>16</v>
      </c>
      <c r="B195" s="61" t="s">
        <v>1318</v>
      </c>
      <c r="C195" s="62" t="s">
        <v>4784</v>
      </c>
      <c r="D195" s="61">
        <v>40</v>
      </c>
    </row>
    <row r="196" spans="1:4" x14ac:dyDescent="0.2">
      <c r="A196" s="61" t="s">
        <v>16</v>
      </c>
      <c r="B196" s="61" t="s">
        <v>1319</v>
      </c>
      <c r="C196" s="62" t="s">
        <v>4785</v>
      </c>
      <c r="D196" s="61">
        <v>40</v>
      </c>
    </row>
    <row r="197" spans="1:4" x14ac:dyDescent="0.2">
      <c r="A197" s="62" t="s">
        <v>16</v>
      </c>
      <c r="B197" s="61" t="s">
        <v>976</v>
      </c>
      <c r="C197" s="62" t="s">
        <v>4904</v>
      </c>
      <c r="D197" s="61">
        <v>40</v>
      </c>
    </row>
    <row r="198" spans="1:4" x14ac:dyDescent="0.2">
      <c r="A198" s="61" t="s">
        <v>16</v>
      </c>
      <c r="B198" s="61" t="s">
        <v>1320</v>
      </c>
      <c r="C198" s="62" t="s">
        <v>1321</v>
      </c>
      <c r="D198" s="61">
        <v>40</v>
      </c>
    </row>
    <row r="199" spans="1:4" x14ac:dyDescent="0.2">
      <c r="A199" s="62" t="s">
        <v>16</v>
      </c>
      <c r="B199" s="61" t="s">
        <v>1322</v>
      </c>
      <c r="C199" s="62" t="s">
        <v>4971</v>
      </c>
      <c r="D199" s="61">
        <v>40</v>
      </c>
    </row>
    <row r="200" spans="1:4" x14ac:dyDescent="0.2">
      <c r="A200" s="61" t="s">
        <v>16</v>
      </c>
      <c r="B200" s="61" t="s">
        <v>1323</v>
      </c>
      <c r="C200" s="62" t="s">
        <v>5286</v>
      </c>
      <c r="D200" s="61">
        <v>50</v>
      </c>
    </row>
    <row r="201" spans="1:4" x14ac:dyDescent="0.2">
      <c r="A201" s="62" t="s">
        <v>16</v>
      </c>
      <c r="B201" s="61" t="s">
        <v>1324</v>
      </c>
      <c r="C201" s="62" t="s">
        <v>5287</v>
      </c>
      <c r="D201" s="61">
        <v>50</v>
      </c>
    </row>
    <row r="202" spans="1:4" x14ac:dyDescent="0.2">
      <c r="A202" s="61" t="s">
        <v>16</v>
      </c>
      <c r="B202" s="61" t="s">
        <v>1325</v>
      </c>
      <c r="C202" s="62" t="s">
        <v>5288</v>
      </c>
      <c r="D202" s="61">
        <v>50</v>
      </c>
    </row>
    <row r="203" spans="1:4" x14ac:dyDescent="0.2">
      <c r="A203" s="62" t="s">
        <v>16</v>
      </c>
      <c r="B203" s="61" t="s">
        <v>1326</v>
      </c>
      <c r="C203" s="62" t="s">
        <v>5289</v>
      </c>
      <c r="D203" s="61">
        <v>50</v>
      </c>
    </row>
    <row r="204" spans="1:4" x14ac:dyDescent="0.2">
      <c r="A204" s="61" t="s">
        <v>16</v>
      </c>
      <c r="B204" s="61" t="s">
        <v>1327</v>
      </c>
      <c r="C204" s="62" t="s">
        <v>5290</v>
      </c>
      <c r="D204" s="61">
        <v>50</v>
      </c>
    </row>
    <row r="205" spans="1:4" x14ac:dyDescent="0.2">
      <c r="A205" s="62" t="s">
        <v>16</v>
      </c>
      <c r="B205" s="61" t="s">
        <v>1328</v>
      </c>
      <c r="C205" s="62" t="s">
        <v>5291</v>
      </c>
      <c r="D205" s="61">
        <v>50</v>
      </c>
    </row>
    <row r="206" spans="1:4" x14ac:dyDescent="0.2">
      <c r="A206" s="61" t="s">
        <v>16</v>
      </c>
      <c r="B206" s="61" t="s">
        <v>1329</v>
      </c>
      <c r="C206" s="62" t="s">
        <v>5292</v>
      </c>
      <c r="D206" s="61">
        <v>50</v>
      </c>
    </row>
    <row r="207" spans="1:4" x14ac:dyDescent="0.2">
      <c r="A207" s="62" t="s">
        <v>16</v>
      </c>
      <c r="B207" s="61" t="s">
        <v>1330</v>
      </c>
      <c r="C207" s="62" t="s">
        <v>1331</v>
      </c>
      <c r="D207" s="61">
        <v>40</v>
      </c>
    </row>
    <row r="208" spans="1:4" x14ac:dyDescent="0.2">
      <c r="A208" s="62" t="s">
        <v>16</v>
      </c>
      <c r="B208" s="61" t="s">
        <v>1332</v>
      </c>
      <c r="C208" s="62" t="s">
        <v>1333</v>
      </c>
      <c r="D208" s="61">
        <v>40</v>
      </c>
    </row>
    <row r="209" spans="1:4" x14ac:dyDescent="0.2">
      <c r="A209" s="61" t="s">
        <v>16</v>
      </c>
      <c r="B209" s="61" t="s">
        <v>1334</v>
      </c>
      <c r="C209" s="62" t="s">
        <v>1335</v>
      </c>
      <c r="D209" s="61">
        <v>40</v>
      </c>
    </row>
    <row r="210" spans="1:4" x14ac:dyDescent="0.2">
      <c r="A210" s="62" t="s">
        <v>16</v>
      </c>
      <c r="B210" s="61" t="s">
        <v>1336</v>
      </c>
      <c r="C210" s="62" t="s">
        <v>1337</v>
      </c>
      <c r="D210" s="61">
        <v>40</v>
      </c>
    </row>
    <row r="211" spans="1:4" x14ac:dyDescent="0.2">
      <c r="A211" s="61" t="s">
        <v>16</v>
      </c>
      <c r="B211" s="61" t="s">
        <v>1338</v>
      </c>
      <c r="C211" s="62" t="s">
        <v>1339</v>
      </c>
      <c r="D211" s="61">
        <v>40</v>
      </c>
    </row>
    <row r="212" spans="1:4" x14ac:dyDescent="0.2">
      <c r="A212" s="62" t="s">
        <v>16</v>
      </c>
      <c r="B212" s="61" t="s">
        <v>1340</v>
      </c>
      <c r="C212" s="62" t="s">
        <v>1341</v>
      </c>
      <c r="D212" s="61">
        <v>40</v>
      </c>
    </row>
    <row r="213" spans="1:4" x14ac:dyDescent="0.2">
      <c r="A213" s="61" t="s">
        <v>16</v>
      </c>
      <c r="B213" s="61" t="s">
        <v>1342</v>
      </c>
      <c r="C213" s="62" t="s">
        <v>1343</v>
      </c>
      <c r="D213" s="61">
        <v>40</v>
      </c>
    </row>
    <row r="214" spans="1:4" x14ac:dyDescent="0.2">
      <c r="A214" s="62" t="s">
        <v>16</v>
      </c>
      <c r="B214" s="61" t="s">
        <v>1344</v>
      </c>
      <c r="C214" s="62" t="s">
        <v>1345</v>
      </c>
      <c r="D214" s="61">
        <v>40</v>
      </c>
    </row>
    <row r="215" spans="1:4" x14ac:dyDescent="0.2">
      <c r="A215" s="61" t="s">
        <v>16</v>
      </c>
      <c r="B215" s="61" t="s">
        <v>1346</v>
      </c>
      <c r="C215" s="62" t="s">
        <v>1347</v>
      </c>
      <c r="D215" s="61">
        <v>40</v>
      </c>
    </row>
    <row r="216" spans="1:4" x14ac:dyDescent="0.2">
      <c r="A216" s="62" t="s">
        <v>16</v>
      </c>
      <c r="B216" s="61" t="s">
        <v>1348</v>
      </c>
      <c r="C216" s="62" t="s">
        <v>1349</v>
      </c>
      <c r="D216" s="61">
        <v>40</v>
      </c>
    </row>
    <row r="217" spans="1:4" x14ac:dyDescent="0.2">
      <c r="A217" s="61" t="s">
        <v>16</v>
      </c>
      <c r="B217" s="61" t="s">
        <v>1350</v>
      </c>
      <c r="C217" s="62" t="s">
        <v>1351</v>
      </c>
      <c r="D217" s="61">
        <v>40</v>
      </c>
    </row>
    <row r="218" spans="1:4" x14ac:dyDescent="0.2">
      <c r="A218" s="62" t="s">
        <v>16</v>
      </c>
      <c r="B218" s="61" t="s">
        <v>1352</v>
      </c>
      <c r="C218" s="62" t="s">
        <v>1353</v>
      </c>
      <c r="D218" s="61">
        <v>40</v>
      </c>
    </row>
    <row r="219" spans="1:4" x14ac:dyDescent="0.2">
      <c r="A219" s="61" t="s">
        <v>16</v>
      </c>
      <c r="B219" s="61" t="s">
        <v>1354</v>
      </c>
      <c r="C219" s="62" t="s">
        <v>1355</v>
      </c>
      <c r="D219" s="61">
        <v>40</v>
      </c>
    </row>
    <row r="220" spans="1:4" x14ac:dyDescent="0.2">
      <c r="A220" s="62" t="s">
        <v>16</v>
      </c>
      <c r="B220" s="61" t="s">
        <v>1356</v>
      </c>
      <c r="C220" s="62" t="s">
        <v>1357</v>
      </c>
      <c r="D220" s="61">
        <v>40</v>
      </c>
    </row>
    <row r="221" spans="1:4" x14ac:dyDescent="0.2">
      <c r="A221" s="61" t="s">
        <v>16</v>
      </c>
      <c r="B221" s="61" t="s">
        <v>1358</v>
      </c>
      <c r="C221" s="62" t="s">
        <v>1359</v>
      </c>
      <c r="D221" s="61">
        <v>40</v>
      </c>
    </row>
    <row r="222" spans="1:4" x14ac:dyDescent="0.2">
      <c r="A222" s="62" t="s">
        <v>16</v>
      </c>
      <c r="B222" s="61" t="s">
        <v>1360</v>
      </c>
      <c r="C222" s="62" t="s">
        <v>1361</v>
      </c>
      <c r="D222" s="61">
        <v>40</v>
      </c>
    </row>
    <row r="223" spans="1:4" x14ac:dyDescent="0.2">
      <c r="A223" s="61" t="s">
        <v>16</v>
      </c>
      <c r="B223" s="61" t="s">
        <v>1362</v>
      </c>
      <c r="C223" s="62" t="s">
        <v>1363</v>
      </c>
      <c r="D223" s="61">
        <v>40</v>
      </c>
    </row>
    <row r="224" spans="1:4" x14ac:dyDescent="0.2">
      <c r="A224" s="62" t="s">
        <v>16</v>
      </c>
      <c r="B224" s="61" t="s">
        <v>1364</v>
      </c>
      <c r="C224" s="62" t="s">
        <v>1365</v>
      </c>
      <c r="D224" s="61">
        <v>40</v>
      </c>
    </row>
    <row r="225" spans="1:4" x14ac:dyDescent="0.2">
      <c r="A225" s="61" t="s">
        <v>16</v>
      </c>
      <c r="B225" s="61" t="s">
        <v>1366</v>
      </c>
      <c r="C225" s="62" t="s">
        <v>1367</v>
      </c>
      <c r="D225" s="61">
        <v>40</v>
      </c>
    </row>
    <row r="226" spans="1:4" x14ac:dyDescent="0.2">
      <c r="A226" s="62" t="s">
        <v>16</v>
      </c>
      <c r="B226" s="61" t="s">
        <v>1368</v>
      </c>
      <c r="C226" s="62" t="s">
        <v>1369</v>
      </c>
      <c r="D226" s="61">
        <v>40</v>
      </c>
    </row>
    <row r="227" spans="1:4" x14ac:dyDescent="0.2">
      <c r="A227" s="61" t="s">
        <v>16</v>
      </c>
      <c r="B227" s="61" t="s">
        <v>1370</v>
      </c>
      <c r="C227" s="62" t="s">
        <v>1371</v>
      </c>
      <c r="D227" s="61">
        <v>40</v>
      </c>
    </row>
    <row r="228" spans="1:4" x14ac:dyDescent="0.2">
      <c r="A228" s="62" t="s">
        <v>16</v>
      </c>
      <c r="B228" s="61" t="s">
        <v>1372</v>
      </c>
      <c r="C228" s="62" t="s">
        <v>1373</v>
      </c>
      <c r="D228" s="61">
        <v>40</v>
      </c>
    </row>
    <row r="229" spans="1:4" x14ac:dyDescent="0.2">
      <c r="A229" s="61" t="s">
        <v>16</v>
      </c>
      <c r="B229" s="61" t="s">
        <v>1374</v>
      </c>
      <c r="C229" s="62" t="s">
        <v>1375</v>
      </c>
      <c r="D229" s="61">
        <v>40</v>
      </c>
    </row>
    <row r="230" spans="1:4" x14ac:dyDescent="0.2">
      <c r="A230" s="62" t="s">
        <v>16</v>
      </c>
      <c r="B230" s="61" t="s">
        <v>1376</v>
      </c>
      <c r="C230" s="62" t="s">
        <v>5293</v>
      </c>
      <c r="D230" s="61">
        <v>50</v>
      </c>
    </row>
    <row r="231" spans="1:4" x14ac:dyDescent="0.2">
      <c r="A231" s="61" t="s">
        <v>16</v>
      </c>
      <c r="B231" s="61" t="s">
        <v>1377</v>
      </c>
      <c r="C231" s="62" t="s">
        <v>1378</v>
      </c>
      <c r="D231" s="61">
        <v>40</v>
      </c>
    </row>
    <row r="232" spans="1:4" x14ac:dyDescent="0.2">
      <c r="A232" s="62" t="s">
        <v>16</v>
      </c>
      <c r="B232" s="61" t="s">
        <v>1379</v>
      </c>
      <c r="C232" s="62" t="s">
        <v>1380</v>
      </c>
      <c r="D232" s="61">
        <v>50</v>
      </c>
    </row>
    <row r="233" spans="1:4" x14ac:dyDescent="0.2">
      <c r="A233" s="61" t="s">
        <v>16</v>
      </c>
      <c r="B233" s="61" t="s">
        <v>1381</v>
      </c>
      <c r="C233" s="62" t="s">
        <v>1382</v>
      </c>
      <c r="D233" s="61">
        <v>40</v>
      </c>
    </row>
    <row r="234" spans="1:4" x14ac:dyDescent="0.2">
      <c r="A234" s="62" t="s">
        <v>16</v>
      </c>
      <c r="B234" s="61" t="s">
        <v>1383</v>
      </c>
      <c r="C234" s="62" t="s">
        <v>1384</v>
      </c>
      <c r="D234" s="61">
        <v>50</v>
      </c>
    </row>
    <row r="235" spans="1:4" x14ac:dyDescent="0.2">
      <c r="A235" s="61" t="s">
        <v>16</v>
      </c>
      <c r="B235" s="61" t="s">
        <v>1385</v>
      </c>
      <c r="C235" s="62" t="s">
        <v>1386</v>
      </c>
      <c r="D235" s="61">
        <v>50</v>
      </c>
    </row>
    <row r="236" spans="1:4" x14ac:dyDescent="0.2">
      <c r="A236" s="62" t="s">
        <v>16</v>
      </c>
      <c r="B236" s="61" t="s">
        <v>1387</v>
      </c>
      <c r="C236" s="62" t="s">
        <v>5294</v>
      </c>
      <c r="D236" s="61">
        <v>40</v>
      </c>
    </row>
    <row r="237" spans="1:4" x14ac:dyDescent="0.2">
      <c r="A237" s="61" t="s">
        <v>16</v>
      </c>
      <c r="B237" s="61" t="s">
        <v>1388</v>
      </c>
      <c r="C237" s="62" t="s">
        <v>5294</v>
      </c>
      <c r="D237" s="61">
        <v>40</v>
      </c>
    </row>
    <row r="238" spans="1:4" x14ac:dyDescent="0.2">
      <c r="A238" s="62" t="s">
        <v>16</v>
      </c>
      <c r="B238" s="61" t="s">
        <v>1389</v>
      </c>
      <c r="C238" s="62" t="s">
        <v>1390</v>
      </c>
      <c r="D238" s="61">
        <v>40</v>
      </c>
    </row>
    <row r="239" spans="1:4" x14ac:dyDescent="0.2">
      <c r="A239" s="61" t="s">
        <v>16</v>
      </c>
      <c r="B239" s="61" t="s">
        <v>732</v>
      </c>
      <c r="C239" s="62" t="s">
        <v>4874</v>
      </c>
      <c r="D239" s="61">
        <v>40</v>
      </c>
    </row>
    <row r="240" spans="1:4" x14ac:dyDescent="0.2">
      <c r="A240" s="62" t="s">
        <v>16</v>
      </c>
      <c r="B240" s="61" t="s">
        <v>268</v>
      </c>
      <c r="C240" s="62" t="s">
        <v>4915</v>
      </c>
      <c r="D240" s="61">
        <v>40</v>
      </c>
    </row>
    <row r="241" spans="1:4" x14ac:dyDescent="0.2">
      <c r="A241" s="62" t="s">
        <v>16</v>
      </c>
      <c r="B241" s="61" t="s">
        <v>1391</v>
      </c>
      <c r="C241" s="62" t="s">
        <v>5295</v>
      </c>
      <c r="D241" s="61">
        <v>40</v>
      </c>
    </row>
    <row r="242" spans="1:4" x14ac:dyDescent="0.2">
      <c r="A242" s="61" t="s">
        <v>16</v>
      </c>
      <c r="B242" s="61" t="s">
        <v>1392</v>
      </c>
      <c r="C242" s="62" t="s">
        <v>1393</v>
      </c>
      <c r="D242" s="61">
        <v>40</v>
      </c>
    </row>
    <row r="243" spans="1:4" x14ac:dyDescent="0.2">
      <c r="A243" s="62" t="s">
        <v>16</v>
      </c>
      <c r="B243" s="61" t="s">
        <v>1394</v>
      </c>
      <c r="C243" s="62" t="s">
        <v>1395</v>
      </c>
      <c r="D243" s="61">
        <v>40</v>
      </c>
    </row>
    <row r="244" spans="1:4" x14ac:dyDescent="0.2">
      <c r="A244" s="61" t="s">
        <v>16</v>
      </c>
      <c r="B244" s="61" t="s">
        <v>596</v>
      </c>
      <c r="C244" s="62" t="s">
        <v>4941</v>
      </c>
      <c r="D244" s="61">
        <v>40</v>
      </c>
    </row>
    <row r="245" spans="1:4" x14ac:dyDescent="0.2">
      <c r="A245" s="62" t="s">
        <v>16</v>
      </c>
      <c r="B245" s="61" t="s">
        <v>704</v>
      </c>
      <c r="C245" s="62" t="s">
        <v>4969</v>
      </c>
      <c r="D245" s="61">
        <v>40</v>
      </c>
    </row>
    <row r="246" spans="1:4" x14ac:dyDescent="0.2">
      <c r="A246" s="61" t="s">
        <v>16</v>
      </c>
      <c r="B246" s="61" t="s">
        <v>641</v>
      </c>
      <c r="C246" s="62" t="s">
        <v>4942</v>
      </c>
      <c r="D246" s="61">
        <v>50</v>
      </c>
    </row>
    <row r="247" spans="1:4" x14ac:dyDescent="0.2">
      <c r="A247" s="62" t="s">
        <v>16</v>
      </c>
      <c r="B247" s="61" t="s">
        <v>1396</v>
      </c>
      <c r="C247" s="62" t="s">
        <v>1397</v>
      </c>
      <c r="D247" s="61">
        <v>40</v>
      </c>
    </row>
    <row r="248" spans="1:4" x14ac:dyDescent="0.2">
      <c r="A248" s="61" t="s">
        <v>16</v>
      </c>
      <c r="B248" s="61" t="s">
        <v>1398</v>
      </c>
      <c r="C248" s="62" t="s">
        <v>1399</v>
      </c>
      <c r="D248" s="61">
        <v>40</v>
      </c>
    </row>
    <row r="249" spans="1:4" x14ac:dyDescent="0.2">
      <c r="A249" s="62" t="s">
        <v>16</v>
      </c>
      <c r="B249" s="61" t="s">
        <v>1400</v>
      </c>
      <c r="C249" s="62" t="s">
        <v>1397</v>
      </c>
      <c r="D249" s="61">
        <v>40</v>
      </c>
    </row>
    <row r="250" spans="1:4" x14ac:dyDescent="0.2">
      <c r="A250" s="61" t="s">
        <v>16</v>
      </c>
      <c r="B250" s="61" t="s">
        <v>1401</v>
      </c>
      <c r="C250" s="62" t="s">
        <v>1399</v>
      </c>
      <c r="D250" s="61">
        <v>40</v>
      </c>
    </row>
    <row r="251" spans="1:4" x14ac:dyDescent="0.2">
      <c r="A251" s="62" t="s">
        <v>16</v>
      </c>
      <c r="B251" s="61" t="s">
        <v>1402</v>
      </c>
      <c r="C251" s="62" t="s">
        <v>1403</v>
      </c>
      <c r="D251" s="61">
        <v>40</v>
      </c>
    </row>
    <row r="252" spans="1:4" x14ac:dyDescent="0.2">
      <c r="A252" s="61" t="s">
        <v>16</v>
      </c>
      <c r="B252" s="61" t="s">
        <v>1404</v>
      </c>
      <c r="C252" s="62" t="s">
        <v>4971</v>
      </c>
      <c r="D252" s="61">
        <v>40</v>
      </c>
    </row>
    <row r="253" spans="1:4" x14ac:dyDescent="0.2">
      <c r="A253" s="62" t="s">
        <v>16</v>
      </c>
      <c r="B253" s="61" t="s">
        <v>1405</v>
      </c>
      <c r="C253" s="62" t="s">
        <v>4971</v>
      </c>
      <c r="D253" s="61">
        <v>40</v>
      </c>
    </row>
    <row r="254" spans="1:4" x14ac:dyDescent="0.2">
      <c r="A254" s="61" t="s">
        <v>16</v>
      </c>
      <c r="B254" s="61" t="s">
        <v>1406</v>
      </c>
      <c r="C254" s="62" t="s">
        <v>4971</v>
      </c>
      <c r="D254" s="61">
        <v>40</v>
      </c>
    </row>
    <row r="255" spans="1:4" x14ac:dyDescent="0.2">
      <c r="A255" s="62" t="s">
        <v>16</v>
      </c>
      <c r="B255" s="61" t="s">
        <v>1407</v>
      </c>
      <c r="C255" s="62" t="s">
        <v>1408</v>
      </c>
      <c r="D255" s="61">
        <v>40</v>
      </c>
    </row>
    <row r="256" spans="1:4" x14ac:dyDescent="0.2">
      <c r="A256" s="61" t="s">
        <v>16</v>
      </c>
      <c r="B256" s="61" t="s">
        <v>1409</v>
      </c>
      <c r="C256" s="62" t="s">
        <v>1410</v>
      </c>
      <c r="D256" s="61">
        <v>40</v>
      </c>
    </row>
    <row r="257" spans="1:4" x14ac:dyDescent="0.2">
      <c r="A257" s="62" t="s">
        <v>16</v>
      </c>
      <c r="B257" s="61" t="s">
        <v>1411</v>
      </c>
      <c r="C257" s="62" t="s">
        <v>1412</v>
      </c>
      <c r="D257" s="61">
        <v>40</v>
      </c>
    </row>
    <row r="258" spans="1:4" x14ac:dyDescent="0.2">
      <c r="A258" s="61" t="s">
        <v>16</v>
      </c>
      <c r="B258" s="61" t="s">
        <v>1413</v>
      </c>
      <c r="C258" s="62" t="s">
        <v>1414</v>
      </c>
      <c r="D258" s="61">
        <v>40</v>
      </c>
    </row>
    <row r="259" spans="1:4" x14ac:dyDescent="0.2">
      <c r="A259" s="62" t="s">
        <v>16</v>
      </c>
      <c r="B259" s="61" t="s">
        <v>1415</v>
      </c>
      <c r="C259" s="62" t="s">
        <v>1416</v>
      </c>
      <c r="D259" s="61">
        <v>40</v>
      </c>
    </row>
    <row r="260" spans="1:4" x14ac:dyDescent="0.2">
      <c r="A260" s="61" t="s">
        <v>16</v>
      </c>
      <c r="B260" s="61" t="s">
        <v>1417</v>
      </c>
      <c r="C260" s="62" t="s">
        <v>5296</v>
      </c>
      <c r="D260" s="61">
        <v>40</v>
      </c>
    </row>
    <row r="261" spans="1:4" x14ac:dyDescent="0.2">
      <c r="A261" s="62" t="s">
        <v>16</v>
      </c>
      <c r="B261" s="61" t="s">
        <v>1030</v>
      </c>
      <c r="C261" s="62" t="s">
        <v>5297</v>
      </c>
      <c r="D261" s="61">
        <v>40</v>
      </c>
    </row>
    <row r="262" spans="1:4" x14ac:dyDescent="0.2">
      <c r="A262" s="61" t="s">
        <v>16</v>
      </c>
      <c r="B262" s="61" t="s">
        <v>1418</v>
      </c>
      <c r="C262" s="62" t="s">
        <v>1419</v>
      </c>
      <c r="D262" s="61">
        <v>40</v>
      </c>
    </row>
    <row r="263" spans="1:4" x14ac:dyDescent="0.2">
      <c r="A263" s="62" t="s">
        <v>16</v>
      </c>
      <c r="B263" s="61" t="s">
        <v>1420</v>
      </c>
      <c r="C263" s="62" t="s">
        <v>1421</v>
      </c>
      <c r="D263" s="61">
        <v>40</v>
      </c>
    </row>
    <row r="264" spans="1:4" x14ac:dyDescent="0.2">
      <c r="A264" s="61" t="s">
        <v>16</v>
      </c>
      <c r="B264" s="61" t="s">
        <v>1422</v>
      </c>
      <c r="C264" s="62" t="s">
        <v>1423</v>
      </c>
      <c r="D264" s="61">
        <v>40</v>
      </c>
    </row>
    <row r="265" spans="1:4" x14ac:dyDescent="0.2">
      <c r="A265" s="62" t="s">
        <v>16</v>
      </c>
      <c r="B265" s="61" t="s">
        <v>1424</v>
      </c>
      <c r="C265" s="62" t="s">
        <v>1425</v>
      </c>
      <c r="D265" s="61">
        <v>40</v>
      </c>
    </row>
    <row r="266" spans="1:4" x14ac:dyDescent="0.2">
      <c r="A266" s="61" t="s">
        <v>16</v>
      </c>
      <c r="B266" s="61" t="s">
        <v>1426</v>
      </c>
      <c r="C266" s="62" t="s">
        <v>1427</v>
      </c>
      <c r="D266" s="61">
        <v>40</v>
      </c>
    </row>
    <row r="267" spans="1:4" x14ac:dyDescent="0.2">
      <c r="A267" s="62" t="s">
        <v>16</v>
      </c>
      <c r="B267" s="61" t="s">
        <v>1428</v>
      </c>
      <c r="C267" s="62" t="s">
        <v>1429</v>
      </c>
      <c r="D267" s="61">
        <v>50</v>
      </c>
    </row>
    <row r="268" spans="1:4" x14ac:dyDescent="0.2">
      <c r="A268" s="61" t="s">
        <v>16</v>
      </c>
      <c r="B268" s="61" t="s">
        <v>1430</v>
      </c>
      <c r="C268" s="62" t="s">
        <v>1431</v>
      </c>
      <c r="D268" s="61">
        <v>50</v>
      </c>
    </row>
    <row r="269" spans="1:4" x14ac:dyDescent="0.2">
      <c r="A269" s="62" t="s">
        <v>16</v>
      </c>
      <c r="B269" s="61" t="s">
        <v>1432</v>
      </c>
      <c r="C269" s="62" t="s">
        <v>1433</v>
      </c>
      <c r="D269" s="61">
        <v>40</v>
      </c>
    </row>
    <row r="270" spans="1:4" x14ac:dyDescent="0.2">
      <c r="A270" s="61" t="s">
        <v>16</v>
      </c>
      <c r="B270" s="61" t="s">
        <v>1434</v>
      </c>
      <c r="C270" s="62" t="s">
        <v>1435</v>
      </c>
      <c r="D270" s="61">
        <v>40</v>
      </c>
    </row>
    <row r="271" spans="1:4" x14ac:dyDescent="0.2">
      <c r="A271" s="62" t="s">
        <v>16</v>
      </c>
      <c r="B271" s="61" t="s">
        <v>1436</v>
      </c>
      <c r="C271" s="62" t="s">
        <v>1437</v>
      </c>
      <c r="D271" s="61">
        <v>40</v>
      </c>
    </row>
    <row r="272" spans="1:4" x14ac:dyDescent="0.2">
      <c r="A272" s="61" t="s">
        <v>16</v>
      </c>
      <c r="B272" s="61" t="s">
        <v>1438</v>
      </c>
      <c r="C272" s="62" t="s">
        <v>1439</v>
      </c>
      <c r="D272" s="61">
        <v>40</v>
      </c>
    </row>
    <row r="273" spans="1:4" x14ac:dyDescent="0.2">
      <c r="A273" s="62" t="s">
        <v>16</v>
      </c>
      <c r="B273" s="61" t="s">
        <v>1440</v>
      </c>
      <c r="C273" s="62" t="s">
        <v>1441</v>
      </c>
      <c r="D273" s="61">
        <v>40</v>
      </c>
    </row>
    <row r="274" spans="1:4" x14ac:dyDescent="0.2">
      <c r="A274" s="61" t="s">
        <v>16</v>
      </c>
      <c r="B274" s="61" t="s">
        <v>1442</v>
      </c>
      <c r="C274" s="62" t="s">
        <v>1443</v>
      </c>
      <c r="D274" s="61">
        <v>40</v>
      </c>
    </row>
    <row r="275" spans="1:4" x14ac:dyDescent="0.2">
      <c r="A275" s="62" t="s">
        <v>16</v>
      </c>
      <c r="B275" s="61" t="s">
        <v>1444</v>
      </c>
      <c r="C275" s="62" t="s">
        <v>1445</v>
      </c>
      <c r="D275" s="61">
        <v>50</v>
      </c>
    </row>
    <row r="276" spans="1:4" x14ac:dyDescent="0.2">
      <c r="A276" s="61" t="s">
        <v>16</v>
      </c>
      <c r="B276" s="61" t="s">
        <v>1446</v>
      </c>
      <c r="C276" s="62" t="s">
        <v>1447</v>
      </c>
      <c r="D276" s="61">
        <v>50</v>
      </c>
    </row>
    <row r="277" spans="1:4" x14ac:dyDescent="0.2">
      <c r="A277" s="62" t="s">
        <v>16</v>
      </c>
      <c r="B277" s="61" t="s">
        <v>1448</v>
      </c>
      <c r="C277" s="62" t="s">
        <v>1449</v>
      </c>
      <c r="D277" s="61">
        <v>40</v>
      </c>
    </row>
    <row r="278" spans="1:4" x14ac:dyDescent="0.2">
      <c r="A278" s="61" t="s">
        <v>16</v>
      </c>
      <c r="B278" s="61" t="s">
        <v>378</v>
      </c>
      <c r="C278" s="62" t="s">
        <v>4875</v>
      </c>
      <c r="D278" s="61">
        <v>40</v>
      </c>
    </row>
    <row r="279" spans="1:4" x14ac:dyDescent="0.2">
      <c r="A279" s="62" t="s">
        <v>16</v>
      </c>
      <c r="B279" s="61" t="s">
        <v>1450</v>
      </c>
      <c r="C279" s="62" t="s">
        <v>1451</v>
      </c>
      <c r="D279" s="61">
        <v>40</v>
      </c>
    </row>
    <row r="280" spans="1:4" x14ac:dyDescent="0.2">
      <c r="A280" s="61" t="s">
        <v>16</v>
      </c>
      <c r="B280" s="61" t="s">
        <v>474</v>
      </c>
      <c r="C280" s="62" t="s">
        <v>4960</v>
      </c>
      <c r="D280" s="61">
        <v>40</v>
      </c>
    </row>
    <row r="281" spans="1:4" x14ac:dyDescent="0.2">
      <c r="A281" s="62" t="s">
        <v>16</v>
      </c>
      <c r="B281" s="61" t="s">
        <v>1452</v>
      </c>
      <c r="C281" s="62" t="s">
        <v>5298</v>
      </c>
      <c r="D281" s="61">
        <v>40</v>
      </c>
    </row>
    <row r="282" spans="1:4" x14ac:dyDescent="0.2">
      <c r="A282" s="61" t="s">
        <v>16</v>
      </c>
      <c r="B282" s="61" t="s">
        <v>1453</v>
      </c>
      <c r="C282" s="62" t="s">
        <v>1454</v>
      </c>
      <c r="D282" s="61">
        <v>40</v>
      </c>
    </row>
    <row r="283" spans="1:4" x14ac:dyDescent="0.2">
      <c r="A283" s="62" t="s">
        <v>16</v>
      </c>
      <c r="B283" s="61" t="s">
        <v>1455</v>
      </c>
      <c r="C283" s="62" t="s">
        <v>1456</v>
      </c>
      <c r="D283" s="61">
        <v>40</v>
      </c>
    </row>
    <row r="284" spans="1:4" x14ac:dyDescent="0.2">
      <c r="A284" s="61" t="s">
        <v>16</v>
      </c>
      <c r="B284" s="61" t="s">
        <v>1457</v>
      </c>
      <c r="C284" s="62" t="s">
        <v>1458</v>
      </c>
      <c r="D284" s="61">
        <v>40</v>
      </c>
    </row>
    <row r="285" spans="1:4" x14ac:dyDescent="0.2">
      <c r="A285" s="62" t="s">
        <v>16</v>
      </c>
      <c r="B285" s="61" t="s">
        <v>951</v>
      </c>
      <c r="C285" s="62" t="s">
        <v>5299</v>
      </c>
      <c r="D285" s="61">
        <v>40</v>
      </c>
    </row>
    <row r="286" spans="1:4" x14ac:dyDescent="0.2">
      <c r="A286" s="61" t="s">
        <v>16</v>
      </c>
      <c r="B286" s="61" t="s">
        <v>1459</v>
      </c>
      <c r="C286" s="62" t="s">
        <v>1460</v>
      </c>
      <c r="D286" s="61">
        <v>40</v>
      </c>
    </row>
    <row r="287" spans="1:4" x14ac:dyDescent="0.2">
      <c r="A287" s="62" t="s">
        <v>16</v>
      </c>
      <c r="B287" s="61" t="s">
        <v>1461</v>
      </c>
      <c r="C287" s="62" t="s">
        <v>1462</v>
      </c>
      <c r="D287" s="61">
        <v>40</v>
      </c>
    </row>
    <row r="288" spans="1:4" x14ac:dyDescent="0.2">
      <c r="A288" s="61" t="s">
        <v>16</v>
      </c>
      <c r="B288" s="61" t="s">
        <v>1463</v>
      </c>
      <c r="C288" s="62" t="s">
        <v>1464</v>
      </c>
      <c r="D288" s="61">
        <v>40</v>
      </c>
    </row>
    <row r="289" spans="1:4" x14ac:dyDescent="0.2">
      <c r="A289" s="62" t="s">
        <v>16</v>
      </c>
      <c r="B289" s="61" t="s">
        <v>1465</v>
      </c>
      <c r="C289" s="62" t="s">
        <v>1466</v>
      </c>
      <c r="D289" s="61">
        <v>40</v>
      </c>
    </row>
    <row r="290" spans="1:4" x14ac:dyDescent="0.2">
      <c r="A290" s="61" t="s">
        <v>16</v>
      </c>
      <c r="B290" s="61" t="s">
        <v>1467</v>
      </c>
      <c r="C290" s="62" t="s">
        <v>1468</v>
      </c>
      <c r="D290" s="61">
        <v>40</v>
      </c>
    </row>
    <row r="291" spans="1:4" x14ac:dyDescent="0.2">
      <c r="A291" s="61" t="s">
        <v>16</v>
      </c>
      <c r="B291" s="61" t="s">
        <v>1469</v>
      </c>
      <c r="C291" s="62" t="s">
        <v>1470</v>
      </c>
      <c r="D291" s="61">
        <v>40</v>
      </c>
    </row>
    <row r="292" spans="1:4" x14ac:dyDescent="0.2">
      <c r="A292" s="62" t="s">
        <v>16</v>
      </c>
      <c r="B292" s="61" t="s">
        <v>1471</v>
      </c>
      <c r="C292" s="62" t="s">
        <v>1472</v>
      </c>
      <c r="D292" s="61">
        <v>40</v>
      </c>
    </row>
    <row r="293" spans="1:4" x14ac:dyDescent="0.2">
      <c r="A293" s="61" t="s">
        <v>16</v>
      </c>
      <c r="B293" s="61" t="s">
        <v>1473</v>
      </c>
      <c r="C293" s="62" t="s">
        <v>1474</v>
      </c>
      <c r="D293" s="61">
        <v>40</v>
      </c>
    </row>
    <row r="294" spans="1:4" x14ac:dyDescent="0.2">
      <c r="A294" s="62" t="s">
        <v>16</v>
      </c>
      <c r="B294" s="61" t="s">
        <v>1475</v>
      </c>
      <c r="C294" s="62" t="s">
        <v>1476</v>
      </c>
      <c r="D294" s="61">
        <v>40</v>
      </c>
    </row>
    <row r="295" spans="1:4" x14ac:dyDescent="0.2">
      <c r="A295" s="61" t="s">
        <v>16</v>
      </c>
      <c r="B295" s="61" t="s">
        <v>1477</v>
      </c>
      <c r="C295" s="62" t="s">
        <v>1478</v>
      </c>
      <c r="D295" s="61">
        <v>40</v>
      </c>
    </row>
    <row r="296" spans="1:4" x14ac:dyDescent="0.2">
      <c r="A296" s="62" t="s">
        <v>16</v>
      </c>
      <c r="B296" s="61" t="s">
        <v>261</v>
      </c>
      <c r="C296" s="62" t="s">
        <v>4797</v>
      </c>
      <c r="D296" s="61">
        <v>40</v>
      </c>
    </row>
    <row r="297" spans="1:4" x14ac:dyDescent="0.2">
      <c r="A297" s="61" t="s">
        <v>16</v>
      </c>
      <c r="B297" s="61" t="s">
        <v>1479</v>
      </c>
      <c r="C297" s="62" t="s">
        <v>4836</v>
      </c>
      <c r="D297" s="61">
        <v>40</v>
      </c>
    </row>
    <row r="298" spans="1:4" x14ac:dyDescent="0.2">
      <c r="A298" s="62" t="s">
        <v>16</v>
      </c>
      <c r="B298" s="61" t="s">
        <v>1480</v>
      </c>
      <c r="C298" s="62" t="s">
        <v>4873</v>
      </c>
      <c r="D298" s="61">
        <v>40</v>
      </c>
    </row>
    <row r="299" spans="1:4" x14ac:dyDescent="0.2">
      <c r="A299" s="61" t="s">
        <v>16</v>
      </c>
      <c r="B299" s="61" t="s">
        <v>1481</v>
      </c>
      <c r="C299" s="62" t="s">
        <v>1482</v>
      </c>
      <c r="D299" s="61">
        <v>40</v>
      </c>
    </row>
    <row r="300" spans="1:4" x14ac:dyDescent="0.2">
      <c r="A300" s="62" t="s">
        <v>16</v>
      </c>
      <c r="B300" s="61" t="s">
        <v>1483</v>
      </c>
      <c r="C300" s="62" t="s">
        <v>1484</v>
      </c>
      <c r="D300" s="61">
        <v>40</v>
      </c>
    </row>
    <row r="301" spans="1:4" x14ac:dyDescent="0.2">
      <c r="A301" s="61" t="s">
        <v>16</v>
      </c>
      <c r="B301" s="61" t="s">
        <v>1485</v>
      </c>
      <c r="C301" s="62" t="s">
        <v>1486</v>
      </c>
      <c r="D301" s="61">
        <v>40</v>
      </c>
    </row>
    <row r="302" spans="1:4" x14ac:dyDescent="0.2">
      <c r="A302" s="62" t="s">
        <v>16</v>
      </c>
      <c r="B302" s="61" t="s">
        <v>1487</v>
      </c>
      <c r="C302" s="62" t="s">
        <v>1488</v>
      </c>
      <c r="D302" s="61">
        <v>40</v>
      </c>
    </row>
    <row r="303" spans="1:4" x14ac:dyDescent="0.2">
      <c r="A303" s="61" t="s">
        <v>16</v>
      </c>
      <c r="B303" s="61" t="s">
        <v>1489</v>
      </c>
      <c r="C303" s="62" t="s">
        <v>1490</v>
      </c>
      <c r="D303" s="61">
        <v>40</v>
      </c>
    </row>
    <row r="304" spans="1:4" x14ac:dyDescent="0.2">
      <c r="A304" s="62" t="s">
        <v>16</v>
      </c>
      <c r="B304" s="61" t="s">
        <v>1491</v>
      </c>
      <c r="C304" s="62" t="s">
        <v>1492</v>
      </c>
      <c r="D304" s="61">
        <v>40</v>
      </c>
    </row>
    <row r="305" spans="1:4" x14ac:dyDescent="0.2">
      <c r="A305" s="61" t="s">
        <v>16</v>
      </c>
      <c r="B305" s="61" t="s">
        <v>368</v>
      </c>
      <c r="C305" s="62" t="s">
        <v>4896</v>
      </c>
      <c r="D305" s="61">
        <v>40</v>
      </c>
    </row>
    <row r="306" spans="1:4" x14ac:dyDescent="0.2">
      <c r="A306" s="62" t="s">
        <v>16</v>
      </c>
      <c r="B306" s="61" t="s">
        <v>1493</v>
      </c>
      <c r="C306" s="62" t="s">
        <v>5300</v>
      </c>
      <c r="D306" s="61">
        <v>40</v>
      </c>
    </row>
    <row r="307" spans="1:4" x14ac:dyDescent="0.2">
      <c r="A307" s="61" t="s">
        <v>16</v>
      </c>
      <c r="B307" s="61" t="s">
        <v>1494</v>
      </c>
      <c r="C307" s="62" t="s">
        <v>5301</v>
      </c>
      <c r="D307" s="61">
        <v>40</v>
      </c>
    </row>
    <row r="308" spans="1:4" x14ac:dyDescent="0.2">
      <c r="A308" s="62" t="s">
        <v>16</v>
      </c>
      <c r="B308" s="61" t="s">
        <v>1495</v>
      </c>
      <c r="C308" s="62" t="s">
        <v>5302</v>
      </c>
      <c r="D308" s="61">
        <v>40</v>
      </c>
    </row>
    <row r="309" spans="1:4" x14ac:dyDescent="0.2">
      <c r="A309" s="61" t="s">
        <v>16</v>
      </c>
      <c r="B309" s="61" t="s">
        <v>1496</v>
      </c>
      <c r="C309" s="62" t="s">
        <v>5303</v>
      </c>
      <c r="D309" s="61">
        <v>50</v>
      </c>
    </row>
    <row r="310" spans="1:4" x14ac:dyDescent="0.2">
      <c r="A310" s="62" t="s">
        <v>16</v>
      </c>
      <c r="B310" s="61" t="s">
        <v>1497</v>
      </c>
      <c r="C310" s="62" t="s">
        <v>5304</v>
      </c>
      <c r="D310" s="61">
        <v>50</v>
      </c>
    </row>
    <row r="311" spans="1:4" x14ac:dyDescent="0.2">
      <c r="A311" s="61" t="s">
        <v>16</v>
      </c>
      <c r="B311" s="61" t="s">
        <v>1498</v>
      </c>
      <c r="C311" s="62" t="s">
        <v>5305</v>
      </c>
      <c r="D311" s="61">
        <v>50</v>
      </c>
    </row>
    <row r="312" spans="1:4" x14ac:dyDescent="0.2">
      <c r="A312" s="62" t="s">
        <v>16</v>
      </c>
      <c r="B312" s="61" t="s">
        <v>1499</v>
      </c>
      <c r="C312" s="62" t="s">
        <v>5306</v>
      </c>
      <c r="D312" s="61">
        <v>50</v>
      </c>
    </row>
    <row r="313" spans="1:4" x14ac:dyDescent="0.2">
      <c r="A313" s="61" t="s">
        <v>16</v>
      </c>
      <c r="B313" s="61" t="s">
        <v>1500</v>
      </c>
      <c r="C313" s="62" t="s">
        <v>5307</v>
      </c>
      <c r="D313" s="61">
        <v>50</v>
      </c>
    </row>
    <row r="314" spans="1:4" x14ac:dyDescent="0.2">
      <c r="A314" s="62" t="s">
        <v>16</v>
      </c>
      <c r="B314" s="61" t="s">
        <v>1501</v>
      </c>
      <c r="C314" s="62" t="s">
        <v>5308</v>
      </c>
      <c r="D314" s="61">
        <v>50</v>
      </c>
    </row>
    <row r="315" spans="1:4" x14ac:dyDescent="0.2">
      <c r="A315" s="62" t="s">
        <v>16</v>
      </c>
      <c r="B315" s="61" t="s">
        <v>1502</v>
      </c>
      <c r="C315" s="62" t="s">
        <v>5309</v>
      </c>
      <c r="D315" s="61">
        <v>40</v>
      </c>
    </row>
    <row r="316" spans="1:4" x14ac:dyDescent="0.2">
      <c r="A316" s="62" t="s">
        <v>16</v>
      </c>
      <c r="B316" s="61" t="s">
        <v>1503</v>
      </c>
      <c r="C316" s="62" t="s">
        <v>1504</v>
      </c>
      <c r="D316" s="61">
        <v>40</v>
      </c>
    </row>
    <row r="317" spans="1:4" x14ac:dyDescent="0.2">
      <c r="A317" s="62" t="s">
        <v>16</v>
      </c>
      <c r="B317" s="61" t="s">
        <v>1505</v>
      </c>
      <c r="C317" s="62" t="s">
        <v>1506</v>
      </c>
      <c r="D317" s="61">
        <v>40</v>
      </c>
    </row>
    <row r="318" spans="1:4" x14ac:dyDescent="0.2">
      <c r="A318" s="62" t="s">
        <v>16</v>
      </c>
      <c r="B318" s="61" t="s">
        <v>1507</v>
      </c>
      <c r="C318" s="62" t="s">
        <v>5310</v>
      </c>
      <c r="D318" s="61">
        <v>50</v>
      </c>
    </row>
    <row r="319" spans="1:4" x14ac:dyDescent="0.2">
      <c r="A319" s="61" t="s">
        <v>16</v>
      </c>
      <c r="B319" s="61" t="s">
        <v>1508</v>
      </c>
      <c r="C319" s="62" t="s">
        <v>1509</v>
      </c>
      <c r="D319" s="61">
        <v>50</v>
      </c>
    </row>
    <row r="320" spans="1:4" x14ac:dyDescent="0.2">
      <c r="A320" s="62" t="s">
        <v>16</v>
      </c>
      <c r="B320" s="61" t="s">
        <v>1510</v>
      </c>
      <c r="C320" s="62" t="s">
        <v>1511</v>
      </c>
      <c r="D320" s="61">
        <v>50</v>
      </c>
    </row>
    <row r="321" spans="1:4" x14ac:dyDescent="0.2">
      <c r="A321" s="61" t="s">
        <v>16</v>
      </c>
      <c r="B321" s="61" t="s">
        <v>1512</v>
      </c>
      <c r="C321" s="62" t="s">
        <v>1513</v>
      </c>
      <c r="D321" s="61">
        <v>50</v>
      </c>
    </row>
    <row r="322" spans="1:4" x14ac:dyDescent="0.2">
      <c r="A322" s="62" t="s">
        <v>16</v>
      </c>
      <c r="B322" s="61" t="s">
        <v>1514</v>
      </c>
      <c r="C322" s="62" t="s">
        <v>1515</v>
      </c>
      <c r="D322" s="61">
        <v>50</v>
      </c>
    </row>
    <row r="323" spans="1:4" x14ac:dyDescent="0.2">
      <c r="A323" s="61" t="s">
        <v>16</v>
      </c>
      <c r="B323" s="61" t="s">
        <v>1516</v>
      </c>
      <c r="C323" s="62" t="s">
        <v>1517</v>
      </c>
      <c r="D323" s="61">
        <v>50</v>
      </c>
    </row>
    <row r="324" spans="1:4" x14ac:dyDescent="0.2">
      <c r="A324" s="62" t="s">
        <v>16</v>
      </c>
      <c r="B324" s="61" t="s">
        <v>1518</v>
      </c>
      <c r="C324" s="62" t="s">
        <v>1519</v>
      </c>
      <c r="D324" s="61">
        <v>50</v>
      </c>
    </row>
    <row r="325" spans="1:4" x14ac:dyDescent="0.2">
      <c r="A325" s="61" t="s">
        <v>16</v>
      </c>
      <c r="B325" s="61" t="s">
        <v>1520</v>
      </c>
      <c r="C325" s="62" t="s">
        <v>1521</v>
      </c>
      <c r="D325" s="61">
        <v>50</v>
      </c>
    </row>
    <row r="326" spans="1:4" x14ac:dyDescent="0.2">
      <c r="A326" s="62" t="s">
        <v>16</v>
      </c>
      <c r="B326" s="61" t="s">
        <v>1522</v>
      </c>
      <c r="C326" s="62" t="s">
        <v>1523</v>
      </c>
      <c r="D326" s="61">
        <v>50</v>
      </c>
    </row>
    <row r="327" spans="1:4" x14ac:dyDescent="0.2">
      <c r="A327" s="61" t="s">
        <v>16</v>
      </c>
      <c r="B327" s="61" t="s">
        <v>1524</v>
      </c>
      <c r="C327" s="62" t="s">
        <v>1525</v>
      </c>
      <c r="D327" s="61">
        <v>50</v>
      </c>
    </row>
    <row r="328" spans="1:4" x14ac:dyDescent="0.2">
      <c r="A328" s="62" t="s">
        <v>16</v>
      </c>
      <c r="B328" s="61" t="s">
        <v>1526</v>
      </c>
      <c r="C328" s="62" t="s">
        <v>1527</v>
      </c>
      <c r="D328" s="61">
        <v>50</v>
      </c>
    </row>
    <row r="329" spans="1:4" x14ac:dyDescent="0.2">
      <c r="A329" s="61" t="s">
        <v>16</v>
      </c>
      <c r="B329" s="61" t="s">
        <v>1528</v>
      </c>
      <c r="C329" s="62" t="s">
        <v>1529</v>
      </c>
      <c r="D329" s="61">
        <v>50</v>
      </c>
    </row>
    <row r="330" spans="1:4" x14ac:dyDescent="0.2">
      <c r="A330" s="62" t="s">
        <v>16</v>
      </c>
      <c r="B330" s="61" t="s">
        <v>1530</v>
      </c>
      <c r="C330" s="62" t="s">
        <v>1531</v>
      </c>
      <c r="D330" s="61">
        <v>50</v>
      </c>
    </row>
    <row r="331" spans="1:4" x14ac:dyDescent="0.2">
      <c r="A331" s="61" t="s">
        <v>16</v>
      </c>
      <c r="B331" s="61" t="s">
        <v>1532</v>
      </c>
      <c r="C331" s="62" t="s">
        <v>1533</v>
      </c>
      <c r="D331" s="61">
        <v>50</v>
      </c>
    </row>
    <row r="332" spans="1:4" x14ac:dyDescent="0.2">
      <c r="A332" s="62" t="s">
        <v>16</v>
      </c>
      <c r="B332" s="61" t="s">
        <v>1534</v>
      </c>
      <c r="C332" s="62" t="s">
        <v>1535</v>
      </c>
      <c r="D332" s="61">
        <v>50</v>
      </c>
    </row>
    <row r="333" spans="1:4" x14ac:dyDescent="0.2">
      <c r="A333" s="61" t="s">
        <v>16</v>
      </c>
      <c r="B333" s="61" t="s">
        <v>1536</v>
      </c>
      <c r="C333" s="62" t="s">
        <v>1537</v>
      </c>
      <c r="D333" s="61">
        <v>50</v>
      </c>
    </row>
    <row r="334" spans="1:4" x14ac:dyDescent="0.2">
      <c r="A334" s="62" t="s">
        <v>16</v>
      </c>
      <c r="B334" s="61" t="s">
        <v>1538</v>
      </c>
      <c r="C334" s="62" t="s">
        <v>1539</v>
      </c>
      <c r="D334" s="61">
        <v>50</v>
      </c>
    </row>
    <row r="335" spans="1:4" x14ac:dyDescent="0.2">
      <c r="A335" s="61" t="s">
        <v>16</v>
      </c>
      <c r="B335" s="61" t="s">
        <v>1540</v>
      </c>
      <c r="C335" s="62" t="s">
        <v>5311</v>
      </c>
      <c r="D335" s="61">
        <v>50</v>
      </c>
    </row>
    <row r="336" spans="1:4" x14ac:dyDescent="0.2">
      <c r="A336" s="62" t="s">
        <v>16</v>
      </c>
      <c r="B336" s="61" t="s">
        <v>1541</v>
      </c>
      <c r="C336" s="62" t="s">
        <v>5312</v>
      </c>
      <c r="D336" s="61">
        <v>50</v>
      </c>
    </row>
    <row r="337" spans="1:4" x14ac:dyDescent="0.2">
      <c r="A337" s="61" t="s">
        <v>16</v>
      </c>
      <c r="B337" s="61" t="s">
        <v>1542</v>
      </c>
      <c r="C337" s="62" t="s">
        <v>5313</v>
      </c>
      <c r="D337" s="61">
        <v>50</v>
      </c>
    </row>
    <row r="338" spans="1:4" x14ac:dyDescent="0.2">
      <c r="A338" s="62" t="s">
        <v>16</v>
      </c>
      <c r="B338" s="61" t="s">
        <v>1543</v>
      </c>
      <c r="C338" s="62" t="s">
        <v>5314</v>
      </c>
      <c r="D338" s="61">
        <v>50</v>
      </c>
    </row>
    <row r="339" spans="1:4" x14ac:dyDescent="0.2">
      <c r="A339" s="61" t="s">
        <v>16</v>
      </c>
      <c r="B339" s="61" t="s">
        <v>1544</v>
      </c>
      <c r="C339" s="62" t="s">
        <v>5315</v>
      </c>
      <c r="D339" s="61">
        <v>50</v>
      </c>
    </row>
    <row r="340" spans="1:4" x14ac:dyDescent="0.2">
      <c r="A340" s="62" t="s">
        <v>16</v>
      </c>
      <c r="B340" s="61" t="s">
        <v>1545</v>
      </c>
      <c r="C340" s="62" t="s">
        <v>5308</v>
      </c>
      <c r="D340" s="61">
        <v>50</v>
      </c>
    </row>
    <row r="341" spans="1:4" x14ac:dyDescent="0.2">
      <c r="A341" s="61" t="s">
        <v>16</v>
      </c>
      <c r="B341" s="61" t="s">
        <v>1546</v>
      </c>
      <c r="C341" s="62" t="s">
        <v>5316</v>
      </c>
      <c r="D341" s="61">
        <v>50</v>
      </c>
    </row>
    <row r="342" spans="1:4" x14ac:dyDescent="0.2">
      <c r="A342" s="62" t="s">
        <v>16</v>
      </c>
      <c r="B342" s="61" t="s">
        <v>1547</v>
      </c>
      <c r="C342" s="62" t="s">
        <v>5317</v>
      </c>
      <c r="D342" s="61">
        <v>50</v>
      </c>
    </row>
    <row r="343" spans="1:4" x14ac:dyDescent="0.2">
      <c r="A343" s="61" t="s">
        <v>16</v>
      </c>
      <c r="B343" s="61" t="s">
        <v>1548</v>
      </c>
      <c r="C343" s="62" t="s">
        <v>5318</v>
      </c>
      <c r="D343" s="61">
        <v>50</v>
      </c>
    </row>
    <row r="344" spans="1:4" x14ac:dyDescent="0.2">
      <c r="A344" s="62" t="s">
        <v>16</v>
      </c>
      <c r="B344" s="61" t="s">
        <v>1549</v>
      </c>
      <c r="C344" s="62" t="s">
        <v>5319</v>
      </c>
      <c r="D344" s="61">
        <v>50</v>
      </c>
    </row>
    <row r="345" spans="1:4" x14ac:dyDescent="0.2">
      <c r="A345" s="61" t="s">
        <v>16</v>
      </c>
      <c r="B345" s="61" t="s">
        <v>1550</v>
      </c>
      <c r="C345" s="62" t="s">
        <v>5320</v>
      </c>
      <c r="D345" s="61">
        <v>50</v>
      </c>
    </row>
    <row r="346" spans="1:4" x14ac:dyDescent="0.2">
      <c r="A346" s="62" t="s">
        <v>16</v>
      </c>
      <c r="B346" s="61" t="s">
        <v>1551</v>
      </c>
      <c r="C346" s="62" t="s">
        <v>1552</v>
      </c>
      <c r="D346" s="61">
        <v>40</v>
      </c>
    </row>
    <row r="347" spans="1:4" x14ac:dyDescent="0.2">
      <c r="A347" s="61" t="s">
        <v>16</v>
      </c>
      <c r="B347" s="61" t="s">
        <v>1553</v>
      </c>
      <c r="C347" s="62" t="s">
        <v>1554</v>
      </c>
      <c r="D347" s="61">
        <v>40</v>
      </c>
    </row>
    <row r="348" spans="1:4" x14ac:dyDescent="0.2">
      <c r="A348" s="62" t="s">
        <v>16</v>
      </c>
      <c r="B348" s="61" t="s">
        <v>1555</v>
      </c>
      <c r="C348" s="62" t="s">
        <v>1556</v>
      </c>
      <c r="D348" s="61">
        <v>40</v>
      </c>
    </row>
    <row r="349" spans="1:4" x14ac:dyDescent="0.2">
      <c r="A349" s="61" t="s">
        <v>16</v>
      </c>
      <c r="B349" s="61" t="s">
        <v>1557</v>
      </c>
      <c r="C349" s="62" t="s">
        <v>1558</v>
      </c>
      <c r="D349" s="61">
        <v>40</v>
      </c>
    </row>
    <row r="350" spans="1:4" x14ac:dyDescent="0.2">
      <c r="A350" s="62" t="s">
        <v>16</v>
      </c>
      <c r="B350" s="61" t="s">
        <v>735</v>
      </c>
      <c r="C350" s="62" t="s">
        <v>4926</v>
      </c>
      <c r="D350" s="61">
        <v>40</v>
      </c>
    </row>
    <row r="351" spans="1:4" x14ac:dyDescent="0.2">
      <c r="A351" s="61" t="s">
        <v>16</v>
      </c>
      <c r="B351" s="61" t="s">
        <v>1559</v>
      </c>
      <c r="C351" s="62" t="s">
        <v>1560</v>
      </c>
      <c r="D351" s="61">
        <v>40</v>
      </c>
    </row>
    <row r="352" spans="1:4" x14ac:dyDescent="0.2">
      <c r="A352" s="62" t="s">
        <v>16</v>
      </c>
      <c r="B352" s="61" t="s">
        <v>1561</v>
      </c>
      <c r="C352" s="62" t="s">
        <v>1562</v>
      </c>
      <c r="D352" s="61">
        <v>40</v>
      </c>
    </row>
    <row r="353" spans="1:4" x14ac:dyDescent="0.2">
      <c r="A353" s="61" t="s">
        <v>16</v>
      </c>
      <c r="B353" s="61" t="s">
        <v>1563</v>
      </c>
      <c r="C353" s="62" t="s">
        <v>1564</v>
      </c>
      <c r="D353" s="61">
        <v>50</v>
      </c>
    </row>
    <row r="354" spans="1:4" x14ac:dyDescent="0.2">
      <c r="A354" s="62" t="s">
        <v>16</v>
      </c>
      <c r="B354" s="61" t="s">
        <v>1565</v>
      </c>
      <c r="C354" s="62" t="s">
        <v>1566</v>
      </c>
      <c r="D354" s="61">
        <v>50</v>
      </c>
    </row>
    <row r="355" spans="1:4" x14ac:dyDescent="0.2">
      <c r="A355" s="61" t="s">
        <v>16</v>
      </c>
      <c r="B355" s="61" t="s">
        <v>1567</v>
      </c>
      <c r="C355" s="62" t="s">
        <v>1568</v>
      </c>
      <c r="D355" s="61">
        <v>50</v>
      </c>
    </row>
    <row r="356" spans="1:4" x14ac:dyDescent="0.2">
      <c r="A356" s="62" t="s">
        <v>16</v>
      </c>
      <c r="B356" s="61" t="s">
        <v>1569</v>
      </c>
      <c r="C356" s="62" t="s">
        <v>1570</v>
      </c>
      <c r="D356" s="61">
        <v>50</v>
      </c>
    </row>
    <row r="357" spans="1:4" x14ac:dyDescent="0.2">
      <c r="A357" s="61" t="s">
        <v>16</v>
      </c>
      <c r="B357" s="61" t="s">
        <v>1571</v>
      </c>
      <c r="C357" s="62" t="s">
        <v>1572</v>
      </c>
      <c r="D357" s="61">
        <v>50</v>
      </c>
    </row>
    <row r="358" spans="1:4" x14ac:dyDescent="0.2">
      <c r="A358" s="62" t="s">
        <v>16</v>
      </c>
      <c r="B358" s="61" t="s">
        <v>1573</v>
      </c>
      <c r="C358" s="62" t="s">
        <v>1574</v>
      </c>
      <c r="D358" s="61">
        <v>50</v>
      </c>
    </row>
    <row r="359" spans="1:4" x14ac:dyDescent="0.2">
      <c r="A359" s="61" t="s">
        <v>16</v>
      </c>
      <c r="B359" s="61" t="s">
        <v>1575</v>
      </c>
      <c r="C359" s="62" t="s">
        <v>1576</v>
      </c>
      <c r="D359" s="61">
        <v>50</v>
      </c>
    </row>
    <row r="360" spans="1:4" x14ac:dyDescent="0.2">
      <c r="A360" s="62" t="s">
        <v>16</v>
      </c>
      <c r="B360" s="61" t="s">
        <v>1577</v>
      </c>
      <c r="C360" s="62" t="s">
        <v>1578</v>
      </c>
      <c r="D360" s="61">
        <v>50</v>
      </c>
    </row>
    <row r="361" spans="1:4" x14ac:dyDescent="0.2">
      <c r="A361" s="61" t="s">
        <v>16</v>
      </c>
      <c r="B361" s="61" t="s">
        <v>1579</v>
      </c>
      <c r="C361" s="62" t="s">
        <v>1580</v>
      </c>
      <c r="D361" s="61">
        <v>50</v>
      </c>
    </row>
    <row r="362" spans="1:4" x14ac:dyDescent="0.2">
      <c r="A362" s="62" t="s">
        <v>16</v>
      </c>
      <c r="B362" s="61" t="s">
        <v>1581</v>
      </c>
      <c r="C362" s="62" t="s">
        <v>1582</v>
      </c>
      <c r="D362" s="61">
        <v>40</v>
      </c>
    </row>
    <row r="363" spans="1:4" x14ac:dyDescent="0.2">
      <c r="A363" s="61" t="s">
        <v>16</v>
      </c>
      <c r="B363" s="61" t="s">
        <v>1583</v>
      </c>
      <c r="C363" s="62" t="s">
        <v>1584</v>
      </c>
      <c r="D363" s="61">
        <v>40</v>
      </c>
    </row>
    <row r="364" spans="1:4" x14ac:dyDescent="0.2">
      <c r="A364" s="62" t="s">
        <v>16</v>
      </c>
      <c r="B364" s="61" t="s">
        <v>1585</v>
      </c>
      <c r="C364" s="62" t="s">
        <v>1586</v>
      </c>
      <c r="D364" s="61">
        <v>50</v>
      </c>
    </row>
    <row r="365" spans="1:4" x14ac:dyDescent="0.2">
      <c r="A365" s="61" t="s">
        <v>16</v>
      </c>
      <c r="B365" s="61" t="s">
        <v>1587</v>
      </c>
      <c r="C365" s="62" t="s">
        <v>1588</v>
      </c>
      <c r="D365" s="61">
        <v>50</v>
      </c>
    </row>
    <row r="366" spans="1:4" x14ac:dyDescent="0.2">
      <c r="A366" s="62" t="s">
        <v>16</v>
      </c>
      <c r="B366" s="61" t="s">
        <v>1589</v>
      </c>
      <c r="C366" s="62" t="s">
        <v>1590</v>
      </c>
      <c r="D366" s="61">
        <v>50</v>
      </c>
    </row>
    <row r="367" spans="1:4" x14ac:dyDescent="0.2">
      <c r="A367" s="61" t="s">
        <v>16</v>
      </c>
      <c r="B367" s="61" t="s">
        <v>1591</v>
      </c>
      <c r="C367" s="62" t="s">
        <v>1592</v>
      </c>
      <c r="D367" s="61">
        <v>50</v>
      </c>
    </row>
    <row r="368" spans="1:4" x14ac:dyDescent="0.2">
      <c r="A368" s="62" t="s">
        <v>16</v>
      </c>
      <c r="B368" s="61" t="s">
        <v>1593</v>
      </c>
      <c r="C368" s="62" t="s">
        <v>1594</v>
      </c>
      <c r="D368" s="61">
        <v>50</v>
      </c>
    </row>
    <row r="369" spans="1:4" x14ac:dyDescent="0.2">
      <c r="A369" s="61" t="s">
        <v>16</v>
      </c>
      <c r="B369" s="61" t="s">
        <v>1595</v>
      </c>
      <c r="C369" s="62" t="s">
        <v>1596</v>
      </c>
      <c r="D369" s="61">
        <v>50</v>
      </c>
    </row>
    <row r="370" spans="1:4" x14ac:dyDescent="0.2">
      <c r="A370" s="62" t="s">
        <v>16</v>
      </c>
      <c r="B370" s="61" t="s">
        <v>1597</v>
      </c>
      <c r="C370" s="62" t="s">
        <v>1598</v>
      </c>
      <c r="D370" s="61">
        <v>50</v>
      </c>
    </row>
    <row r="371" spans="1:4" x14ac:dyDescent="0.2">
      <c r="A371" s="62" t="s">
        <v>16</v>
      </c>
      <c r="B371" s="61" t="s">
        <v>1599</v>
      </c>
      <c r="C371" s="62" t="s">
        <v>5321</v>
      </c>
      <c r="D371" s="61">
        <v>40</v>
      </c>
    </row>
    <row r="372" spans="1:4" x14ac:dyDescent="0.2">
      <c r="A372" s="62" t="s">
        <v>16</v>
      </c>
      <c r="B372" s="61" t="s">
        <v>1600</v>
      </c>
      <c r="C372" s="62" t="s">
        <v>4980</v>
      </c>
      <c r="D372" s="61">
        <v>40</v>
      </c>
    </row>
    <row r="373" spans="1:4" x14ac:dyDescent="0.2">
      <c r="A373" s="61" t="s">
        <v>16</v>
      </c>
      <c r="B373" s="61" t="s">
        <v>1601</v>
      </c>
      <c r="C373" s="62" t="s">
        <v>5322</v>
      </c>
      <c r="D373" s="61">
        <v>40</v>
      </c>
    </row>
    <row r="374" spans="1:4" x14ac:dyDescent="0.2">
      <c r="A374" s="62" t="s">
        <v>16</v>
      </c>
      <c r="B374" s="61" t="s">
        <v>1602</v>
      </c>
      <c r="C374" s="62" t="s">
        <v>5323</v>
      </c>
      <c r="D374" s="61">
        <v>40</v>
      </c>
    </row>
    <row r="375" spans="1:4" x14ac:dyDescent="0.2">
      <c r="A375" s="62" t="s">
        <v>16</v>
      </c>
      <c r="B375" s="61" t="s">
        <v>1603</v>
      </c>
      <c r="C375" s="62" t="s">
        <v>5324</v>
      </c>
      <c r="D375" s="61">
        <v>40</v>
      </c>
    </row>
    <row r="376" spans="1:4" x14ac:dyDescent="0.2">
      <c r="A376" s="61" t="s">
        <v>16</v>
      </c>
      <c r="B376" s="61" t="s">
        <v>1604</v>
      </c>
      <c r="C376" s="62" t="s">
        <v>5325</v>
      </c>
      <c r="D376" s="61">
        <v>40</v>
      </c>
    </row>
    <row r="377" spans="1:4" x14ac:dyDescent="0.2">
      <c r="A377" s="62" t="s">
        <v>16</v>
      </c>
      <c r="B377" s="61" t="s">
        <v>1605</v>
      </c>
      <c r="C377" s="62" t="s">
        <v>5326</v>
      </c>
      <c r="D377" s="61">
        <v>40</v>
      </c>
    </row>
    <row r="378" spans="1:4" x14ac:dyDescent="0.2">
      <c r="A378" s="61" t="s">
        <v>16</v>
      </c>
      <c r="B378" s="61" t="s">
        <v>1606</v>
      </c>
      <c r="C378" s="62" t="s">
        <v>5327</v>
      </c>
      <c r="D378" s="61">
        <v>50</v>
      </c>
    </row>
    <row r="379" spans="1:4" x14ac:dyDescent="0.2">
      <c r="A379" s="62" t="s">
        <v>16</v>
      </c>
      <c r="B379" s="61" t="s">
        <v>1607</v>
      </c>
      <c r="C379" s="62" t="s">
        <v>5328</v>
      </c>
      <c r="D379" s="61">
        <v>50</v>
      </c>
    </row>
    <row r="380" spans="1:4" x14ac:dyDescent="0.2">
      <c r="A380" s="61" t="s">
        <v>16</v>
      </c>
      <c r="B380" s="61" t="s">
        <v>1608</v>
      </c>
      <c r="C380" s="62" t="s">
        <v>5329</v>
      </c>
      <c r="D380" s="61">
        <v>50</v>
      </c>
    </row>
    <row r="381" spans="1:4" x14ac:dyDescent="0.2">
      <c r="A381" s="61" t="s">
        <v>16</v>
      </c>
      <c r="B381" s="61" t="s">
        <v>1609</v>
      </c>
      <c r="C381" s="62" t="s">
        <v>1610</v>
      </c>
      <c r="D381" s="61">
        <v>50</v>
      </c>
    </row>
    <row r="382" spans="1:4" x14ac:dyDescent="0.2">
      <c r="A382" s="62" t="s">
        <v>16</v>
      </c>
      <c r="B382" s="61" t="s">
        <v>1611</v>
      </c>
      <c r="C382" s="62" t="s">
        <v>1612</v>
      </c>
      <c r="D382" s="61">
        <v>50</v>
      </c>
    </row>
    <row r="383" spans="1:4" x14ac:dyDescent="0.2">
      <c r="A383" s="61" t="s">
        <v>16</v>
      </c>
      <c r="B383" s="61" t="s">
        <v>1613</v>
      </c>
      <c r="C383" s="62" t="s">
        <v>1614</v>
      </c>
      <c r="D383" s="61">
        <v>50</v>
      </c>
    </row>
    <row r="384" spans="1:4" x14ac:dyDescent="0.2">
      <c r="A384" s="62" t="s">
        <v>16</v>
      </c>
      <c r="B384" s="61" t="s">
        <v>1615</v>
      </c>
      <c r="C384" s="62" t="s">
        <v>1616</v>
      </c>
      <c r="D384" s="61">
        <v>50</v>
      </c>
    </row>
    <row r="385" spans="1:4" x14ac:dyDescent="0.2">
      <c r="A385" s="61" t="s">
        <v>16</v>
      </c>
      <c r="B385" s="61" t="s">
        <v>1617</v>
      </c>
      <c r="C385" s="62" t="s">
        <v>1618</v>
      </c>
      <c r="D385" s="61">
        <v>50</v>
      </c>
    </row>
    <row r="386" spans="1:4" x14ac:dyDescent="0.2">
      <c r="A386" s="62" t="s">
        <v>16</v>
      </c>
      <c r="B386" s="61" t="s">
        <v>1619</v>
      </c>
      <c r="C386" s="62" t="s">
        <v>1620</v>
      </c>
      <c r="D386" s="61">
        <v>50</v>
      </c>
    </row>
    <row r="387" spans="1:4" x14ac:dyDescent="0.2">
      <c r="A387" s="61" t="s">
        <v>16</v>
      </c>
      <c r="B387" s="61" t="s">
        <v>1621</v>
      </c>
      <c r="C387" s="62" t="s">
        <v>1622</v>
      </c>
      <c r="D387" s="61">
        <v>50</v>
      </c>
    </row>
    <row r="388" spans="1:4" x14ac:dyDescent="0.2">
      <c r="A388" s="62" t="s">
        <v>16</v>
      </c>
      <c r="B388" s="61" t="s">
        <v>1623</v>
      </c>
      <c r="C388" s="62" t="s">
        <v>1624</v>
      </c>
      <c r="D388" s="61">
        <v>50</v>
      </c>
    </row>
    <row r="389" spans="1:4" x14ac:dyDescent="0.2">
      <c r="A389" s="61" t="s">
        <v>16</v>
      </c>
      <c r="B389" s="61" t="s">
        <v>1625</v>
      </c>
      <c r="C389" s="62" t="s">
        <v>1626</v>
      </c>
      <c r="D389" s="61">
        <v>50</v>
      </c>
    </row>
    <row r="390" spans="1:4" x14ac:dyDescent="0.2">
      <c r="A390" s="62" t="s">
        <v>16</v>
      </c>
      <c r="B390" s="61" t="s">
        <v>1627</v>
      </c>
      <c r="C390" s="62" t="s">
        <v>1628</v>
      </c>
      <c r="D390" s="61">
        <v>50</v>
      </c>
    </row>
    <row r="391" spans="1:4" x14ac:dyDescent="0.2">
      <c r="A391" s="61" t="s">
        <v>16</v>
      </c>
      <c r="B391" s="61" t="s">
        <v>1629</v>
      </c>
      <c r="C391" s="62" t="s">
        <v>1630</v>
      </c>
      <c r="D391" s="61">
        <v>50</v>
      </c>
    </row>
    <row r="392" spans="1:4" x14ac:dyDescent="0.2">
      <c r="A392" s="61" t="s">
        <v>16</v>
      </c>
      <c r="B392" s="61" t="s">
        <v>1631</v>
      </c>
      <c r="C392" s="62" t="s">
        <v>1632</v>
      </c>
      <c r="D392" s="61">
        <v>50</v>
      </c>
    </row>
    <row r="393" spans="1:4" x14ac:dyDescent="0.2">
      <c r="A393" s="61" t="s">
        <v>16</v>
      </c>
      <c r="B393" s="61" t="s">
        <v>1633</v>
      </c>
      <c r="C393" s="62" t="s">
        <v>1634</v>
      </c>
      <c r="D393" s="61">
        <v>40</v>
      </c>
    </row>
    <row r="394" spans="1:4" x14ac:dyDescent="0.2">
      <c r="A394" s="61" t="s">
        <v>16</v>
      </c>
      <c r="B394" s="61" t="s">
        <v>1635</v>
      </c>
      <c r="C394" s="62" t="s">
        <v>5330</v>
      </c>
      <c r="D394" s="61">
        <v>40</v>
      </c>
    </row>
    <row r="395" spans="1:4" x14ac:dyDescent="0.2">
      <c r="A395" s="62" t="s">
        <v>16</v>
      </c>
      <c r="B395" s="61" t="s">
        <v>1636</v>
      </c>
      <c r="C395" s="62" t="s">
        <v>5331</v>
      </c>
      <c r="D395" s="61">
        <v>40</v>
      </c>
    </row>
    <row r="396" spans="1:4" x14ac:dyDescent="0.2">
      <c r="A396" s="61" t="s">
        <v>16</v>
      </c>
      <c r="B396" s="61" t="s">
        <v>1637</v>
      </c>
      <c r="C396" s="62" t="s">
        <v>1638</v>
      </c>
      <c r="D396" s="61">
        <v>40</v>
      </c>
    </row>
    <row r="397" spans="1:4" x14ac:dyDescent="0.2">
      <c r="A397" s="62" t="s">
        <v>16</v>
      </c>
      <c r="B397" s="61" t="s">
        <v>1639</v>
      </c>
      <c r="C397" s="62" t="s">
        <v>1640</v>
      </c>
      <c r="D397" s="61">
        <v>40</v>
      </c>
    </row>
    <row r="398" spans="1:4" x14ac:dyDescent="0.2">
      <c r="A398" s="61" t="s">
        <v>16</v>
      </c>
      <c r="B398" s="61" t="s">
        <v>429</v>
      </c>
      <c r="C398" s="62" t="s">
        <v>4865</v>
      </c>
      <c r="D398" s="61">
        <v>50</v>
      </c>
    </row>
    <row r="399" spans="1:4" x14ac:dyDescent="0.2">
      <c r="A399" s="62" t="s">
        <v>16</v>
      </c>
      <c r="B399" s="61" t="s">
        <v>424</v>
      </c>
      <c r="C399" s="62" t="s">
        <v>4862</v>
      </c>
      <c r="D399" s="61">
        <v>50</v>
      </c>
    </row>
    <row r="400" spans="1:4" x14ac:dyDescent="0.2">
      <c r="A400" s="61" t="s">
        <v>16</v>
      </c>
      <c r="B400" s="61" t="s">
        <v>1641</v>
      </c>
      <c r="C400" s="62" t="s">
        <v>1642</v>
      </c>
      <c r="D400" s="61">
        <v>40</v>
      </c>
    </row>
    <row r="401" spans="1:4" x14ac:dyDescent="0.2">
      <c r="A401" s="62" t="s">
        <v>16</v>
      </c>
      <c r="B401" s="61" t="s">
        <v>1643</v>
      </c>
      <c r="C401" s="62" t="s">
        <v>1644</v>
      </c>
      <c r="D401" s="61">
        <v>40</v>
      </c>
    </row>
    <row r="402" spans="1:4" x14ac:dyDescent="0.2">
      <c r="A402" s="61" t="s">
        <v>16</v>
      </c>
      <c r="B402" s="61" t="s">
        <v>408</v>
      </c>
      <c r="C402" s="62" t="s">
        <v>409</v>
      </c>
      <c r="D402" s="61">
        <v>40</v>
      </c>
    </row>
    <row r="403" spans="1:4" x14ac:dyDescent="0.2">
      <c r="A403" s="62" t="s">
        <v>16</v>
      </c>
      <c r="B403" s="61" t="s">
        <v>630</v>
      </c>
      <c r="C403" s="62" t="s">
        <v>631</v>
      </c>
      <c r="D403" s="61">
        <v>40</v>
      </c>
    </row>
    <row r="404" spans="1:4" x14ac:dyDescent="0.2">
      <c r="A404" s="61" t="s">
        <v>16</v>
      </c>
      <c r="B404" s="61" t="s">
        <v>801</v>
      </c>
      <c r="C404" s="62" t="s">
        <v>802</v>
      </c>
      <c r="D404" s="61">
        <v>40</v>
      </c>
    </row>
    <row r="405" spans="1:4" x14ac:dyDescent="0.2">
      <c r="A405" s="62" t="s">
        <v>16</v>
      </c>
      <c r="B405" s="61" t="s">
        <v>1645</v>
      </c>
      <c r="C405" s="62" t="s">
        <v>1646</v>
      </c>
      <c r="D405" s="61">
        <v>40</v>
      </c>
    </row>
    <row r="406" spans="1:4" x14ac:dyDescent="0.2">
      <c r="A406" s="61" t="s">
        <v>16</v>
      </c>
      <c r="B406" s="61" t="s">
        <v>1647</v>
      </c>
      <c r="C406" s="62" t="s">
        <v>1648</v>
      </c>
      <c r="D406" s="61">
        <v>40</v>
      </c>
    </row>
    <row r="407" spans="1:4" x14ac:dyDescent="0.2">
      <c r="A407" s="62" t="s">
        <v>16</v>
      </c>
      <c r="B407" s="61" t="s">
        <v>1649</v>
      </c>
      <c r="C407" s="62" t="s">
        <v>1650</v>
      </c>
      <c r="D407" s="61">
        <v>40</v>
      </c>
    </row>
    <row r="408" spans="1:4" x14ac:dyDescent="0.2">
      <c r="A408" s="61" t="s">
        <v>16</v>
      </c>
      <c r="B408" s="61" t="s">
        <v>1651</v>
      </c>
      <c r="C408" s="62" t="s">
        <v>1652</v>
      </c>
      <c r="D408" s="61">
        <v>40</v>
      </c>
    </row>
    <row r="409" spans="1:4" x14ac:dyDescent="0.2">
      <c r="A409" s="62" t="s">
        <v>16</v>
      </c>
      <c r="B409" s="61" t="s">
        <v>1653</v>
      </c>
      <c r="C409" s="62" t="s">
        <v>1654</v>
      </c>
      <c r="D409" s="61">
        <v>50</v>
      </c>
    </row>
    <row r="410" spans="1:4" x14ac:dyDescent="0.2">
      <c r="A410" s="61" t="s">
        <v>16</v>
      </c>
      <c r="B410" s="61" t="s">
        <v>1655</v>
      </c>
      <c r="C410" s="62" t="s">
        <v>1656</v>
      </c>
      <c r="D410" s="61">
        <v>50</v>
      </c>
    </row>
    <row r="411" spans="1:4" x14ac:dyDescent="0.2">
      <c r="A411" s="62" t="s">
        <v>16</v>
      </c>
      <c r="B411" s="61" t="s">
        <v>1657</v>
      </c>
      <c r="C411" s="62" t="s">
        <v>1658</v>
      </c>
      <c r="D411" s="61">
        <v>40</v>
      </c>
    </row>
    <row r="412" spans="1:4" x14ac:dyDescent="0.2">
      <c r="A412" s="61" t="s">
        <v>16</v>
      </c>
      <c r="B412" s="61" t="s">
        <v>1659</v>
      </c>
      <c r="C412" s="62" t="s">
        <v>1660</v>
      </c>
      <c r="D412" s="61">
        <v>40</v>
      </c>
    </row>
    <row r="413" spans="1:4" x14ac:dyDescent="0.2">
      <c r="A413" s="62" t="s">
        <v>16</v>
      </c>
      <c r="B413" s="61" t="s">
        <v>1661</v>
      </c>
      <c r="C413" s="62" t="s">
        <v>1662</v>
      </c>
      <c r="D413" s="61">
        <v>40</v>
      </c>
    </row>
    <row r="414" spans="1:4" x14ac:dyDescent="0.2">
      <c r="A414" s="61" t="s">
        <v>16</v>
      </c>
      <c r="B414" s="61" t="s">
        <v>1663</v>
      </c>
      <c r="C414" s="62" t="s">
        <v>1664</v>
      </c>
      <c r="D414" s="61">
        <v>40</v>
      </c>
    </row>
    <row r="415" spans="1:4" x14ac:dyDescent="0.2">
      <c r="A415" s="62" t="s">
        <v>16</v>
      </c>
      <c r="B415" s="61" t="s">
        <v>1665</v>
      </c>
      <c r="C415" s="62" t="s">
        <v>1666</v>
      </c>
      <c r="D415" s="61">
        <v>40</v>
      </c>
    </row>
    <row r="416" spans="1:4" x14ac:dyDescent="0.2">
      <c r="A416" s="61" t="s">
        <v>16</v>
      </c>
      <c r="B416" s="61" t="s">
        <v>1667</v>
      </c>
      <c r="C416" s="62" t="s">
        <v>1668</v>
      </c>
      <c r="D416" s="61">
        <v>40</v>
      </c>
    </row>
    <row r="417" spans="1:4" x14ac:dyDescent="0.2">
      <c r="A417" s="62" t="s">
        <v>16</v>
      </c>
      <c r="B417" s="61" t="s">
        <v>1669</v>
      </c>
      <c r="C417" s="62" t="s">
        <v>1670</v>
      </c>
      <c r="D417" s="61">
        <v>40</v>
      </c>
    </row>
    <row r="418" spans="1:4" x14ac:dyDescent="0.2">
      <c r="A418" s="61" t="s">
        <v>16</v>
      </c>
      <c r="B418" s="61" t="s">
        <v>1671</v>
      </c>
      <c r="C418" s="62" t="s">
        <v>1672</v>
      </c>
      <c r="D418" s="61">
        <v>40</v>
      </c>
    </row>
    <row r="419" spans="1:4" x14ac:dyDescent="0.2">
      <c r="A419" s="62" t="s">
        <v>16</v>
      </c>
      <c r="B419" s="61" t="s">
        <v>1673</v>
      </c>
      <c r="C419" s="62" t="s">
        <v>1674</v>
      </c>
      <c r="D419" s="61">
        <v>40</v>
      </c>
    </row>
    <row r="420" spans="1:4" x14ac:dyDescent="0.2">
      <c r="A420" s="61" t="s">
        <v>16</v>
      </c>
      <c r="B420" s="61" t="s">
        <v>1675</v>
      </c>
      <c r="C420" s="62" t="s">
        <v>1676</v>
      </c>
      <c r="D420" s="61">
        <v>40</v>
      </c>
    </row>
    <row r="421" spans="1:4" x14ac:dyDescent="0.2">
      <c r="A421" s="62" t="s">
        <v>16</v>
      </c>
      <c r="B421" s="61" t="s">
        <v>1677</v>
      </c>
      <c r="C421" s="62" t="s">
        <v>1678</v>
      </c>
      <c r="D421" s="61">
        <v>50</v>
      </c>
    </row>
    <row r="422" spans="1:4" x14ac:dyDescent="0.2">
      <c r="A422" s="61" t="s">
        <v>16</v>
      </c>
      <c r="B422" s="61" t="s">
        <v>1679</v>
      </c>
      <c r="C422" s="62" t="s">
        <v>1680</v>
      </c>
      <c r="D422" s="61">
        <v>50</v>
      </c>
    </row>
    <row r="423" spans="1:4" x14ac:dyDescent="0.2">
      <c r="A423" s="62" t="s">
        <v>16</v>
      </c>
      <c r="B423" s="61" t="s">
        <v>1681</v>
      </c>
      <c r="C423" s="62" t="s">
        <v>1682</v>
      </c>
      <c r="D423" s="61">
        <v>40</v>
      </c>
    </row>
    <row r="424" spans="1:4" x14ac:dyDescent="0.2">
      <c r="A424" s="61" t="s">
        <v>16</v>
      </c>
      <c r="B424" s="61" t="s">
        <v>1683</v>
      </c>
      <c r="C424" s="62" t="s">
        <v>1684</v>
      </c>
      <c r="D424" s="61">
        <v>40</v>
      </c>
    </row>
    <row r="425" spans="1:4" x14ac:dyDescent="0.2">
      <c r="A425" s="62" t="s">
        <v>16</v>
      </c>
      <c r="B425" s="61" t="s">
        <v>1685</v>
      </c>
      <c r="C425" s="62" t="s">
        <v>1686</v>
      </c>
      <c r="D425" s="61">
        <v>40</v>
      </c>
    </row>
    <row r="426" spans="1:4" x14ac:dyDescent="0.2">
      <c r="A426" s="61" t="s">
        <v>16</v>
      </c>
      <c r="B426" s="61" t="s">
        <v>1687</v>
      </c>
      <c r="C426" s="62" t="s">
        <v>1688</v>
      </c>
      <c r="D426" s="61">
        <v>40</v>
      </c>
    </row>
    <row r="427" spans="1:4" x14ac:dyDescent="0.2">
      <c r="A427" s="62" t="s">
        <v>16</v>
      </c>
      <c r="B427" s="61" t="s">
        <v>1689</v>
      </c>
      <c r="C427" s="62" t="s">
        <v>1690</v>
      </c>
      <c r="D427" s="61">
        <v>40</v>
      </c>
    </row>
    <row r="428" spans="1:4" x14ac:dyDescent="0.2">
      <c r="A428" s="61" t="s">
        <v>16</v>
      </c>
      <c r="B428" s="61" t="s">
        <v>1691</v>
      </c>
      <c r="C428" s="62" t="s">
        <v>1692</v>
      </c>
      <c r="D428" s="61">
        <v>40</v>
      </c>
    </row>
    <row r="429" spans="1:4" x14ac:dyDescent="0.2">
      <c r="A429" s="62" t="s">
        <v>16</v>
      </c>
      <c r="B429" s="61" t="s">
        <v>1693</v>
      </c>
      <c r="C429" s="62" t="s">
        <v>1694</v>
      </c>
      <c r="D429" s="61">
        <v>40</v>
      </c>
    </row>
    <row r="430" spans="1:4" x14ac:dyDescent="0.2">
      <c r="A430" s="61" t="s">
        <v>16</v>
      </c>
      <c r="B430" s="61" t="s">
        <v>900</v>
      </c>
      <c r="C430" s="62" t="s">
        <v>901</v>
      </c>
      <c r="D430" s="61">
        <v>40</v>
      </c>
    </row>
    <row r="431" spans="1:4" x14ac:dyDescent="0.2">
      <c r="A431" s="62" t="s">
        <v>16</v>
      </c>
      <c r="B431" s="61" t="s">
        <v>1695</v>
      </c>
      <c r="C431" s="62" t="s">
        <v>1696</v>
      </c>
      <c r="D431" s="61">
        <v>40</v>
      </c>
    </row>
    <row r="432" spans="1:4" x14ac:dyDescent="0.2">
      <c r="A432" s="61" t="s">
        <v>16</v>
      </c>
      <c r="B432" s="61" t="s">
        <v>1697</v>
      </c>
      <c r="C432" s="62" t="s">
        <v>1698</v>
      </c>
      <c r="D432" s="61">
        <v>40</v>
      </c>
    </row>
    <row r="433" spans="1:4" x14ac:dyDescent="0.2">
      <c r="A433" s="62" t="s">
        <v>16</v>
      </c>
      <c r="B433" s="61" t="s">
        <v>1699</v>
      </c>
      <c r="C433" s="62" t="s">
        <v>1700</v>
      </c>
      <c r="D433" s="61">
        <v>40</v>
      </c>
    </row>
    <row r="434" spans="1:4" x14ac:dyDescent="0.2">
      <c r="A434" s="61" t="s">
        <v>16</v>
      </c>
      <c r="B434" s="61" t="s">
        <v>1701</v>
      </c>
      <c r="C434" s="62" t="s">
        <v>1702</v>
      </c>
      <c r="D434" s="61">
        <v>40</v>
      </c>
    </row>
    <row r="435" spans="1:4" x14ac:dyDescent="0.2">
      <c r="A435" s="62" t="s">
        <v>16</v>
      </c>
      <c r="B435" s="61" t="s">
        <v>1703</v>
      </c>
      <c r="C435" s="62" t="s">
        <v>1704</v>
      </c>
      <c r="D435" s="61">
        <v>40</v>
      </c>
    </row>
    <row r="436" spans="1:4" x14ac:dyDescent="0.2">
      <c r="A436" s="61" t="s">
        <v>16</v>
      </c>
      <c r="B436" s="61" t="s">
        <v>1705</v>
      </c>
      <c r="C436" s="62" t="s">
        <v>1706</v>
      </c>
      <c r="D436" s="61">
        <v>40</v>
      </c>
    </row>
    <row r="437" spans="1:4" x14ac:dyDescent="0.2">
      <c r="A437" s="62" t="s">
        <v>16</v>
      </c>
      <c r="B437" s="61" t="s">
        <v>813</v>
      </c>
      <c r="C437" s="62" t="s">
        <v>5332</v>
      </c>
      <c r="D437" s="61">
        <v>50</v>
      </c>
    </row>
    <row r="438" spans="1:4" x14ac:dyDescent="0.2">
      <c r="A438" s="61" t="s">
        <v>16</v>
      </c>
      <c r="B438" s="61" t="s">
        <v>854</v>
      </c>
      <c r="C438" s="62" t="s">
        <v>5333</v>
      </c>
      <c r="D438" s="61">
        <v>50</v>
      </c>
    </row>
    <row r="439" spans="1:4" x14ac:dyDescent="0.2">
      <c r="A439" s="62" t="s">
        <v>16</v>
      </c>
      <c r="B439" s="61" t="s">
        <v>1707</v>
      </c>
      <c r="C439" s="62" t="s">
        <v>1429</v>
      </c>
      <c r="D439" s="61">
        <v>50</v>
      </c>
    </row>
    <row r="440" spans="1:4" x14ac:dyDescent="0.2">
      <c r="A440" s="61" t="s">
        <v>16</v>
      </c>
      <c r="B440" s="61" t="s">
        <v>1708</v>
      </c>
      <c r="C440" s="62" t="s">
        <v>1431</v>
      </c>
      <c r="D440" s="61">
        <v>50</v>
      </c>
    </row>
    <row r="441" spans="1:4" x14ac:dyDescent="0.2">
      <c r="A441" s="62" t="s">
        <v>16</v>
      </c>
      <c r="B441" s="61" t="s">
        <v>844</v>
      </c>
      <c r="C441" s="62" t="s">
        <v>845</v>
      </c>
      <c r="D441" s="61">
        <v>40</v>
      </c>
    </row>
    <row r="442" spans="1:4" x14ac:dyDescent="0.2">
      <c r="A442" s="61" t="s">
        <v>16</v>
      </c>
      <c r="B442" s="61" t="s">
        <v>292</v>
      </c>
      <c r="C442" s="62" t="s">
        <v>293</v>
      </c>
      <c r="D442" s="61">
        <v>40</v>
      </c>
    </row>
    <row r="443" spans="1:4" x14ac:dyDescent="0.2">
      <c r="A443" s="62" t="s">
        <v>16</v>
      </c>
      <c r="B443" s="61" t="s">
        <v>1709</v>
      </c>
      <c r="C443" s="62" t="s">
        <v>1710</v>
      </c>
      <c r="D443" s="61">
        <v>40</v>
      </c>
    </row>
    <row r="444" spans="1:4" x14ac:dyDescent="0.2">
      <c r="A444" s="61" t="s">
        <v>16</v>
      </c>
      <c r="B444" s="61" t="s">
        <v>1711</v>
      </c>
      <c r="C444" s="62" t="s">
        <v>1712</v>
      </c>
      <c r="D444" s="61">
        <v>40</v>
      </c>
    </row>
    <row r="445" spans="1:4" x14ac:dyDescent="0.2">
      <c r="A445" s="62" t="s">
        <v>16</v>
      </c>
      <c r="B445" s="61" t="s">
        <v>294</v>
      </c>
      <c r="C445" s="62" t="s">
        <v>295</v>
      </c>
      <c r="D445" s="61">
        <v>40</v>
      </c>
    </row>
    <row r="446" spans="1:4" x14ac:dyDescent="0.2">
      <c r="A446" s="61" t="s">
        <v>16</v>
      </c>
      <c r="B446" s="61" t="s">
        <v>1713</v>
      </c>
      <c r="C446" s="62" t="s">
        <v>1714</v>
      </c>
      <c r="D446" s="61">
        <v>40</v>
      </c>
    </row>
    <row r="447" spans="1:4" x14ac:dyDescent="0.2">
      <c r="A447" s="62" t="s">
        <v>16</v>
      </c>
      <c r="B447" s="61" t="s">
        <v>1715</v>
      </c>
      <c r="C447" s="62" t="s">
        <v>1716</v>
      </c>
      <c r="D447" s="61">
        <v>40</v>
      </c>
    </row>
    <row r="448" spans="1:4" x14ac:dyDescent="0.2">
      <c r="A448" s="61" t="s">
        <v>16</v>
      </c>
      <c r="B448" s="61" t="s">
        <v>1717</v>
      </c>
      <c r="C448" s="62" t="s">
        <v>1718</v>
      </c>
      <c r="D448" s="61">
        <v>40</v>
      </c>
    </row>
    <row r="449" spans="1:4" x14ac:dyDescent="0.2">
      <c r="A449" s="62" t="s">
        <v>16</v>
      </c>
      <c r="B449" s="61" t="s">
        <v>1719</v>
      </c>
      <c r="C449" s="62" t="s">
        <v>1720</v>
      </c>
      <c r="D449" s="61">
        <v>40</v>
      </c>
    </row>
    <row r="450" spans="1:4" x14ac:dyDescent="0.2">
      <c r="A450" s="61" t="s">
        <v>16</v>
      </c>
      <c r="B450" s="61" t="s">
        <v>1721</v>
      </c>
      <c r="C450" s="62" t="s">
        <v>1722</v>
      </c>
      <c r="D450" s="61">
        <v>40</v>
      </c>
    </row>
    <row r="451" spans="1:4" x14ac:dyDescent="0.2">
      <c r="A451" s="62" t="s">
        <v>16</v>
      </c>
      <c r="B451" s="61" t="s">
        <v>824</v>
      </c>
      <c r="C451" s="62" t="s">
        <v>825</v>
      </c>
      <c r="D451" s="61">
        <v>40</v>
      </c>
    </row>
    <row r="452" spans="1:4" x14ac:dyDescent="0.2">
      <c r="A452" s="61" t="s">
        <v>16</v>
      </c>
      <c r="B452" s="61" t="s">
        <v>1723</v>
      </c>
      <c r="C452" s="62" t="s">
        <v>1724</v>
      </c>
      <c r="D452" s="61">
        <v>40</v>
      </c>
    </row>
    <row r="453" spans="1:4" x14ac:dyDescent="0.2">
      <c r="A453" s="62" t="s">
        <v>16</v>
      </c>
      <c r="B453" s="61" t="s">
        <v>416</v>
      </c>
      <c r="C453" s="62" t="s">
        <v>417</v>
      </c>
      <c r="D453" s="61">
        <v>40</v>
      </c>
    </row>
    <row r="454" spans="1:4" x14ac:dyDescent="0.2">
      <c r="A454" s="61" t="s">
        <v>16</v>
      </c>
      <c r="B454" s="61" t="s">
        <v>281</v>
      </c>
      <c r="C454" s="62" t="s">
        <v>282</v>
      </c>
      <c r="D454" s="61">
        <v>40</v>
      </c>
    </row>
    <row r="455" spans="1:4" x14ac:dyDescent="0.2">
      <c r="A455" s="62" t="s">
        <v>16</v>
      </c>
      <c r="B455" s="61" t="s">
        <v>283</v>
      </c>
      <c r="C455" s="62" t="s">
        <v>284</v>
      </c>
      <c r="D455" s="61">
        <v>40</v>
      </c>
    </row>
    <row r="456" spans="1:4" x14ac:dyDescent="0.2">
      <c r="A456" s="61" t="s">
        <v>16</v>
      </c>
      <c r="B456" s="61" t="s">
        <v>1725</v>
      </c>
      <c r="C456" s="62" t="s">
        <v>1726</v>
      </c>
      <c r="D456" s="61">
        <v>40</v>
      </c>
    </row>
    <row r="457" spans="1:4" x14ac:dyDescent="0.2">
      <c r="A457" s="62" t="s">
        <v>16</v>
      </c>
      <c r="B457" s="61" t="s">
        <v>1727</v>
      </c>
      <c r="C457" s="62" t="s">
        <v>1728</v>
      </c>
      <c r="D457" s="61">
        <v>40</v>
      </c>
    </row>
    <row r="458" spans="1:4" x14ac:dyDescent="0.2">
      <c r="A458" s="61" t="s">
        <v>16</v>
      </c>
      <c r="B458" s="61" t="s">
        <v>1729</v>
      </c>
      <c r="C458" s="62" t="s">
        <v>5334</v>
      </c>
      <c r="D458" s="61">
        <v>40</v>
      </c>
    </row>
    <row r="459" spans="1:4" x14ac:dyDescent="0.2">
      <c r="A459" s="62" t="s">
        <v>16</v>
      </c>
      <c r="B459" s="61" t="s">
        <v>1730</v>
      </c>
      <c r="C459" s="62" t="s">
        <v>1731</v>
      </c>
      <c r="D459" s="61">
        <v>40</v>
      </c>
    </row>
    <row r="460" spans="1:4" x14ac:dyDescent="0.2">
      <c r="A460" s="61" t="s">
        <v>16</v>
      </c>
      <c r="B460" s="61" t="s">
        <v>1732</v>
      </c>
      <c r="C460" s="62" t="s">
        <v>1733</v>
      </c>
      <c r="D460" s="61">
        <v>40</v>
      </c>
    </row>
    <row r="461" spans="1:4" x14ac:dyDescent="0.2">
      <c r="A461" s="62" t="s">
        <v>16</v>
      </c>
      <c r="B461" s="61" t="s">
        <v>1734</v>
      </c>
      <c r="C461" s="62" t="s">
        <v>1735</v>
      </c>
      <c r="D461" s="61">
        <v>40</v>
      </c>
    </row>
    <row r="462" spans="1:4" x14ac:dyDescent="0.2">
      <c r="A462" s="61" t="s">
        <v>16</v>
      </c>
      <c r="B462" s="61" t="s">
        <v>1736</v>
      </c>
      <c r="C462" s="62" t="s">
        <v>1737</v>
      </c>
      <c r="D462" s="61">
        <v>40</v>
      </c>
    </row>
    <row r="463" spans="1:4" x14ac:dyDescent="0.2">
      <c r="A463" s="62" t="s">
        <v>16</v>
      </c>
      <c r="B463" s="61" t="s">
        <v>1738</v>
      </c>
      <c r="C463" s="62" t="s">
        <v>1739</v>
      </c>
      <c r="D463" s="61">
        <v>40</v>
      </c>
    </row>
    <row r="464" spans="1:4" x14ac:dyDescent="0.2">
      <c r="A464" s="61" t="s">
        <v>16</v>
      </c>
      <c r="B464" s="61" t="s">
        <v>1740</v>
      </c>
      <c r="C464" s="62" t="s">
        <v>1741</v>
      </c>
      <c r="D464" s="61">
        <v>40</v>
      </c>
    </row>
    <row r="465" spans="1:4" x14ac:dyDescent="0.2">
      <c r="A465" s="62" t="s">
        <v>16</v>
      </c>
      <c r="B465" s="61" t="s">
        <v>1742</v>
      </c>
      <c r="C465" s="62" t="s">
        <v>1743</v>
      </c>
      <c r="D465" s="61">
        <v>40</v>
      </c>
    </row>
    <row r="466" spans="1:4" x14ac:dyDescent="0.2">
      <c r="A466" s="61" t="s">
        <v>16</v>
      </c>
      <c r="B466" s="61" t="s">
        <v>1744</v>
      </c>
      <c r="C466" s="62" t="s">
        <v>1745</v>
      </c>
      <c r="D466" s="61">
        <v>40</v>
      </c>
    </row>
    <row r="467" spans="1:4" x14ac:dyDescent="0.2">
      <c r="A467" s="62" t="s">
        <v>16</v>
      </c>
      <c r="B467" s="61" t="s">
        <v>1746</v>
      </c>
      <c r="C467" s="62" t="s">
        <v>1747</v>
      </c>
      <c r="D467" s="61">
        <v>40</v>
      </c>
    </row>
    <row r="468" spans="1:4" x14ac:dyDescent="0.2">
      <c r="A468" s="61" t="s">
        <v>16</v>
      </c>
      <c r="B468" s="61" t="s">
        <v>1748</v>
      </c>
      <c r="C468" s="62" t="s">
        <v>1749</v>
      </c>
      <c r="D468" s="61">
        <v>40</v>
      </c>
    </row>
    <row r="469" spans="1:4" x14ac:dyDescent="0.2">
      <c r="A469" s="62" t="s">
        <v>16</v>
      </c>
      <c r="B469" s="61" t="s">
        <v>1750</v>
      </c>
      <c r="C469" s="62" t="s">
        <v>1751</v>
      </c>
      <c r="D469" s="61">
        <v>40</v>
      </c>
    </row>
    <row r="470" spans="1:4" x14ac:dyDescent="0.2">
      <c r="A470" s="61" t="s">
        <v>16</v>
      </c>
      <c r="B470" s="61" t="s">
        <v>1752</v>
      </c>
      <c r="C470" s="62" t="s">
        <v>1753</v>
      </c>
      <c r="D470" s="61">
        <v>40</v>
      </c>
    </row>
    <row r="471" spans="1:4" x14ac:dyDescent="0.2">
      <c r="A471" s="62" t="s">
        <v>16</v>
      </c>
      <c r="B471" s="61" t="s">
        <v>1754</v>
      </c>
      <c r="C471" s="62" t="s">
        <v>1755</v>
      </c>
      <c r="D471" s="61">
        <v>40</v>
      </c>
    </row>
    <row r="472" spans="1:4" x14ac:dyDescent="0.2">
      <c r="A472" s="61" t="s">
        <v>16</v>
      </c>
      <c r="B472" s="61" t="s">
        <v>1756</v>
      </c>
      <c r="C472" s="62" t="s">
        <v>1757</v>
      </c>
      <c r="D472" s="61">
        <v>40</v>
      </c>
    </row>
    <row r="473" spans="1:4" x14ac:dyDescent="0.2">
      <c r="A473" s="62" t="s">
        <v>16</v>
      </c>
      <c r="B473" s="61" t="s">
        <v>1758</v>
      </c>
      <c r="C473" s="62" t="s">
        <v>1759</v>
      </c>
      <c r="D473" s="61">
        <v>40</v>
      </c>
    </row>
    <row r="474" spans="1:4" x14ac:dyDescent="0.2">
      <c r="A474" s="61" t="s">
        <v>16</v>
      </c>
      <c r="B474" s="61" t="s">
        <v>1760</v>
      </c>
      <c r="C474" s="62" t="s">
        <v>1761</v>
      </c>
      <c r="D474" s="61">
        <v>40</v>
      </c>
    </row>
    <row r="475" spans="1:4" x14ac:dyDescent="0.2">
      <c r="A475" s="62" t="s">
        <v>16</v>
      </c>
      <c r="B475" s="61" t="s">
        <v>1762</v>
      </c>
      <c r="C475" s="62" t="s">
        <v>1763</v>
      </c>
      <c r="D475" s="61">
        <v>40</v>
      </c>
    </row>
    <row r="476" spans="1:4" x14ac:dyDescent="0.2">
      <c r="A476" s="61" t="s">
        <v>16</v>
      </c>
      <c r="B476" s="61" t="s">
        <v>1764</v>
      </c>
      <c r="C476" s="62" t="s">
        <v>1765</v>
      </c>
      <c r="D476" s="61">
        <v>40</v>
      </c>
    </row>
    <row r="477" spans="1:4" x14ac:dyDescent="0.2">
      <c r="A477" s="62" t="s">
        <v>16</v>
      </c>
      <c r="B477" s="61" t="s">
        <v>1766</v>
      </c>
      <c r="C477" s="62" t="s">
        <v>1767</v>
      </c>
      <c r="D477" s="61">
        <v>40</v>
      </c>
    </row>
    <row r="478" spans="1:4" x14ac:dyDescent="0.2">
      <c r="A478" s="61" t="s">
        <v>16</v>
      </c>
      <c r="B478" s="61" t="s">
        <v>1768</v>
      </c>
      <c r="C478" s="62" t="s">
        <v>1769</v>
      </c>
      <c r="D478" s="61">
        <v>40</v>
      </c>
    </row>
    <row r="479" spans="1:4" x14ac:dyDescent="0.2">
      <c r="A479" s="62" t="s">
        <v>16</v>
      </c>
      <c r="B479" s="61" t="s">
        <v>1770</v>
      </c>
      <c r="C479" s="62" t="s">
        <v>1771</v>
      </c>
      <c r="D479" s="61">
        <v>40</v>
      </c>
    </row>
    <row r="480" spans="1:4" x14ac:dyDescent="0.2">
      <c r="A480" s="61" t="s">
        <v>16</v>
      </c>
      <c r="B480" s="61" t="s">
        <v>1772</v>
      </c>
      <c r="C480" s="62" t="s">
        <v>1773</v>
      </c>
      <c r="D480" s="61">
        <v>40</v>
      </c>
    </row>
    <row r="481" spans="1:4" x14ac:dyDescent="0.2">
      <c r="A481" s="62" t="s">
        <v>16</v>
      </c>
      <c r="B481" s="61" t="s">
        <v>1774</v>
      </c>
      <c r="C481" s="62" t="s">
        <v>1775</v>
      </c>
      <c r="D481" s="61">
        <v>40</v>
      </c>
    </row>
    <row r="482" spans="1:4" x14ac:dyDescent="0.2">
      <c r="A482" s="61" t="s">
        <v>16</v>
      </c>
      <c r="B482" s="61" t="s">
        <v>1776</v>
      </c>
      <c r="C482" s="62" t="s">
        <v>1777</v>
      </c>
      <c r="D482" s="61">
        <v>40</v>
      </c>
    </row>
    <row r="483" spans="1:4" x14ac:dyDescent="0.2">
      <c r="A483" s="62" t="s">
        <v>16</v>
      </c>
      <c r="B483" s="61" t="s">
        <v>1778</v>
      </c>
      <c r="C483" s="62" t="s">
        <v>1779</v>
      </c>
      <c r="D483" s="61">
        <v>40</v>
      </c>
    </row>
    <row r="484" spans="1:4" x14ac:dyDescent="0.2">
      <c r="A484" s="61" t="s">
        <v>16</v>
      </c>
      <c r="B484" s="61" t="s">
        <v>1780</v>
      </c>
      <c r="C484" s="62" t="s">
        <v>1781</v>
      </c>
      <c r="D484" s="61">
        <v>40</v>
      </c>
    </row>
    <row r="485" spans="1:4" x14ac:dyDescent="0.2">
      <c r="A485" s="62" t="s">
        <v>16</v>
      </c>
      <c r="B485" s="61" t="s">
        <v>1782</v>
      </c>
      <c r="C485" s="62" t="s">
        <v>1783</v>
      </c>
      <c r="D485" s="61">
        <v>40</v>
      </c>
    </row>
    <row r="486" spans="1:4" x14ac:dyDescent="0.2">
      <c r="A486" s="61" t="s">
        <v>16</v>
      </c>
      <c r="B486" s="61" t="s">
        <v>1784</v>
      </c>
      <c r="C486" s="62" t="s">
        <v>1785</v>
      </c>
      <c r="D486" s="61">
        <v>40</v>
      </c>
    </row>
    <row r="487" spans="1:4" x14ac:dyDescent="0.2">
      <c r="A487" s="62" t="s">
        <v>16</v>
      </c>
      <c r="B487" s="61" t="s">
        <v>1786</v>
      </c>
      <c r="C487" s="62" t="s">
        <v>1787</v>
      </c>
      <c r="D487" s="61">
        <v>40</v>
      </c>
    </row>
    <row r="488" spans="1:4" x14ac:dyDescent="0.2">
      <c r="A488" s="61" t="s">
        <v>16</v>
      </c>
      <c r="B488" s="61" t="s">
        <v>1788</v>
      </c>
      <c r="C488" s="62" t="s">
        <v>1789</v>
      </c>
      <c r="D488" s="61">
        <v>40</v>
      </c>
    </row>
    <row r="489" spans="1:4" x14ac:dyDescent="0.2">
      <c r="A489" s="62" t="s">
        <v>16</v>
      </c>
      <c r="B489" s="61" t="s">
        <v>1790</v>
      </c>
      <c r="C489" s="62" t="s">
        <v>1791</v>
      </c>
      <c r="D489" s="61">
        <v>40</v>
      </c>
    </row>
    <row r="490" spans="1:4" x14ac:dyDescent="0.2">
      <c r="A490" s="61" t="s">
        <v>16</v>
      </c>
      <c r="B490" s="61" t="s">
        <v>1792</v>
      </c>
      <c r="C490" s="62" t="s">
        <v>1793</v>
      </c>
      <c r="D490" s="61">
        <v>50</v>
      </c>
    </row>
    <row r="491" spans="1:4" x14ac:dyDescent="0.2">
      <c r="A491" s="62" t="s">
        <v>16</v>
      </c>
      <c r="B491" s="61" t="s">
        <v>1794</v>
      </c>
      <c r="C491" s="62" t="s">
        <v>1795</v>
      </c>
      <c r="D491" s="61">
        <v>40</v>
      </c>
    </row>
    <row r="492" spans="1:4" x14ac:dyDescent="0.2">
      <c r="A492" s="61" t="s">
        <v>16</v>
      </c>
      <c r="B492" s="61" t="s">
        <v>1796</v>
      </c>
      <c r="C492" s="62" t="s">
        <v>1797</v>
      </c>
      <c r="D492" s="61">
        <v>40</v>
      </c>
    </row>
    <row r="493" spans="1:4" x14ac:dyDescent="0.2">
      <c r="A493" s="62" t="s">
        <v>16</v>
      </c>
      <c r="B493" s="61" t="s">
        <v>1798</v>
      </c>
      <c r="C493" s="62" t="s">
        <v>1799</v>
      </c>
      <c r="D493" s="61">
        <v>40</v>
      </c>
    </row>
    <row r="494" spans="1:4" x14ac:dyDescent="0.2">
      <c r="A494" s="61" t="s">
        <v>16</v>
      </c>
      <c r="B494" s="61" t="s">
        <v>715</v>
      </c>
      <c r="C494" s="62" t="s">
        <v>4786</v>
      </c>
      <c r="D494" s="61">
        <v>40</v>
      </c>
    </row>
    <row r="495" spans="1:4" x14ac:dyDescent="0.2">
      <c r="A495" s="62" t="s">
        <v>16</v>
      </c>
      <c r="B495" s="61" t="s">
        <v>696</v>
      </c>
      <c r="C495" s="62" t="s">
        <v>4788</v>
      </c>
      <c r="D495" s="61">
        <v>40</v>
      </c>
    </row>
    <row r="496" spans="1:4" x14ac:dyDescent="0.2">
      <c r="A496" s="61" t="s">
        <v>16</v>
      </c>
      <c r="B496" s="61" t="s">
        <v>1800</v>
      </c>
      <c r="C496" s="62" t="s">
        <v>1801</v>
      </c>
      <c r="D496" s="61">
        <v>40</v>
      </c>
    </row>
    <row r="497" spans="1:4" x14ac:dyDescent="0.2">
      <c r="A497" s="62" t="s">
        <v>16</v>
      </c>
      <c r="B497" s="61" t="s">
        <v>1802</v>
      </c>
      <c r="C497" s="62" t="s">
        <v>1803</v>
      </c>
      <c r="D497" s="61">
        <v>40</v>
      </c>
    </row>
    <row r="498" spans="1:4" x14ac:dyDescent="0.2">
      <c r="A498" s="61" t="s">
        <v>16</v>
      </c>
      <c r="B498" s="61" t="s">
        <v>1804</v>
      </c>
      <c r="C498" s="62" t="s">
        <v>1805</v>
      </c>
      <c r="D498" s="61">
        <v>40</v>
      </c>
    </row>
    <row r="499" spans="1:4" x14ac:dyDescent="0.2">
      <c r="A499" s="62" t="s">
        <v>16</v>
      </c>
      <c r="B499" s="61" t="s">
        <v>1806</v>
      </c>
      <c r="C499" s="62" t="s">
        <v>1807</v>
      </c>
      <c r="D499" s="61">
        <v>40</v>
      </c>
    </row>
    <row r="500" spans="1:4" x14ac:dyDescent="0.2">
      <c r="A500" s="61" t="s">
        <v>16</v>
      </c>
      <c r="B500" s="61" t="s">
        <v>1808</v>
      </c>
      <c r="C500" s="62" t="s">
        <v>1809</v>
      </c>
      <c r="D500" s="61">
        <v>40</v>
      </c>
    </row>
    <row r="501" spans="1:4" x14ac:dyDescent="0.2">
      <c r="A501" s="62" t="s">
        <v>16</v>
      </c>
      <c r="B501" s="61" t="s">
        <v>1810</v>
      </c>
      <c r="C501" s="62" t="s">
        <v>1811</v>
      </c>
      <c r="D501" s="61">
        <v>40</v>
      </c>
    </row>
    <row r="502" spans="1:4" x14ac:dyDescent="0.2">
      <c r="A502" s="61" t="s">
        <v>16</v>
      </c>
      <c r="B502" s="61" t="s">
        <v>1812</v>
      </c>
      <c r="C502" s="62" t="s">
        <v>1813</v>
      </c>
      <c r="D502" s="61">
        <v>40</v>
      </c>
    </row>
    <row r="503" spans="1:4" x14ac:dyDescent="0.2">
      <c r="A503" s="62" t="s">
        <v>16</v>
      </c>
      <c r="B503" s="61" t="s">
        <v>1814</v>
      </c>
      <c r="C503" s="62" t="s">
        <v>1815</v>
      </c>
      <c r="D503" s="61">
        <v>40</v>
      </c>
    </row>
    <row r="504" spans="1:4" x14ac:dyDescent="0.2">
      <c r="A504" s="61" t="s">
        <v>16</v>
      </c>
      <c r="B504" s="61" t="s">
        <v>1816</v>
      </c>
      <c r="C504" s="62" t="s">
        <v>1817</v>
      </c>
      <c r="D504" s="61">
        <v>40</v>
      </c>
    </row>
    <row r="505" spans="1:4" x14ac:dyDescent="0.2">
      <c r="A505" s="62" t="s">
        <v>16</v>
      </c>
      <c r="B505" s="61" t="s">
        <v>1818</v>
      </c>
      <c r="C505" s="62" t="s">
        <v>1819</v>
      </c>
      <c r="D505" s="61">
        <v>40</v>
      </c>
    </row>
    <row r="506" spans="1:4" x14ac:dyDescent="0.2">
      <c r="A506" s="61" t="s">
        <v>16</v>
      </c>
      <c r="B506" s="61" t="s">
        <v>1820</v>
      </c>
      <c r="C506" s="62" t="s">
        <v>1821</v>
      </c>
      <c r="D506" s="61">
        <v>40</v>
      </c>
    </row>
    <row r="507" spans="1:4" x14ac:dyDescent="0.2">
      <c r="A507" s="62" t="s">
        <v>16</v>
      </c>
      <c r="B507" s="61" t="s">
        <v>1822</v>
      </c>
      <c r="C507" s="62" t="s">
        <v>1823</v>
      </c>
      <c r="D507" s="61">
        <v>40</v>
      </c>
    </row>
    <row r="508" spans="1:4" x14ac:dyDescent="0.2">
      <c r="A508" s="61" t="s">
        <v>16</v>
      </c>
      <c r="B508" s="61" t="s">
        <v>1824</v>
      </c>
      <c r="C508" s="62" t="s">
        <v>1825</v>
      </c>
      <c r="D508" s="61">
        <v>40</v>
      </c>
    </row>
    <row r="509" spans="1:4" x14ac:dyDescent="0.2">
      <c r="A509" s="62" t="s">
        <v>16</v>
      </c>
      <c r="B509" s="61" t="s">
        <v>1826</v>
      </c>
      <c r="C509" s="62" t="s">
        <v>1827</v>
      </c>
      <c r="D509" s="61">
        <v>40</v>
      </c>
    </row>
    <row r="510" spans="1:4" x14ac:dyDescent="0.2">
      <c r="A510" s="61" t="s">
        <v>16</v>
      </c>
      <c r="B510" s="61" t="s">
        <v>1828</v>
      </c>
      <c r="C510" s="62" t="s">
        <v>1829</v>
      </c>
      <c r="D510" s="61">
        <v>40</v>
      </c>
    </row>
    <row r="511" spans="1:4" x14ac:dyDescent="0.2">
      <c r="A511" s="62" t="s">
        <v>16</v>
      </c>
      <c r="B511" s="61" t="s">
        <v>1830</v>
      </c>
      <c r="C511" s="62" t="s">
        <v>1831</v>
      </c>
      <c r="D511" s="61">
        <v>40</v>
      </c>
    </row>
    <row r="512" spans="1:4" x14ac:dyDescent="0.2">
      <c r="A512" s="61" t="s">
        <v>16</v>
      </c>
      <c r="B512" s="61" t="s">
        <v>1832</v>
      </c>
      <c r="C512" s="62" t="s">
        <v>1833</v>
      </c>
      <c r="D512" s="61">
        <v>40</v>
      </c>
    </row>
    <row r="513" spans="1:4" x14ac:dyDescent="0.2">
      <c r="A513" s="62" t="s">
        <v>16</v>
      </c>
      <c r="B513" s="61" t="s">
        <v>1834</v>
      </c>
      <c r="C513" s="62" t="s">
        <v>1835</v>
      </c>
      <c r="D513" s="61">
        <v>40</v>
      </c>
    </row>
    <row r="514" spans="1:4" x14ac:dyDescent="0.2">
      <c r="A514" s="61" t="s">
        <v>16</v>
      </c>
      <c r="B514" s="61" t="s">
        <v>755</v>
      </c>
      <c r="C514" s="62" t="s">
        <v>5335</v>
      </c>
      <c r="D514" s="61">
        <v>40</v>
      </c>
    </row>
    <row r="515" spans="1:4" x14ac:dyDescent="0.2">
      <c r="A515" s="62" t="s">
        <v>16</v>
      </c>
      <c r="B515" s="61" t="s">
        <v>727</v>
      </c>
      <c r="C515" s="62" t="s">
        <v>5336</v>
      </c>
      <c r="D515" s="61">
        <v>40</v>
      </c>
    </row>
    <row r="516" spans="1:4" x14ac:dyDescent="0.2">
      <c r="A516" s="61" t="s">
        <v>16</v>
      </c>
      <c r="B516" s="61" t="s">
        <v>662</v>
      </c>
      <c r="C516" s="62" t="s">
        <v>5337</v>
      </c>
      <c r="D516" s="61">
        <v>40</v>
      </c>
    </row>
    <row r="517" spans="1:4" x14ac:dyDescent="0.2">
      <c r="A517" s="62" t="s">
        <v>16</v>
      </c>
      <c r="B517" s="61" t="s">
        <v>703</v>
      </c>
      <c r="C517" s="62" t="s">
        <v>4990</v>
      </c>
      <c r="D517" s="61">
        <v>40</v>
      </c>
    </row>
    <row r="518" spans="1:4" x14ac:dyDescent="0.2">
      <c r="A518" s="61" t="s">
        <v>16</v>
      </c>
      <c r="B518" s="61" t="s">
        <v>623</v>
      </c>
      <c r="C518" s="62" t="s">
        <v>4986</v>
      </c>
      <c r="D518" s="61">
        <v>40</v>
      </c>
    </row>
    <row r="519" spans="1:4" x14ac:dyDescent="0.2">
      <c r="A519" s="62" t="s">
        <v>16</v>
      </c>
      <c r="B519" s="61" t="s">
        <v>1836</v>
      </c>
      <c r="C519" s="62" t="s">
        <v>1837</v>
      </c>
      <c r="D519" s="61">
        <v>40</v>
      </c>
    </row>
    <row r="520" spans="1:4" x14ac:dyDescent="0.2">
      <c r="A520" s="61" t="s">
        <v>16</v>
      </c>
      <c r="B520" s="61" t="s">
        <v>1838</v>
      </c>
      <c r="C520" s="62" t="s">
        <v>1839</v>
      </c>
      <c r="D520" s="61">
        <v>40</v>
      </c>
    </row>
    <row r="521" spans="1:4" x14ac:dyDescent="0.2">
      <c r="A521" s="62" t="s">
        <v>16</v>
      </c>
      <c r="B521" s="61" t="s">
        <v>1840</v>
      </c>
      <c r="C521" s="62" t="s">
        <v>1841</v>
      </c>
      <c r="D521" s="61">
        <v>40</v>
      </c>
    </row>
    <row r="522" spans="1:4" x14ac:dyDescent="0.2">
      <c r="A522" s="61" t="s">
        <v>16</v>
      </c>
      <c r="B522" s="61" t="s">
        <v>1842</v>
      </c>
      <c r="C522" s="62" t="s">
        <v>1843</v>
      </c>
      <c r="D522" s="61">
        <v>40</v>
      </c>
    </row>
    <row r="523" spans="1:4" x14ac:dyDescent="0.2">
      <c r="A523" s="62" t="s">
        <v>16</v>
      </c>
      <c r="B523" s="61" t="s">
        <v>1844</v>
      </c>
      <c r="C523" s="62" t="s">
        <v>1845</v>
      </c>
      <c r="D523" s="61">
        <v>40</v>
      </c>
    </row>
    <row r="524" spans="1:4" x14ac:dyDescent="0.2">
      <c r="A524" s="61" t="s">
        <v>16</v>
      </c>
      <c r="B524" s="61" t="s">
        <v>1846</v>
      </c>
      <c r="C524" s="62" t="s">
        <v>1847</v>
      </c>
      <c r="D524" s="61">
        <v>40</v>
      </c>
    </row>
    <row r="525" spans="1:4" x14ac:dyDescent="0.2">
      <c r="A525" s="62" t="s">
        <v>16</v>
      </c>
      <c r="B525" s="61" t="s">
        <v>1848</v>
      </c>
      <c r="C525" s="62" t="s">
        <v>1849</v>
      </c>
      <c r="D525" s="61">
        <v>40</v>
      </c>
    </row>
    <row r="526" spans="1:4" x14ac:dyDescent="0.2">
      <c r="A526" s="61" t="s">
        <v>16</v>
      </c>
      <c r="B526" s="61" t="s">
        <v>1850</v>
      </c>
      <c r="C526" s="62" t="s">
        <v>1851</v>
      </c>
      <c r="D526" s="61">
        <v>40</v>
      </c>
    </row>
    <row r="527" spans="1:4" x14ac:dyDescent="0.2">
      <c r="A527" s="62" t="s">
        <v>16</v>
      </c>
      <c r="B527" s="61" t="s">
        <v>1852</v>
      </c>
      <c r="C527" s="62" t="s">
        <v>1853</v>
      </c>
      <c r="D527" s="61">
        <v>40</v>
      </c>
    </row>
    <row r="528" spans="1:4" x14ac:dyDescent="0.2">
      <c r="A528" s="61" t="s">
        <v>16</v>
      </c>
      <c r="B528" s="61" t="s">
        <v>1854</v>
      </c>
      <c r="C528" s="62" t="s">
        <v>1855</v>
      </c>
      <c r="D528" s="61">
        <v>40</v>
      </c>
    </row>
    <row r="529" spans="1:4" x14ac:dyDescent="0.2">
      <c r="A529" s="62" t="s">
        <v>16</v>
      </c>
      <c r="B529" s="61" t="s">
        <v>1856</v>
      </c>
      <c r="C529" s="62" t="s">
        <v>1857</v>
      </c>
      <c r="D529" s="61">
        <v>40</v>
      </c>
    </row>
    <row r="530" spans="1:4" x14ac:dyDescent="0.2">
      <c r="A530" s="61" t="s">
        <v>16</v>
      </c>
      <c r="B530" s="61" t="s">
        <v>1858</v>
      </c>
      <c r="C530" s="62" t="s">
        <v>1859</v>
      </c>
      <c r="D530" s="61">
        <v>40</v>
      </c>
    </row>
    <row r="531" spans="1:4" x14ac:dyDescent="0.2">
      <c r="A531" s="62" t="s">
        <v>16</v>
      </c>
      <c r="B531" s="61" t="s">
        <v>1860</v>
      </c>
      <c r="C531" s="62" t="s">
        <v>1861</v>
      </c>
      <c r="D531" s="61">
        <v>40</v>
      </c>
    </row>
    <row r="532" spans="1:4" x14ac:dyDescent="0.2">
      <c r="A532" s="61" t="s">
        <v>16</v>
      </c>
      <c r="B532" s="61" t="s">
        <v>1862</v>
      </c>
      <c r="C532" s="62" t="s">
        <v>1863</v>
      </c>
      <c r="D532" s="61">
        <v>40</v>
      </c>
    </row>
    <row r="533" spans="1:4" x14ac:dyDescent="0.2">
      <c r="A533" s="62" t="s">
        <v>16</v>
      </c>
      <c r="B533" s="61" t="s">
        <v>1864</v>
      </c>
      <c r="C533" s="62" t="s">
        <v>1865</v>
      </c>
      <c r="D533" s="61">
        <v>40</v>
      </c>
    </row>
    <row r="534" spans="1:4" x14ac:dyDescent="0.2">
      <c r="A534" s="61" t="s">
        <v>16</v>
      </c>
      <c r="B534" s="61" t="s">
        <v>1866</v>
      </c>
      <c r="C534" s="62" t="s">
        <v>1867</v>
      </c>
      <c r="D534" s="61">
        <v>40</v>
      </c>
    </row>
    <row r="535" spans="1:4" x14ac:dyDescent="0.2">
      <c r="A535" s="62" t="s">
        <v>16</v>
      </c>
      <c r="B535" s="61" t="s">
        <v>1868</v>
      </c>
      <c r="C535" s="62" t="s">
        <v>1869</v>
      </c>
      <c r="D535" s="61">
        <v>40</v>
      </c>
    </row>
    <row r="536" spans="1:4" x14ac:dyDescent="0.2">
      <c r="A536" s="61" t="s">
        <v>16</v>
      </c>
      <c r="B536" s="61" t="s">
        <v>1870</v>
      </c>
      <c r="C536" s="62" t="s">
        <v>1871</v>
      </c>
      <c r="D536" s="61">
        <v>40</v>
      </c>
    </row>
    <row r="537" spans="1:4" x14ac:dyDescent="0.2">
      <c r="A537" s="62" t="s">
        <v>16</v>
      </c>
      <c r="B537" s="61" t="s">
        <v>1872</v>
      </c>
      <c r="C537" s="62" t="s">
        <v>1873</v>
      </c>
      <c r="D537" s="61">
        <v>40</v>
      </c>
    </row>
    <row r="538" spans="1:4" x14ac:dyDescent="0.2">
      <c r="A538" s="61" t="s">
        <v>16</v>
      </c>
      <c r="B538" s="61" t="s">
        <v>1874</v>
      </c>
      <c r="C538" s="62" t="s">
        <v>1875</v>
      </c>
      <c r="D538" s="61">
        <v>40</v>
      </c>
    </row>
    <row r="539" spans="1:4" x14ac:dyDescent="0.2">
      <c r="A539" s="62" t="s">
        <v>16</v>
      </c>
      <c r="B539" s="61" t="s">
        <v>740</v>
      </c>
      <c r="C539" s="62" t="s">
        <v>5338</v>
      </c>
      <c r="D539" s="61">
        <v>40</v>
      </c>
    </row>
    <row r="540" spans="1:4" x14ac:dyDescent="0.2">
      <c r="A540" s="61" t="s">
        <v>16</v>
      </c>
      <c r="B540" s="61" t="s">
        <v>736</v>
      </c>
      <c r="C540" s="62" t="s">
        <v>5339</v>
      </c>
      <c r="D540" s="61">
        <v>40</v>
      </c>
    </row>
    <row r="541" spans="1:4" x14ac:dyDescent="0.2">
      <c r="A541" s="62" t="s">
        <v>16</v>
      </c>
      <c r="B541" s="61" t="s">
        <v>766</v>
      </c>
      <c r="C541" s="62" t="s">
        <v>5340</v>
      </c>
      <c r="D541" s="61">
        <v>40</v>
      </c>
    </row>
    <row r="542" spans="1:4" x14ac:dyDescent="0.2">
      <c r="A542" s="61" t="s">
        <v>16</v>
      </c>
      <c r="B542" s="61" t="s">
        <v>1876</v>
      </c>
      <c r="C542" s="62" t="s">
        <v>1877</v>
      </c>
      <c r="D542" s="61">
        <v>40</v>
      </c>
    </row>
    <row r="543" spans="1:4" x14ac:dyDescent="0.2">
      <c r="A543" s="62" t="s">
        <v>16</v>
      </c>
      <c r="B543" s="61" t="s">
        <v>1878</v>
      </c>
      <c r="C543" s="62" t="s">
        <v>1879</v>
      </c>
      <c r="D543" s="61">
        <v>40</v>
      </c>
    </row>
    <row r="544" spans="1:4" x14ac:dyDescent="0.2">
      <c r="A544" s="61" t="s">
        <v>16</v>
      </c>
      <c r="B544" s="61" t="s">
        <v>1880</v>
      </c>
      <c r="C544" s="62" t="s">
        <v>1881</v>
      </c>
      <c r="D544" s="61">
        <v>40</v>
      </c>
    </row>
    <row r="545" spans="1:4" x14ac:dyDescent="0.2">
      <c r="A545" s="62" t="s">
        <v>16</v>
      </c>
      <c r="B545" s="61" t="s">
        <v>1882</v>
      </c>
      <c r="C545" s="62" t="s">
        <v>1883</v>
      </c>
      <c r="D545" s="61">
        <v>40</v>
      </c>
    </row>
    <row r="546" spans="1:4" x14ac:dyDescent="0.2">
      <c r="A546" s="61" t="s">
        <v>16</v>
      </c>
      <c r="B546" s="61" t="s">
        <v>1884</v>
      </c>
      <c r="C546" s="62" t="s">
        <v>1885</v>
      </c>
      <c r="D546" s="61">
        <v>40</v>
      </c>
    </row>
    <row r="547" spans="1:4" x14ac:dyDescent="0.2">
      <c r="A547" s="62" t="s">
        <v>16</v>
      </c>
      <c r="B547" s="61" t="s">
        <v>1886</v>
      </c>
      <c r="C547" s="62" t="s">
        <v>1887</v>
      </c>
      <c r="D547" s="61">
        <v>40</v>
      </c>
    </row>
    <row r="548" spans="1:4" x14ac:dyDescent="0.2">
      <c r="A548" s="61" t="s">
        <v>16</v>
      </c>
      <c r="B548" s="61" t="s">
        <v>1888</v>
      </c>
      <c r="C548" s="62" t="s">
        <v>1889</v>
      </c>
      <c r="D548" s="61">
        <v>40</v>
      </c>
    </row>
    <row r="549" spans="1:4" x14ac:dyDescent="0.2">
      <c r="A549" s="62" t="s">
        <v>16</v>
      </c>
      <c r="B549" s="61" t="s">
        <v>1890</v>
      </c>
      <c r="C549" s="62" t="s">
        <v>1891</v>
      </c>
      <c r="D549" s="61">
        <v>40</v>
      </c>
    </row>
    <row r="550" spans="1:4" x14ac:dyDescent="0.2">
      <c r="A550" s="61" t="s">
        <v>16</v>
      </c>
      <c r="B550" s="61" t="s">
        <v>1892</v>
      </c>
      <c r="C550" s="62" t="s">
        <v>5341</v>
      </c>
      <c r="D550" s="61">
        <v>40</v>
      </c>
    </row>
    <row r="551" spans="1:4" x14ac:dyDescent="0.2">
      <c r="A551" s="62" t="s">
        <v>16</v>
      </c>
      <c r="B551" s="61" t="s">
        <v>1893</v>
      </c>
      <c r="C551" s="62" t="s">
        <v>4897</v>
      </c>
      <c r="D551" s="61">
        <v>40</v>
      </c>
    </row>
    <row r="552" spans="1:4" x14ac:dyDescent="0.2">
      <c r="A552" s="61" t="s">
        <v>16</v>
      </c>
      <c r="B552" s="61" t="s">
        <v>1894</v>
      </c>
      <c r="C552" s="62" t="s">
        <v>4891</v>
      </c>
      <c r="D552" s="61">
        <v>40</v>
      </c>
    </row>
    <row r="553" spans="1:4" x14ac:dyDescent="0.2">
      <c r="A553" s="62" t="s">
        <v>16</v>
      </c>
      <c r="B553" s="61" t="s">
        <v>1895</v>
      </c>
      <c r="C553" s="62" t="s">
        <v>1896</v>
      </c>
      <c r="D553" s="61">
        <v>40</v>
      </c>
    </row>
    <row r="554" spans="1:4" x14ac:dyDescent="0.2">
      <c r="A554" s="61" t="s">
        <v>16</v>
      </c>
      <c r="B554" s="61" t="s">
        <v>1897</v>
      </c>
      <c r="C554" s="62" t="s">
        <v>1898</v>
      </c>
      <c r="D554" s="61">
        <v>40</v>
      </c>
    </row>
    <row r="555" spans="1:4" x14ac:dyDescent="0.2">
      <c r="A555" s="62" t="s">
        <v>16</v>
      </c>
      <c r="B555" s="61" t="s">
        <v>1899</v>
      </c>
      <c r="C555" s="62" t="s">
        <v>1900</v>
      </c>
      <c r="D555" s="61">
        <v>40</v>
      </c>
    </row>
    <row r="556" spans="1:4" x14ac:dyDescent="0.2">
      <c r="A556" s="61" t="s">
        <v>16</v>
      </c>
      <c r="B556" s="61" t="s">
        <v>1901</v>
      </c>
      <c r="C556" s="62" t="s">
        <v>1902</v>
      </c>
      <c r="D556" s="61">
        <v>40</v>
      </c>
    </row>
    <row r="557" spans="1:4" x14ac:dyDescent="0.2">
      <c r="A557" s="62" t="s">
        <v>16</v>
      </c>
      <c r="B557" s="61" t="s">
        <v>1903</v>
      </c>
      <c r="C557" s="62" t="s">
        <v>1904</v>
      </c>
      <c r="D557" s="61">
        <v>40</v>
      </c>
    </row>
    <row r="558" spans="1:4" x14ac:dyDescent="0.2">
      <c r="A558" s="61" t="s">
        <v>16</v>
      </c>
      <c r="B558" s="61" t="s">
        <v>1001</v>
      </c>
      <c r="C558" s="62" t="s">
        <v>1002</v>
      </c>
      <c r="D558" s="61">
        <v>40</v>
      </c>
    </row>
    <row r="559" spans="1:4" x14ac:dyDescent="0.2">
      <c r="A559" s="62" t="s">
        <v>16</v>
      </c>
      <c r="B559" s="61" t="s">
        <v>821</v>
      </c>
      <c r="C559" s="62" t="s">
        <v>822</v>
      </c>
      <c r="D559" s="61">
        <v>40</v>
      </c>
    </row>
    <row r="560" spans="1:4" x14ac:dyDescent="0.2">
      <c r="A560" s="61" t="s">
        <v>16</v>
      </c>
      <c r="B560" s="61" t="s">
        <v>904</v>
      </c>
      <c r="C560" s="62" t="s">
        <v>905</v>
      </c>
      <c r="D560" s="61">
        <v>40</v>
      </c>
    </row>
    <row r="561" spans="1:4" x14ac:dyDescent="0.2">
      <c r="A561" s="62" t="s">
        <v>16</v>
      </c>
      <c r="B561" s="61" t="s">
        <v>906</v>
      </c>
      <c r="C561" s="62" t="s">
        <v>907</v>
      </c>
      <c r="D561" s="61">
        <v>40</v>
      </c>
    </row>
    <row r="562" spans="1:4" x14ac:dyDescent="0.2">
      <c r="A562" s="61" t="s">
        <v>16</v>
      </c>
      <c r="B562" s="61" t="s">
        <v>1905</v>
      </c>
      <c r="C562" s="62" t="s">
        <v>1906</v>
      </c>
      <c r="D562" s="61">
        <v>40</v>
      </c>
    </row>
    <row r="563" spans="1:4" x14ac:dyDescent="0.2">
      <c r="A563" s="62" t="s">
        <v>16</v>
      </c>
      <c r="B563" s="61" t="s">
        <v>1907</v>
      </c>
      <c r="C563" s="62" t="s">
        <v>1908</v>
      </c>
      <c r="D563" s="61">
        <v>40</v>
      </c>
    </row>
    <row r="564" spans="1:4" x14ac:dyDescent="0.2">
      <c r="A564" s="61" t="s">
        <v>16</v>
      </c>
      <c r="B564" s="61" t="s">
        <v>1909</v>
      </c>
      <c r="C564" s="62" t="s">
        <v>1910</v>
      </c>
      <c r="D564" s="61">
        <v>40</v>
      </c>
    </row>
    <row r="565" spans="1:4" x14ac:dyDescent="0.2">
      <c r="A565" s="62" t="s">
        <v>16</v>
      </c>
      <c r="B565" s="61" t="s">
        <v>1911</v>
      </c>
      <c r="C565" s="62" t="s">
        <v>1912</v>
      </c>
      <c r="D565" s="61">
        <v>40</v>
      </c>
    </row>
    <row r="566" spans="1:4" x14ac:dyDescent="0.2">
      <c r="A566" s="61" t="s">
        <v>16</v>
      </c>
      <c r="B566" s="61" t="s">
        <v>342</v>
      </c>
      <c r="C566" s="62" t="s">
        <v>343</v>
      </c>
      <c r="D566" s="61">
        <v>40</v>
      </c>
    </row>
    <row r="567" spans="1:4" x14ac:dyDescent="0.2">
      <c r="A567" s="62" t="s">
        <v>16</v>
      </c>
      <c r="B567" s="61" t="s">
        <v>351</v>
      </c>
      <c r="C567" s="62" t="s">
        <v>352</v>
      </c>
      <c r="D567" s="61">
        <v>40</v>
      </c>
    </row>
    <row r="568" spans="1:4" x14ac:dyDescent="0.2">
      <c r="A568" s="61" t="s">
        <v>16</v>
      </c>
      <c r="B568" s="61" t="s">
        <v>345</v>
      </c>
      <c r="C568" s="62" t="s">
        <v>346</v>
      </c>
      <c r="D568" s="61">
        <v>40</v>
      </c>
    </row>
    <row r="569" spans="1:4" x14ac:dyDescent="0.2">
      <c r="A569" s="62" t="s">
        <v>16</v>
      </c>
      <c r="B569" s="61" t="s">
        <v>1913</v>
      </c>
      <c r="C569" s="62" t="s">
        <v>1914</v>
      </c>
      <c r="D569" s="61">
        <v>40</v>
      </c>
    </row>
    <row r="570" spans="1:4" x14ac:dyDescent="0.2">
      <c r="A570" s="61" t="s">
        <v>16</v>
      </c>
      <c r="B570" s="61" t="s">
        <v>1915</v>
      </c>
      <c r="C570" s="62" t="s">
        <v>1916</v>
      </c>
      <c r="D570" s="61">
        <v>40</v>
      </c>
    </row>
    <row r="571" spans="1:4" x14ac:dyDescent="0.2">
      <c r="A571" s="62" t="s">
        <v>16</v>
      </c>
      <c r="B571" s="61" t="s">
        <v>1917</v>
      </c>
      <c r="C571" s="62" t="s">
        <v>1918</v>
      </c>
      <c r="D571" s="61">
        <v>40</v>
      </c>
    </row>
    <row r="572" spans="1:4" x14ac:dyDescent="0.2">
      <c r="A572" s="61" t="s">
        <v>16</v>
      </c>
      <c r="B572" s="61" t="s">
        <v>739</v>
      </c>
      <c r="C572" s="62" t="s">
        <v>5342</v>
      </c>
      <c r="D572" s="61">
        <v>40</v>
      </c>
    </row>
    <row r="573" spans="1:4" x14ac:dyDescent="0.2">
      <c r="A573" s="62" t="s">
        <v>16</v>
      </c>
      <c r="B573" s="61" t="s">
        <v>749</v>
      </c>
      <c r="C573" s="62" t="s">
        <v>5343</v>
      </c>
      <c r="D573" s="61">
        <v>40</v>
      </c>
    </row>
    <row r="574" spans="1:4" x14ac:dyDescent="0.2">
      <c r="A574" s="61" t="s">
        <v>16</v>
      </c>
      <c r="B574" s="61" t="s">
        <v>663</v>
      </c>
      <c r="C574" s="62" t="s">
        <v>5344</v>
      </c>
      <c r="D574" s="61">
        <v>40</v>
      </c>
    </row>
    <row r="575" spans="1:4" x14ac:dyDescent="0.2">
      <c r="A575" s="62" t="s">
        <v>16</v>
      </c>
      <c r="B575" s="61" t="s">
        <v>1919</v>
      </c>
      <c r="C575" s="62" t="s">
        <v>1920</v>
      </c>
      <c r="D575" s="61">
        <v>40</v>
      </c>
    </row>
    <row r="576" spans="1:4" x14ac:dyDescent="0.2">
      <c r="A576" s="61" t="s">
        <v>16</v>
      </c>
      <c r="B576" s="61" t="s">
        <v>1921</v>
      </c>
      <c r="C576" s="62" t="s">
        <v>1922</v>
      </c>
      <c r="D576" s="61">
        <v>40</v>
      </c>
    </row>
    <row r="577" spans="1:4" x14ac:dyDescent="0.2">
      <c r="A577" s="62" t="s">
        <v>16</v>
      </c>
      <c r="B577" s="61" t="s">
        <v>1923</v>
      </c>
      <c r="C577" s="62" t="s">
        <v>1924</v>
      </c>
      <c r="D577" s="61">
        <v>40</v>
      </c>
    </row>
    <row r="578" spans="1:4" x14ac:dyDescent="0.2">
      <c r="A578" s="61" t="s">
        <v>16</v>
      </c>
      <c r="B578" s="61" t="s">
        <v>1925</v>
      </c>
      <c r="C578" s="62" t="s">
        <v>1926</v>
      </c>
      <c r="D578" s="61">
        <v>40</v>
      </c>
    </row>
    <row r="579" spans="1:4" x14ac:dyDescent="0.2">
      <c r="A579" s="62" t="s">
        <v>16</v>
      </c>
      <c r="B579" s="61" t="s">
        <v>1927</v>
      </c>
      <c r="C579" s="62" t="s">
        <v>1928</v>
      </c>
      <c r="D579" s="61">
        <v>40</v>
      </c>
    </row>
    <row r="580" spans="1:4" x14ac:dyDescent="0.2">
      <c r="A580" s="61" t="s">
        <v>16</v>
      </c>
      <c r="B580" s="61" t="s">
        <v>1929</v>
      </c>
      <c r="C580" s="62" t="s">
        <v>1930</v>
      </c>
      <c r="D580" s="61">
        <v>40</v>
      </c>
    </row>
    <row r="581" spans="1:4" x14ac:dyDescent="0.2">
      <c r="A581" s="62" t="s">
        <v>16</v>
      </c>
      <c r="B581" s="61" t="s">
        <v>1931</v>
      </c>
      <c r="C581" s="62" t="s">
        <v>1932</v>
      </c>
      <c r="D581" s="61">
        <v>40</v>
      </c>
    </row>
    <row r="582" spans="1:4" x14ac:dyDescent="0.2">
      <c r="A582" s="61" t="s">
        <v>16</v>
      </c>
      <c r="B582" s="61" t="s">
        <v>1933</v>
      </c>
      <c r="C582" s="62" t="s">
        <v>1934</v>
      </c>
      <c r="D582" s="61">
        <v>40</v>
      </c>
    </row>
    <row r="583" spans="1:4" x14ac:dyDescent="0.2">
      <c r="A583" s="62" t="s">
        <v>16</v>
      </c>
      <c r="B583" s="61" t="s">
        <v>1935</v>
      </c>
      <c r="C583" s="62" t="s">
        <v>1936</v>
      </c>
      <c r="D583" s="61">
        <v>40</v>
      </c>
    </row>
    <row r="584" spans="1:4" x14ac:dyDescent="0.2">
      <c r="A584" s="61" t="s">
        <v>16</v>
      </c>
      <c r="B584" s="61" t="s">
        <v>1937</v>
      </c>
      <c r="C584" s="62" t="s">
        <v>1938</v>
      </c>
      <c r="D584" s="61">
        <v>40</v>
      </c>
    </row>
    <row r="585" spans="1:4" x14ac:dyDescent="0.2">
      <c r="A585" s="62" t="s">
        <v>16</v>
      </c>
      <c r="B585" s="61" t="s">
        <v>1939</v>
      </c>
      <c r="C585" s="62" t="s">
        <v>1940</v>
      </c>
      <c r="D585" s="61">
        <v>40</v>
      </c>
    </row>
    <row r="586" spans="1:4" x14ac:dyDescent="0.2">
      <c r="A586" s="61" t="s">
        <v>16</v>
      </c>
      <c r="B586" s="61" t="s">
        <v>1941</v>
      </c>
      <c r="C586" s="62" t="s">
        <v>1942</v>
      </c>
      <c r="D586" s="61">
        <v>40</v>
      </c>
    </row>
    <row r="587" spans="1:4" x14ac:dyDescent="0.2">
      <c r="A587" s="62" t="s">
        <v>16</v>
      </c>
      <c r="B587" s="61" t="s">
        <v>1943</v>
      </c>
      <c r="C587" s="62" t="s">
        <v>1944</v>
      </c>
      <c r="D587" s="61">
        <v>40</v>
      </c>
    </row>
    <row r="588" spans="1:4" x14ac:dyDescent="0.2">
      <c r="A588" s="61" t="s">
        <v>16</v>
      </c>
      <c r="B588" s="61" t="s">
        <v>1945</v>
      </c>
      <c r="C588" s="62" t="s">
        <v>1946</v>
      </c>
      <c r="D588" s="61">
        <v>40</v>
      </c>
    </row>
    <row r="589" spans="1:4" x14ac:dyDescent="0.2">
      <c r="A589" s="62" t="s">
        <v>16</v>
      </c>
      <c r="B589" s="61" t="s">
        <v>1947</v>
      </c>
      <c r="C589" s="62" t="s">
        <v>1948</v>
      </c>
      <c r="D589" s="61">
        <v>40</v>
      </c>
    </row>
    <row r="590" spans="1:4" x14ac:dyDescent="0.2">
      <c r="A590" s="61" t="s">
        <v>16</v>
      </c>
      <c r="B590" s="61" t="s">
        <v>1949</v>
      </c>
      <c r="C590" s="62" t="s">
        <v>1950</v>
      </c>
      <c r="D590" s="61">
        <v>40</v>
      </c>
    </row>
    <row r="591" spans="1:4" x14ac:dyDescent="0.2">
      <c r="A591" s="62" t="s">
        <v>16</v>
      </c>
      <c r="B591" s="61" t="s">
        <v>957</v>
      </c>
      <c r="C591" s="62" t="s">
        <v>958</v>
      </c>
      <c r="D591" s="61">
        <v>40</v>
      </c>
    </row>
    <row r="592" spans="1:4" x14ac:dyDescent="0.2">
      <c r="A592" s="61" t="s">
        <v>16</v>
      </c>
      <c r="B592" s="61" t="s">
        <v>1951</v>
      </c>
      <c r="C592" s="62" t="s">
        <v>1952</v>
      </c>
      <c r="D592" s="61">
        <v>40</v>
      </c>
    </row>
    <row r="593" spans="1:4" x14ac:dyDescent="0.2">
      <c r="A593" s="62" t="s">
        <v>16</v>
      </c>
      <c r="B593" s="61" t="s">
        <v>1953</v>
      </c>
      <c r="C593" s="62" t="s">
        <v>1954</v>
      </c>
      <c r="D593" s="61">
        <v>40</v>
      </c>
    </row>
    <row r="594" spans="1:4" x14ac:dyDescent="0.2">
      <c r="A594" s="61" t="s">
        <v>16</v>
      </c>
      <c r="B594" s="61" t="s">
        <v>1955</v>
      </c>
      <c r="C594" s="62" t="s">
        <v>1956</v>
      </c>
      <c r="D594" s="61">
        <v>40</v>
      </c>
    </row>
    <row r="595" spans="1:4" x14ac:dyDescent="0.2">
      <c r="A595" s="62" t="s">
        <v>16</v>
      </c>
      <c r="B595" s="61" t="s">
        <v>1957</v>
      </c>
      <c r="C595" s="62" t="s">
        <v>1958</v>
      </c>
      <c r="D595" s="61">
        <v>40</v>
      </c>
    </row>
    <row r="596" spans="1:4" x14ac:dyDescent="0.2">
      <c r="A596" s="61" t="s">
        <v>16</v>
      </c>
      <c r="B596" s="61" t="s">
        <v>267</v>
      </c>
      <c r="C596" s="62" t="s">
        <v>4911</v>
      </c>
      <c r="D596" s="61">
        <v>40</v>
      </c>
    </row>
    <row r="597" spans="1:4" x14ac:dyDescent="0.2">
      <c r="A597" s="62" t="s">
        <v>16</v>
      </c>
      <c r="B597" s="61" t="s">
        <v>671</v>
      </c>
      <c r="C597" s="62" t="s">
        <v>4831</v>
      </c>
      <c r="D597" s="61">
        <v>40</v>
      </c>
    </row>
    <row r="598" spans="1:4" x14ac:dyDescent="0.2">
      <c r="A598" s="61" t="s">
        <v>16</v>
      </c>
      <c r="B598" s="61" t="s">
        <v>1959</v>
      </c>
      <c r="C598" s="62" t="s">
        <v>1960</v>
      </c>
      <c r="D598" s="61">
        <v>40</v>
      </c>
    </row>
    <row r="599" spans="1:4" x14ac:dyDescent="0.2">
      <c r="A599" s="62" t="s">
        <v>16</v>
      </c>
      <c r="B599" s="61" t="s">
        <v>1961</v>
      </c>
      <c r="C599" s="62" t="s">
        <v>1962</v>
      </c>
      <c r="D599" s="61">
        <v>40</v>
      </c>
    </row>
    <row r="600" spans="1:4" x14ac:dyDescent="0.2">
      <c r="A600" s="61" t="s">
        <v>16</v>
      </c>
      <c r="B600" s="61" t="s">
        <v>1963</v>
      </c>
      <c r="C600" s="62" t="s">
        <v>1964</v>
      </c>
      <c r="D600" s="61">
        <v>40</v>
      </c>
    </row>
    <row r="601" spans="1:4" x14ac:dyDescent="0.2">
      <c r="A601" s="62" t="s">
        <v>16</v>
      </c>
      <c r="B601" s="61" t="s">
        <v>1965</v>
      </c>
      <c r="C601" s="62" t="s">
        <v>1966</v>
      </c>
      <c r="D601" s="61">
        <v>40</v>
      </c>
    </row>
    <row r="602" spans="1:4" x14ac:dyDescent="0.2">
      <c r="A602" s="61" t="s">
        <v>16</v>
      </c>
      <c r="B602" s="61" t="s">
        <v>1967</v>
      </c>
      <c r="C602" s="62" t="s">
        <v>1968</v>
      </c>
      <c r="D602" s="61">
        <v>40</v>
      </c>
    </row>
    <row r="603" spans="1:4" x14ac:dyDescent="0.2">
      <c r="A603" s="62" t="s">
        <v>16</v>
      </c>
      <c r="B603" s="61" t="s">
        <v>1969</v>
      </c>
      <c r="C603" s="62" t="s">
        <v>1970</v>
      </c>
      <c r="D603" s="61">
        <v>40</v>
      </c>
    </row>
    <row r="604" spans="1:4" x14ac:dyDescent="0.2">
      <c r="A604" s="61" t="s">
        <v>16</v>
      </c>
      <c r="B604" s="61" t="s">
        <v>1971</v>
      </c>
      <c r="C604" s="62" t="s">
        <v>1972</v>
      </c>
      <c r="D604" s="61">
        <v>40</v>
      </c>
    </row>
    <row r="605" spans="1:4" x14ac:dyDescent="0.2">
      <c r="A605" s="62" t="s">
        <v>16</v>
      </c>
      <c r="B605" s="61" t="s">
        <v>1973</v>
      </c>
      <c r="C605" s="62" t="s">
        <v>1974</v>
      </c>
      <c r="D605" s="61">
        <v>40</v>
      </c>
    </row>
    <row r="606" spans="1:4" x14ac:dyDescent="0.2">
      <c r="A606" s="61" t="s">
        <v>16</v>
      </c>
      <c r="B606" s="61" t="s">
        <v>1975</v>
      </c>
      <c r="C606" s="62" t="s">
        <v>5345</v>
      </c>
      <c r="D606" s="61">
        <v>40</v>
      </c>
    </row>
    <row r="607" spans="1:4" x14ac:dyDescent="0.2">
      <c r="A607" s="62" t="s">
        <v>16</v>
      </c>
      <c r="B607" s="61" t="s">
        <v>1977</v>
      </c>
      <c r="C607" s="62" t="s">
        <v>1978</v>
      </c>
      <c r="D607" s="61">
        <v>40</v>
      </c>
    </row>
    <row r="608" spans="1:4" x14ac:dyDescent="0.2">
      <c r="A608" s="61" t="s">
        <v>16</v>
      </c>
      <c r="B608" s="61" t="s">
        <v>1979</v>
      </c>
      <c r="C608" s="62" t="s">
        <v>1980</v>
      </c>
      <c r="D608" s="61">
        <v>40</v>
      </c>
    </row>
    <row r="609" spans="1:4" x14ac:dyDescent="0.2">
      <c r="A609" s="62" t="s">
        <v>16</v>
      </c>
      <c r="B609" s="61" t="s">
        <v>1981</v>
      </c>
      <c r="C609" s="62" t="s">
        <v>1982</v>
      </c>
      <c r="D609" s="61">
        <v>40</v>
      </c>
    </row>
    <row r="610" spans="1:4" x14ac:dyDescent="0.2">
      <c r="A610" s="61" t="s">
        <v>16</v>
      </c>
      <c r="B610" s="61" t="s">
        <v>1983</v>
      </c>
      <c r="C610" s="62" t="s">
        <v>1984</v>
      </c>
      <c r="D610" s="61">
        <v>40</v>
      </c>
    </row>
    <row r="611" spans="1:4" x14ac:dyDescent="0.2">
      <c r="A611" s="62" t="s">
        <v>16</v>
      </c>
      <c r="B611" s="61" t="s">
        <v>1985</v>
      </c>
      <c r="C611" s="62" t="s">
        <v>1986</v>
      </c>
      <c r="D611" s="61">
        <v>40</v>
      </c>
    </row>
    <row r="612" spans="1:4" x14ac:dyDescent="0.2">
      <c r="A612" s="61" t="s">
        <v>16</v>
      </c>
      <c r="B612" s="61" t="s">
        <v>1987</v>
      </c>
      <c r="C612" s="62" t="s">
        <v>1988</v>
      </c>
      <c r="D612" s="61">
        <v>40</v>
      </c>
    </row>
    <row r="613" spans="1:4" x14ac:dyDescent="0.2">
      <c r="A613" s="62" t="s">
        <v>16</v>
      </c>
      <c r="B613" s="61" t="s">
        <v>1989</v>
      </c>
      <c r="C613" s="62" t="s">
        <v>1990</v>
      </c>
      <c r="D613" s="61">
        <v>40</v>
      </c>
    </row>
    <row r="614" spans="1:4" x14ac:dyDescent="0.2">
      <c r="A614" s="61" t="s">
        <v>16</v>
      </c>
      <c r="B614" s="61" t="s">
        <v>1991</v>
      </c>
      <c r="C614" s="62" t="s">
        <v>1992</v>
      </c>
      <c r="D614" s="61">
        <v>40</v>
      </c>
    </row>
    <row r="615" spans="1:4" x14ac:dyDescent="0.2">
      <c r="A615" s="62" t="s">
        <v>16</v>
      </c>
      <c r="B615" s="61" t="s">
        <v>1993</v>
      </c>
      <c r="C615" s="62" t="s">
        <v>1741</v>
      </c>
      <c r="D615" s="61">
        <v>40</v>
      </c>
    </row>
    <row r="616" spans="1:4" x14ac:dyDescent="0.2">
      <c r="A616" s="61" t="s">
        <v>16</v>
      </c>
      <c r="B616" s="61" t="s">
        <v>1994</v>
      </c>
      <c r="C616" s="62" t="s">
        <v>5294</v>
      </c>
      <c r="D616" s="61">
        <v>40</v>
      </c>
    </row>
    <row r="617" spans="1:4" x14ac:dyDescent="0.2">
      <c r="A617" s="62" t="s">
        <v>16</v>
      </c>
      <c r="B617" s="61" t="s">
        <v>1995</v>
      </c>
      <c r="C617" s="62" t="s">
        <v>5294</v>
      </c>
      <c r="D617" s="61">
        <v>40</v>
      </c>
    </row>
    <row r="618" spans="1:4" x14ac:dyDescent="0.2">
      <c r="A618" s="61" t="s">
        <v>16</v>
      </c>
      <c r="B618" s="61" t="s">
        <v>1996</v>
      </c>
      <c r="C618" s="62" t="s">
        <v>5294</v>
      </c>
      <c r="D618" s="61">
        <v>40</v>
      </c>
    </row>
    <row r="619" spans="1:4" x14ac:dyDescent="0.2">
      <c r="A619" s="62" t="s">
        <v>16</v>
      </c>
      <c r="B619" s="61" t="s">
        <v>1997</v>
      </c>
      <c r="C619" s="62" t="s">
        <v>5294</v>
      </c>
      <c r="D619" s="61">
        <v>40</v>
      </c>
    </row>
    <row r="620" spans="1:4" x14ac:dyDescent="0.2">
      <c r="A620" s="61" t="s">
        <v>16</v>
      </c>
      <c r="B620" s="61" t="s">
        <v>1998</v>
      </c>
      <c r="C620" s="62" t="s">
        <v>5294</v>
      </c>
      <c r="D620" s="61">
        <v>40</v>
      </c>
    </row>
    <row r="621" spans="1:4" x14ac:dyDescent="0.2">
      <c r="A621" s="62" t="s">
        <v>16</v>
      </c>
      <c r="B621" s="61" t="s">
        <v>1999</v>
      </c>
      <c r="C621" s="62" t="s">
        <v>5294</v>
      </c>
      <c r="D621" s="61">
        <v>40</v>
      </c>
    </row>
    <row r="622" spans="1:4" x14ac:dyDescent="0.2">
      <c r="A622" s="61" t="s">
        <v>16</v>
      </c>
      <c r="B622" s="61" t="s">
        <v>2000</v>
      </c>
      <c r="C622" s="62" t="s">
        <v>1672</v>
      </c>
      <c r="D622" s="61">
        <v>40</v>
      </c>
    </row>
    <row r="623" spans="1:4" x14ac:dyDescent="0.2">
      <c r="A623" s="62" t="s">
        <v>16</v>
      </c>
      <c r="B623" s="61" t="s">
        <v>2001</v>
      </c>
      <c r="C623" s="62" t="s">
        <v>1672</v>
      </c>
      <c r="D623" s="61">
        <v>40</v>
      </c>
    </row>
    <row r="624" spans="1:4" x14ac:dyDescent="0.2">
      <c r="A624" s="61" t="s">
        <v>16</v>
      </c>
      <c r="B624" s="61" t="s">
        <v>2002</v>
      </c>
      <c r="C624" s="62" t="s">
        <v>1397</v>
      </c>
      <c r="D624" s="61">
        <v>40</v>
      </c>
    </row>
    <row r="625" spans="1:4" x14ac:dyDescent="0.2">
      <c r="A625" s="62" t="s">
        <v>16</v>
      </c>
      <c r="B625" s="61" t="s">
        <v>2003</v>
      </c>
      <c r="C625" s="62" t="s">
        <v>1397</v>
      </c>
      <c r="D625" s="61">
        <v>40</v>
      </c>
    </row>
    <row r="626" spans="1:4" x14ac:dyDescent="0.2">
      <c r="A626" s="61" t="s">
        <v>16</v>
      </c>
      <c r="B626" s="61" t="s">
        <v>2004</v>
      </c>
      <c r="C626" s="62" t="s">
        <v>1397</v>
      </c>
      <c r="D626" s="61">
        <v>40</v>
      </c>
    </row>
    <row r="627" spans="1:4" x14ac:dyDescent="0.2">
      <c r="A627" s="62" t="s">
        <v>16</v>
      </c>
      <c r="B627" s="61" t="s">
        <v>2005</v>
      </c>
      <c r="C627" s="62" t="s">
        <v>1399</v>
      </c>
      <c r="D627" s="61">
        <v>40</v>
      </c>
    </row>
    <row r="628" spans="1:4" x14ac:dyDescent="0.2">
      <c r="A628" s="61" t="s">
        <v>16</v>
      </c>
      <c r="B628" s="61" t="s">
        <v>2006</v>
      </c>
      <c r="C628" s="62" t="s">
        <v>1399</v>
      </c>
      <c r="D628" s="61">
        <v>40</v>
      </c>
    </row>
    <row r="629" spans="1:4" x14ac:dyDescent="0.2">
      <c r="A629" s="62" t="s">
        <v>16</v>
      </c>
      <c r="B629" s="61" t="s">
        <v>2007</v>
      </c>
      <c r="C629" s="62" t="s">
        <v>2008</v>
      </c>
      <c r="D629" s="61">
        <v>40</v>
      </c>
    </row>
    <row r="630" spans="1:4" x14ac:dyDescent="0.2">
      <c r="A630" s="61" t="s">
        <v>16</v>
      </c>
      <c r="B630" s="61" t="s">
        <v>2009</v>
      </c>
      <c r="C630" s="62" t="s">
        <v>1399</v>
      </c>
      <c r="D630" s="61">
        <v>40</v>
      </c>
    </row>
    <row r="631" spans="1:4" x14ac:dyDescent="0.2">
      <c r="A631" s="62" t="s">
        <v>16</v>
      </c>
      <c r="B631" s="61" t="s">
        <v>2010</v>
      </c>
      <c r="C631" s="62" t="s">
        <v>1704</v>
      </c>
      <c r="D631" s="61">
        <v>40</v>
      </c>
    </row>
    <row r="632" spans="1:4" x14ac:dyDescent="0.2">
      <c r="A632" s="61" t="s">
        <v>16</v>
      </c>
      <c r="B632" s="61" t="s">
        <v>2011</v>
      </c>
      <c r="C632" s="62" t="s">
        <v>1704</v>
      </c>
      <c r="D632" s="61">
        <v>40</v>
      </c>
    </row>
    <row r="633" spans="1:4" x14ac:dyDescent="0.2">
      <c r="A633" s="62" t="s">
        <v>16</v>
      </c>
      <c r="B633" s="61" t="s">
        <v>2012</v>
      </c>
      <c r="C633" s="62" t="s">
        <v>1704</v>
      </c>
      <c r="D633" s="61">
        <v>40</v>
      </c>
    </row>
    <row r="634" spans="1:4" x14ac:dyDescent="0.2">
      <c r="A634" s="61" t="s">
        <v>16</v>
      </c>
      <c r="B634" s="61" t="s">
        <v>2013</v>
      </c>
      <c r="C634" s="62" t="s">
        <v>1704</v>
      </c>
      <c r="D634" s="61">
        <v>40</v>
      </c>
    </row>
    <row r="635" spans="1:4" x14ac:dyDescent="0.2">
      <c r="A635" s="62" t="s">
        <v>16</v>
      </c>
      <c r="B635" s="61" t="s">
        <v>2014</v>
      </c>
      <c r="C635" s="62" t="s">
        <v>1976</v>
      </c>
      <c r="D635" s="61">
        <v>40</v>
      </c>
    </row>
    <row r="636" spans="1:4" x14ac:dyDescent="0.2">
      <c r="A636" s="61" t="s">
        <v>16</v>
      </c>
      <c r="B636" s="61" t="s">
        <v>2015</v>
      </c>
      <c r="C636" s="62" t="s">
        <v>1741</v>
      </c>
      <c r="D636" s="61">
        <v>40</v>
      </c>
    </row>
    <row r="637" spans="1:4" x14ac:dyDescent="0.2">
      <c r="A637" s="62" t="s">
        <v>16</v>
      </c>
      <c r="B637" s="61" t="s">
        <v>2016</v>
      </c>
      <c r="C637" s="62" t="s">
        <v>1741</v>
      </c>
      <c r="D637" s="61">
        <v>40</v>
      </c>
    </row>
    <row r="638" spans="1:4" x14ac:dyDescent="0.2">
      <c r="A638" s="61" t="s">
        <v>16</v>
      </c>
      <c r="B638" s="61" t="s">
        <v>2017</v>
      </c>
      <c r="C638" s="62" t="s">
        <v>1741</v>
      </c>
      <c r="D638" s="61">
        <v>40</v>
      </c>
    </row>
    <row r="639" spans="1:4" x14ac:dyDescent="0.2">
      <c r="A639" s="62" t="s">
        <v>16</v>
      </c>
      <c r="B639" s="61" t="s">
        <v>714</v>
      </c>
      <c r="C639" s="62" t="s">
        <v>4786</v>
      </c>
      <c r="D639" s="61">
        <v>40</v>
      </c>
    </row>
    <row r="640" spans="1:4" x14ac:dyDescent="0.2">
      <c r="A640" s="61" t="s">
        <v>16</v>
      </c>
      <c r="B640" s="61" t="s">
        <v>2018</v>
      </c>
      <c r="C640" s="62" t="s">
        <v>4786</v>
      </c>
      <c r="D640" s="61">
        <v>40</v>
      </c>
    </row>
    <row r="641" spans="1:4" x14ac:dyDescent="0.2">
      <c r="A641" s="62" t="s">
        <v>16</v>
      </c>
      <c r="B641" s="61" t="s">
        <v>1023</v>
      </c>
      <c r="C641" s="62" t="s">
        <v>4786</v>
      </c>
      <c r="D641" s="61">
        <v>40</v>
      </c>
    </row>
    <row r="642" spans="1:4" x14ac:dyDescent="0.2">
      <c r="A642" s="61" t="s">
        <v>16</v>
      </c>
      <c r="B642" s="61" t="s">
        <v>707</v>
      </c>
      <c r="C642" s="62" t="s">
        <v>4786</v>
      </c>
      <c r="D642" s="61">
        <v>40</v>
      </c>
    </row>
    <row r="643" spans="1:4" x14ac:dyDescent="0.2">
      <c r="A643" s="62" t="s">
        <v>16</v>
      </c>
      <c r="B643" s="61" t="s">
        <v>2019</v>
      </c>
      <c r="C643" s="62" t="s">
        <v>4786</v>
      </c>
      <c r="D643" s="61">
        <v>40</v>
      </c>
    </row>
    <row r="644" spans="1:4" x14ac:dyDescent="0.2">
      <c r="A644" s="61" t="s">
        <v>16</v>
      </c>
      <c r="B644" s="61" t="s">
        <v>2020</v>
      </c>
      <c r="C644" s="62" t="s">
        <v>4786</v>
      </c>
      <c r="D644" s="61">
        <v>40</v>
      </c>
    </row>
    <row r="645" spans="1:4" x14ac:dyDescent="0.2">
      <c r="A645" s="62" t="s">
        <v>16</v>
      </c>
      <c r="B645" s="61" t="s">
        <v>693</v>
      </c>
      <c r="C645" s="62" t="s">
        <v>4788</v>
      </c>
      <c r="D645" s="61">
        <v>40</v>
      </c>
    </row>
    <row r="646" spans="1:4" x14ac:dyDescent="0.2">
      <c r="A646" s="61" t="s">
        <v>16</v>
      </c>
      <c r="B646" s="61" t="s">
        <v>2021</v>
      </c>
      <c r="C646" s="62" t="s">
        <v>4788</v>
      </c>
      <c r="D646" s="61">
        <v>40</v>
      </c>
    </row>
    <row r="647" spans="1:4" x14ac:dyDescent="0.2">
      <c r="A647" s="62" t="s">
        <v>16</v>
      </c>
      <c r="B647" s="61" t="s">
        <v>970</v>
      </c>
      <c r="C647" s="62" t="s">
        <v>4788</v>
      </c>
      <c r="D647" s="61">
        <v>40</v>
      </c>
    </row>
    <row r="648" spans="1:4" x14ac:dyDescent="0.2">
      <c r="A648" s="61" t="s">
        <v>16</v>
      </c>
      <c r="B648" s="61" t="s">
        <v>694</v>
      </c>
      <c r="C648" s="62" t="s">
        <v>4788</v>
      </c>
      <c r="D648" s="61">
        <v>40</v>
      </c>
    </row>
    <row r="649" spans="1:4" x14ac:dyDescent="0.2">
      <c r="A649" s="62" t="s">
        <v>16</v>
      </c>
      <c r="B649" s="61" t="s">
        <v>2022</v>
      </c>
      <c r="C649" s="62" t="s">
        <v>4788</v>
      </c>
      <c r="D649" s="61">
        <v>40</v>
      </c>
    </row>
    <row r="650" spans="1:4" x14ac:dyDescent="0.2">
      <c r="A650" s="61" t="s">
        <v>16</v>
      </c>
      <c r="B650" s="61" t="s">
        <v>2023</v>
      </c>
      <c r="C650" s="62" t="s">
        <v>4788</v>
      </c>
      <c r="D650" s="61">
        <v>40</v>
      </c>
    </row>
    <row r="651" spans="1:4" x14ac:dyDescent="0.2">
      <c r="A651" s="62" t="s">
        <v>16</v>
      </c>
      <c r="B651" s="61" t="s">
        <v>2024</v>
      </c>
      <c r="C651" s="62" t="s">
        <v>2025</v>
      </c>
      <c r="D651" s="61">
        <v>40</v>
      </c>
    </row>
    <row r="652" spans="1:4" x14ac:dyDescent="0.2">
      <c r="A652" s="61" t="s">
        <v>16</v>
      </c>
      <c r="B652" s="61" t="s">
        <v>893</v>
      </c>
      <c r="C652" s="62" t="s">
        <v>5346</v>
      </c>
      <c r="D652" s="61">
        <v>40</v>
      </c>
    </row>
    <row r="653" spans="1:4" x14ac:dyDescent="0.2">
      <c r="A653" s="62" t="s">
        <v>16</v>
      </c>
      <c r="B653" s="61" t="s">
        <v>2026</v>
      </c>
      <c r="C653" s="62" t="s">
        <v>2027</v>
      </c>
      <c r="D653" s="61">
        <v>40</v>
      </c>
    </row>
    <row r="654" spans="1:4" x14ac:dyDescent="0.2">
      <c r="A654" s="61" t="s">
        <v>16</v>
      </c>
      <c r="B654" s="61" t="s">
        <v>919</v>
      </c>
      <c r="C654" s="62" t="s">
        <v>920</v>
      </c>
      <c r="D654" s="61">
        <v>40</v>
      </c>
    </row>
    <row r="655" spans="1:4" x14ac:dyDescent="0.2">
      <c r="A655" s="62" t="s">
        <v>16</v>
      </c>
      <c r="B655" s="61" t="s">
        <v>862</v>
      </c>
      <c r="C655" s="62" t="s">
        <v>863</v>
      </c>
      <c r="D655" s="61">
        <v>40</v>
      </c>
    </row>
    <row r="656" spans="1:4" x14ac:dyDescent="0.2">
      <c r="A656" s="61" t="s">
        <v>16</v>
      </c>
      <c r="B656" s="61" t="s">
        <v>841</v>
      </c>
      <c r="C656" s="62" t="s">
        <v>842</v>
      </c>
      <c r="D656" s="61">
        <v>40</v>
      </c>
    </row>
    <row r="657" spans="1:4" x14ac:dyDescent="0.2">
      <c r="A657" s="62" t="s">
        <v>16</v>
      </c>
      <c r="B657" s="61" t="s">
        <v>2028</v>
      </c>
      <c r="C657" s="62" t="s">
        <v>2029</v>
      </c>
      <c r="D657" s="61">
        <v>40</v>
      </c>
    </row>
    <row r="658" spans="1:4" x14ac:dyDescent="0.2">
      <c r="A658" s="61" t="s">
        <v>16</v>
      </c>
      <c r="B658" s="61" t="s">
        <v>921</v>
      </c>
      <c r="C658" s="62" t="s">
        <v>922</v>
      </c>
      <c r="D658" s="61">
        <v>40</v>
      </c>
    </row>
    <row r="659" spans="1:4" x14ac:dyDescent="0.2">
      <c r="A659" s="62" t="s">
        <v>16</v>
      </c>
      <c r="B659" s="61" t="s">
        <v>626</v>
      </c>
      <c r="C659" s="62" t="s">
        <v>627</v>
      </c>
      <c r="D659" s="61">
        <v>40</v>
      </c>
    </row>
    <row r="660" spans="1:4" x14ac:dyDescent="0.2">
      <c r="A660" s="61" t="s">
        <v>16</v>
      </c>
      <c r="B660" s="61" t="s">
        <v>657</v>
      </c>
      <c r="C660" s="62" t="s">
        <v>658</v>
      </c>
      <c r="D660" s="61">
        <v>40</v>
      </c>
    </row>
    <row r="661" spans="1:4" x14ac:dyDescent="0.2">
      <c r="A661" s="62" t="s">
        <v>16</v>
      </c>
      <c r="B661" s="61" t="s">
        <v>2030</v>
      </c>
      <c r="C661" s="62" t="s">
        <v>2031</v>
      </c>
      <c r="D661" s="61">
        <v>40</v>
      </c>
    </row>
    <row r="662" spans="1:4" x14ac:dyDescent="0.2">
      <c r="A662" s="61" t="s">
        <v>16</v>
      </c>
      <c r="B662" s="61" t="s">
        <v>2032</v>
      </c>
      <c r="C662" s="62" t="s">
        <v>2033</v>
      </c>
      <c r="D662" s="61">
        <v>40</v>
      </c>
    </row>
    <row r="663" spans="1:4" x14ac:dyDescent="0.2">
      <c r="A663" s="62" t="s">
        <v>16</v>
      </c>
      <c r="B663" s="61" t="s">
        <v>861</v>
      </c>
      <c r="C663" s="62" t="s">
        <v>4954</v>
      </c>
      <c r="D663" s="61">
        <v>40</v>
      </c>
    </row>
    <row r="664" spans="1:4" x14ac:dyDescent="0.2">
      <c r="A664" s="61" t="s">
        <v>16</v>
      </c>
      <c r="B664" s="61" t="s">
        <v>2035</v>
      </c>
      <c r="C664" s="62" t="s">
        <v>2034</v>
      </c>
      <c r="D664" s="61">
        <v>40</v>
      </c>
    </row>
    <row r="665" spans="1:4" x14ac:dyDescent="0.2">
      <c r="A665" s="62" t="s">
        <v>16</v>
      </c>
      <c r="B665" s="61" t="s">
        <v>2036</v>
      </c>
      <c r="C665" s="62" t="s">
        <v>4953</v>
      </c>
      <c r="D665" s="61">
        <v>40</v>
      </c>
    </row>
    <row r="666" spans="1:4" x14ac:dyDescent="0.2">
      <c r="A666" s="61" t="s">
        <v>16</v>
      </c>
      <c r="B666" s="61" t="s">
        <v>616</v>
      </c>
      <c r="C666" s="62" t="s">
        <v>4958</v>
      </c>
      <c r="D666" s="61">
        <v>40</v>
      </c>
    </row>
    <row r="667" spans="1:4" x14ac:dyDescent="0.2">
      <c r="A667" s="62" t="s">
        <v>16</v>
      </c>
      <c r="B667" s="61" t="s">
        <v>840</v>
      </c>
      <c r="C667" s="62" t="s">
        <v>4760</v>
      </c>
      <c r="D667" s="61">
        <v>40</v>
      </c>
    </row>
    <row r="668" spans="1:4" x14ac:dyDescent="0.2">
      <c r="A668" s="61" t="s">
        <v>16</v>
      </c>
      <c r="B668" s="61" t="s">
        <v>2037</v>
      </c>
      <c r="C668" s="62" t="s">
        <v>4987</v>
      </c>
      <c r="D668" s="61">
        <v>40</v>
      </c>
    </row>
    <row r="669" spans="1:4" x14ac:dyDescent="0.2">
      <c r="A669" s="62" t="s">
        <v>16</v>
      </c>
      <c r="B669" s="61" t="s">
        <v>221</v>
      </c>
      <c r="C669" s="62" t="s">
        <v>4840</v>
      </c>
      <c r="D669" s="61">
        <v>40</v>
      </c>
    </row>
    <row r="670" spans="1:4" x14ac:dyDescent="0.2">
      <c r="A670" s="61" t="s">
        <v>16</v>
      </c>
      <c r="B670" s="61" t="s">
        <v>2038</v>
      </c>
      <c r="C670" s="62" t="s">
        <v>5347</v>
      </c>
      <c r="D670" s="61">
        <v>40</v>
      </c>
    </row>
    <row r="671" spans="1:4" x14ac:dyDescent="0.2">
      <c r="A671" s="62" t="s">
        <v>16</v>
      </c>
      <c r="B671" s="61" t="s">
        <v>867</v>
      </c>
      <c r="C671" s="62" t="s">
        <v>4839</v>
      </c>
      <c r="D671" s="61">
        <v>40</v>
      </c>
    </row>
    <row r="672" spans="1:4" x14ac:dyDescent="0.2">
      <c r="A672" s="61" t="s">
        <v>16</v>
      </c>
      <c r="B672" s="61" t="s">
        <v>619</v>
      </c>
      <c r="C672" s="62" t="s">
        <v>4985</v>
      </c>
      <c r="D672" s="61">
        <v>40</v>
      </c>
    </row>
    <row r="673" spans="1:4" x14ac:dyDescent="0.2">
      <c r="A673" s="62" t="s">
        <v>16</v>
      </c>
      <c r="B673" s="61" t="s">
        <v>908</v>
      </c>
      <c r="C673" s="62" t="s">
        <v>4845</v>
      </c>
      <c r="D673" s="61">
        <v>40</v>
      </c>
    </row>
    <row r="674" spans="1:4" x14ac:dyDescent="0.2">
      <c r="A674" s="61" t="s">
        <v>16</v>
      </c>
      <c r="B674" s="61" t="s">
        <v>632</v>
      </c>
      <c r="C674" s="62" t="s">
        <v>4912</v>
      </c>
      <c r="D674" s="61">
        <v>40</v>
      </c>
    </row>
    <row r="675" spans="1:4" x14ac:dyDescent="0.2">
      <c r="A675" s="62" t="s">
        <v>16</v>
      </c>
      <c r="B675" s="61" t="s">
        <v>2039</v>
      </c>
      <c r="C675" s="62" t="s">
        <v>5348</v>
      </c>
      <c r="D675" s="61">
        <v>40</v>
      </c>
    </row>
    <row r="676" spans="1:4" x14ac:dyDescent="0.2">
      <c r="A676" s="61" t="s">
        <v>16</v>
      </c>
      <c r="B676" s="61" t="s">
        <v>620</v>
      </c>
      <c r="C676" s="62" t="s">
        <v>4841</v>
      </c>
      <c r="D676" s="61">
        <v>40</v>
      </c>
    </row>
    <row r="677" spans="1:4" x14ac:dyDescent="0.2">
      <c r="A677" s="62" t="s">
        <v>16</v>
      </c>
      <c r="B677" s="61" t="s">
        <v>843</v>
      </c>
      <c r="C677" s="62" t="s">
        <v>4762</v>
      </c>
      <c r="D677" s="61">
        <v>40</v>
      </c>
    </row>
    <row r="678" spans="1:4" x14ac:dyDescent="0.2">
      <c r="A678" s="61" t="s">
        <v>16</v>
      </c>
      <c r="B678" s="61" t="s">
        <v>2040</v>
      </c>
      <c r="C678" s="62" t="s">
        <v>2041</v>
      </c>
      <c r="D678" s="61">
        <v>40</v>
      </c>
    </row>
    <row r="679" spans="1:4" x14ac:dyDescent="0.2">
      <c r="A679" s="62" t="s">
        <v>16</v>
      </c>
      <c r="B679" s="61" t="s">
        <v>2042</v>
      </c>
      <c r="C679" s="62" t="s">
        <v>2043</v>
      </c>
      <c r="D679" s="61">
        <v>40</v>
      </c>
    </row>
    <row r="680" spans="1:4" x14ac:dyDescent="0.2">
      <c r="A680" s="61" t="s">
        <v>16</v>
      </c>
      <c r="B680" s="61" t="s">
        <v>2044</v>
      </c>
      <c r="C680" s="62" t="s">
        <v>2045</v>
      </c>
      <c r="D680" s="61">
        <v>40</v>
      </c>
    </row>
    <row r="681" spans="1:4" x14ac:dyDescent="0.2">
      <c r="A681" s="62" t="s">
        <v>16</v>
      </c>
      <c r="B681" s="61" t="s">
        <v>2046</v>
      </c>
      <c r="C681" s="62" t="s">
        <v>2047</v>
      </c>
      <c r="D681" s="61">
        <v>40</v>
      </c>
    </row>
    <row r="682" spans="1:4" x14ac:dyDescent="0.2">
      <c r="A682" s="61" t="s">
        <v>16</v>
      </c>
      <c r="B682" s="61" t="s">
        <v>2048</v>
      </c>
      <c r="C682" s="62" t="s">
        <v>2049</v>
      </c>
      <c r="D682" s="61">
        <v>40</v>
      </c>
    </row>
    <row r="683" spans="1:4" x14ac:dyDescent="0.2">
      <c r="A683" s="62" t="s">
        <v>16</v>
      </c>
      <c r="B683" s="61" t="s">
        <v>271</v>
      </c>
      <c r="C683" s="62" t="s">
        <v>4801</v>
      </c>
      <c r="D683" s="61">
        <v>40</v>
      </c>
    </row>
    <row r="684" spans="1:4" x14ac:dyDescent="0.2">
      <c r="A684" s="61" t="s">
        <v>16</v>
      </c>
      <c r="B684" s="61" t="s">
        <v>490</v>
      </c>
      <c r="C684" s="62" t="s">
        <v>5349</v>
      </c>
      <c r="D684" s="61">
        <v>40</v>
      </c>
    </row>
    <row r="685" spans="1:4" x14ac:dyDescent="0.2">
      <c r="A685" s="62" t="s">
        <v>16</v>
      </c>
      <c r="B685" s="61" t="s">
        <v>470</v>
      </c>
      <c r="C685" s="62" t="s">
        <v>4757</v>
      </c>
      <c r="D685" s="61">
        <v>40</v>
      </c>
    </row>
    <row r="686" spans="1:4" x14ac:dyDescent="0.2">
      <c r="A686" s="61" t="s">
        <v>16</v>
      </c>
      <c r="B686" s="61" t="s">
        <v>2050</v>
      </c>
      <c r="C686" s="62" t="s">
        <v>2051</v>
      </c>
      <c r="D686" s="61">
        <v>40</v>
      </c>
    </row>
    <row r="687" spans="1:4" x14ac:dyDescent="0.2">
      <c r="A687" s="62" t="s">
        <v>16</v>
      </c>
      <c r="B687" s="61" t="s">
        <v>2052</v>
      </c>
      <c r="C687" s="62" t="s">
        <v>2053</v>
      </c>
      <c r="D687" s="61">
        <v>40</v>
      </c>
    </row>
    <row r="688" spans="1:4" x14ac:dyDescent="0.2">
      <c r="A688" s="61" t="s">
        <v>16</v>
      </c>
      <c r="B688" s="61" t="s">
        <v>2054</v>
      </c>
      <c r="C688" s="62" t="s">
        <v>2055</v>
      </c>
      <c r="D688" s="61">
        <v>40</v>
      </c>
    </row>
    <row r="689" spans="1:4" x14ac:dyDescent="0.2">
      <c r="A689" s="62" t="s">
        <v>16</v>
      </c>
      <c r="B689" s="61" t="s">
        <v>2056</v>
      </c>
      <c r="C689" s="62" t="s">
        <v>2057</v>
      </c>
      <c r="D689" s="61">
        <v>40</v>
      </c>
    </row>
    <row r="690" spans="1:4" x14ac:dyDescent="0.2">
      <c r="A690" s="61" t="s">
        <v>16</v>
      </c>
      <c r="B690" s="61" t="s">
        <v>768</v>
      </c>
      <c r="C690" s="62" t="s">
        <v>769</v>
      </c>
      <c r="D690" s="61">
        <v>40</v>
      </c>
    </row>
    <row r="691" spans="1:4" x14ac:dyDescent="0.2">
      <c r="A691" s="62" t="s">
        <v>16</v>
      </c>
      <c r="B691" s="61" t="s">
        <v>2058</v>
      </c>
      <c r="C691" s="62" t="s">
        <v>2059</v>
      </c>
      <c r="D691" s="61">
        <v>40</v>
      </c>
    </row>
    <row r="692" spans="1:4" x14ac:dyDescent="0.2">
      <c r="A692" s="61" t="s">
        <v>16</v>
      </c>
      <c r="B692" s="61" t="s">
        <v>2060</v>
      </c>
      <c r="C692" s="62" t="s">
        <v>2061</v>
      </c>
      <c r="D692" s="61">
        <v>40</v>
      </c>
    </row>
    <row r="693" spans="1:4" x14ac:dyDescent="0.2">
      <c r="A693" s="62" t="s">
        <v>16</v>
      </c>
      <c r="B693" s="61" t="s">
        <v>2062</v>
      </c>
      <c r="C693" s="62" t="s">
        <v>2063</v>
      </c>
      <c r="D693" s="61">
        <v>40</v>
      </c>
    </row>
    <row r="694" spans="1:4" x14ac:dyDescent="0.2">
      <c r="A694" s="61" t="s">
        <v>16</v>
      </c>
      <c r="B694" s="61" t="s">
        <v>2064</v>
      </c>
      <c r="C694" s="62" t="s">
        <v>2065</v>
      </c>
      <c r="D694" s="61">
        <v>40</v>
      </c>
    </row>
    <row r="695" spans="1:4" x14ac:dyDescent="0.2">
      <c r="A695" s="62" t="s">
        <v>16</v>
      </c>
      <c r="B695" s="61" t="s">
        <v>2066</v>
      </c>
      <c r="C695" s="62" t="s">
        <v>5350</v>
      </c>
      <c r="D695" s="61">
        <v>40</v>
      </c>
    </row>
    <row r="696" spans="1:4" x14ac:dyDescent="0.2">
      <c r="A696" s="61" t="s">
        <v>16</v>
      </c>
      <c r="B696" s="61" t="s">
        <v>2067</v>
      </c>
      <c r="C696" s="62" t="s">
        <v>2068</v>
      </c>
      <c r="D696" s="61">
        <v>40</v>
      </c>
    </row>
    <row r="697" spans="1:4" x14ac:dyDescent="0.2">
      <c r="A697" s="62" t="s">
        <v>16</v>
      </c>
      <c r="B697" s="61" t="s">
        <v>2069</v>
      </c>
      <c r="C697" s="62" t="s">
        <v>2070</v>
      </c>
      <c r="D697" s="61">
        <v>40</v>
      </c>
    </row>
    <row r="698" spans="1:4" x14ac:dyDescent="0.2">
      <c r="A698" s="61" t="s">
        <v>16</v>
      </c>
      <c r="B698" s="61" t="s">
        <v>2071</v>
      </c>
      <c r="C698" s="62" t="s">
        <v>2072</v>
      </c>
      <c r="D698" s="61">
        <v>40</v>
      </c>
    </row>
    <row r="699" spans="1:4" x14ac:dyDescent="0.2">
      <c r="A699" s="62" t="s">
        <v>16</v>
      </c>
      <c r="B699" s="61" t="s">
        <v>2073</v>
      </c>
      <c r="C699" s="62" t="s">
        <v>2074</v>
      </c>
      <c r="D699" s="61">
        <v>40</v>
      </c>
    </row>
    <row r="700" spans="1:4" x14ac:dyDescent="0.2">
      <c r="A700" s="61" t="s">
        <v>16</v>
      </c>
      <c r="B700" s="61" t="s">
        <v>1013</v>
      </c>
      <c r="C700" s="62" t="s">
        <v>4903</v>
      </c>
      <c r="D700" s="61">
        <v>40</v>
      </c>
    </row>
    <row r="701" spans="1:4" x14ac:dyDescent="0.2">
      <c r="A701" s="62" t="s">
        <v>16</v>
      </c>
      <c r="B701" s="61" t="s">
        <v>836</v>
      </c>
      <c r="C701" s="62" t="s">
        <v>4884</v>
      </c>
      <c r="D701" s="61">
        <v>40</v>
      </c>
    </row>
    <row r="702" spans="1:4" x14ac:dyDescent="0.2">
      <c r="A702" s="61" t="s">
        <v>16</v>
      </c>
      <c r="B702" s="61" t="s">
        <v>837</v>
      </c>
      <c r="C702" s="62" t="s">
        <v>4885</v>
      </c>
      <c r="D702" s="61">
        <v>40</v>
      </c>
    </row>
    <row r="703" spans="1:4" x14ac:dyDescent="0.2">
      <c r="A703" s="62" t="s">
        <v>16</v>
      </c>
      <c r="B703" s="61" t="s">
        <v>2075</v>
      </c>
      <c r="C703" s="62" t="s">
        <v>2076</v>
      </c>
      <c r="D703" s="61">
        <v>40</v>
      </c>
    </row>
    <row r="704" spans="1:4" x14ac:dyDescent="0.2">
      <c r="A704" s="61" t="s">
        <v>16</v>
      </c>
      <c r="B704" s="61" t="s">
        <v>2077</v>
      </c>
      <c r="C704" s="62" t="s">
        <v>2078</v>
      </c>
      <c r="D704" s="61">
        <v>40</v>
      </c>
    </row>
    <row r="705" spans="1:4" x14ac:dyDescent="0.2">
      <c r="A705" s="62" t="s">
        <v>16</v>
      </c>
      <c r="B705" s="61" t="s">
        <v>2079</v>
      </c>
      <c r="C705" s="62" t="s">
        <v>2080</v>
      </c>
      <c r="D705" s="61">
        <v>40</v>
      </c>
    </row>
    <row r="706" spans="1:4" x14ac:dyDescent="0.2">
      <c r="A706" s="61" t="s">
        <v>16</v>
      </c>
      <c r="B706" s="61" t="s">
        <v>2081</v>
      </c>
      <c r="C706" s="62" t="s">
        <v>2082</v>
      </c>
      <c r="D706" s="61">
        <v>40</v>
      </c>
    </row>
    <row r="707" spans="1:4" x14ac:dyDescent="0.2">
      <c r="A707" s="62" t="s">
        <v>16</v>
      </c>
      <c r="B707" s="61" t="s">
        <v>2083</v>
      </c>
      <c r="C707" s="62" t="s">
        <v>2084</v>
      </c>
      <c r="D707" s="61">
        <v>40</v>
      </c>
    </row>
    <row r="708" spans="1:4" x14ac:dyDescent="0.2">
      <c r="A708" s="61" t="s">
        <v>16</v>
      </c>
      <c r="B708" s="61" t="s">
        <v>2085</v>
      </c>
      <c r="C708" s="62" t="s">
        <v>2086</v>
      </c>
      <c r="D708" s="61">
        <v>40</v>
      </c>
    </row>
    <row r="709" spans="1:4" x14ac:dyDescent="0.2">
      <c r="A709" s="62" t="s">
        <v>16</v>
      </c>
      <c r="B709" s="61" t="s">
        <v>2087</v>
      </c>
      <c r="C709" s="62" t="s">
        <v>2088</v>
      </c>
      <c r="D709" s="61">
        <v>40</v>
      </c>
    </row>
    <row r="710" spans="1:4" x14ac:dyDescent="0.2">
      <c r="A710" s="61" t="s">
        <v>16</v>
      </c>
      <c r="B710" s="61" t="s">
        <v>2089</v>
      </c>
      <c r="C710" s="62" t="s">
        <v>2090</v>
      </c>
      <c r="D710" s="61">
        <v>40</v>
      </c>
    </row>
    <row r="711" spans="1:4" x14ac:dyDescent="0.2">
      <c r="A711" s="62" t="s">
        <v>16</v>
      </c>
      <c r="B711" s="61" t="s">
        <v>2091</v>
      </c>
      <c r="C711" s="62" t="s">
        <v>2092</v>
      </c>
      <c r="D711" s="61">
        <v>40</v>
      </c>
    </row>
    <row r="712" spans="1:4" x14ac:dyDescent="0.2">
      <c r="A712" s="61" t="s">
        <v>16</v>
      </c>
      <c r="B712" s="61" t="s">
        <v>2093</v>
      </c>
      <c r="C712" s="62" t="s">
        <v>2094</v>
      </c>
      <c r="D712" s="61">
        <v>40</v>
      </c>
    </row>
    <row r="713" spans="1:4" x14ac:dyDescent="0.2">
      <c r="A713" s="62" t="s">
        <v>16</v>
      </c>
      <c r="B713" s="61" t="s">
        <v>2095</v>
      </c>
      <c r="C713" s="62" t="s">
        <v>2096</v>
      </c>
      <c r="D713" s="61">
        <v>40</v>
      </c>
    </row>
    <row r="714" spans="1:4" x14ac:dyDescent="0.2">
      <c r="A714" s="61" t="s">
        <v>16</v>
      </c>
      <c r="B714" s="61" t="s">
        <v>2097</v>
      </c>
      <c r="C714" s="62" t="s">
        <v>2098</v>
      </c>
      <c r="D714" s="61">
        <v>40</v>
      </c>
    </row>
    <row r="715" spans="1:4" x14ac:dyDescent="0.2">
      <c r="A715" s="62" t="s">
        <v>16</v>
      </c>
      <c r="B715" s="61" t="s">
        <v>2099</v>
      </c>
      <c r="C715" s="62" t="s">
        <v>2100</v>
      </c>
      <c r="D715" s="61">
        <v>40</v>
      </c>
    </row>
    <row r="716" spans="1:4" x14ac:dyDescent="0.2">
      <c r="A716" s="61" t="s">
        <v>16</v>
      </c>
      <c r="B716" s="61" t="s">
        <v>799</v>
      </c>
      <c r="C716" s="62" t="s">
        <v>4861</v>
      </c>
      <c r="D716" s="61">
        <v>40</v>
      </c>
    </row>
    <row r="717" spans="1:4" x14ac:dyDescent="0.2">
      <c r="A717" s="62" t="s">
        <v>16</v>
      </c>
      <c r="B717" s="61" t="s">
        <v>807</v>
      </c>
      <c r="C717" s="62" t="s">
        <v>4863</v>
      </c>
      <c r="D717" s="61">
        <v>40</v>
      </c>
    </row>
    <row r="718" spans="1:4" x14ac:dyDescent="0.2">
      <c r="A718" s="61" t="s">
        <v>16</v>
      </c>
      <c r="B718" s="61" t="s">
        <v>2101</v>
      </c>
      <c r="C718" s="62" t="s">
        <v>2102</v>
      </c>
      <c r="D718" s="61">
        <v>40</v>
      </c>
    </row>
    <row r="719" spans="1:4" x14ac:dyDescent="0.2">
      <c r="A719" s="62" t="s">
        <v>16</v>
      </c>
      <c r="B719" s="61" t="s">
        <v>2103</v>
      </c>
      <c r="C719" s="62" t="s">
        <v>2104</v>
      </c>
      <c r="D719" s="61">
        <v>40</v>
      </c>
    </row>
    <row r="720" spans="1:4" x14ac:dyDescent="0.2">
      <c r="A720" s="61" t="s">
        <v>16</v>
      </c>
      <c r="B720" s="61" t="s">
        <v>2105</v>
      </c>
      <c r="C720" s="62" t="s">
        <v>2106</v>
      </c>
      <c r="D720" s="61">
        <v>40</v>
      </c>
    </row>
    <row r="721" spans="1:4" x14ac:dyDescent="0.2">
      <c r="A721" s="62" t="s">
        <v>16</v>
      </c>
      <c r="B721" s="61" t="s">
        <v>2107</v>
      </c>
      <c r="C721" s="62" t="s">
        <v>2108</v>
      </c>
      <c r="D721" s="61">
        <v>40</v>
      </c>
    </row>
    <row r="722" spans="1:4" x14ac:dyDescent="0.2">
      <c r="A722" s="61" t="s">
        <v>16</v>
      </c>
      <c r="B722" s="61" t="s">
        <v>2109</v>
      </c>
      <c r="C722" s="62" t="s">
        <v>2110</v>
      </c>
      <c r="D722" s="61">
        <v>40</v>
      </c>
    </row>
    <row r="723" spans="1:4" x14ac:dyDescent="0.2">
      <c r="A723" s="62" t="s">
        <v>16</v>
      </c>
      <c r="B723" s="61" t="s">
        <v>2111</v>
      </c>
      <c r="C723" s="62" t="s">
        <v>2112</v>
      </c>
      <c r="D723" s="61">
        <v>40</v>
      </c>
    </row>
    <row r="724" spans="1:4" x14ac:dyDescent="0.2">
      <c r="A724" s="61" t="s">
        <v>16</v>
      </c>
      <c r="B724" s="61" t="s">
        <v>2113</v>
      </c>
      <c r="C724" s="62" t="s">
        <v>2114</v>
      </c>
      <c r="D724" s="61">
        <v>40</v>
      </c>
    </row>
    <row r="725" spans="1:4" x14ac:dyDescent="0.2">
      <c r="A725" s="62" t="s">
        <v>16</v>
      </c>
      <c r="B725" s="61" t="s">
        <v>2115</v>
      </c>
      <c r="C725" s="62" t="s">
        <v>2116</v>
      </c>
      <c r="D725" s="61">
        <v>40</v>
      </c>
    </row>
    <row r="726" spans="1:4" x14ac:dyDescent="0.2">
      <c r="A726" s="61" t="s">
        <v>16</v>
      </c>
      <c r="B726" s="61" t="s">
        <v>2117</v>
      </c>
      <c r="C726" s="62" t="s">
        <v>2118</v>
      </c>
      <c r="D726" s="61">
        <v>40</v>
      </c>
    </row>
    <row r="727" spans="1:4" x14ac:dyDescent="0.2">
      <c r="A727" s="62" t="s">
        <v>16</v>
      </c>
      <c r="B727" s="61" t="s">
        <v>2119</v>
      </c>
      <c r="C727" s="62" t="s">
        <v>2120</v>
      </c>
      <c r="D727" s="61">
        <v>40</v>
      </c>
    </row>
    <row r="728" spans="1:4" x14ac:dyDescent="0.2">
      <c r="A728" s="61" t="s">
        <v>16</v>
      </c>
      <c r="B728" s="61" t="s">
        <v>2121</v>
      </c>
      <c r="C728" s="62" t="s">
        <v>2122</v>
      </c>
      <c r="D728" s="61">
        <v>40</v>
      </c>
    </row>
    <row r="729" spans="1:4" x14ac:dyDescent="0.2">
      <c r="A729" s="62" t="s">
        <v>16</v>
      </c>
      <c r="B729" s="61" t="s">
        <v>2123</v>
      </c>
      <c r="C729" s="62" t="s">
        <v>2124</v>
      </c>
      <c r="D729" s="61">
        <v>40</v>
      </c>
    </row>
    <row r="730" spans="1:4" x14ac:dyDescent="0.2">
      <c r="A730" s="61" t="s">
        <v>16</v>
      </c>
      <c r="B730" s="61" t="s">
        <v>2125</v>
      </c>
      <c r="C730" s="62" t="s">
        <v>2126</v>
      </c>
      <c r="D730" s="61">
        <v>40</v>
      </c>
    </row>
    <row r="731" spans="1:4" x14ac:dyDescent="0.2">
      <c r="A731" s="62" t="s">
        <v>16</v>
      </c>
      <c r="B731" s="61" t="s">
        <v>2127</v>
      </c>
      <c r="C731" s="62" t="s">
        <v>2128</v>
      </c>
      <c r="D731" s="61">
        <v>40</v>
      </c>
    </row>
    <row r="732" spans="1:4" x14ac:dyDescent="0.2">
      <c r="A732" s="61" t="s">
        <v>16</v>
      </c>
      <c r="B732" s="61" t="s">
        <v>2129</v>
      </c>
      <c r="C732" s="62" t="s">
        <v>5351</v>
      </c>
      <c r="D732" s="61">
        <v>40</v>
      </c>
    </row>
    <row r="733" spans="1:4" x14ac:dyDescent="0.2">
      <c r="A733" s="62" t="s">
        <v>16</v>
      </c>
      <c r="B733" s="61" t="s">
        <v>2130</v>
      </c>
      <c r="C733" s="62" t="s">
        <v>2131</v>
      </c>
      <c r="D733" s="61">
        <v>40</v>
      </c>
    </row>
    <row r="734" spans="1:4" x14ac:dyDescent="0.2">
      <c r="A734" s="61" t="s">
        <v>16</v>
      </c>
      <c r="B734" s="61" t="s">
        <v>2132</v>
      </c>
      <c r="C734" s="62" t="s">
        <v>2133</v>
      </c>
      <c r="D734" s="61">
        <v>40</v>
      </c>
    </row>
    <row r="735" spans="1:4" x14ac:dyDescent="0.2">
      <c r="A735" s="62" t="s">
        <v>16</v>
      </c>
      <c r="B735" s="61" t="s">
        <v>2134</v>
      </c>
      <c r="C735" s="62" t="s">
        <v>2135</v>
      </c>
      <c r="D735" s="61">
        <v>40</v>
      </c>
    </row>
    <row r="736" spans="1:4" x14ac:dyDescent="0.2">
      <c r="A736" s="61" t="s">
        <v>16</v>
      </c>
      <c r="B736" s="61" t="s">
        <v>2136</v>
      </c>
      <c r="C736" s="62" t="s">
        <v>2137</v>
      </c>
      <c r="D736" s="61">
        <v>40</v>
      </c>
    </row>
    <row r="737" spans="1:4" x14ac:dyDescent="0.2">
      <c r="A737" s="62" t="s">
        <v>16</v>
      </c>
      <c r="B737" s="61" t="s">
        <v>2138</v>
      </c>
      <c r="C737" s="62" t="s">
        <v>2139</v>
      </c>
      <c r="D737" s="61">
        <v>40</v>
      </c>
    </row>
    <row r="738" spans="1:4" x14ac:dyDescent="0.2">
      <c r="A738" s="61" t="s">
        <v>16</v>
      </c>
      <c r="B738" s="61" t="s">
        <v>2140</v>
      </c>
      <c r="C738" s="62" t="s">
        <v>2141</v>
      </c>
      <c r="D738" s="61">
        <v>40</v>
      </c>
    </row>
    <row r="739" spans="1:4" x14ac:dyDescent="0.2">
      <c r="A739" s="62" t="s">
        <v>16</v>
      </c>
      <c r="B739" s="61" t="s">
        <v>2142</v>
      </c>
      <c r="C739" s="62" t="s">
        <v>2143</v>
      </c>
      <c r="D739" s="61">
        <v>40</v>
      </c>
    </row>
    <row r="740" spans="1:4" x14ac:dyDescent="0.2">
      <c r="A740" s="61" t="s">
        <v>16</v>
      </c>
      <c r="B740" s="61" t="s">
        <v>2144</v>
      </c>
      <c r="C740" s="62" t="s">
        <v>2145</v>
      </c>
      <c r="D740" s="61">
        <v>40</v>
      </c>
    </row>
    <row r="741" spans="1:4" x14ac:dyDescent="0.2">
      <c r="A741" s="62" t="s">
        <v>16</v>
      </c>
      <c r="B741" s="61" t="s">
        <v>2146</v>
      </c>
      <c r="C741" s="62" t="s">
        <v>2147</v>
      </c>
      <c r="D741" s="61">
        <v>40</v>
      </c>
    </row>
    <row r="742" spans="1:4" x14ac:dyDescent="0.2">
      <c r="A742" s="61" t="s">
        <v>16</v>
      </c>
      <c r="B742" s="61" t="s">
        <v>2148</v>
      </c>
      <c r="C742" s="62" t="s">
        <v>2149</v>
      </c>
      <c r="D742" s="61">
        <v>40</v>
      </c>
    </row>
    <row r="743" spans="1:4" x14ac:dyDescent="0.2">
      <c r="A743" s="62" t="s">
        <v>16</v>
      </c>
      <c r="B743" s="61" t="s">
        <v>2150</v>
      </c>
      <c r="C743" s="62" t="s">
        <v>2151</v>
      </c>
      <c r="D743" s="61">
        <v>40</v>
      </c>
    </row>
    <row r="744" spans="1:4" x14ac:dyDescent="0.2">
      <c r="A744" s="61" t="s">
        <v>16</v>
      </c>
      <c r="B744" s="61" t="s">
        <v>2152</v>
      </c>
      <c r="C744" s="62" t="s">
        <v>2153</v>
      </c>
      <c r="D744" s="61">
        <v>40</v>
      </c>
    </row>
    <row r="745" spans="1:4" x14ac:dyDescent="0.2">
      <c r="A745" s="62" t="s">
        <v>16</v>
      </c>
      <c r="B745" s="61" t="s">
        <v>2154</v>
      </c>
      <c r="C745" s="62" t="s">
        <v>2155</v>
      </c>
      <c r="D745" s="61">
        <v>40</v>
      </c>
    </row>
    <row r="746" spans="1:4" x14ac:dyDescent="0.2">
      <c r="A746" s="61" t="s">
        <v>16</v>
      </c>
      <c r="B746" s="61" t="s">
        <v>2156</v>
      </c>
      <c r="C746" s="62" t="s">
        <v>2157</v>
      </c>
      <c r="D746" s="61">
        <v>40</v>
      </c>
    </row>
    <row r="747" spans="1:4" x14ac:dyDescent="0.2">
      <c r="A747" s="62" t="s">
        <v>16</v>
      </c>
      <c r="B747" s="61" t="s">
        <v>2158</v>
      </c>
      <c r="C747" s="62" t="s">
        <v>2159</v>
      </c>
      <c r="D747" s="61">
        <v>40</v>
      </c>
    </row>
    <row r="748" spans="1:4" x14ac:dyDescent="0.2">
      <c r="A748" s="61" t="s">
        <v>16</v>
      </c>
      <c r="B748" s="61" t="s">
        <v>2160</v>
      </c>
      <c r="C748" s="62" t="s">
        <v>2161</v>
      </c>
      <c r="D748" s="61">
        <v>40</v>
      </c>
    </row>
    <row r="749" spans="1:4" x14ac:dyDescent="0.2">
      <c r="A749" s="62" t="s">
        <v>16</v>
      </c>
      <c r="B749" s="61" t="s">
        <v>2162</v>
      </c>
      <c r="C749" s="62" t="s">
        <v>2163</v>
      </c>
      <c r="D749" s="61">
        <v>40</v>
      </c>
    </row>
    <row r="750" spans="1:4" x14ac:dyDescent="0.2">
      <c r="A750" s="61" t="s">
        <v>16</v>
      </c>
      <c r="B750" s="61" t="s">
        <v>2164</v>
      </c>
      <c r="C750" s="62" t="s">
        <v>2165</v>
      </c>
      <c r="D750" s="61">
        <v>40</v>
      </c>
    </row>
    <row r="751" spans="1:4" x14ac:dyDescent="0.2">
      <c r="A751" s="62" t="s">
        <v>16</v>
      </c>
      <c r="B751" s="61" t="s">
        <v>669</v>
      </c>
      <c r="C751" s="62" t="s">
        <v>5352</v>
      </c>
      <c r="D751" s="61">
        <v>40</v>
      </c>
    </row>
    <row r="752" spans="1:4" x14ac:dyDescent="0.2">
      <c r="A752" s="61" t="s">
        <v>16</v>
      </c>
      <c r="B752" s="61" t="s">
        <v>608</v>
      </c>
      <c r="C752" s="62" t="s">
        <v>5353</v>
      </c>
      <c r="D752" s="61">
        <v>40</v>
      </c>
    </row>
    <row r="753" spans="1:4" x14ac:dyDescent="0.2">
      <c r="A753" s="62" t="s">
        <v>16</v>
      </c>
      <c r="B753" s="61" t="s">
        <v>665</v>
      </c>
      <c r="C753" s="62" t="s">
        <v>5354</v>
      </c>
      <c r="D753" s="61">
        <v>40</v>
      </c>
    </row>
    <row r="754" spans="1:4" x14ac:dyDescent="0.2">
      <c r="A754" s="61" t="s">
        <v>16</v>
      </c>
      <c r="B754" s="61" t="s">
        <v>2166</v>
      </c>
      <c r="C754" s="62" t="s">
        <v>2167</v>
      </c>
      <c r="D754" s="61">
        <v>40</v>
      </c>
    </row>
    <row r="755" spans="1:4" x14ac:dyDescent="0.2">
      <c r="A755" s="62" t="s">
        <v>16</v>
      </c>
      <c r="B755" s="61" t="s">
        <v>2168</v>
      </c>
      <c r="C755" s="62" t="s">
        <v>2169</v>
      </c>
      <c r="D755" s="61">
        <v>40</v>
      </c>
    </row>
    <row r="756" spans="1:4" x14ac:dyDescent="0.2">
      <c r="A756" s="61" t="s">
        <v>16</v>
      </c>
      <c r="B756" s="61" t="s">
        <v>2170</v>
      </c>
      <c r="C756" s="62" t="s">
        <v>2171</v>
      </c>
      <c r="D756" s="61">
        <v>40</v>
      </c>
    </row>
    <row r="757" spans="1:4" x14ac:dyDescent="0.2">
      <c r="A757" s="62" t="s">
        <v>16</v>
      </c>
      <c r="B757" s="61" t="s">
        <v>2172</v>
      </c>
      <c r="C757" s="62" t="s">
        <v>2173</v>
      </c>
      <c r="D757" s="61">
        <v>40</v>
      </c>
    </row>
    <row r="758" spans="1:4" x14ac:dyDescent="0.2">
      <c r="A758" s="61" t="s">
        <v>16</v>
      </c>
      <c r="B758" s="61" t="s">
        <v>2174</v>
      </c>
      <c r="C758" s="62" t="s">
        <v>2175</v>
      </c>
      <c r="D758" s="61">
        <v>40</v>
      </c>
    </row>
    <row r="759" spans="1:4" x14ac:dyDescent="0.2">
      <c r="A759" s="62" t="s">
        <v>16</v>
      </c>
      <c r="B759" s="61" t="s">
        <v>2176</v>
      </c>
      <c r="C759" s="62" t="s">
        <v>2177</v>
      </c>
      <c r="D759" s="61">
        <v>40</v>
      </c>
    </row>
    <row r="760" spans="1:4" x14ac:dyDescent="0.2">
      <c r="A760" s="61" t="s">
        <v>16</v>
      </c>
      <c r="B760" s="61" t="s">
        <v>2178</v>
      </c>
      <c r="C760" s="62" t="s">
        <v>2179</v>
      </c>
      <c r="D760" s="61">
        <v>40</v>
      </c>
    </row>
    <row r="761" spans="1:4" x14ac:dyDescent="0.2">
      <c r="A761" s="62" t="s">
        <v>16</v>
      </c>
      <c r="B761" s="61" t="s">
        <v>2180</v>
      </c>
      <c r="C761" s="62" t="s">
        <v>2181</v>
      </c>
      <c r="D761" s="61">
        <v>50</v>
      </c>
    </row>
    <row r="762" spans="1:4" x14ac:dyDescent="0.2">
      <c r="A762" s="61" t="s">
        <v>16</v>
      </c>
      <c r="B762" s="61" t="s">
        <v>2182</v>
      </c>
      <c r="C762" s="62" t="s">
        <v>2183</v>
      </c>
      <c r="D762" s="61">
        <v>40</v>
      </c>
    </row>
    <row r="763" spans="1:4" x14ac:dyDescent="0.2">
      <c r="A763" s="62" t="s">
        <v>16</v>
      </c>
      <c r="B763" s="61" t="s">
        <v>2184</v>
      </c>
      <c r="C763" s="62" t="s">
        <v>2185</v>
      </c>
      <c r="D763" s="61">
        <v>40</v>
      </c>
    </row>
    <row r="764" spans="1:4" x14ac:dyDescent="0.2">
      <c r="A764" s="61" t="s">
        <v>16</v>
      </c>
      <c r="B764" s="61" t="s">
        <v>2186</v>
      </c>
      <c r="C764" s="62" t="s">
        <v>2187</v>
      </c>
      <c r="D764" s="61">
        <v>40</v>
      </c>
    </row>
    <row r="765" spans="1:4" x14ac:dyDescent="0.2">
      <c r="A765" s="62" t="s">
        <v>16</v>
      </c>
      <c r="B765" s="61" t="s">
        <v>2188</v>
      </c>
      <c r="C765" s="62" t="s">
        <v>2189</v>
      </c>
      <c r="D765" s="61">
        <v>40</v>
      </c>
    </row>
    <row r="766" spans="1:4" x14ac:dyDescent="0.2">
      <c r="A766" s="61" t="s">
        <v>16</v>
      </c>
      <c r="B766" s="61" t="s">
        <v>2190</v>
      </c>
      <c r="C766" s="62" t="s">
        <v>2191</v>
      </c>
      <c r="D766" s="61">
        <v>40</v>
      </c>
    </row>
    <row r="767" spans="1:4" x14ac:dyDescent="0.2">
      <c r="A767" s="62" t="s">
        <v>16</v>
      </c>
      <c r="B767" s="61" t="s">
        <v>2192</v>
      </c>
      <c r="C767" s="62" t="s">
        <v>2193</v>
      </c>
      <c r="D767" s="61">
        <v>40</v>
      </c>
    </row>
    <row r="768" spans="1:4" x14ac:dyDescent="0.2">
      <c r="A768" s="61" t="s">
        <v>16</v>
      </c>
      <c r="B768" s="61" t="s">
        <v>2194</v>
      </c>
      <c r="C768" s="62" t="s">
        <v>2195</v>
      </c>
      <c r="D768" s="61">
        <v>40</v>
      </c>
    </row>
    <row r="769" spans="1:4" x14ac:dyDescent="0.2">
      <c r="A769" s="62" t="s">
        <v>16</v>
      </c>
      <c r="B769" s="61" t="s">
        <v>2196</v>
      </c>
      <c r="C769" s="62" t="s">
        <v>2197</v>
      </c>
      <c r="D769" s="61">
        <v>40</v>
      </c>
    </row>
    <row r="770" spans="1:4" x14ac:dyDescent="0.2">
      <c r="A770" s="61" t="s">
        <v>16</v>
      </c>
      <c r="B770" s="61" t="s">
        <v>2198</v>
      </c>
      <c r="C770" s="62" t="s">
        <v>2199</v>
      </c>
      <c r="D770" s="61">
        <v>40</v>
      </c>
    </row>
    <row r="771" spans="1:4" x14ac:dyDescent="0.2">
      <c r="A771" s="62" t="s">
        <v>16</v>
      </c>
      <c r="B771" s="61" t="s">
        <v>2200</v>
      </c>
      <c r="C771" s="62" t="s">
        <v>2201</v>
      </c>
      <c r="D771" s="61">
        <v>40</v>
      </c>
    </row>
    <row r="772" spans="1:4" x14ac:dyDescent="0.2">
      <c r="A772" s="61" t="s">
        <v>16</v>
      </c>
      <c r="B772" s="61" t="s">
        <v>2202</v>
      </c>
      <c r="C772" s="62" t="s">
        <v>5355</v>
      </c>
      <c r="D772" s="61">
        <v>40</v>
      </c>
    </row>
    <row r="773" spans="1:4" x14ac:dyDescent="0.2">
      <c r="A773" s="62" t="s">
        <v>16</v>
      </c>
      <c r="B773" s="61" t="s">
        <v>2203</v>
      </c>
      <c r="C773" s="62" t="s">
        <v>5356</v>
      </c>
      <c r="D773" s="61">
        <v>40</v>
      </c>
    </row>
    <row r="774" spans="1:4" x14ac:dyDescent="0.2">
      <c r="A774" s="61" t="s">
        <v>16</v>
      </c>
      <c r="B774" s="61" t="s">
        <v>2204</v>
      </c>
      <c r="C774" s="62" t="s">
        <v>2205</v>
      </c>
      <c r="D774" s="61">
        <v>40</v>
      </c>
    </row>
    <row r="775" spans="1:4" x14ac:dyDescent="0.2">
      <c r="A775" s="62" t="s">
        <v>16</v>
      </c>
      <c r="B775" s="61" t="s">
        <v>2206</v>
      </c>
      <c r="C775" s="62" t="s">
        <v>2207</v>
      </c>
      <c r="D775" s="61">
        <v>40</v>
      </c>
    </row>
    <row r="776" spans="1:4" x14ac:dyDescent="0.2">
      <c r="A776" s="61" t="s">
        <v>16</v>
      </c>
      <c r="B776" s="61" t="s">
        <v>2208</v>
      </c>
      <c r="C776" s="62" t="s">
        <v>2209</v>
      </c>
      <c r="D776" s="61">
        <v>40</v>
      </c>
    </row>
    <row r="777" spans="1:4" x14ac:dyDescent="0.2">
      <c r="A777" s="62" t="s">
        <v>16</v>
      </c>
      <c r="B777" s="61" t="s">
        <v>2210</v>
      </c>
      <c r="C777" s="62" t="s">
        <v>2211</v>
      </c>
      <c r="D777" s="61">
        <v>40</v>
      </c>
    </row>
    <row r="778" spans="1:4" x14ac:dyDescent="0.2">
      <c r="A778" s="61" t="s">
        <v>16</v>
      </c>
      <c r="B778" s="61" t="s">
        <v>869</v>
      </c>
      <c r="C778" s="62" t="s">
        <v>4822</v>
      </c>
      <c r="D778" s="61">
        <v>40</v>
      </c>
    </row>
    <row r="779" spans="1:4" x14ac:dyDescent="0.2">
      <c r="A779" s="62" t="s">
        <v>16</v>
      </c>
      <c r="B779" s="61" t="s">
        <v>870</v>
      </c>
      <c r="C779" s="62" t="s">
        <v>4844</v>
      </c>
      <c r="D779" s="61">
        <v>40</v>
      </c>
    </row>
    <row r="780" spans="1:4" x14ac:dyDescent="0.2">
      <c r="A780" s="61" t="s">
        <v>16</v>
      </c>
      <c r="B780" s="61" t="s">
        <v>2212</v>
      </c>
      <c r="C780" s="62" t="s">
        <v>2213</v>
      </c>
      <c r="D780" s="61">
        <v>40</v>
      </c>
    </row>
    <row r="781" spans="1:4" x14ac:dyDescent="0.2">
      <c r="A781" s="62" t="s">
        <v>16</v>
      </c>
      <c r="B781" s="61" t="s">
        <v>2214</v>
      </c>
      <c r="C781" s="62" t="s">
        <v>2215</v>
      </c>
      <c r="D781" s="61">
        <v>40</v>
      </c>
    </row>
    <row r="782" spans="1:4" x14ac:dyDescent="0.2">
      <c r="A782" s="61" t="s">
        <v>16</v>
      </c>
      <c r="B782" s="61" t="s">
        <v>2216</v>
      </c>
      <c r="C782" s="62" t="s">
        <v>2217</v>
      </c>
      <c r="D782" s="61">
        <v>40</v>
      </c>
    </row>
    <row r="783" spans="1:4" x14ac:dyDescent="0.2">
      <c r="A783" s="62" t="s">
        <v>16</v>
      </c>
      <c r="B783" s="61" t="s">
        <v>2218</v>
      </c>
      <c r="C783" s="62" t="s">
        <v>2219</v>
      </c>
      <c r="D783" s="61">
        <v>40</v>
      </c>
    </row>
    <row r="784" spans="1:4" x14ac:dyDescent="0.2">
      <c r="A784" s="61" t="s">
        <v>16</v>
      </c>
      <c r="B784" s="61" t="s">
        <v>2220</v>
      </c>
      <c r="C784" s="62" t="s">
        <v>2221</v>
      </c>
      <c r="D784" s="61">
        <v>40</v>
      </c>
    </row>
    <row r="785" spans="1:4" x14ac:dyDescent="0.2">
      <c r="A785" s="62" t="s">
        <v>16</v>
      </c>
      <c r="B785" s="61" t="s">
        <v>2222</v>
      </c>
      <c r="C785" s="62" t="s">
        <v>2223</v>
      </c>
      <c r="D785" s="61">
        <v>40</v>
      </c>
    </row>
    <row r="786" spans="1:4" x14ac:dyDescent="0.2">
      <c r="A786" s="61" t="s">
        <v>16</v>
      </c>
      <c r="B786" s="61" t="s">
        <v>2224</v>
      </c>
      <c r="C786" s="62" t="s">
        <v>2225</v>
      </c>
      <c r="D786" s="61">
        <v>40</v>
      </c>
    </row>
    <row r="787" spans="1:4" x14ac:dyDescent="0.2">
      <c r="A787" s="62" t="s">
        <v>16</v>
      </c>
      <c r="B787" s="61" t="s">
        <v>2226</v>
      </c>
      <c r="C787" s="62" t="s">
        <v>2227</v>
      </c>
      <c r="D787" s="61">
        <v>40</v>
      </c>
    </row>
    <row r="788" spans="1:4" x14ac:dyDescent="0.2">
      <c r="A788" s="61" t="s">
        <v>16</v>
      </c>
      <c r="B788" s="61" t="s">
        <v>2228</v>
      </c>
      <c r="C788" s="62" t="s">
        <v>2229</v>
      </c>
      <c r="D788" s="61">
        <v>40</v>
      </c>
    </row>
    <row r="789" spans="1:4" x14ac:dyDescent="0.2">
      <c r="A789" s="62" t="s">
        <v>16</v>
      </c>
      <c r="B789" s="61" t="s">
        <v>2230</v>
      </c>
      <c r="C789" s="62" t="s">
        <v>2231</v>
      </c>
      <c r="D789" s="61">
        <v>40</v>
      </c>
    </row>
    <row r="790" spans="1:4" x14ac:dyDescent="0.2">
      <c r="A790" s="61" t="s">
        <v>16</v>
      </c>
      <c r="B790" s="61" t="s">
        <v>2232</v>
      </c>
      <c r="C790" s="62" t="s">
        <v>2233</v>
      </c>
      <c r="D790" s="61">
        <v>40</v>
      </c>
    </row>
    <row r="791" spans="1:4" x14ac:dyDescent="0.2">
      <c r="A791" s="62" t="s">
        <v>16</v>
      </c>
      <c r="B791" s="61" t="s">
        <v>2234</v>
      </c>
      <c r="C791" s="62" t="s">
        <v>2235</v>
      </c>
      <c r="D791" s="61">
        <v>40</v>
      </c>
    </row>
    <row r="792" spans="1:4" x14ac:dyDescent="0.2">
      <c r="A792" s="61" t="s">
        <v>16</v>
      </c>
      <c r="B792" s="61" t="s">
        <v>2236</v>
      </c>
      <c r="C792" s="62" t="s">
        <v>2237</v>
      </c>
      <c r="D792" s="61">
        <v>40</v>
      </c>
    </row>
    <row r="793" spans="1:4" x14ac:dyDescent="0.2">
      <c r="A793" s="62" t="s">
        <v>16</v>
      </c>
      <c r="B793" s="61" t="s">
        <v>2238</v>
      </c>
      <c r="C793" s="62" t="s">
        <v>2239</v>
      </c>
      <c r="D793" s="61">
        <v>40</v>
      </c>
    </row>
    <row r="794" spans="1:4" x14ac:dyDescent="0.2">
      <c r="A794" s="61" t="s">
        <v>16</v>
      </c>
      <c r="B794" s="61" t="s">
        <v>2240</v>
      </c>
      <c r="C794" s="62" t="s">
        <v>2241</v>
      </c>
      <c r="D794" s="61">
        <v>40</v>
      </c>
    </row>
    <row r="795" spans="1:4" x14ac:dyDescent="0.2">
      <c r="A795" s="62" t="s">
        <v>16</v>
      </c>
      <c r="B795" s="61" t="s">
        <v>2242</v>
      </c>
      <c r="C795" s="62" t="s">
        <v>2243</v>
      </c>
      <c r="D795" s="61">
        <v>40</v>
      </c>
    </row>
    <row r="796" spans="1:4" x14ac:dyDescent="0.2">
      <c r="A796" s="61" t="s">
        <v>16</v>
      </c>
      <c r="B796" s="61" t="s">
        <v>2244</v>
      </c>
      <c r="C796" s="62" t="s">
        <v>2245</v>
      </c>
      <c r="D796" s="61">
        <v>40</v>
      </c>
    </row>
    <row r="797" spans="1:4" x14ac:dyDescent="0.2">
      <c r="A797" s="62" t="s">
        <v>16</v>
      </c>
      <c r="B797" s="61" t="s">
        <v>2246</v>
      </c>
      <c r="C797" s="62" t="s">
        <v>5357</v>
      </c>
      <c r="D797" s="61">
        <v>40</v>
      </c>
    </row>
    <row r="798" spans="1:4" x14ac:dyDescent="0.2">
      <c r="A798" s="61" t="s">
        <v>16</v>
      </c>
      <c r="B798" s="61" t="s">
        <v>2247</v>
      </c>
      <c r="C798" s="62" t="s">
        <v>2248</v>
      </c>
      <c r="D798" s="61">
        <v>40</v>
      </c>
    </row>
    <row r="799" spans="1:4" x14ac:dyDescent="0.2">
      <c r="A799" s="62" t="s">
        <v>16</v>
      </c>
      <c r="B799" s="61" t="s">
        <v>2249</v>
      </c>
      <c r="C799" s="62" t="s">
        <v>2250</v>
      </c>
      <c r="D799" s="61">
        <v>40</v>
      </c>
    </row>
    <row r="800" spans="1:4" x14ac:dyDescent="0.2">
      <c r="A800" s="61" t="s">
        <v>16</v>
      </c>
      <c r="B800" s="61" t="s">
        <v>2251</v>
      </c>
      <c r="C800" s="62" t="s">
        <v>2252</v>
      </c>
      <c r="D800" s="61">
        <v>40</v>
      </c>
    </row>
    <row r="801" spans="1:4" x14ac:dyDescent="0.2">
      <c r="A801" s="62" t="s">
        <v>16</v>
      </c>
      <c r="B801" s="61" t="s">
        <v>2253</v>
      </c>
      <c r="C801" s="62" t="s">
        <v>2254</v>
      </c>
      <c r="D801" s="61">
        <v>40</v>
      </c>
    </row>
    <row r="802" spans="1:4" x14ac:dyDescent="0.2">
      <c r="A802" s="61" t="s">
        <v>16</v>
      </c>
      <c r="B802" s="61" t="s">
        <v>2255</v>
      </c>
      <c r="C802" s="62" t="s">
        <v>2256</v>
      </c>
      <c r="D802" s="61">
        <v>40</v>
      </c>
    </row>
    <row r="803" spans="1:4" x14ac:dyDescent="0.2">
      <c r="A803" s="62" t="s">
        <v>16</v>
      </c>
      <c r="B803" s="61" t="s">
        <v>2257</v>
      </c>
      <c r="C803" s="62" t="s">
        <v>2258</v>
      </c>
      <c r="D803" s="61">
        <v>40</v>
      </c>
    </row>
    <row r="804" spans="1:4" x14ac:dyDescent="0.2">
      <c r="A804" s="61" t="s">
        <v>16</v>
      </c>
      <c r="B804" s="61" t="s">
        <v>392</v>
      </c>
      <c r="C804" s="62" t="s">
        <v>5358</v>
      </c>
      <c r="D804" s="61">
        <v>40</v>
      </c>
    </row>
    <row r="805" spans="1:4" x14ac:dyDescent="0.2">
      <c r="A805" s="62" t="s">
        <v>16</v>
      </c>
      <c r="B805" s="61" t="s">
        <v>2259</v>
      </c>
      <c r="C805" s="62" t="s">
        <v>2260</v>
      </c>
      <c r="D805" s="61">
        <v>40</v>
      </c>
    </row>
    <row r="806" spans="1:4" x14ac:dyDescent="0.2">
      <c r="A806" s="61" t="s">
        <v>16</v>
      </c>
      <c r="B806" s="61" t="s">
        <v>2261</v>
      </c>
      <c r="C806" s="62" t="s">
        <v>5359</v>
      </c>
      <c r="D806" s="61">
        <v>40</v>
      </c>
    </row>
    <row r="807" spans="1:4" x14ac:dyDescent="0.2">
      <c r="A807" s="62" t="s">
        <v>16</v>
      </c>
      <c r="B807" s="61" t="s">
        <v>2262</v>
      </c>
      <c r="C807" s="62" t="s">
        <v>5360</v>
      </c>
      <c r="D807" s="61">
        <v>40</v>
      </c>
    </row>
    <row r="808" spans="1:4" x14ac:dyDescent="0.2">
      <c r="A808" s="61" t="s">
        <v>16</v>
      </c>
      <c r="B808" s="61" t="s">
        <v>2263</v>
      </c>
      <c r="C808" s="62" t="s">
        <v>2264</v>
      </c>
      <c r="D808" s="61">
        <v>40</v>
      </c>
    </row>
    <row r="809" spans="1:4" x14ac:dyDescent="0.2">
      <c r="A809" s="62" t="s">
        <v>16</v>
      </c>
      <c r="B809" s="61" t="s">
        <v>2265</v>
      </c>
      <c r="C809" s="62" t="s">
        <v>2266</v>
      </c>
      <c r="D809" s="61">
        <v>40</v>
      </c>
    </row>
    <row r="810" spans="1:4" x14ac:dyDescent="0.2">
      <c r="A810" s="61" t="s">
        <v>16</v>
      </c>
      <c r="B810" s="61" t="s">
        <v>2267</v>
      </c>
      <c r="C810" s="62" t="s">
        <v>5361</v>
      </c>
      <c r="D810" s="61">
        <v>40</v>
      </c>
    </row>
    <row r="811" spans="1:4" x14ac:dyDescent="0.2">
      <c r="A811" s="62" t="s">
        <v>16</v>
      </c>
      <c r="B811" s="61" t="s">
        <v>2268</v>
      </c>
      <c r="C811" s="62" t="s">
        <v>5362</v>
      </c>
      <c r="D811" s="61">
        <v>40</v>
      </c>
    </row>
    <row r="812" spans="1:4" x14ac:dyDescent="0.2">
      <c r="A812" s="61" t="s">
        <v>16</v>
      </c>
      <c r="B812" s="61" t="s">
        <v>2269</v>
      </c>
      <c r="C812" s="62" t="s">
        <v>2270</v>
      </c>
      <c r="D812" s="61">
        <v>40</v>
      </c>
    </row>
    <row r="813" spans="1:4" x14ac:dyDescent="0.2">
      <c r="A813" s="62" t="s">
        <v>16</v>
      </c>
      <c r="B813" s="61" t="s">
        <v>2271</v>
      </c>
      <c r="C813" s="62" t="s">
        <v>2272</v>
      </c>
      <c r="D813" s="61">
        <v>40</v>
      </c>
    </row>
    <row r="814" spans="1:4" x14ac:dyDescent="0.2">
      <c r="A814" s="61" t="s">
        <v>16</v>
      </c>
      <c r="B814" s="61" t="s">
        <v>2273</v>
      </c>
      <c r="C814" s="62" t="s">
        <v>2274</v>
      </c>
      <c r="D814" s="61">
        <v>40</v>
      </c>
    </row>
    <row r="815" spans="1:4" x14ac:dyDescent="0.2">
      <c r="A815" s="62" t="s">
        <v>16</v>
      </c>
      <c r="B815" s="61" t="s">
        <v>2275</v>
      </c>
      <c r="C815" s="62" t="s">
        <v>2276</v>
      </c>
      <c r="D815" s="61">
        <v>40</v>
      </c>
    </row>
    <row r="816" spans="1:4" x14ac:dyDescent="0.2">
      <c r="A816" s="61" t="s">
        <v>16</v>
      </c>
      <c r="B816" s="61" t="s">
        <v>2277</v>
      </c>
      <c r="C816" s="62" t="s">
        <v>2278</v>
      </c>
      <c r="D816" s="61">
        <v>40</v>
      </c>
    </row>
    <row r="817" spans="1:4" x14ac:dyDescent="0.2">
      <c r="A817" s="62" t="s">
        <v>16</v>
      </c>
      <c r="B817" s="61" t="s">
        <v>2279</v>
      </c>
      <c r="C817" s="62" t="s">
        <v>2280</v>
      </c>
      <c r="D817" s="61">
        <v>40</v>
      </c>
    </row>
    <row r="818" spans="1:4" x14ac:dyDescent="0.2">
      <c r="A818" s="61" t="s">
        <v>16</v>
      </c>
      <c r="B818" s="61" t="s">
        <v>2281</v>
      </c>
      <c r="C818" s="62" t="s">
        <v>2282</v>
      </c>
      <c r="D818" s="61">
        <v>40</v>
      </c>
    </row>
    <row r="819" spans="1:4" x14ac:dyDescent="0.2">
      <c r="A819" s="62" t="s">
        <v>16</v>
      </c>
      <c r="B819" s="61" t="s">
        <v>2283</v>
      </c>
      <c r="C819" s="62" t="s">
        <v>5363</v>
      </c>
      <c r="D819" s="61">
        <v>40</v>
      </c>
    </row>
    <row r="820" spans="1:4" x14ac:dyDescent="0.2">
      <c r="A820" s="61" t="s">
        <v>16</v>
      </c>
      <c r="B820" s="61" t="s">
        <v>2284</v>
      </c>
      <c r="C820" s="62" t="s">
        <v>2285</v>
      </c>
      <c r="D820" s="61">
        <v>40</v>
      </c>
    </row>
    <row r="821" spans="1:4" x14ac:dyDescent="0.2">
      <c r="A821" s="62" t="s">
        <v>16</v>
      </c>
      <c r="B821" s="61" t="s">
        <v>2286</v>
      </c>
      <c r="C821" s="62" t="s">
        <v>5000</v>
      </c>
      <c r="D821" s="61">
        <v>40</v>
      </c>
    </row>
    <row r="822" spans="1:4" x14ac:dyDescent="0.2">
      <c r="A822" s="61" t="s">
        <v>16</v>
      </c>
      <c r="B822" s="61" t="s">
        <v>471</v>
      </c>
      <c r="C822" s="62" t="s">
        <v>4984</v>
      </c>
      <c r="D822" s="61">
        <v>40</v>
      </c>
    </row>
    <row r="823" spans="1:4" x14ac:dyDescent="0.2">
      <c r="A823" s="62" t="s">
        <v>16</v>
      </c>
      <c r="B823" s="61" t="s">
        <v>488</v>
      </c>
      <c r="C823" s="62" t="s">
        <v>489</v>
      </c>
      <c r="D823" s="61">
        <v>40</v>
      </c>
    </row>
    <row r="824" spans="1:4" x14ac:dyDescent="0.2">
      <c r="A824" s="61" t="s">
        <v>16</v>
      </c>
      <c r="B824" s="61" t="s">
        <v>486</v>
      </c>
      <c r="C824" s="62" t="s">
        <v>487</v>
      </c>
      <c r="D824" s="61">
        <v>40</v>
      </c>
    </row>
    <row r="825" spans="1:4" x14ac:dyDescent="0.2">
      <c r="A825" s="62" t="s">
        <v>16</v>
      </c>
      <c r="B825" s="61" t="s">
        <v>2287</v>
      </c>
      <c r="C825" s="62" t="s">
        <v>2288</v>
      </c>
      <c r="D825" s="61">
        <v>40</v>
      </c>
    </row>
    <row r="826" spans="1:4" x14ac:dyDescent="0.2">
      <c r="A826" s="61" t="s">
        <v>16</v>
      </c>
      <c r="B826" s="61" t="s">
        <v>2289</v>
      </c>
      <c r="C826" s="62" t="s">
        <v>2290</v>
      </c>
      <c r="D826" s="61">
        <v>40</v>
      </c>
    </row>
    <row r="827" spans="1:4" x14ac:dyDescent="0.2">
      <c r="A827" s="62" t="s">
        <v>16</v>
      </c>
      <c r="B827" s="61" t="s">
        <v>2291</v>
      </c>
      <c r="C827" s="62" t="s">
        <v>2292</v>
      </c>
      <c r="D827" s="61">
        <v>40</v>
      </c>
    </row>
    <row r="828" spans="1:4" x14ac:dyDescent="0.2">
      <c r="A828" s="61" t="s">
        <v>16</v>
      </c>
      <c r="B828" s="61" t="s">
        <v>2293</v>
      </c>
      <c r="C828" s="62" t="s">
        <v>2294</v>
      </c>
      <c r="D828" s="61">
        <v>40</v>
      </c>
    </row>
    <row r="829" spans="1:4" x14ac:dyDescent="0.2">
      <c r="A829" s="62" t="s">
        <v>16</v>
      </c>
      <c r="B829" s="61" t="s">
        <v>2295</v>
      </c>
      <c r="C829" s="62" t="s">
        <v>2296</v>
      </c>
      <c r="D829" s="61">
        <v>40</v>
      </c>
    </row>
    <row r="830" spans="1:4" x14ac:dyDescent="0.2">
      <c r="A830" s="61" t="s">
        <v>16</v>
      </c>
      <c r="B830" s="61" t="s">
        <v>2297</v>
      </c>
      <c r="C830" s="62" t="s">
        <v>2298</v>
      </c>
      <c r="D830" s="61">
        <v>40</v>
      </c>
    </row>
    <row r="831" spans="1:4" x14ac:dyDescent="0.2">
      <c r="A831" s="62" t="s">
        <v>16</v>
      </c>
      <c r="B831" s="61" t="s">
        <v>2299</v>
      </c>
      <c r="C831" s="62" t="s">
        <v>2300</v>
      </c>
      <c r="D831" s="61">
        <v>40</v>
      </c>
    </row>
    <row r="832" spans="1:4" x14ac:dyDescent="0.2">
      <c r="A832" s="61" t="s">
        <v>16</v>
      </c>
      <c r="B832" s="61" t="s">
        <v>2301</v>
      </c>
      <c r="C832" s="62" t="s">
        <v>2302</v>
      </c>
      <c r="D832" s="61">
        <v>40</v>
      </c>
    </row>
    <row r="833" spans="1:4" x14ac:dyDescent="0.2">
      <c r="A833" s="62" t="s">
        <v>16</v>
      </c>
      <c r="B833" s="61" t="s">
        <v>2303</v>
      </c>
      <c r="C833" s="62" t="s">
        <v>2304</v>
      </c>
      <c r="D833" s="61">
        <v>40</v>
      </c>
    </row>
    <row r="834" spans="1:4" x14ac:dyDescent="0.2">
      <c r="A834" s="61" t="s">
        <v>16</v>
      </c>
      <c r="B834" s="61" t="s">
        <v>2305</v>
      </c>
      <c r="C834" s="62" t="s">
        <v>2306</v>
      </c>
      <c r="D834" s="61">
        <v>40</v>
      </c>
    </row>
    <row r="835" spans="1:4" x14ac:dyDescent="0.2">
      <c r="A835" s="62" t="s">
        <v>16</v>
      </c>
      <c r="B835" s="61" t="s">
        <v>2307</v>
      </c>
      <c r="C835" s="62" t="s">
        <v>2308</v>
      </c>
      <c r="D835" s="61">
        <v>40</v>
      </c>
    </row>
    <row r="836" spans="1:4" x14ac:dyDescent="0.2">
      <c r="A836" s="61" t="s">
        <v>16</v>
      </c>
      <c r="B836" s="61" t="s">
        <v>406</v>
      </c>
      <c r="C836" s="62" t="s">
        <v>407</v>
      </c>
      <c r="D836" s="61">
        <v>40</v>
      </c>
    </row>
    <row r="837" spans="1:4" x14ac:dyDescent="0.2">
      <c r="A837" s="62" t="s">
        <v>16</v>
      </c>
      <c r="B837" s="61" t="s">
        <v>475</v>
      </c>
      <c r="C837" s="62" t="s">
        <v>476</v>
      </c>
      <c r="D837" s="61">
        <v>40</v>
      </c>
    </row>
    <row r="838" spans="1:4" x14ac:dyDescent="0.2">
      <c r="A838" s="61" t="s">
        <v>16</v>
      </c>
      <c r="B838" s="61" t="s">
        <v>491</v>
      </c>
      <c r="C838" s="62" t="s">
        <v>492</v>
      </c>
      <c r="D838" s="61">
        <v>40</v>
      </c>
    </row>
    <row r="839" spans="1:4" x14ac:dyDescent="0.2">
      <c r="A839" s="62" t="s">
        <v>16</v>
      </c>
      <c r="B839" s="61" t="s">
        <v>2309</v>
      </c>
      <c r="C839" s="62" t="s">
        <v>2310</v>
      </c>
      <c r="D839" s="61">
        <v>40</v>
      </c>
    </row>
    <row r="840" spans="1:4" x14ac:dyDescent="0.2">
      <c r="A840" s="61" t="s">
        <v>16</v>
      </c>
      <c r="B840" s="61" t="s">
        <v>1011</v>
      </c>
      <c r="C840" s="62" t="s">
        <v>4880</v>
      </c>
      <c r="D840" s="61">
        <v>40</v>
      </c>
    </row>
    <row r="841" spans="1:4" x14ac:dyDescent="0.2">
      <c r="A841" s="61" t="s">
        <v>16</v>
      </c>
      <c r="B841" s="61" t="s">
        <v>2311</v>
      </c>
      <c r="C841" s="62" t="s">
        <v>2312</v>
      </c>
      <c r="D841" s="61">
        <v>40</v>
      </c>
    </row>
    <row r="842" spans="1:4" x14ac:dyDescent="0.2">
      <c r="A842" s="62" t="s">
        <v>16</v>
      </c>
      <c r="B842" s="61" t="s">
        <v>2313</v>
      </c>
      <c r="C842" s="62" t="s">
        <v>2314</v>
      </c>
      <c r="D842" s="61">
        <v>40</v>
      </c>
    </row>
    <row r="843" spans="1:4" x14ac:dyDescent="0.2">
      <c r="A843" s="61" t="s">
        <v>16</v>
      </c>
      <c r="B843" s="61" t="s">
        <v>2315</v>
      </c>
      <c r="C843" s="62" t="s">
        <v>5364</v>
      </c>
      <c r="D843" s="61">
        <v>40</v>
      </c>
    </row>
    <row r="844" spans="1:4" x14ac:dyDescent="0.2">
      <c r="A844" s="62" t="s">
        <v>16</v>
      </c>
      <c r="B844" s="61" t="s">
        <v>2316</v>
      </c>
      <c r="C844" s="62" t="s">
        <v>2317</v>
      </c>
      <c r="D844" s="61">
        <v>40</v>
      </c>
    </row>
    <row r="845" spans="1:4" x14ac:dyDescent="0.2">
      <c r="A845" s="61" t="s">
        <v>16</v>
      </c>
      <c r="B845" s="61" t="s">
        <v>2318</v>
      </c>
      <c r="C845" s="62" t="s">
        <v>2319</v>
      </c>
      <c r="D845" s="61">
        <v>40</v>
      </c>
    </row>
    <row r="846" spans="1:4" x14ac:dyDescent="0.2">
      <c r="A846" s="62" t="s">
        <v>16</v>
      </c>
      <c r="B846" s="61" t="s">
        <v>2320</v>
      </c>
      <c r="C846" s="62" t="s">
        <v>2321</v>
      </c>
      <c r="D846" s="61">
        <v>40</v>
      </c>
    </row>
    <row r="847" spans="1:4" x14ac:dyDescent="0.2">
      <c r="A847" s="61" t="s">
        <v>16</v>
      </c>
      <c r="B847" s="61" t="s">
        <v>2322</v>
      </c>
      <c r="C847" s="62" t="s">
        <v>2323</v>
      </c>
      <c r="D847" s="61">
        <v>40</v>
      </c>
    </row>
    <row r="848" spans="1:4" x14ac:dyDescent="0.2">
      <c r="A848" s="62" t="s">
        <v>16</v>
      </c>
      <c r="B848" s="61" t="s">
        <v>2324</v>
      </c>
      <c r="C848" s="62" t="s">
        <v>2325</v>
      </c>
      <c r="D848" s="61">
        <v>40</v>
      </c>
    </row>
    <row r="849" spans="1:4" x14ac:dyDescent="0.2">
      <c r="A849" s="61" t="s">
        <v>16</v>
      </c>
      <c r="B849" s="61" t="s">
        <v>2326</v>
      </c>
      <c r="C849" s="62" t="s">
        <v>2327</v>
      </c>
      <c r="D849" s="61">
        <v>40</v>
      </c>
    </row>
    <row r="850" spans="1:4" x14ac:dyDescent="0.2">
      <c r="A850" s="62" t="s">
        <v>16</v>
      </c>
      <c r="B850" s="61" t="s">
        <v>2328</v>
      </c>
      <c r="C850" s="62" t="s">
        <v>2329</v>
      </c>
      <c r="D850" s="61">
        <v>40</v>
      </c>
    </row>
    <row r="851" spans="1:4" x14ac:dyDescent="0.2">
      <c r="A851" s="61" t="s">
        <v>16</v>
      </c>
      <c r="B851" s="61" t="s">
        <v>2330</v>
      </c>
      <c r="C851" s="62" t="s">
        <v>2331</v>
      </c>
      <c r="D851" s="61">
        <v>40</v>
      </c>
    </row>
    <row r="852" spans="1:4" x14ac:dyDescent="0.2">
      <c r="A852" s="62" t="s">
        <v>16</v>
      </c>
      <c r="B852" s="61" t="s">
        <v>2332</v>
      </c>
      <c r="C852" s="62" t="s">
        <v>2333</v>
      </c>
      <c r="D852" s="61">
        <v>40</v>
      </c>
    </row>
    <row r="853" spans="1:4" x14ac:dyDescent="0.2">
      <c r="A853" s="61" t="s">
        <v>16</v>
      </c>
      <c r="B853" s="61" t="s">
        <v>2334</v>
      </c>
      <c r="C853" s="62" t="s">
        <v>2335</v>
      </c>
      <c r="D853" s="61">
        <v>40</v>
      </c>
    </row>
    <row r="854" spans="1:4" x14ac:dyDescent="0.2">
      <c r="A854" s="62" t="s">
        <v>16</v>
      </c>
      <c r="B854" s="61" t="s">
        <v>2336</v>
      </c>
      <c r="C854" s="62" t="s">
        <v>2337</v>
      </c>
      <c r="D854" s="61">
        <v>40</v>
      </c>
    </row>
    <row r="855" spans="1:4" x14ac:dyDescent="0.2">
      <c r="A855" s="61" t="s">
        <v>16</v>
      </c>
      <c r="B855" s="61" t="s">
        <v>2338</v>
      </c>
      <c r="C855" s="62" t="s">
        <v>2339</v>
      </c>
      <c r="D855" s="61">
        <v>40</v>
      </c>
    </row>
    <row r="856" spans="1:4" x14ac:dyDescent="0.2">
      <c r="A856" s="62" t="s">
        <v>16</v>
      </c>
      <c r="B856" s="61" t="s">
        <v>2340</v>
      </c>
      <c r="C856" s="62" t="s">
        <v>5365</v>
      </c>
      <c r="D856" s="61">
        <v>40</v>
      </c>
    </row>
    <row r="857" spans="1:4" x14ac:dyDescent="0.2">
      <c r="A857" s="61" t="s">
        <v>16</v>
      </c>
      <c r="B857" s="61" t="s">
        <v>2341</v>
      </c>
      <c r="C857" s="62" t="s">
        <v>5366</v>
      </c>
      <c r="D857" s="61">
        <v>40</v>
      </c>
    </row>
    <row r="858" spans="1:4" x14ac:dyDescent="0.2">
      <c r="A858" s="62" t="s">
        <v>16</v>
      </c>
      <c r="B858" s="61" t="s">
        <v>2342</v>
      </c>
      <c r="C858" s="62" t="s">
        <v>5367</v>
      </c>
      <c r="D858" s="61">
        <v>40</v>
      </c>
    </row>
    <row r="859" spans="1:4" x14ac:dyDescent="0.2">
      <c r="A859" s="61" t="s">
        <v>16</v>
      </c>
      <c r="B859" s="61" t="s">
        <v>2343</v>
      </c>
      <c r="C859" s="62" t="s">
        <v>5368</v>
      </c>
      <c r="D859" s="61">
        <v>40</v>
      </c>
    </row>
    <row r="860" spans="1:4" x14ac:dyDescent="0.2">
      <c r="A860" s="62" t="s">
        <v>16</v>
      </c>
      <c r="B860" s="61" t="s">
        <v>2344</v>
      </c>
      <c r="C860" s="62" t="s">
        <v>5369</v>
      </c>
      <c r="D860" s="61">
        <v>40</v>
      </c>
    </row>
    <row r="861" spans="1:4" x14ac:dyDescent="0.2">
      <c r="A861" s="61" t="s">
        <v>16</v>
      </c>
      <c r="B861" s="61" t="s">
        <v>2345</v>
      </c>
      <c r="C861" s="62" t="s">
        <v>2346</v>
      </c>
      <c r="D861" s="61">
        <v>40</v>
      </c>
    </row>
    <row r="862" spans="1:4" x14ac:dyDescent="0.2">
      <c r="A862" s="62" t="s">
        <v>16</v>
      </c>
      <c r="B862" s="61" t="s">
        <v>2347</v>
      </c>
      <c r="C862" s="62" t="s">
        <v>2348</v>
      </c>
      <c r="D862" s="61">
        <v>40</v>
      </c>
    </row>
    <row r="863" spans="1:4" x14ac:dyDescent="0.2">
      <c r="A863" s="61" t="s">
        <v>16</v>
      </c>
      <c r="B863" s="61" t="s">
        <v>2349</v>
      </c>
      <c r="C863" s="62" t="s">
        <v>4934</v>
      </c>
      <c r="D863" s="61">
        <v>40</v>
      </c>
    </row>
    <row r="864" spans="1:4" x14ac:dyDescent="0.2">
      <c r="A864" s="62" t="s">
        <v>16</v>
      </c>
      <c r="B864" s="61" t="s">
        <v>2350</v>
      </c>
      <c r="C864" s="62" t="s">
        <v>4916</v>
      </c>
      <c r="D864" s="61">
        <v>40</v>
      </c>
    </row>
    <row r="865" spans="1:4" x14ac:dyDescent="0.2">
      <c r="A865" s="61" t="s">
        <v>16</v>
      </c>
      <c r="B865" s="61" t="s">
        <v>2351</v>
      </c>
      <c r="C865" s="62" t="s">
        <v>4917</v>
      </c>
      <c r="D865" s="61">
        <v>40</v>
      </c>
    </row>
    <row r="866" spans="1:4" x14ac:dyDescent="0.2">
      <c r="A866" s="62" t="s">
        <v>16</v>
      </c>
      <c r="B866" s="61" t="s">
        <v>2352</v>
      </c>
      <c r="C866" s="62" t="s">
        <v>4870</v>
      </c>
      <c r="D866" s="61">
        <v>40</v>
      </c>
    </row>
    <row r="867" spans="1:4" x14ac:dyDescent="0.2">
      <c r="A867" s="61" t="s">
        <v>16</v>
      </c>
      <c r="B867" s="61" t="s">
        <v>2353</v>
      </c>
      <c r="C867" s="62" t="s">
        <v>2354</v>
      </c>
      <c r="D867" s="61">
        <v>40</v>
      </c>
    </row>
    <row r="868" spans="1:4" x14ac:dyDescent="0.2">
      <c r="A868" s="62" t="s">
        <v>16</v>
      </c>
      <c r="B868" s="61" t="s">
        <v>2355</v>
      </c>
      <c r="C868" s="62" t="s">
        <v>2356</v>
      </c>
      <c r="D868" s="61">
        <v>40</v>
      </c>
    </row>
    <row r="869" spans="1:4" x14ac:dyDescent="0.2">
      <c r="A869" s="61" t="s">
        <v>16</v>
      </c>
      <c r="B869" s="61" t="s">
        <v>347</v>
      </c>
      <c r="C869" s="62" t="s">
        <v>348</v>
      </c>
      <c r="D869" s="61">
        <v>40</v>
      </c>
    </row>
    <row r="870" spans="1:4" x14ac:dyDescent="0.2">
      <c r="A870" s="62" t="s">
        <v>16</v>
      </c>
      <c r="B870" s="61" t="s">
        <v>2357</v>
      </c>
      <c r="C870" s="62" t="s">
        <v>5370</v>
      </c>
      <c r="D870" s="61">
        <v>40</v>
      </c>
    </row>
    <row r="871" spans="1:4" x14ac:dyDescent="0.2">
      <c r="A871" s="61" t="s">
        <v>16</v>
      </c>
      <c r="B871" s="61" t="s">
        <v>2358</v>
      </c>
      <c r="C871" s="62" t="s">
        <v>5371</v>
      </c>
      <c r="D871" s="61">
        <v>40</v>
      </c>
    </row>
    <row r="872" spans="1:4" x14ac:dyDescent="0.2">
      <c r="A872" s="62" t="s">
        <v>16</v>
      </c>
      <c r="B872" s="61" t="s">
        <v>2359</v>
      </c>
      <c r="C872" s="62" t="s">
        <v>2360</v>
      </c>
      <c r="D872" s="61">
        <v>40</v>
      </c>
    </row>
    <row r="873" spans="1:4" x14ac:dyDescent="0.2">
      <c r="A873" s="61" t="s">
        <v>16</v>
      </c>
      <c r="B873" s="61" t="s">
        <v>2361</v>
      </c>
      <c r="C873" s="62" t="s">
        <v>2362</v>
      </c>
      <c r="D873" s="61">
        <v>40</v>
      </c>
    </row>
    <row r="874" spans="1:4" x14ac:dyDescent="0.2">
      <c r="A874" s="62" t="s">
        <v>16</v>
      </c>
      <c r="B874" s="61" t="s">
        <v>2363</v>
      </c>
      <c r="C874" s="62" t="s">
        <v>2364</v>
      </c>
      <c r="D874" s="61">
        <v>40</v>
      </c>
    </row>
    <row r="875" spans="1:4" x14ac:dyDescent="0.2">
      <c r="A875" s="61" t="s">
        <v>16</v>
      </c>
      <c r="B875" s="61" t="s">
        <v>2365</v>
      </c>
      <c r="C875" s="62" t="s">
        <v>2366</v>
      </c>
      <c r="D875" s="61">
        <v>40</v>
      </c>
    </row>
    <row r="876" spans="1:4" x14ac:dyDescent="0.2">
      <c r="A876" s="62" t="s">
        <v>16</v>
      </c>
      <c r="B876" s="61" t="s">
        <v>2367</v>
      </c>
      <c r="C876" s="62" t="s">
        <v>2368</v>
      </c>
      <c r="D876" s="61">
        <v>40</v>
      </c>
    </row>
    <row r="877" spans="1:4" x14ac:dyDescent="0.2">
      <c r="A877" s="61" t="s">
        <v>16</v>
      </c>
      <c r="B877" s="61" t="s">
        <v>2369</v>
      </c>
      <c r="C877" s="62" t="s">
        <v>2370</v>
      </c>
      <c r="D877" s="61">
        <v>40</v>
      </c>
    </row>
    <row r="878" spans="1:4" x14ac:dyDescent="0.2">
      <c r="A878" s="62" t="s">
        <v>16</v>
      </c>
      <c r="B878" s="61" t="s">
        <v>2371</v>
      </c>
      <c r="C878" s="62" t="s">
        <v>2372</v>
      </c>
      <c r="D878" s="61">
        <v>40</v>
      </c>
    </row>
    <row r="879" spans="1:4" x14ac:dyDescent="0.2">
      <c r="A879" s="61" t="s">
        <v>16</v>
      </c>
      <c r="B879" s="61" t="s">
        <v>2373</v>
      </c>
      <c r="C879" s="62" t="s">
        <v>2374</v>
      </c>
      <c r="D879" s="61">
        <v>40</v>
      </c>
    </row>
    <row r="880" spans="1:4" x14ac:dyDescent="0.2">
      <c r="A880" s="62" t="s">
        <v>16</v>
      </c>
      <c r="B880" s="61" t="s">
        <v>2375</v>
      </c>
      <c r="C880" s="62" t="s">
        <v>4868</v>
      </c>
      <c r="D880" s="61">
        <v>40</v>
      </c>
    </row>
    <row r="881" spans="1:4" x14ac:dyDescent="0.2">
      <c r="A881" s="61" t="s">
        <v>16</v>
      </c>
      <c r="B881" s="61" t="s">
        <v>2376</v>
      </c>
      <c r="C881" s="62" t="s">
        <v>4869</v>
      </c>
      <c r="D881" s="61">
        <v>40</v>
      </c>
    </row>
    <row r="882" spans="1:4" x14ac:dyDescent="0.2">
      <c r="A882" s="62" t="s">
        <v>16</v>
      </c>
      <c r="B882" s="61" t="s">
        <v>2377</v>
      </c>
      <c r="C882" s="62" t="s">
        <v>4867</v>
      </c>
      <c r="D882" s="61">
        <v>40</v>
      </c>
    </row>
    <row r="883" spans="1:4" x14ac:dyDescent="0.2">
      <c r="A883" s="61" t="s">
        <v>16</v>
      </c>
      <c r="B883" s="61" t="s">
        <v>2378</v>
      </c>
      <c r="C883" s="62" t="s">
        <v>2379</v>
      </c>
      <c r="D883" s="61">
        <v>40</v>
      </c>
    </row>
    <row r="884" spans="1:4" x14ac:dyDescent="0.2">
      <c r="A884" s="62" t="s">
        <v>16</v>
      </c>
      <c r="B884" s="61" t="s">
        <v>2380</v>
      </c>
      <c r="C884" s="62" t="s">
        <v>2381</v>
      </c>
      <c r="D884" s="61">
        <v>40</v>
      </c>
    </row>
    <row r="885" spans="1:4" x14ac:dyDescent="0.2">
      <c r="A885" s="61" t="s">
        <v>16</v>
      </c>
      <c r="B885" s="61" t="s">
        <v>2382</v>
      </c>
      <c r="C885" s="62" t="s">
        <v>2383</v>
      </c>
      <c r="D885" s="61">
        <v>40</v>
      </c>
    </row>
    <row r="886" spans="1:4" x14ac:dyDescent="0.2">
      <c r="A886" s="62" t="s">
        <v>16</v>
      </c>
      <c r="B886" s="61" t="s">
        <v>2384</v>
      </c>
      <c r="C886" s="62" t="s">
        <v>2385</v>
      </c>
      <c r="D886" s="61">
        <v>40</v>
      </c>
    </row>
    <row r="887" spans="1:4" x14ac:dyDescent="0.2">
      <c r="A887" s="61" t="s">
        <v>16</v>
      </c>
      <c r="B887" s="61" t="s">
        <v>2386</v>
      </c>
      <c r="C887" s="62" t="s">
        <v>2387</v>
      </c>
      <c r="D887" s="61">
        <v>40</v>
      </c>
    </row>
    <row r="888" spans="1:4" x14ac:dyDescent="0.2">
      <c r="A888" s="62" t="s">
        <v>16</v>
      </c>
      <c r="B888" s="61" t="s">
        <v>2388</v>
      </c>
      <c r="C888" s="62" t="s">
        <v>2389</v>
      </c>
      <c r="D888" s="61">
        <v>40</v>
      </c>
    </row>
    <row r="889" spans="1:4" x14ac:dyDescent="0.2">
      <c r="A889" s="61" t="s">
        <v>16</v>
      </c>
      <c r="B889" s="61" t="s">
        <v>2390</v>
      </c>
      <c r="C889" s="62" t="s">
        <v>2391</v>
      </c>
      <c r="D889" s="61">
        <v>40</v>
      </c>
    </row>
    <row r="890" spans="1:4" x14ac:dyDescent="0.2">
      <c r="A890" s="62" t="s">
        <v>16</v>
      </c>
      <c r="B890" s="61" t="s">
        <v>2392</v>
      </c>
      <c r="C890" s="62" t="s">
        <v>2393</v>
      </c>
      <c r="D890" s="61">
        <v>40</v>
      </c>
    </row>
    <row r="891" spans="1:4" x14ac:dyDescent="0.2">
      <c r="A891" s="61" t="s">
        <v>16</v>
      </c>
      <c r="B891" s="61" t="s">
        <v>2394</v>
      </c>
      <c r="C891" s="62" t="s">
        <v>2395</v>
      </c>
      <c r="D891" s="61">
        <v>40</v>
      </c>
    </row>
    <row r="892" spans="1:4" x14ac:dyDescent="0.2">
      <c r="A892" s="62" t="s">
        <v>16</v>
      </c>
      <c r="B892" s="61" t="s">
        <v>2396</v>
      </c>
      <c r="C892" s="62" t="s">
        <v>2397</v>
      </c>
      <c r="D892" s="61">
        <v>40</v>
      </c>
    </row>
    <row r="893" spans="1:4" x14ac:dyDescent="0.2">
      <c r="A893" s="61" t="s">
        <v>16</v>
      </c>
      <c r="B893" s="61" t="s">
        <v>2398</v>
      </c>
      <c r="C893" s="62" t="s">
        <v>2399</v>
      </c>
      <c r="D893" s="61">
        <v>40</v>
      </c>
    </row>
    <row r="894" spans="1:4" x14ac:dyDescent="0.2">
      <c r="A894" s="62" t="s">
        <v>16</v>
      </c>
      <c r="B894" s="61" t="s">
        <v>2400</v>
      </c>
      <c r="C894" s="62" t="s">
        <v>2401</v>
      </c>
      <c r="D894" s="61">
        <v>40</v>
      </c>
    </row>
    <row r="895" spans="1:4" x14ac:dyDescent="0.2">
      <c r="A895" s="61" t="s">
        <v>16</v>
      </c>
      <c r="B895" s="61" t="s">
        <v>2402</v>
      </c>
      <c r="C895" s="62" t="s">
        <v>2403</v>
      </c>
      <c r="D895" s="61">
        <v>40</v>
      </c>
    </row>
    <row r="896" spans="1:4" x14ac:dyDescent="0.2">
      <c r="A896" s="62" t="s">
        <v>16</v>
      </c>
      <c r="B896" s="61" t="s">
        <v>2404</v>
      </c>
      <c r="C896" s="62" t="s">
        <v>2405</v>
      </c>
      <c r="D896" s="61">
        <v>40</v>
      </c>
    </row>
    <row r="897" spans="1:4" x14ac:dyDescent="0.2">
      <c r="A897" s="61" t="s">
        <v>16</v>
      </c>
      <c r="B897" s="61" t="s">
        <v>2406</v>
      </c>
      <c r="C897" s="62" t="s">
        <v>2407</v>
      </c>
      <c r="D897" s="61">
        <v>40</v>
      </c>
    </row>
    <row r="898" spans="1:4" x14ac:dyDescent="0.2">
      <c r="A898" s="62" t="s">
        <v>16</v>
      </c>
      <c r="B898" s="61" t="s">
        <v>2408</v>
      </c>
      <c r="C898" s="62" t="s">
        <v>2409</v>
      </c>
      <c r="D898" s="61">
        <v>40</v>
      </c>
    </row>
    <row r="899" spans="1:4" x14ac:dyDescent="0.2">
      <c r="A899" s="61" t="s">
        <v>16</v>
      </c>
      <c r="B899" s="61" t="s">
        <v>2410</v>
      </c>
      <c r="C899" s="62" t="s">
        <v>2411</v>
      </c>
      <c r="D899" s="61">
        <v>40</v>
      </c>
    </row>
    <row r="900" spans="1:4" x14ac:dyDescent="0.2">
      <c r="A900" s="62" t="s">
        <v>16</v>
      </c>
      <c r="B900" s="61" t="s">
        <v>2412</v>
      </c>
      <c r="C900" s="62" t="s">
        <v>2413</v>
      </c>
      <c r="D900" s="61">
        <v>40</v>
      </c>
    </row>
    <row r="901" spans="1:4" x14ac:dyDescent="0.2">
      <c r="A901" s="61" t="s">
        <v>16</v>
      </c>
      <c r="B901" s="61" t="s">
        <v>2414</v>
      </c>
      <c r="C901" s="62" t="s">
        <v>2415</v>
      </c>
      <c r="D901" s="61">
        <v>40</v>
      </c>
    </row>
    <row r="902" spans="1:4" x14ac:dyDescent="0.2">
      <c r="A902" s="62" t="s">
        <v>16</v>
      </c>
      <c r="B902" s="61" t="s">
        <v>2416</v>
      </c>
      <c r="C902" s="62" t="s">
        <v>2417</v>
      </c>
      <c r="D902" s="61">
        <v>40</v>
      </c>
    </row>
    <row r="903" spans="1:4" x14ac:dyDescent="0.2">
      <c r="A903" s="61" t="s">
        <v>16</v>
      </c>
      <c r="B903" s="61" t="s">
        <v>2418</v>
      </c>
      <c r="C903" s="62" t="s">
        <v>2419</v>
      </c>
      <c r="D903" s="61">
        <v>40</v>
      </c>
    </row>
    <row r="904" spans="1:4" x14ac:dyDescent="0.2">
      <c r="A904" s="62" t="s">
        <v>16</v>
      </c>
      <c r="B904" s="61" t="s">
        <v>2420</v>
      </c>
      <c r="C904" s="62" t="s">
        <v>2421</v>
      </c>
      <c r="D904" s="61">
        <v>40</v>
      </c>
    </row>
    <row r="905" spans="1:4" x14ac:dyDescent="0.2">
      <c r="A905" s="61" t="s">
        <v>16</v>
      </c>
      <c r="B905" s="61" t="s">
        <v>2422</v>
      </c>
      <c r="C905" s="62" t="s">
        <v>2423</v>
      </c>
      <c r="D905" s="61">
        <v>40</v>
      </c>
    </row>
    <row r="906" spans="1:4" x14ac:dyDescent="0.2">
      <c r="A906" s="62" t="s">
        <v>16</v>
      </c>
      <c r="B906" s="61" t="s">
        <v>2424</v>
      </c>
      <c r="C906" s="62" t="s">
        <v>2425</v>
      </c>
      <c r="D906" s="61">
        <v>40</v>
      </c>
    </row>
    <row r="907" spans="1:4" x14ac:dyDescent="0.2">
      <c r="A907" s="61" t="s">
        <v>16</v>
      </c>
      <c r="B907" s="61" t="s">
        <v>2426</v>
      </c>
      <c r="C907" s="62" t="s">
        <v>2427</v>
      </c>
      <c r="D907" s="61">
        <v>40</v>
      </c>
    </row>
    <row r="908" spans="1:4" x14ac:dyDescent="0.2">
      <c r="A908" s="62" t="s">
        <v>16</v>
      </c>
      <c r="B908" s="61" t="s">
        <v>2428</v>
      </c>
      <c r="C908" s="62" t="s">
        <v>2429</v>
      </c>
      <c r="D908" s="61">
        <v>40</v>
      </c>
    </row>
    <row r="909" spans="1:4" x14ac:dyDescent="0.2">
      <c r="A909" s="61" t="s">
        <v>16</v>
      </c>
      <c r="B909" s="61" t="s">
        <v>2430</v>
      </c>
      <c r="C909" s="62" t="s">
        <v>2431</v>
      </c>
      <c r="D909" s="61">
        <v>40</v>
      </c>
    </row>
    <row r="910" spans="1:4" x14ac:dyDescent="0.2">
      <c r="A910" s="62" t="s">
        <v>16</v>
      </c>
      <c r="B910" s="61" t="s">
        <v>2432</v>
      </c>
      <c r="C910" s="62" t="s">
        <v>2433</v>
      </c>
      <c r="D910" s="61">
        <v>40</v>
      </c>
    </row>
    <row r="911" spans="1:4" x14ac:dyDescent="0.2">
      <c r="A911" s="61" t="s">
        <v>16</v>
      </c>
      <c r="B911" s="61" t="s">
        <v>2434</v>
      </c>
      <c r="C911" s="62" t="s">
        <v>2435</v>
      </c>
      <c r="D911" s="61">
        <v>40</v>
      </c>
    </row>
    <row r="912" spans="1:4" x14ac:dyDescent="0.2">
      <c r="A912" s="62" t="s">
        <v>16</v>
      </c>
      <c r="B912" s="61" t="s">
        <v>2436</v>
      </c>
      <c r="C912" s="62" t="s">
        <v>2437</v>
      </c>
      <c r="D912" s="61">
        <v>40</v>
      </c>
    </row>
    <row r="913" spans="1:4" x14ac:dyDescent="0.2">
      <c r="A913" s="61" t="s">
        <v>16</v>
      </c>
      <c r="B913" s="61" t="s">
        <v>2438</v>
      </c>
      <c r="C913" s="62" t="s">
        <v>2439</v>
      </c>
      <c r="D913" s="61">
        <v>40</v>
      </c>
    </row>
    <row r="914" spans="1:4" x14ac:dyDescent="0.2">
      <c r="A914" s="62" t="s">
        <v>16</v>
      </c>
      <c r="B914" s="61" t="s">
        <v>2440</v>
      </c>
      <c r="C914" s="62" t="s">
        <v>2441</v>
      </c>
      <c r="D914" s="61">
        <v>40</v>
      </c>
    </row>
    <row r="915" spans="1:4" x14ac:dyDescent="0.2">
      <c r="A915" s="61" t="s">
        <v>16</v>
      </c>
      <c r="B915" s="61" t="s">
        <v>2442</v>
      </c>
      <c r="C915" s="62" t="s">
        <v>2443</v>
      </c>
      <c r="D915" s="61">
        <v>40</v>
      </c>
    </row>
    <row r="916" spans="1:4" x14ac:dyDescent="0.2">
      <c r="A916" s="62" t="s">
        <v>16</v>
      </c>
      <c r="B916" s="61" t="s">
        <v>2444</v>
      </c>
      <c r="C916" s="62" t="s">
        <v>2445</v>
      </c>
      <c r="D916" s="61">
        <v>40</v>
      </c>
    </row>
    <row r="917" spans="1:4" x14ac:dyDescent="0.2">
      <c r="A917" s="61" t="s">
        <v>16</v>
      </c>
      <c r="B917" s="61" t="s">
        <v>2446</v>
      </c>
      <c r="C917" s="62" t="s">
        <v>2447</v>
      </c>
      <c r="D917" s="61">
        <v>40</v>
      </c>
    </row>
    <row r="918" spans="1:4" x14ac:dyDescent="0.2">
      <c r="A918" s="62" t="s">
        <v>16</v>
      </c>
      <c r="B918" s="61" t="s">
        <v>615</v>
      </c>
      <c r="C918" s="62" t="s">
        <v>4959</v>
      </c>
      <c r="D918" s="61">
        <v>40</v>
      </c>
    </row>
    <row r="919" spans="1:4" x14ac:dyDescent="0.2">
      <c r="A919" s="61" t="s">
        <v>16</v>
      </c>
      <c r="B919" s="61" t="s">
        <v>664</v>
      </c>
      <c r="C919" s="62" t="s">
        <v>5221</v>
      </c>
      <c r="D919" s="61">
        <v>40</v>
      </c>
    </row>
    <row r="920" spans="1:4" x14ac:dyDescent="0.2">
      <c r="A920" s="62" t="s">
        <v>16</v>
      </c>
      <c r="B920" s="61" t="s">
        <v>659</v>
      </c>
      <c r="C920" s="62" t="s">
        <v>5216</v>
      </c>
      <c r="D920" s="61">
        <v>40</v>
      </c>
    </row>
    <row r="921" spans="1:4" x14ac:dyDescent="0.2">
      <c r="A921" s="61" t="s">
        <v>16</v>
      </c>
      <c r="B921" s="61" t="s">
        <v>668</v>
      </c>
      <c r="C921" s="62" t="s">
        <v>5222</v>
      </c>
      <c r="D921" s="61">
        <v>40</v>
      </c>
    </row>
    <row r="922" spans="1:4" x14ac:dyDescent="0.2">
      <c r="A922" s="62" t="s">
        <v>16</v>
      </c>
      <c r="B922" s="61" t="s">
        <v>2448</v>
      </c>
      <c r="C922" s="62" t="s">
        <v>2449</v>
      </c>
      <c r="D922" s="61">
        <v>40</v>
      </c>
    </row>
    <row r="923" spans="1:4" x14ac:dyDescent="0.2">
      <c r="A923" s="61" t="s">
        <v>16</v>
      </c>
      <c r="B923" s="61" t="s">
        <v>2450</v>
      </c>
      <c r="C923" s="62" t="s">
        <v>2451</v>
      </c>
      <c r="D923" s="61">
        <v>40</v>
      </c>
    </row>
    <row r="924" spans="1:4" x14ac:dyDescent="0.2">
      <c r="A924" s="62" t="s">
        <v>16</v>
      </c>
      <c r="B924" s="61" t="s">
        <v>2452</v>
      </c>
      <c r="C924" s="62" t="s">
        <v>5372</v>
      </c>
      <c r="D924" s="61">
        <v>40</v>
      </c>
    </row>
    <row r="925" spans="1:4" x14ac:dyDescent="0.2">
      <c r="A925" s="61" t="s">
        <v>16</v>
      </c>
      <c r="B925" s="61" t="s">
        <v>2453</v>
      </c>
      <c r="C925" s="62" t="s">
        <v>5373</v>
      </c>
      <c r="D925" s="61">
        <v>40</v>
      </c>
    </row>
    <row r="926" spans="1:4" x14ac:dyDescent="0.2">
      <c r="A926" s="62" t="s">
        <v>16</v>
      </c>
      <c r="B926" s="61" t="s">
        <v>2454</v>
      </c>
      <c r="C926" s="62" t="s">
        <v>5374</v>
      </c>
      <c r="D926" s="61">
        <v>40</v>
      </c>
    </row>
    <row r="927" spans="1:4" x14ac:dyDescent="0.2">
      <c r="A927" s="61" t="s">
        <v>16</v>
      </c>
      <c r="B927" s="61" t="s">
        <v>2455</v>
      </c>
      <c r="C927" s="62" t="s">
        <v>2456</v>
      </c>
      <c r="D927" s="61">
        <v>40</v>
      </c>
    </row>
    <row r="928" spans="1:4" x14ac:dyDescent="0.2">
      <c r="A928" s="62" t="s">
        <v>16</v>
      </c>
      <c r="B928" s="61" t="s">
        <v>2457</v>
      </c>
      <c r="C928" s="62" t="s">
        <v>2458</v>
      </c>
      <c r="D928" s="61">
        <v>40</v>
      </c>
    </row>
    <row r="929" spans="1:4" x14ac:dyDescent="0.2">
      <c r="A929" s="61" t="s">
        <v>16</v>
      </c>
      <c r="B929" s="61" t="s">
        <v>2459</v>
      </c>
      <c r="C929" s="62" t="s">
        <v>2460</v>
      </c>
      <c r="D929" s="61">
        <v>40</v>
      </c>
    </row>
    <row r="930" spans="1:4" x14ac:dyDescent="0.2">
      <c r="A930" s="62" t="s">
        <v>16</v>
      </c>
      <c r="B930" s="61" t="s">
        <v>2461</v>
      </c>
      <c r="C930" s="62" t="s">
        <v>2462</v>
      </c>
      <c r="D930" s="61">
        <v>40</v>
      </c>
    </row>
    <row r="931" spans="1:4" x14ac:dyDescent="0.2">
      <c r="A931" s="61" t="s">
        <v>16</v>
      </c>
      <c r="B931" s="61" t="s">
        <v>2463</v>
      </c>
      <c r="C931" s="62" t="s">
        <v>2464</v>
      </c>
      <c r="D931" s="61">
        <v>40</v>
      </c>
    </row>
    <row r="932" spans="1:4" x14ac:dyDescent="0.2">
      <c r="A932" s="62" t="s">
        <v>16</v>
      </c>
      <c r="B932" s="61" t="s">
        <v>2465</v>
      </c>
      <c r="C932" s="62" t="s">
        <v>2466</v>
      </c>
      <c r="D932" s="61">
        <v>40</v>
      </c>
    </row>
    <row r="933" spans="1:4" x14ac:dyDescent="0.2">
      <c r="A933" s="61" t="s">
        <v>16</v>
      </c>
      <c r="B933" s="61" t="s">
        <v>2467</v>
      </c>
      <c r="C933" s="62" t="s">
        <v>2468</v>
      </c>
      <c r="D933" s="61">
        <v>40</v>
      </c>
    </row>
    <row r="934" spans="1:4" x14ac:dyDescent="0.2">
      <c r="A934" s="62" t="s">
        <v>16</v>
      </c>
      <c r="B934" s="61" t="s">
        <v>2469</v>
      </c>
      <c r="C934" s="62" t="s">
        <v>2470</v>
      </c>
      <c r="D934" s="61">
        <v>40</v>
      </c>
    </row>
    <row r="935" spans="1:4" x14ac:dyDescent="0.2">
      <c r="A935" s="61" t="s">
        <v>16</v>
      </c>
      <c r="B935" s="61" t="s">
        <v>2471</v>
      </c>
      <c r="C935" s="62" t="s">
        <v>2472</v>
      </c>
      <c r="D935" s="61">
        <v>40</v>
      </c>
    </row>
    <row r="936" spans="1:4" x14ac:dyDescent="0.2">
      <c r="A936" s="62" t="s">
        <v>16</v>
      </c>
      <c r="B936" s="61" t="s">
        <v>2473</v>
      </c>
      <c r="C936" s="62" t="s">
        <v>5375</v>
      </c>
      <c r="D936" s="61">
        <v>40</v>
      </c>
    </row>
    <row r="937" spans="1:4" x14ac:dyDescent="0.2">
      <c r="A937" s="61" t="s">
        <v>16</v>
      </c>
      <c r="B937" s="61" t="s">
        <v>2474</v>
      </c>
      <c r="C937" s="62" t="s">
        <v>2475</v>
      </c>
      <c r="D937" s="61">
        <v>40</v>
      </c>
    </row>
    <row r="938" spans="1:4" x14ac:dyDescent="0.2">
      <c r="A938" s="62" t="s">
        <v>16</v>
      </c>
      <c r="B938" s="61" t="s">
        <v>2476</v>
      </c>
      <c r="C938" s="62" t="s">
        <v>2477</v>
      </c>
      <c r="D938" s="61">
        <v>40</v>
      </c>
    </row>
    <row r="939" spans="1:4" x14ac:dyDescent="0.2">
      <c r="A939" s="61" t="s">
        <v>16</v>
      </c>
      <c r="B939" s="61" t="s">
        <v>2478</v>
      </c>
      <c r="C939" s="62" t="s">
        <v>2479</v>
      </c>
      <c r="D939" s="61">
        <v>40</v>
      </c>
    </row>
    <row r="940" spans="1:4" x14ac:dyDescent="0.2">
      <c r="A940" s="62" t="s">
        <v>16</v>
      </c>
      <c r="B940" s="61" t="s">
        <v>2480</v>
      </c>
      <c r="C940" s="62" t="s">
        <v>2481</v>
      </c>
      <c r="D940" s="61">
        <v>40</v>
      </c>
    </row>
    <row r="941" spans="1:4" x14ac:dyDescent="0.2">
      <c r="A941" s="61" t="s">
        <v>16</v>
      </c>
      <c r="B941" s="61" t="s">
        <v>2482</v>
      </c>
      <c r="C941" s="62" t="s">
        <v>2483</v>
      </c>
      <c r="D941" s="61">
        <v>40</v>
      </c>
    </row>
    <row r="942" spans="1:4" x14ac:dyDescent="0.2">
      <c r="A942" s="62" t="s">
        <v>16</v>
      </c>
      <c r="B942" s="61" t="s">
        <v>2484</v>
      </c>
      <c r="C942" s="62" t="s">
        <v>2485</v>
      </c>
      <c r="D942" s="61">
        <v>40</v>
      </c>
    </row>
    <row r="943" spans="1:4" x14ac:dyDescent="0.2">
      <c r="A943" s="61" t="s">
        <v>16</v>
      </c>
      <c r="B943" s="61" t="s">
        <v>2486</v>
      </c>
      <c r="C943" s="62" t="s">
        <v>2487</v>
      </c>
      <c r="D943" s="61">
        <v>40</v>
      </c>
    </row>
    <row r="944" spans="1:4" x14ac:dyDescent="0.2">
      <c r="A944" s="62" t="s">
        <v>16</v>
      </c>
      <c r="B944" s="61" t="s">
        <v>2488</v>
      </c>
      <c r="C944" s="62" t="s">
        <v>2489</v>
      </c>
      <c r="D944" s="61">
        <v>40</v>
      </c>
    </row>
    <row r="945" spans="1:4" x14ac:dyDescent="0.2">
      <c r="A945" s="61" t="s">
        <v>16</v>
      </c>
      <c r="B945" s="61" t="s">
        <v>2490</v>
      </c>
      <c r="C945" s="62" t="s">
        <v>2491</v>
      </c>
      <c r="D945" s="61">
        <v>40</v>
      </c>
    </row>
    <row r="946" spans="1:4" x14ac:dyDescent="0.2">
      <c r="A946" s="62" t="s">
        <v>16</v>
      </c>
      <c r="B946" s="61" t="s">
        <v>2492</v>
      </c>
      <c r="C946" s="62" t="s">
        <v>2493</v>
      </c>
      <c r="D946" s="61">
        <v>40</v>
      </c>
    </row>
    <row r="947" spans="1:4" x14ac:dyDescent="0.2">
      <c r="A947" s="61" t="s">
        <v>16</v>
      </c>
      <c r="B947" s="61" t="s">
        <v>2494</v>
      </c>
      <c r="C947" s="62" t="s">
        <v>2495</v>
      </c>
      <c r="D947" s="61">
        <v>40</v>
      </c>
    </row>
    <row r="948" spans="1:4" x14ac:dyDescent="0.2">
      <c r="A948" s="62" t="s">
        <v>16</v>
      </c>
      <c r="B948" s="61" t="s">
        <v>2496</v>
      </c>
      <c r="C948" s="62" t="s">
        <v>2497</v>
      </c>
      <c r="D948" s="61">
        <v>40</v>
      </c>
    </row>
    <row r="949" spans="1:4" x14ac:dyDescent="0.2">
      <c r="A949" s="61" t="s">
        <v>16</v>
      </c>
      <c r="B949" s="61" t="s">
        <v>2498</v>
      </c>
      <c r="C949" s="62" t="s">
        <v>2499</v>
      </c>
      <c r="D949" s="61">
        <v>40</v>
      </c>
    </row>
    <row r="950" spans="1:4" x14ac:dyDescent="0.2">
      <c r="A950" s="62" t="s">
        <v>16</v>
      </c>
      <c r="B950" s="61" t="s">
        <v>222</v>
      </c>
      <c r="C950" s="62" t="s">
        <v>4856</v>
      </c>
      <c r="D950" s="61">
        <v>40</v>
      </c>
    </row>
    <row r="951" spans="1:4" x14ac:dyDescent="0.2">
      <c r="A951" s="61" t="s">
        <v>16</v>
      </c>
      <c r="B951" s="61" t="s">
        <v>223</v>
      </c>
      <c r="C951" s="62" t="s">
        <v>4859</v>
      </c>
      <c r="D951" s="61">
        <v>40</v>
      </c>
    </row>
    <row r="952" spans="1:4" x14ac:dyDescent="0.2">
      <c r="A952" s="62" t="s">
        <v>16</v>
      </c>
      <c r="B952" s="61" t="s">
        <v>2500</v>
      </c>
      <c r="C952" s="62" t="s">
        <v>4812</v>
      </c>
      <c r="D952" s="61">
        <v>40</v>
      </c>
    </row>
    <row r="953" spans="1:4" x14ac:dyDescent="0.2">
      <c r="A953" s="61" t="s">
        <v>16</v>
      </c>
      <c r="B953" s="61" t="s">
        <v>2501</v>
      </c>
      <c r="C953" s="62" t="s">
        <v>4813</v>
      </c>
      <c r="D953" s="61">
        <v>40</v>
      </c>
    </row>
    <row r="954" spans="1:4" x14ac:dyDescent="0.2">
      <c r="A954" s="62" t="s">
        <v>16</v>
      </c>
      <c r="B954" s="61" t="s">
        <v>2502</v>
      </c>
      <c r="C954" s="62" t="s">
        <v>4809</v>
      </c>
      <c r="D954" s="61">
        <v>40</v>
      </c>
    </row>
    <row r="955" spans="1:4" x14ac:dyDescent="0.2">
      <c r="A955" s="61" t="s">
        <v>16</v>
      </c>
      <c r="B955" s="61" t="s">
        <v>437</v>
      </c>
      <c r="C955" s="62" t="s">
        <v>4793</v>
      </c>
      <c r="D955" s="61">
        <v>40</v>
      </c>
    </row>
    <row r="956" spans="1:4" x14ac:dyDescent="0.2">
      <c r="A956" s="62" t="s">
        <v>16</v>
      </c>
      <c r="B956" s="61" t="s">
        <v>439</v>
      </c>
      <c r="C956" s="62" t="s">
        <v>4795</v>
      </c>
      <c r="D956" s="61">
        <v>40</v>
      </c>
    </row>
    <row r="957" spans="1:4" x14ac:dyDescent="0.2">
      <c r="A957" s="61" t="s">
        <v>16</v>
      </c>
      <c r="B957" s="61" t="s">
        <v>2503</v>
      </c>
      <c r="C957" s="62" t="s">
        <v>2504</v>
      </c>
      <c r="D957" s="61">
        <v>40</v>
      </c>
    </row>
    <row r="958" spans="1:4" x14ac:dyDescent="0.2">
      <c r="A958" s="62" t="s">
        <v>16</v>
      </c>
      <c r="B958" s="61" t="s">
        <v>2505</v>
      </c>
      <c r="C958" s="62" t="s">
        <v>2506</v>
      </c>
      <c r="D958" s="61">
        <v>40</v>
      </c>
    </row>
    <row r="959" spans="1:4" x14ac:dyDescent="0.2">
      <c r="A959" s="61" t="s">
        <v>16</v>
      </c>
      <c r="B959" s="61" t="s">
        <v>2507</v>
      </c>
      <c r="C959" s="62" t="s">
        <v>2508</v>
      </c>
      <c r="D959" s="61">
        <v>40</v>
      </c>
    </row>
    <row r="960" spans="1:4" x14ac:dyDescent="0.2">
      <c r="A960" s="62" t="s">
        <v>16</v>
      </c>
      <c r="B960" s="61" t="s">
        <v>2509</v>
      </c>
      <c r="C960" s="62" t="s">
        <v>5376</v>
      </c>
      <c r="D960" s="61">
        <v>50</v>
      </c>
    </row>
    <row r="961" spans="1:4" x14ac:dyDescent="0.2">
      <c r="A961" s="61" t="s">
        <v>16</v>
      </c>
      <c r="B961" s="61" t="s">
        <v>2510</v>
      </c>
      <c r="C961" s="62" t="s">
        <v>5377</v>
      </c>
      <c r="D961" s="61">
        <v>50</v>
      </c>
    </row>
    <row r="962" spans="1:4" x14ac:dyDescent="0.2">
      <c r="A962" s="62" t="s">
        <v>16</v>
      </c>
      <c r="B962" s="61" t="s">
        <v>2511</v>
      </c>
      <c r="C962" s="62" t="s">
        <v>5378</v>
      </c>
      <c r="D962" s="61">
        <v>50</v>
      </c>
    </row>
    <row r="963" spans="1:4" x14ac:dyDescent="0.2">
      <c r="A963" s="61" t="s">
        <v>16</v>
      </c>
      <c r="B963" s="61" t="s">
        <v>2512</v>
      </c>
      <c r="C963" s="62" t="s">
        <v>5379</v>
      </c>
      <c r="D963" s="61">
        <v>50</v>
      </c>
    </row>
    <row r="964" spans="1:4" x14ac:dyDescent="0.2">
      <c r="A964" s="62" t="s">
        <v>16</v>
      </c>
      <c r="B964" s="61" t="s">
        <v>2513</v>
      </c>
      <c r="C964" s="62" t="s">
        <v>5380</v>
      </c>
      <c r="D964" s="61">
        <v>50</v>
      </c>
    </row>
    <row r="965" spans="1:4" x14ac:dyDescent="0.2">
      <c r="A965" s="61" t="s">
        <v>16</v>
      </c>
      <c r="B965" s="61" t="s">
        <v>2514</v>
      </c>
      <c r="C965" s="62" t="s">
        <v>5381</v>
      </c>
      <c r="D965" s="61">
        <v>50</v>
      </c>
    </row>
    <row r="966" spans="1:4" x14ac:dyDescent="0.2">
      <c r="A966" s="62" t="s">
        <v>16</v>
      </c>
      <c r="B966" s="61" t="s">
        <v>2515</v>
      </c>
      <c r="C966" s="62" t="s">
        <v>5382</v>
      </c>
      <c r="D966" s="61">
        <v>50</v>
      </c>
    </row>
    <row r="967" spans="1:4" x14ac:dyDescent="0.2">
      <c r="A967" s="61" t="s">
        <v>16</v>
      </c>
      <c r="B967" s="61" t="s">
        <v>2516</v>
      </c>
      <c r="C967" s="62" t="s">
        <v>2517</v>
      </c>
      <c r="D967" s="61">
        <v>50</v>
      </c>
    </row>
    <row r="968" spans="1:4" x14ac:dyDescent="0.2">
      <c r="A968" s="62" t="s">
        <v>16</v>
      </c>
      <c r="B968" s="61" t="s">
        <v>2518</v>
      </c>
      <c r="C968" s="62" t="s">
        <v>2519</v>
      </c>
      <c r="D968" s="61">
        <v>50</v>
      </c>
    </row>
    <row r="969" spans="1:4" x14ac:dyDescent="0.2">
      <c r="A969" s="61" t="s">
        <v>16</v>
      </c>
      <c r="B969" s="61" t="s">
        <v>2520</v>
      </c>
      <c r="C969" s="62" t="s">
        <v>2521</v>
      </c>
      <c r="D969" s="61">
        <v>50</v>
      </c>
    </row>
    <row r="970" spans="1:4" x14ac:dyDescent="0.2">
      <c r="A970" s="62" t="s">
        <v>16</v>
      </c>
      <c r="B970" s="61" t="s">
        <v>2522</v>
      </c>
      <c r="C970" s="62" t="s">
        <v>2523</v>
      </c>
      <c r="D970" s="61">
        <v>50</v>
      </c>
    </row>
    <row r="971" spans="1:4" x14ac:dyDescent="0.2">
      <c r="A971" s="61" t="s">
        <v>16</v>
      </c>
      <c r="B971" s="61" t="s">
        <v>2524</v>
      </c>
      <c r="C971" s="62" t="s">
        <v>2525</v>
      </c>
      <c r="D971" s="61">
        <v>50</v>
      </c>
    </row>
    <row r="972" spans="1:4" x14ac:dyDescent="0.2">
      <c r="A972" s="62" t="s">
        <v>16</v>
      </c>
      <c r="B972" s="61" t="s">
        <v>2526</v>
      </c>
      <c r="C972" s="62" t="s">
        <v>2527</v>
      </c>
      <c r="D972" s="61">
        <v>50</v>
      </c>
    </row>
    <row r="973" spans="1:4" x14ac:dyDescent="0.2">
      <c r="A973" s="61" t="s">
        <v>16</v>
      </c>
      <c r="B973" s="61" t="s">
        <v>2528</v>
      </c>
      <c r="C973" s="62" t="s">
        <v>2529</v>
      </c>
      <c r="D973" s="61">
        <v>50</v>
      </c>
    </row>
    <row r="974" spans="1:4" x14ac:dyDescent="0.2">
      <c r="A974" s="61" t="s">
        <v>16</v>
      </c>
      <c r="B974" s="61" t="s">
        <v>2530</v>
      </c>
      <c r="C974" s="62" t="s">
        <v>2531</v>
      </c>
      <c r="D974" s="61">
        <v>40</v>
      </c>
    </row>
    <row r="975" spans="1:4" x14ac:dyDescent="0.2">
      <c r="A975" s="62" t="s">
        <v>16</v>
      </c>
      <c r="B975" s="61" t="s">
        <v>2532</v>
      </c>
      <c r="C975" s="62" t="s">
        <v>2533</v>
      </c>
      <c r="D975" s="61">
        <v>40</v>
      </c>
    </row>
    <row r="976" spans="1:4" x14ac:dyDescent="0.2">
      <c r="A976" s="61" t="s">
        <v>16</v>
      </c>
      <c r="B976" s="61" t="s">
        <v>2534</v>
      </c>
      <c r="C976" s="62" t="s">
        <v>1976</v>
      </c>
      <c r="D976" s="61">
        <v>40</v>
      </c>
    </row>
    <row r="977" spans="1:4" x14ac:dyDescent="0.2">
      <c r="A977" s="62" t="s">
        <v>16</v>
      </c>
      <c r="B977" s="61" t="s">
        <v>2535</v>
      </c>
      <c r="C977" s="62" t="s">
        <v>1741</v>
      </c>
      <c r="D977" s="61">
        <v>40</v>
      </c>
    </row>
    <row r="978" spans="1:4" x14ac:dyDescent="0.2">
      <c r="A978" s="61" t="s">
        <v>16</v>
      </c>
      <c r="B978" s="61" t="s">
        <v>2536</v>
      </c>
      <c r="C978" s="62" t="s">
        <v>4797</v>
      </c>
      <c r="D978" s="61">
        <v>40</v>
      </c>
    </row>
    <row r="979" spans="1:4" x14ac:dyDescent="0.2">
      <c r="A979" s="62" t="s">
        <v>16</v>
      </c>
      <c r="B979" s="61" t="s">
        <v>2537</v>
      </c>
      <c r="C979" s="62" t="s">
        <v>5383</v>
      </c>
      <c r="D979" s="61">
        <v>40</v>
      </c>
    </row>
    <row r="980" spans="1:4" x14ac:dyDescent="0.2">
      <c r="A980" s="61" t="s">
        <v>16</v>
      </c>
      <c r="B980" s="61" t="s">
        <v>2538</v>
      </c>
      <c r="C980" s="62" t="s">
        <v>2149</v>
      </c>
      <c r="D980" s="61">
        <v>40</v>
      </c>
    </row>
    <row r="981" spans="1:4" x14ac:dyDescent="0.2">
      <c r="A981" s="62" t="s">
        <v>16</v>
      </c>
      <c r="B981" s="61" t="s">
        <v>2539</v>
      </c>
      <c r="C981" s="62" t="s">
        <v>2155</v>
      </c>
      <c r="D981" s="61">
        <v>40</v>
      </c>
    </row>
    <row r="982" spans="1:4" x14ac:dyDescent="0.2">
      <c r="A982" s="61" t="s">
        <v>16</v>
      </c>
      <c r="B982" s="61" t="s">
        <v>2540</v>
      </c>
      <c r="C982" s="62" t="s">
        <v>2157</v>
      </c>
      <c r="D982" s="61">
        <v>40</v>
      </c>
    </row>
    <row r="983" spans="1:4" x14ac:dyDescent="0.2">
      <c r="A983" s="62" t="s">
        <v>16</v>
      </c>
      <c r="B983" s="61" t="s">
        <v>2541</v>
      </c>
      <c r="C983" s="62" t="s">
        <v>2542</v>
      </c>
      <c r="D983" s="61">
        <v>40</v>
      </c>
    </row>
    <row r="984" spans="1:4" x14ac:dyDescent="0.2">
      <c r="A984" s="61" t="s">
        <v>16</v>
      </c>
      <c r="B984" s="61" t="s">
        <v>2543</v>
      </c>
      <c r="C984" s="62" t="s">
        <v>2544</v>
      </c>
      <c r="D984" s="61">
        <v>40</v>
      </c>
    </row>
    <row r="985" spans="1:4" x14ac:dyDescent="0.2">
      <c r="A985" s="62" t="s">
        <v>16</v>
      </c>
      <c r="B985" s="61" t="s">
        <v>2545</v>
      </c>
      <c r="C985" s="62" t="s">
        <v>2546</v>
      </c>
      <c r="D985" s="61">
        <v>40</v>
      </c>
    </row>
    <row r="986" spans="1:4" x14ac:dyDescent="0.2">
      <c r="A986" s="61" t="s">
        <v>16</v>
      </c>
      <c r="B986" s="61" t="s">
        <v>2547</v>
      </c>
      <c r="C986" s="62" t="s">
        <v>5384</v>
      </c>
      <c r="D986" s="61">
        <v>40</v>
      </c>
    </row>
    <row r="987" spans="1:4" x14ac:dyDescent="0.2">
      <c r="A987" s="62" t="s">
        <v>16</v>
      </c>
      <c r="B987" s="61" t="s">
        <v>2548</v>
      </c>
      <c r="C987" s="62" t="s">
        <v>2549</v>
      </c>
      <c r="D987" s="61">
        <v>40</v>
      </c>
    </row>
    <row r="988" spans="1:4" x14ac:dyDescent="0.2">
      <c r="A988" s="61" t="s">
        <v>16</v>
      </c>
      <c r="B988" s="61" t="s">
        <v>2550</v>
      </c>
      <c r="C988" s="62" t="s">
        <v>2551</v>
      </c>
      <c r="D988" s="61">
        <v>40</v>
      </c>
    </row>
    <row r="989" spans="1:4" x14ac:dyDescent="0.2">
      <c r="A989" s="62" t="s">
        <v>16</v>
      </c>
      <c r="B989" s="61" t="s">
        <v>2552</v>
      </c>
      <c r="C989" s="62" t="s">
        <v>5385</v>
      </c>
      <c r="D989" s="61">
        <v>40</v>
      </c>
    </row>
    <row r="990" spans="1:4" x14ac:dyDescent="0.2">
      <c r="A990" s="61" t="s">
        <v>16</v>
      </c>
      <c r="B990" s="61" t="s">
        <v>2553</v>
      </c>
      <c r="C990" s="62" t="s">
        <v>2155</v>
      </c>
      <c r="D990" s="61">
        <v>40</v>
      </c>
    </row>
    <row r="991" spans="1:4" x14ac:dyDescent="0.2">
      <c r="A991" s="62" t="s">
        <v>16</v>
      </c>
      <c r="B991" s="61" t="s">
        <v>2554</v>
      </c>
      <c r="C991" s="62" t="s">
        <v>2157</v>
      </c>
      <c r="D991" s="61">
        <v>40</v>
      </c>
    </row>
    <row r="992" spans="1:4" x14ac:dyDescent="0.2">
      <c r="A992" s="61" t="s">
        <v>16</v>
      </c>
      <c r="B992" s="61" t="s">
        <v>2555</v>
      </c>
      <c r="C992" s="62" t="s">
        <v>2556</v>
      </c>
      <c r="D992" s="61">
        <v>40</v>
      </c>
    </row>
    <row r="993" spans="1:4" x14ac:dyDescent="0.2">
      <c r="A993" s="62" t="s">
        <v>16</v>
      </c>
      <c r="B993" s="61" t="s">
        <v>2557</v>
      </c>
      <c r="C993" s="62" t="s">
        <v>2558</v>
      </c>
      <c r="D993" s="61">
        <v>40</v>
      </c>
    </row>
    <row r="994" spans="1:4" x14ac:dyDescent="0.2">
      <c r="A994" s="61" t="s">
        <v>16</v>
      </c>
      <c r="B994" s="61" t="s">
        <v>2559</v>
      </c>
      <c r="C994" s="62" t="s">
        <v>1382</v>
      </c>
      <c r="D994" s="61">
        <v>50</v>
      </c>
    </row>
    <row r="995" spans="1:4" x14ac:dyDescent="0.2">
      <c r="A995" s="62" t="s">
        <v>16</v>
      </c>
      <c r="B995" s="61" t="s">
        <v>2560</v>
      </c>
      <c r="C995" s="62" t="s">
        <v>5223</v>
      </c>
      <c r="D995" s="61">
        <v>40</v>
      </c>
    </row>
    <row r="996" spans="1:4" x14ac:dyDescent="0.2">
      <c r="A996" s="61" t="s">
        <v>16</v>
      </c>
      <c r="B996" s="61" t="s">
        <v>355</v>
      </c>
      <c r="C996" s="62" t="s">
        <v>4846</v>
      </c>
      <c r="D996" s="61">
        <v>40</v>
      </c>
    </row>
    <row r="997" spans="1:4" x14ac:dyDescent="0.2">
      <c r="A997" s="62" t="s">
        <v>16</v>
      </c>
      <c r="B997" s="61" t="s">
        <v>2561</v>
      </c>
      <c r="C997" s="62" t="s">
        <v>2562</v>
      </c>
      <c r="D997" s="61">
        <v>40</v>
      </c>
    </row>
    <row r="998" spans="1:4" x14ac:dyDescent="0.2">
      <c r="A998" s="61" t="s">
        <v>16</v>
      </c>
      <c r="B998" s="61" t="s">
        <v>774</v>
      </c>
      <c r="C998" s="62" t="s">
        <v>4798</v>
      </c>
      <c r="D998" s="61">
        <v>40</v>
      </c>
    </row>
    <row r="999" spans="1:4" x14ac:dyDescent="0.2">
      <c r="A999" s="62" t="s">
        <v>16</v>
      </c>
      <c r="B999" s="61" t="s">
        <v>2563</v>
      </c>
      <c r="C999" s="62" t="s">
        <v>2564</v>
      </c>
      <c r="D999" s="61">
        <v>40</v>
      </c>
    </row>
    <row r="1000" spans="1:4" x14ac:dyDescent="0.2">
      <c r="A1000" s="61" t="s">
        <v>16</v>
      </c>
      <c r="B1000" s="61" t="s">
        <v>2565</v>
      </c>
      <c r="C1000" s="62" t="s">
        <v>5386</v>
      </c>
      <c r="D1000" s="61">
        <v>40</v>
      </c>
    </row>
    <row r="1001" spans="1:4" x14ac:dyDescent="0.2">
      <c r="A1001" s="62" t="s">
        <v>16</v>
      </c>
      <c r="B1001" s="61" t="s">
        <v>2566</v>
      </c>
      <c r="C1001" s="62" t="s">
        <v>5387</v>
      </c>
      <c r="D1001" s="61">
        <v>40</v>
      </c>
    </row>
    <row r="1002" spans="1:4" x14ac:dyDescent="0.2">
      <c r="A1002" s="61" t="s">
        <v>16</v>
      </c>
      <c r="B1002" s="61" t="s">
        <v>2567</v>
      </c>
      <c r="C1002" s="62" t="s">
        <v>2568</v>
      </c>
      <c r="D1002" s="61">
        <v>40</v>
      </c>
    </row>
    <row r="1003" spans="1:4" x14ac:dyDescent="0.2">
      <c r="A1003" s="62" t="s">
        <v>16</v>
      </c>
      <c r="B1003" s="61" t="s">
        <v>2569</v>
      </c>
      <c r="C1003" s="62" t="s">
        <v>2570</v>
      </c>
      <c r="D1003" s="61">
        <v>40</v>
      </c>
    </row>
    <row r="1004" spans="1:4" x14ac:dyDescent="0.2">
      <c r="A1004" s="61" t="s">
        <v>16</v>
      </c>
      <c r="B1004" s="61" t="s">
        <v>2571</v>
      </c>
      <c r="C1004" s="62" t="s">
        <v>5388</v>
      </c>
      <c r="D1004" s="61">
        <v>40</v>
      </c>
    </row>
    <row r="1005" spans="1:4" x14ac:dyDescent="0.2">
      <c r="A1005" s="62" t="s">
        <v>16</v>
      </c>
      <c r="B1005" s="61" t="s">
        <v>2572</v>
      </c>
      <c r="C1005" s="62" t="s">
        <v>2573</v>
      </c>
      <c r="D1005" s="61">
        <v>50</v>
      </c>
    </row>
    <row r="1006" spans="1:4" x14ac:dyDescent="0.2">
      <c r="A1006" s="61" t="s">
        <v>16</v>
      </c>
      <c r="B1006" s="61" t="s">
        <v>2574</v>
      </c>
      <c r="C1006" s="62" t="s">
        <v>2575</v>
      </c>
      <c r="D1006" s="61">
        <v>40</v>
      </c>
    </row>
    <row r="1007" spans="1:4" x14ac:dyDescent="0.2">
      <c r="A1007" s="62" t="s">
        <v>16</v>
      </c>
      <c r="B1007" s="61" t="s">
        <v>2576</v>
      </c>
      <c r="C1007" s="62" t="s">
        <v>2577</v>
      </c>
      <c r="D1007" s="61">
        <v>40</v>
      </c>
    </row>
    <row r="1008" spans="1:4" x14ac:dyDescent="0.2">
      <c r="A1008" s="61" t="s">
        <v>16</v>
      </c>
      <c r="B1008" s="61" t="s">
        <v>2578</v>
      </c>
      <c r="C1008" s="62" t="s">
        <v>1380</v>
      </c>
      <c r="D1008" s="61">
        <v>50</v>
      </c>
    </row>
    <row r="1009" spans="1:4" x14ac:dyDescent="0.2">
      <c r="A1009" s="62" t="s">
        <v>16</v>
      </c>
      <c r="B1009" s="61" t="s">
        <v>2579</v>
      </c>
      <c r="C1009" s="62" t="s">
        <v>5389</v>
      </c>
      <c r="D1009" s="61">
        <v>40</v>
      </c>
    </row>
    <row r="1010" spans="1:4" x14ac:dyDescent="0.2">
      <c r="A1010" s="61" t="s">
        <v>16</v>
      </c>
      <c r="B1010" s="61" t="s">
        <v>2580</v>
      </c>
      <c r="C1010" s="62" t="s">
        <v>5390</v>
      </c>
      <c r="D1010" s="61">
        <v>40</v>
      </c>
    </row>
    <row r="1011" spans="1:4" x14ac:dyDescent="0.2">
      <c r="A1011" s="62" t="s">
        <v>16</v>
      </c>
      <c r="B1011" s="61" t="s">
        <v>2581</v>
      </c>
      <c r="C1011" s="62" t="s">
        <v>5391</v>
      </c>
      <c r="D1011" s="61">
        <v>40</v>
      </c>
    </row>
    <row r="1012" spans="1:4" x14ac:dyDescent="0.2">
      <c r="A1012" s="61" t="s">
        <v>16</v>
      </c>
      <c r="B1012" s="61" t="s">
        <v>2582</v>
      </c>
      <c r="C1012" s="62" t="s">
        <v>2583</v>
      </c>
      <c r="D1012" s="61">
        <v>40</v>
      </c>
    </row>
    <row r="1013" spans="1:4" x14ac:dyDescent="0.2">
      <c r="A1013" s="62" t="s">
        <v>16</v>
      </c>
      <c r="B1013" s="61" t="s">
        <v>2584</v>
      </c>
      <c r="C1013" s="62" t="s">
        <v>2585</v>
      </c>
      <c r="D1013" s="61">
        <v>40</v>
      </c>
    </row>
    <row r="1014" spans="1:4" x14ac:dyDescent="0.2">
      <c r="A1014" s="61" t="s">
        <v>16</v>
      </c>
      <c r="B1014" s="61" t="s">
        <v>2586</v>
      </c>
      <c r="C1014" s="62" t="s">
        <v>2587</v>
      </c>
      <c r="D1014" s="61">
        <v>40</v>
      </c>
    </row>
    <row r="1015" spans="1:4" x14ac:dyDescent="0.2">
      <c r="A1015" s="62" t="s">
        <v>16</v>
      </c>
      <c r="B1015" s="61" t="s">
        <v>2588</v>
      </c>
      <c r="C1015" s="62" t="s">
        <v>2589</v>
      </c>
      <c r="D1015" s="61">
        <v>40</v>
      </c>
    </row>
    <row r="1016" spans="1:4" x14ac:dyDescent="0.2">
      <c r="A1016" s="61" t="s">
        <v>16</v>
      </c>
      <c r="B1016" s="61" t="s">
        <v>2590</v>
      </c>
      <c r="C1016" s="62" t="s">
        <v>2591</v>
      </c>
      <c r="D1016" s="61">
        <v>40</v>
      </c>
    </row>
    <row r="1017" spans="1:4" x14ac:dyDescent="0.2">
      <c r="A1017" s="62" t="s">
        <v>16</v>
      </c>
      <c r="B1017" s="61" t="s">
        <v>2592</v>
      </c>
      <c r="C1017" s="62" t="s">
        <v>2593</v>
      </c>
      <c r="D1017" s="61">
        <v>40</v>
      </c>
    </row>
    <row r="1018" spans="1:4" x14ac:dyDescent="0.2">
      <c r="A1018" s="61" t="s">
        <v>16</v>
      </c>
      <c r="B1018" s="61" t="s">
        <v>2594</v>
      </c>
      <c r="C1018" s="62" t="s">
        <v>2595</v>
      </c>
      <c r="D1018" s="61">
        <v>40</v>
      </c>
    </row>
    <row r="1019" spans="1:4" x14ac:dyDescent="0.2">
      <c r="A1019" s="62" t="s">
        <v>16</v>
      </c>
      <c r="B1019" s="61" t="s">
        <v>2596</v>
      </c>
      <c r="C1019" s="62" t="s">
        <v>2597</v>
      </c>
      <c r="D1019" s="61">
        <v>40</v>
      </c>
    </row>
    <row r="1020" spans="1:4" x14ac:dyDescent="0.2">
      <c r="A1020" s="61" t="s">
        <v>16</v>
      </c>
      <c r="B1020" s="61" t="s">
        <v>2598</v>
      </c>
      <c r="C1020" s="62" t="s">
        <v>2599</v>
      </c>
      <c r="D1020" s="61">
        <v>40</v>
      </c>
    </row>
    <row r="1021" spans="1:4" x14ac:dyDescent="0.2">
      <c r="A1021" s="62" t="s">
        <v>16</v>
      </c>
      <c r="B1021" s="61" t="s">
        <v>2600</v>
      </c>
      <c r="C1021" s="62" t="s">
        <v>2601</v>
      </c>
      <c r="D1021" s="61">
        <v>40</v>
      </c>
    </row>
    <row r="1022" spans="1:4" x14ac:dyDescent="0.2">
      <c r="A1022" s="61" t="s">
        <v>16</v>
      </c>
      <c r="B1022" s="61" t="s">
        <v>2602</v>
      </c>
      <c r="C1022" s="62" t="s">
        <v>2603</v>
      </c>
      <c r="D1022" s="61">
        <v>40</v>
      </c>
    </row>
    <row r="1023" spans="1:4" x14ac:dyDescent="0.2">
      <c r="A1023" s="62" t="s">
        <v>16</v>
      </c>
      <c r="B1023" s="61" t="s">
        <v>2604</v>
      </c>
      <c r="C1023" s="62" t="s">
        <v>2605</v>
      </c>
      <c r="D1023" s="61">
        <v>40</v>
      </c>
    </row>
    <row r="1024" spans="1:4" x14ac:dyDescent="0.2">
      <c r="A1024" s="61" t="s">
        <v>16</v>
      </c>
      <c r="B1024" s="61" t="s">
        <v>2606</v>
      </c>
      <c r="C1024" s="62" t="s">
        <v>2607</v>
      </c>
      <c r="D1024" s="61">
        <v>40</v>
      </c>
    </row>
    <row r="1025" spans="1:4" x14ac:dyDescent="0.2">
      <c r="A1025" s="62" t="s">
        <v>16</v>
      </c>
      <c r="B1025" s="61" t="s">
        <v>2608</v>
      </c>
      <c r="C1025" s="62" t="s">
        <v>2609</v>
      </c>
      <c r="D1025" s="61">
        <v>40</v>
      </c>
    </row>
    <row r="1026" spans="1:4" x14ac:dyDescent="0.2">
      <c r="A1026" s="61" t="s">
        <v>16</v>
      </c>
      <c r="B1026" s="61" t="s">
        <v>2610</v>
      </c>
      <c r="C1026" s="62" t="s">
        <v>2611</v>
      </c>
      <c r="D1026" s="61">
        <v>40</v>
      </c>
    </row>
    <row r="1027" spans="1:4" x14ac:dyDescent="0.2">
      <c r="A1027" s="62" t="s">
        <v>16</v>
      </c>
      <c r="B1027" s="61" t="s">
        <v>2612</v>
      </c>
      <c r="C1027" s="62" t="s">
        <v>2613</v>
      </c>
      <c r="D1027" s="61">
        <v>40</v>
      </c>
    </row>
    <row r="1028" spans="1:4" x14ac:dyDescent="0.2">
      <c r="A1028" s="61" t="s">
        <v>16</v>
      </c>
      <c r="B1028" s="61" t="s">
        <v>2614</v>
      </c>
      <c r="C1028" s="62" t="s">
        <v>5392</v>
      </c>
      <c r="D1028" s="61">
        <v>40</v>
      </c>
    </row>
    <row r="1029" spans="1:4" x14ac:dyDescent="0.2">
      <c r="A1029" s="62" t="s">
        <v>16</v>
      </c>
      <c r="B1029" s="61" t="s">
        <v>2615</v>
      </c>
      <c r="C1029" s="62" t="s">
        <v>4894</v>
      </c>
      <c r="D1029" s="61">
        <v>40</v>
      </c>
    </row>
    <row r="1030" spans="1:4" x14ac:dyDescent="0.2">
      <c r="A1030" s="61" t="s">
        <v>16</v>
      </c>
      <c r="B1030" s="61" t="s">
        <v>2616</v>
      </c>
      <c r="C1030" s="62" t="s">
        <v>4882</v>
      </c>
      <c r="D1030" s="61">
        <v>40</v>
      </c>
    </row>
    <row r="1031" spans="1:4" x14ac:dyDescent="0.2">
      <c r="A1031" s="62" t="s">
        <v>16</v>
      </c>
      <c r="B1031" s="61" t="s">
        <v>2617</v>
      </c>
      <c r="C1031" s="62" t="s">
        <v>2551</v>
      </c>
      <c r="D1031" s="61">
        <v>40</v>
      </c>
    </row>
    <row r="1032" spans="1:4" x14ac:dyDescent="0.2">
      <c r="A1032" s="61" t="s">
        <v>16</v>
      </c>
      <c r="B1032" s="61" t="s">
        <v>2618</v>
      </c>
      <c r="C1032" s="62" t="s">
        <v>2619</v>
      </c>
      <c r="D1032" s="61">
        <v>40</v>
      </c>
    </row>
    <row r="1033" spans="1:4" x14ac:dyDescent="0.2">
      <c r="A1033" s="62" t="s">
        <v>16</v>
      </c>
      <c r="B1033" s="61" t="s">
        <v>2620</v>
      </c>
      <c r="C1033" s="62" t="s">
        <v>2621</v>
      </c>
      <c r="D1033" s="61">
        <v>40</v>
      </c>
    </row>
    <row r="1034" spans="1:4" x14ac:dyDescent="0.2">
      <c r="A1034" s="61" t="s">
        <v>16</v>
      </c>
      <c r="B1034" s="61" t="s">
        <v>2622</v>
      </c>
      <c r="C1034" s="62" t="s">
        <v>4900</v>
      </c>
      <c r="D1034" s="61">
        <v>40</v>
      </c>
    </row>
    <row r="1035" spans="1:4" x14ac:dyDescent="0.2">
      <c r="A1035" s="62" t="s">
        <v>16</v>
      </c>
      <c r="B1035" s="61" t="s">
        <v>2623</v>
      </c>
      <c r="C1035" s="62" t="s">
        <v>4883</v>
      </c>
      <c r="D1035" s="61">
        <v>50</v>
      </c>
    </row>
    <row r="1036" spans="1:4" x14ac:dyDescent="0.2">
      <c r="A1036" s="61" t="s">
        <v>16</v>
      </c>
      <c r="B1036" s="61" t="s">
        <v>2624</v>
      </c>
      <c r="C1036" s="62" t="s">
        <v>2625</v>
      </c>
      <c r="D1036" s="61">
        <v>40</v>
      </c>
    </row>
    <row r="1037" spans="1:4" x14ac:dyDescent="0.2">
      <c r="A1037" s="62" t="s">
        <v>16</v>
      </c>
      <c r="B1037" s="61" t="s">
        <v>2626</v>
      </c>
      <c r="C1037" s="62" t="s">
        <v>2627</v>
      </c>
      <c r="D1037" s="61">
        <v>40</v>
      </c>
    </row>
    <row r="1038" spans="1:4" x14ac:dyDescent="0.2">
      <c r="A1038" s="61" t="s">
        <v>16</v>
      </c>
      <c r="B1038" s="61" t="s">
        <v>2628</v>
      </c>
      <c r="C1038" s="62" t="s">
        <v>5393</v>
      </c>
      <c r="D1038" s="61">
        <v>40</v>
      </c>
    </row>
    <row r="1039" spans="1:4" x14ac:dyDescent="0.2">
      <c r="A1039" s="62" t="s">
        <v>16</v>
      </c>
      <c r="B1039" s="61" t="s">
        <v>2629</v>
      </c>
      <c r="C1039" s="62" t="s">
        <v>5394</v>
      </c>
      <c r="D1039" s="61">
        <v>40</v>
      </c>
    </row>
    <row r="1040" spans="1:4" x14ac:dyDescent="0.2">
      <c r="A1040" s="61" t="s">
        <v>16</v>
      </c>
      <c r="B1040" s="61" t="s">
        <v>2630</v>
      </c>
      <c r="C1040" s="62" t="s">
        <v>5395</v>
      </c>
      <c r="D1040" s="61">
        <v>40</v>
      </c>
    </row>
    <row r="1041" spans="1:4" x14ac:dyDescent="0.2">
      <c r="A1041" s="62" t="s">
        <v>16</v>
      </c>
      <c r="B1041" s="61" t="s">
        <v>2631</v>
      </c>
      <c r="C1041" s="62" t="s">
        <v>2632</v>
      </c>
      <c r="D1041" s="61">
        <v>40</v>
      </c>
    </row>
    <row r="1042" spans="1:4" x14ac:dyDescent="0.2">
      <c r="A1042" s="61" t="s">
        <v>16</v>
      </c>
      <c r="B1042" s="61" t="s">
        <v>2633</v>
      </c>
      <c r="C1042" s="62" t="s">
        <v>2634</v>
      </c>
      <c r="D1042" s="61">
        <v>40</v>
      </c>
    </row>
    <row r="1043" spans="1:4" x14ac:dyDescent="0.2">
      <c r="A1043" s="62" t="s">
        <v>16</v>
      </c>
      <c r="B1043" s="61" t="s">
        <v>2635</v>
      </c>
      <c r="C1043" s="62" t="s">
        <v>5396</v>
      </c>
      <c r="D1043" s="61">
        <v>40</v>
      </c>
    </row>
    <row r="1044" spans="1:4" x14ac:dyDescent="0.2">
      <c r="A1044" s="61" t="s">
        <v>16</v>
      </c>
      <c r="B1044" s="61" t="s">
        <v>2636</v>
      </c>
      <c r="C1044" s="62" t="s">
        <v>2637</v>
      </c>
      <c r="D1044" s="61">
        <v>40</v>
      </c>
    </row>
    <row r="1045" spans="1:4" x14ac:dyDescent="0.2">
      <c r="A1045" s="62" t="s">
        <v>16</v>
      </c>
      <c r="B1045" s="61" t="s">
        <v>2638</v>
      </c>
      <c r="C1045" s="62" t="s">
        <v>2639</v>
      </c>
      <c r="D1045" s="61">
        <v>40</v>
      </c>
    </row>
    <row r="1046" spans="1:4" x14ac:dyDescent="0.2">
      <c r="A1046" s="61" t="s">
        <v>16</v>
      </c>
      <c r="B1046" s="61" t="s">
        <v>2640</v>
      </c>
      <c r="C1046" s="62" t="s">
        <v>2641</v>
      </c>
      <c r="D1046" s="61">
        <v>40</v>
      </c>
    </row>
    <row r="1047" spans="1:4" x14ac:dyDescent="0.2">
      <c r="A1047" s="62" t="s">
        <v>16</v>
      </c>
      <c r="B1047" s="61" t="s">
        <v>2642</v>
      </c>
      <c r="C1047" s="62" t="s">
        <v>2643</v>
      </c>
      <c r="D1047" s="61">
        <v>40</v>
      </c>
    </row>
    <row r="1048" spans="1:4" x14ac:dyDescent="0.2">
      <c r="A1048" s="61" t="s">
        <v>16</v>
      </c>
      <c r="B1048" s="61" t="s">
        <v>2644</v>
      </c>
      <c r="C1048" s="62" t="s">
        <v>2645</v>
      </c>
      <c r="D1048" s="61">
        <v>40</v>
      </c>
    </row>
    <row r="1049" spans="1:4" x14ac:dyDescent="0.2">
      <c r="A1049" s="62" t="s">
        <v>16</v>
      </c>
      <c r="B1049" s="61" t="s">
        <v>2646</v>
      </c>
      <c r="C1049" s="62" t="s">
        <v>2647</v>
      </c>
      <c r="D1049" s="61">
        <v>40</v>
      </c>
    </row>
    <row r="1050" spans="1:4" x14ac:dyDescent="0.2">
      <c r="A1050" s="61" t="s">
        <v>16</v>
      </c>
      <c r="B1050" s="61" t="s">
        <v>2648</v>
      </c>
      <c r="C1050" s="62" t="s">
        <v>2649</v>
      </c>
      <c r="D1050" s="61">
        <v>40</v>
      </c>
    </row>
    <row r="1051" spans="1:4" x14ac:dyDescent="0.2">
      <c r="A1051" s="62" t="s">
        <v>16</v>
      </c>
      <c r="B1051" s="61" t="s">
        <v>2650</v>
      </c>
      <c r="C1051" s="62" t="s">
        <v>2651</v>
      </c>
      <c r="D1051" s="61">
        <v>40</v>
      </c>
    </row>
    <row r="1052" spans="1:4" x14ac:dyDescent="0.2">
      <c r="A1052" s="61" t="s">
        <v>16</v>
      </c>
      <c r="B1052" s="61" t="s">
        <v>2652</v>
      </c>
      <c r="C1052" s="62" t="s">
        <v>2653</v>
      </c>
      <c r="D1052" s="61">
        <v>40</v>
      </c>
    </row>
    <row r="1053" spans="1:4" x14ac:dyDescent="0.2">
      <c r="A1053" s="62" t="s">
        <v>16</v>
      </c>
      <c r="B1053" s="61" t="s">
        <v>2654</v>
      </c>
      <c r="C1053" s="62" t="s">
        <v>2655</v>
      </c>
      <c r="D1053" s="61">
        <v>40</v>
      </c>
    </row>
    <row r="1054" spans="1:4" x14ac:dyDescent="0.2">
      <c r="A1054" s="61" t="s">
        <v>16</v>
      </c>
      <c r="B1054" s="61" t="s">
        <v>2656</v>
      </c>
      <c r="C1054" s="62" t="s">
        <v>2657</v>
      </c>
      <c r="D1054" s="61">
        <v>40</v>
      </c>
    </row>
    <row r="1055" spans="1:4" x14ac:dyDescent="0.2">
      <c r="A1055" s="62" t="s">
        <v>16</v>
      </c>
      <c r="B1055" s="61" t="s">
        <v>2658</v>
      </c>
      <c r="C1055" s="62" t="s">
        <v>2659</v>
      </c>
      <c r="D1055" s="61">
        <v>40</v>
      </c>
    </row>
    <row r="1056" spans="1:4" x14ac:dyDescent="0.2">
      <c r="A1056" s="61" t="s">
        <v>16</v>
      </c>
      <c r="B1056" s="61" t="s">
        <v>2660</v>
      </c>
      <c r="C1056" s="62" t="s">
        <v>2661</v>
      </c>
      <c r="D1056" s="61">
        <v>40</v>
      </c>
    </row>
    <row r="1057" spans="1:4" x14ac:dyDescent="0.2">
      <c r="A1057" s="62" t="s">
        <v>16</v>
      </c>
      <c r="B1057" s="61" t="s">
        <v>2662</v>
      </c>
      <c r="C1057" s="62" t="s">
        <v>2663</v>
      </c>
      <c r="D1057" s="61">
        <v>40</v>
      </c>
    </row>
    <row r="1058" spans="1:4" x14ac:dyDescent="0.2">
      <c r="A1058" s="61" t="s">
        <v>16</v>
      </c>
      <c r="B1058" s="61" t="s">
        <v>2664</v>
      </c>
      <c r="C1058" s="62" t="s">
        <v>5397</v>
      </c>
      <c r="D1058" s="61">
        <v>40</v>
      </c>
    </row>
    <row r="1059" spans="1:4" x14ac:dyDescent="0.2">
      <c r="A1059" s="62" t="s">
        <v>16</v>
      </c>
      <c r="B1059" s="61" t="s">
        <v>2665</v>
      </c>
      <c r="C1059" s="62" t="s">
        <v>5398</v>
      </c>
      <c r="D1059" s="61">
        <v>40</v>
      </c>
    </row>
    <row r="1060" spans="1:4" x14ac:dyDescent="0.2">
      <c r="A1060" s="61" t="s">
        <v>16</v>
      </c>
      <c r="B1060" s="61" t="s">
        <v>2666</v>
      </c>
      <c r="C1060" s="62" t="s">
        <v>5399</v>
      </c>
      <c r="D1060" s="61">
        <v>40</v>
      </c>
    </row>
    <row r="1061" spans="1:4" x14ac:dyDescent="0.2">
      <c r="A1061" s="62" t="s">
        <v>16</v>
      </c>
      <c r="B1061" s="61" t="s">
        <v>2667</v>
      </c>
      <c r="C1061" s="62" t="s">
        <v>5400</v>
      </c>
      <c r="D1061" s="61">
        <v>40</v>
      </c>
    </row>
    <row r="1062" spans="1:4" x14ac:dyDescent="0.2">
      <c r="A1062" s="61" t="s">
        <v>16</v>
      </c>
      <c r="B1062" s="61" t="s">
        <v>2668</v>
      </c>
      <c r="C1062" s="62" t="s">
        <v>5401</v>
      </c>
      <c r="D1062" s="61">
        <v>40</v>
      </c>
    </row>
    <row r="1063" spans="1:4" x14ac:dyDescent="0.2">
      <c r="A1063" s="62" t="s">
        <v>16</v>
      </c>
      <c r="B1063" s="61" t="s">
        <v>2669</v>
      </c>
      <c r="C1063" s="62" t="s">
        <v>5402</v>
      </c>
      <c r="D1063" s="61">
        <v>40</v>
      </c>
    </row>
    <row r="1064" spans="1:4" x14ac:dyDescent="0.2">
      <c r="A1064" s="61" t="s">
        <v>16</v>
      </c>
      <c r="B1064" s="61" t="s">
        <v>2670</v>
      </c>
      <c r="C1064" s="62" t="s">
        <v>5403</v>
      </c>
      <c r="D1064" s="61">
        <v>40</v>
      </c>
    </row>
    <row r="1065" spans="1:4" x14ac:dyDescent="0.2">
      <c r="A1065" s="62" t="s">
        <v>16</v>
      </c>
      <c r="B1065" s="61" t="s">
        <v>2671</v>
      </c>
      <c r="C1065" s="62" t="s">
        <v>2672</v>
      </c>
      <c r="D1065" s="61">
        <v>40</v>
      </c>
    </row>
    <row r="1066" spans="1:4" x14ac:dyDescent="0.2">
      <c r="A1066" s="61" t="s">
        <v>16</v>
      </c>
      <c r="B1066" s="61" t="s">
        <v>2673</v>
      </c>
      <c r="C1066" s="62" t="s">
        <v>2674</v>
      </c>
      <c r="D1066" s="61">
        <v>40</v>
      </c>
    </row>
    <row r="1067" spans="1:4" x14ac:dyDescent="0.2">
      <c r="A1067" s="62" t="s">
        <v>16</v>
      </c>
      <c r="B1067" s="61" t="s">
        <v>2675</v>
      </c>
      <c r="C1067" s="62" t="s">
        <v>2676</v>
      </c>
      <c r="D1067" s="61">
        <v>40</v>
      </c>
    </row>
    <row r="1068" spans="1:4" x14ac:dyDescent="0.2">
      <c r="A1068" s="61" t="s">
        <v>16</v>
      </c>
      <c r="B1068" s="61" t="s">
        <v>2677</v>
      </c>
      <c r="C1068" s="62" t="s">
        <v>2678</v>
      </c>
      <c r="D1068" s="61">
        <v>40</v>
      </c>
    </row>
    <row r="1069" spans="1:4" x14ac:dyDescent="0.2">
      <c r="A1069" s="62" t="s">
        <v>16</v>
      </c>
      <c r="B1069" s="61" t="s">
        <v>2679</v>
      </c>
      <c r="C1069" s="62" t="s">
        <v>2680</v>
      </c>
      <c r="D1069" s="61">
        <v>40</v>
      </c>
    </row>
    <row r="1070" spans="1:4" x14ac:dyDescent="0.2">
      <c r="A1070" s="61" t="s">
        <v>16</v>
      </c>
      <c r="B1070" s="61" t="s">
        <v>2681</v>
      </c>
      <c r="C1070" s="62" t="s">
        <v>2682</v>
      </c>
      <c r="D1070" s="61">
        <v>40</v>
      </c>
    </row>
    <row r="1071" spans="1:4" x14ac:dyDescent="0.2">
      <c r="A1071" s="62" t="s">
        <v>16</v>
      </c>
      <c r="B1071" s="61" t="s">
        <v>2683</v>
      </c>
      <c r="C1071" s="62" t="s">
        <v>2684</v>
      </c>
      <c r="D1071" s="61">
        <v>40</v>
      </c>
    </row>
    <row r="1072" spans="1:4" x14ac:dyDescent="0.2">
      <c r="A1072" s="61" t="s">
        <v>16</v>
      </c>
      <c r="B1072" s="61" t="s">
        <v>2685</v>
      </c>
      <c r="C1072" s="62" t="s">
        <v>2686</v>
      </c>
      <c r="D1072" s="61">
        <v>40</v>
      </c>
    </row>
    <row r="1073" spans="1:4" x14ac:dyDescent="0.2">
      <c r="A1073" s="62" t="s">
        <v>16</v>
      </c>
      <c r="B1073" s="61" t="s">
        <v>2687</v>
      </c>
      <c r="C1073" s="62" t="s">
        <v>2688</v>
      </c>
      <c r="D1073" s="61">
        <v>40</v>
      </c>
    </row>
    <row r="1074" spans="1:4" x14ac:dyDescent="0.2">
      <c r="A1074" s="61" t="s">
        <v>16</v>
      </c>
      <c r="B1074" s="61" t="s">
        <v>2689</v>
      </c>
      <c r="C1074" s="62" t="s">
        <v>2690</v>
      </c>
      <c r="D1074" s="61">
        <v>40</v>
      </c>
    </row>
    <row r="1075" spans="1:4" x14ac:dyDescent="0.2">
      <c r="A1075" s="62" t="s">
        <v>16</v>
      </c>
      <c r="B1075" s="61" t="s">
        <v>2691</v>
      </c>
      <c r="C1075" s="62" t="s">
        <v>2692</v>
      </c>
      <c r="D1075" s="61">
        <v>40</v>
      </c>
    </row>
    <row r="1076" spans="1:4" x14ac:dyDescent="0.2">
      <c r="A1076" s="61" t="s">
        <v>16</v>
      </c>
      <c r="B1076" s="61" t="s">
        <v>2693</v>
      </c>
      <c r="C1076" s="62" t="s">
        <v>2694</v>
      </c>
      <c r="D1076" s="61">
        <v>40</v>
      </c>
    </row>
    <row r="1077" spans="1:4" x14ac:dyDescent="0.2">
      <c r="A1077" s="62" t="s">
        <v>16</v>
      </c>
      <c r="B1077" s="61" t="s">
        <v>2695</v>
      </c>
      <c r="C1077" s="62" t="s">
        <v>2696</v>
      </c>
      <c r="D1077" s="61">
        <v>40</v>
      </c>
    </row>
    <row r="1078" spans="1:4" x14ac:dyDescent="0.2">
      <c r="A1078" s="61" t="s">
        <v>16</v>
      </c>
      <c r="B1078" s="61" t="s">
        <v>2697</v>
      </c>
      <c r="C1078" s="62" t="s">
        <v>2698</v>
      </c>
      <c r="D1078" s="61">
        <v>40</v>
      </c>
    </row>
    <row r="1079" spans="1:4" x14ac:dyDescent="0.2">
      <c r="A1079" s="62" t="s">
        <v>16</v>
      </c>
      <c r="B1079" s="61" t="s">
        <v>2699</v>
      </c>
      <c r="C1079" s="62" t="s">
        <v>5404</v>
      </c>
      <c r="D1079" s="61">
        <v>40</v>
      </c>
    </row>
    <row r="1080" spans="1:4" x14ac:dyDescent="0.2">
      <c r="A1080" s="61" t="s">
        <v>16</v>
      </c>
      <c r="B1080" s="61" t="s">
        <v>2700</v>
      </c>
      <c r="C1080" s="62" t="s">
        <v>5405</v>
      </c>
      <c r="D1080" s="61">
        <v>40</v>
      </c>
    </row>
    <row r="1081" spans="1:4" x14ac:dyDescent="0.2">
      <c r="A1081" s="62" t="s">
        <v>16</v>
      </c>
      <c r="B1081" s="61" t="s">
        <v>2701</v>
      </c>
      <c r="C1081" s="62" t="s">
        <v>5406</v>
      </c>
      <c r="D1081" s="61">
        <v>40</v>
      </c>
    </row>
    <row r="1082" spans="1:4" x14ac:dyDescent="0.2">
      <c r="A1082" s="61" t="s">
        <v>16</v>
      </c>
      <c r="B1082" s="61" t="s">
        <v>2702</v>
      </c>
      <c r="C1082" s="62" t="s">
        <v>2703</v>
      </c>
      <c r="D1082" s="61">
        <v>40</v>
      </c>
    </row>
    <row r="1083" spans="1:4" x14ac:dyDescent="0.2">
      <c r="A1083" s="62" t="s">
        <v>16</v>
      </c>
      <c r="B1083" s="61" t="s">
        <v>2704</v>
      </c>
      <c r="C1083" s="62" t="s">
        <v>2705</v>
      </c>
      <c r="D1083" s="61">
        <v>40</v>
      </c>
    </row>
    <row r="1084" spans="1:4" x14ac:dyDescent="0.2">
      <c r="A1084" s="61" t="s">
        <v>16</v>
      </c>
      <c r="B1084" s="61" t="s">
        <v>2706</v>
      </c>
      <c r="C1084" s="62" t="s">
        <v>5407</v>
      </c>
      <c r="D1084" s="61">
        <v>40</v>
      </c>
    </row>
    <row r="1085" spans="1:4" x14ac:dyDescent="0.2">
      <c r="A1085" s="62" t="s">
        <v>16</v>
      </c>
      <c r="B1085" s="61" t="s">
        <v>2707</v>
      </c>
      <c r="C1085" s="62" t="s">
        <v>5408</v>
      </c>
      <c r="D1085" s="61">
        <v>40</v>
      </c>
    </row>
    <row r="1086" spans="1:4" x14ac:dyDescent="0.2">
      <c r="A1086" s="61" t="s">
        <v>16</v>
      </c>
      <c r="B1086" s="61" t="s">
        <v>2708</v>
      </c>
      <c r="C1086" s="62" t="s">
        <v>5409</v>
      </c>
      <c r="D1086" s="61">
        <v>40</v>
      </c>
    </row>
    <row r="1087" spans="1:4" x14ac:dyDescent="0.2">
      <c r="A1087" s="62" t="s">
        <v>16</v>
      </c>
      <c r="B1087" s="61" t="s">
        <v>2709</v>
      </c>
      <c r="C1087" s="62" t="s">
        <v>5410</v>
      </c>
      <c r="D1087" s="61">
        <v>40</v>
      </c>
    </row>
    <row r="1088" spans="1:4" x14ac:dyDescent="0.2">
      <c r="A1088" s="61" t="s">
        <v>16</v>
      </c>
      <c r="B1088" s="61" t="s">
        <v>2710</v>
      </c>
      <c r="C1088" s="62" t="s">
        <v>2711</v>
      </c>
      <c r="D1088" s="61">
        <v>40</v>
      </c>
    </row>
    <row r="1089" spans="1:4" x14ac:dyDescent="0.2">
      <c r="A1089" s="62" t="s">
        <v>16</v>
      </c>
      <c r="B1089" s="61" t="s">
        <v>2712</v>
      </c>
      <c r="C1089" s="62" t="s">
        <v>2713</v>
      </c>
      <c r="D1089" s="61">
        <v>40</v>
      </c>
    </row>
    <row r="1090" spans="1:4" x14ac:dyDescent="0.2">
      <c r="A1090" s="61" t="s">
        <v>16</v>
      </c>
      <c r="B1090" s="61" t="s">
        <v>2714</v>
      </c>
      <c r="C1090" s="62" t="s">
        <v>2715</v>
      </c>
      <c r="D1090" s="61">
        <v>40</v>
      </c>
    </row>
    <row r="1091" spans="1:4" x14ac:dyDescent="0.2">
      <c r="A1091" s="62" t="s">
        <v>16</v>
      </c>
      <c r="B1091" s="61" t="s">
        <v>2716</v>
      </c>
      <c r="C1091" s="62" t="s">
        <v>2717</v>
      </c>
      <c r="D1091" s="61">
        <v>40</v>
      </c>
    </row>
    <row r="1092" spans="1:4" x14ac:dyDescent="0.2">
      <c r="A1092" s="61" t="s">
        <v>16</v>
      </c>
      <c r="B1092" s="61" t="s">
        <v>2718</v>
      </c>
      <c r="C1092" s="62" t="s">
        <v>2719</v>
      </c>
      <c r="D1092" s="61">
        <v>40</v>
      </c>
    </row>
    <row r="1093" spans="1:4" x14ac:dyDescent="0.2">
      <c r="A1093" s="62" t="s">
        <v>16</v>
      </c>
      <c r="B1093" s="61" t="s">
        <v>2720</v>
      </c>
      <c r="C1093" s="62" t="s">
        <v>2721</v>
      </c>
      <c r="D1093" s="61">
        <v>40</v>
      </c>
    </row>
    <row r="1094" spans="1:4" x14ac:dyDescent="0.2">
      <c r="A1094" s="61" t="s">
        <v>16</v>
      </c>
      <c r="B1094" s="61" t="s">
        <v>2722</v>
      </c>
      <c r="C1094" s="62" t="s">
        <v>2723</v>
      </c>
      <c r="D1094" s="61">
        <v>40</v>
      </c>
    </row>
    <row r="1095" spans="1:4" x14ac:dyDescent="0.2">
      <c r="A1095" s="62" t="s">
        <v>16</v>
      </c>
      <c r="B1095" s="61" t="s">
        <v>2724</v>
      </c>
      <c r="C1095" s="62" t="s">
        <v>2725</v>
      </c>
      <c r="D1095" s="61">
        <v>40</v>
      </c>
    </row>
    <row r="1096" spans="1:4" x14ac:dyDescent="0.2">
      <c r="A1096" s="61" t="s">
        <v>16</v>
      </c>
      <c r="B1096" s="61" t="s">
        <v>2726</v>
      </c>
      <c r="C1096" s="62" t="s">
        <v>4905</v>
      </c>
      <c r="D1096" s="61">
        <v>40</v>
      </c>
    </row>
    <row r="1097" spans="1:4" x14ac:dyDescent="0.2">
      <c r="A1097" s="62" t="s">
        <v>16</v>
      </c>
      <c r="B1097" s="61" t="s">
        <v>2727</v>
      </c>
      <c r="C1097" s="62" t="s">
        <v>4906</v>
      </c>
      <c r="D1097" s="61">
        <v>40</v>
      </c>
    </row>
    <row r="1098" spans="1:4" x14ac:dyDescent="0.2">
      <c r="A1098" s="61" t="s">
        <v>16</v>
      </c>
      <c r="B1098" s="61" t="s">
        <v>2728</v>
      </c>
      <c r="C1098" s="62" t="s">
        <v>2729</v>
      </c>
      <c r="D1098" s="61">
        <v>40</v>
      </c>
    </row>
    <row r="1099" spans="1:4" x14ac:dyDescent="0.2">
      <c r="A1099" s="62" t="s">
        <v>16</v>
      </c>
      <c r="B1099" s="61" t="s">
        <v>889</v>
      </c>
      <c r="C1099" s="62" t="s">
        <v>5411</v>
      </c>
      <c r="D1099" s="61">
        <v>50</v>
      </c>
    </row>
    <row r="1100" spans="1:4" x14ac:dyDescent="0.2">
      <c r="A1100" s="61" t="s">
        <v>16</v>
      </c>
      <c r="B1100" s="61" t="s">
        <v>890</v>
      </c>
      <c r="C1100" s="62" t="s">
        <v>5412</v>
      </c>
      <c r="D1100" s="61">
        <v>50</v>
      </c>
    </row>
    <row r="1101" spans="1:4" x14ac:dyDescent="0.2">
      <c r="A1101" s="62" t="s">
        <v>16</v>
      </c>
      <c r="B1101" s="61" t="s">
        <v>2730</v>
      </c>
      <c r="C1101" s="62" t="s">
        <v>5413</v>
      </c>
      <c r="D1101" s="61">
        <v>40</v>
      </c>
    </row>
    <row r="1102" spans="1:4" x14ac:dyDescent="0.2">
      <c r="A1102" s="61" t="s">
        <v>16</v>
      </c>
      <c r="B1102" s="61" t="s">
        <v>2731</v>
      </c>
      <c r="C1102" s="62" t="s">
        <v>2732</v>
      </c>
      <c r="D1102" s="61">
        <v>40</v>
      </c>
    </row>
    <row r="1103" spans="1:4" x14ac:dyDescent="0.2">
      <c r="A1103" s="62" t="s">
        <v>16</v>
      </c>
      <c r="B1103" s="61" t="s">
        <v>2733</v>
      </c>
      <c r="C1103" s="62" t="s">
        <v>2734</v>
      </c>
      <c r="D1103" s="61">
        <v>40</v>
      </c>
    </row>
    <row r="1104" spans="1:4" x14ac:dyDescent="0.2">
      <c r="A1104" s="61" t="s">
        <v>16</v>
      </c>
      <c r="B1104" s="61" t="s">
        <v>2735</v>
      </c>
      <c r="C1104" s="62" t="s">
        <v>5414</v>
      </c>
      <c r="D1104" s="61">
        <v>40</v>
      </c>
    </row>
    <row r="1105" spans="1:4" x14ac:dyDescent="0.2">
      <c r="A1105" s="62" t="s">
        <v>16</v>
      </c>
      <c r="B1105" s="61" t="s">
        <v>2736</v>
      </c>
      <c r="C1105" s="62" t="s">
        <v>2217</v>
      </c>
      <c r="D1105" s="61">
        <v>40</v>
      </c>
    </row>
    <row r="1106" spans="1:4" x14ac:dyDescent="0.2">
      <c r="A1106" s="61" t="s">
        <v>16</v>
      </c>
      <c r="B1106" s="61" t="s">
        <v>2737</v>
      </c>
      <c r="C1106" s="62" t="s">
        <v>2738</v>
      </c>
      <c r="D1106" s="61">
        <v>80</v>
      </c>
    </row>
    <row r="1107" spans="1:4" x14ac:dyDescent="0.2">
      <c r="A1107" s="62" t="s">
        <v>16</v>
      </c>
      <c r="B1107" s="61" t="s">
        <v>2739</v>
      </c>
      <c r="C1107" s="62" t="s">
        <v>2740</v>
      </c>
      <c r="D1107" s="61">
        <v>80</v>
      </c>
    </row>
    <row r="1108" spans="1:4" x14ac:dyDescent="0.2">
      <c r="A1108" s="61" t="s">
        <v>16</v>
      </c>
      <c r="B1108" s="61" t="s">
        <v>2741</v>
      </c>
      <c r="C1108" s="62" t="s">
        <v>2742</v>
      </c>
      <c r="D1108" s="61">
        <v>80</v>
      </c>
    </row>
    <row r="1109" spans="1:4" x14ac:dyDescent="0.2">
      <c r="A1109" s="62" t="s">
        <v>16</v>
      </c>
      <c r="B1109" s="61" t="s">
        <v>2743</v>
      </c>
      <c r="C1109" s="62" t="s">
        <v>2744</v>
      </c>
      <c r="D1109" s="61">
        <v>40</v>
      </c>
    </row>
    <row r="1110" spans="1:4" x14ac:dyDescent="0.2">
      <c r="A1110" s="61" t="s">
        <v>16</v>
      </c>
      <c r="B1110" s="61" t="s">
        <v>2745</v>
      </c>
      <c r="C1110" s="62" t="s">
        <v>2746</v>
      </c>
      <c r="D1110" s="61">
        <v>40</v>
      </c>
    </row>
    <row r="1111" spans="1:4" x14ac:dyDescent="0.2">
      <c r="A1111" s="62" t="s">
        <v>16</v>
      </c>
      <c r="B1111" s="61" t="s">
        <v>2747</v>
      </c>
      <c r="C1111" s="62" t="s">
        <v>2748</v>
      </c>
      <c r="D1111" s="61">
        <v>40</v>
      </c>
    </row>
    <row r="1112" spans="1:4" x14ac:dyDescent="0.2">
      <c r="A1112" s="61" t="s">
        <v>16</v>
      </c>
      <c r="B1112" s="61" t="s">
        <v>2749</v>
      </c>
      <c r="C1112" s="62" t="s">
        <v>2750</v>
      </c>
      <c r="D1112" s="61">
        <v>40</v>
      </c>
    </row>
    <row r="1113" spans="1:4" x14ac:dyDescent="0.2">
      <c r="A1113" s="62" t="s">
        <v>16</v>
      </c>
      <c r="B1113" s="61" t="s">
        <v>2751</v>
      </c>
      <c r="C1113" s="62" t="s">
        <v>5415</v>
      </c>
      <c r="D1113" s="61">
        <v>40</v>
      </c>
    </row>
    <row r="1114" spans="1:4" x14ac:dyDescent="0.2">
      <c r="A1114" s="61" t="s">
        <v>16</v>
      </c>
      <c r="B1114" s="61" t="s">
        <v>2752</v>
      </c>
      <c r="C1114" s="62" t="s">
        <v>2753</v>
      </c>
      <c r="D1114" s="61">
        <v>40</v>
      </c>
    </row>
    <row r="1115" spans="1:4" x14ac:dyDescent="0.2">
      <c r="A1115" s="62" t="s">
        <v>16</v>
      </c>
      <c r="B1115" s="61" t="s">
        <v>2754</v>
      </c>
      <c r="C1115" s="62" t="s">
        <v>2755</v>
      </c>
      <c r="D1115" s="61">
        <v>40</v>
      </c>
    </row>
    <row r="1116" spans="1:4" x14ac:dyDescent="0.2">
      <c r="A1116" s="61" t="s">
        <v>16</v>
      </c>
      <c r="B1116" s="61" t="s">
        <v>2756</v>
      </c>
      <c r="C1116" s="62" t="s">
        <v>2757</v>
      </c>
      <c r="D1116" s="61">
        <v>40</v>
      </c>
    </row>
    <row r="1117" spans="1:4" x14ac:dyDescent="0.2">
      <c r="A1117" s="62" t="s">
        <v>16</v>
      </c>
      <c r="B1117" s="61" t="s">
        <v>2758</v>
      </c>
      <c r="C1117" s="62" t="s">
        <v>2759</v>
      </c>
      <c r="D1117" s="61">
        <v>40</v>
      </c>
    </row>
    <row r="1118" spans="1:4" x14ac:dyDescent="0.2">
      <c r="A1118" s="61" t="s">
        <v>16</v>
      </c>
      <c r="B1118" s="61" t="s">
        <v>2760</v>
      </c>
      <c r="C1118" s="62" t="s">
        <v>2761</v>
      </c>
      <c r="D1118" s="61">
        <v>40</v>
      </c>
    </row>
    <row r="1119" spans="1:4" x14ac:dyDescent="0.2">
      <c r="A1119" s="62" t="s">
        <v>16</v>
      </c>
      <c r="B1119" s="61" t="s">
        <v>2762</v>
      </c>
      <c r="C1119" s="62" t="s">
        <v>2763</v>
      </c>
      <c r="D1119" s="61">
        <v>40</v>
      </c>
    </row>
    <row r="1120" spans="1:4" x14ac:dyDescent="0.2">
      <c r="A1120" s="61" t="s">
        <v>16</v>
      </c>
      <c r="B1120" s="61" t="s">
        <v>2764</v>
      </c>
      <c r="C1120" s="62" t="s">
        <v>2765</v>
      </c>
      <c r="D1120" s="61">
        <v>40</v>
      </c>
    </row>
    <row r="1121" spans="1:4" x14ac:dyDescent="0.2">
      <c r="A1121" s="62" t="s">
        <v>16</v>
      </c>
      <c r="B1121" s="61" t="s">
        <v>2766</v>
      </c>
      <c r="C1121" s="62" t="s">
        <v>2767</v>
      </c>
      <c r="D1121" s="61">
        <v>40</v>
      </c>
    </row>
    <row r="1122" spans="1:4" x14ac:dyDescent="0.2">
      <c r="A1122" s="61" t="s">
        <v>16</v>
      </c>
      <c r="B1122" s="61" t="s">
        <v>2768</v>
      </c>
      <c r="C1122" s="62" t="s">
        <v>2769</v>
      </c>
      <c r="D1122" s="61">
        <v>40</v>
      </c>
    </row>
    <row r="1123" spans="1:4" x14ac:dyDescent="0.2">
      <c r="A1123" s="62" t="s">
        <v>16</v>
      </c>
      <c r="B1123" s="61" t="s">
        <v>2770</v>
      </c>
      <c r="C1123" s="62" t="s">
        <v>2771</v>
      </c>
      <c r="D1123" s="61">
        <v>40</v>
      </c>
    </row>
    <row r="1124" spans="1:4" x14ac:dyDescent="0.2">
      <c r="A1124" s="61" t="s">
        <v>16</v>
      </c>
      <c r="B1124" s="61" t="s">
        <v>2772</v>
      </c>
      <c r="C1124" s="62" t="s">
        <v>2773</v>
      </c>
      <c r="D1124" s="61">
        <v>40</v>
      </c>
    </row>
    <row r="1125" spans="1:4" x14ac:dyDescent="0.2">
      <c r="A1125" s="62" t="s">
        <v>16</v>
      </c>
      <c r="B1125" s="61" t="s">
        <v>2774</v>
      </c>
      <c r="C1125" s="62" t="s">
        <v>2775</v>
      </c>
      <c r="D1125" s="61">
        <v>40</v>
      </c>
    </row>
    <row r="1126" spans="1:4" x14ac:dyDescent="0.2">
      <c r="A1126" s="61" t="s">
        <v>16</v>
      </c>
      <c r="B1126" s="61" t="s">
        <v>2776</v>
      </c>
      <c r="C1126" s="62" t="s">
        <v>2777</v>
      </c>
      <c r="D1126" s="61">
        <v>40</v>
      </c>
    </row>
    <row r="1127" spans="1:4" x14ac:dyDescent="0.2">
      <c r="A1127" s="62" t="s">
        <v>16</v>
      </c>
      <c r="B1127" s="61" t="s">
        <v>2778</v>
      </c>
      <c r="C1127" s="62" t="s">
        <v>2779</v>
      </c>
      <c r="D1127" s="61">
        <v>40</v>
      </c>
    </row>
    <row r="1128" spans="1:4" x14ac:dyDescent="0.2">
      <c r="A1128" s="61" t="s">
        <v>16</v>
      </c>
      <c r="B1128" s="61" t="s">
        <v>2780</v>
      </c>
      <c r="C1128" s="62" t="s">
        <v>2781</v>
      </c>
      <c r="D1128" s="61">
        <v>40</v>
      </c>
    </row>
    <row r="1129" spans="1:4" x14ac:dyDescent="0.2">
      <c r="A1129" s="62" t="s">
        <v>16</v>
      </c>
      <c r="B1129" s="61" t="s">
        <v>2782</v>
      </c>
      <c r="C1129" s="62" t="s">
        <v>2783</v>
      </c>
      <c r="D1129" s="61">
        <v>40</v>
      </c>
    </row>
    <row r="1130" spans="1:4" x14ac:dyDescent="0.2">
      <c r="A1130" s="61" t="s">
        <v>16</v>
      </c>
      <c r="B1130" s="61" t="s">
        <v>2784</v>
      </c>
      <c r="C1130" s="62" t="s">
        <v>2785</v>
      </c>
      <c r="D1130" s="61">
        <v>40</v>
      </c>
    </row>
    <row r="1131" spans="1:4" x14ac:dyDescent="0.2">
      <c r="A1131" s="62" t="s">
        <v>16</v>
      </c>
      <c r="B1131" s="61" t="s">
        <v>2786</v>
      </c>
      <c r="C1131" s="62" t="s">
        <v>2787</v>
      </c>
      <c r="D1131" s="61">
        <v>40</v>
      </c>
    </row>
    <row r="1132" spans="1:4" x14ac:dyDescent="0.2">
      <c r="A1132" s="61" t="s">
        <v>16</v>
      </c>
      <c r="B1132" s="61" t="s">
        <v>2788</v>
      </c>
      <c r="C1132" s="62" t="s">
        <v>2789</v>
      </c>
      <c r="D1132" s="61">
        <v>40</v>
      </c>
    </row>
    <row r="1133" spans="1:4" x14ac:dyDescent="0.2">
      <c r="A1133" s="62" t="s">
        <v>16</v>
      </c>
      <c r="B1133" s="61" t="s">
        <v>2790</v>
      </c>
      <c r="C1133" s="62" t="s">
        <v>2791</v>
      </c>
      <c r="D1133" s="61">
        <v>40</v>
      </c>
    </row>
    <row r="1134" spans="1:4" x14ac:dyDescent="0.2">
      <c r="A1134" s="61" t="s">
        <v>16</v>
      </c>
      <c r="B1134" s="61" t="s">
        <v>2792</v>
      </c>
      <c r="C1134" s="62" t="s">
        <v>2793</v>
      </c>
      <c r="D1134" s="61">
        <v>40</v>
      </c>
    </row>
    <row r="1135" spans="1:4" x14ac:dyDescent="0.2">
      <c r="A1135" s="62" t="s">
        <v>16</v>
      </c>
      <c r="B1135" s="61" t="s">
        <v>2794</v>
      </c>
      <c r="C1135" s="62" t="s">
        <v>2795</v>
      </c>
      <c r="D1135" s="61">
        <v>40</v>
      </c>
    </row>
    <row r="1136" spans="1:4" x14ac:dyDescent="0.2">
      <c r="A1136" s="61" t="s">
        <v>16</v>
      </c>
      <c r="B1136" s="61" t="s">
        <v>2796</v>
      </c>
      <c r="C1136" s="62" t="s">
        <v>2797</v>
      </c>
      <c r="D1136" s="61">
        <v>40</v>
      </c>
    </row>
    <row r="1137" spans="1:4" x14ac:dyDescent="0.2">
      <c r="A1137" s="62" t="s">
        <v>16</v>
      </c>
      <c r="B1137" s="61" t="s">
        <v>2798</v>
      </c>
      <c r="C1137" s="62" t="s">
        <v>2799</v>
      </c>
      <c r="D1137" s="61">
        <v>40</v>
      </c>
    </row>
    <row r="1138" spans="1:4" x14ac:dyDescent="0.2">
      <c r="A1138" s="61" t="s">
        <v>16</v>
      </c>
      <c r="B1138" s="61" t="s">
        <v>2800</v>
      </c>
      <c r="C1138" s="62" t="s">
        <v>2801</v>
      </c>
      <c r="D1138" s="61">
        <v>40</v>
      </c>
    </row>
    <row r="1139" spans="1:4" x14ac:dyDescent="0.2">
      <c r="A1139" s="62" t="s">
        <v>16</v>
      </c>
      <c r="B1139" s="61" t="s">
        <v>2802</v>
      </c>
      <c r="C1139" s="62" t="s">
        <v>2803</v>
      </c>
      <c r="D1139" s="61">
        <v>40</v>
      </c>
    </row>
    <row r="1140" spans="1:4" x14ac:dyDescent="0.2">
      <c r="A1140" s="61" t="s">
        <v>16</v>
      </c>
      <c r="B1140" s="61" t="s">
        <v>2804</v>
      </c>
      <c r="C1140" s="62" t="s">
        <v>2805</v>
      </c>
      <c r="D1140" s="61">
        <v>40</v>
      </c>
    </row>
    <row r="1141" spans="1:4" x14ac:dyDescent="0.2">
      <c r="A1141" s="62" t="s">
        <v>16</v>
      </c>
      <c r="B1141" s="61" t="s">
        <v>2806</v>
      </c>
      <c r="C1141" s="62" t="s">
        <v>2807</v>
      </c>
      <c r="D1141" s="61">
        <v>40</v>
      </c>
    </row>
    <row r="1142" spans="1:4" x14ac:dyDescent="0.2">
      <c r="A1142" s="61" t="s">
        <v>16</v>
      </c>
      <c r="B1142" s="61" t="s">
        <v>2808</v>
      </c>
      <c r="C1142" s="62" t="s">
        <v>2809</v>
      </c>
      <c r="D1142" s="61">
        <v>40</v>
      </c>
    </row>
    <row r="1143" spans="1:4" x14ac:dyDescent="0.2">
      <c r="A1143" s="62" t="s">
        <v>16</v>
      </c>
      <c r="B1143" s="61" t="s">
        <v>2810</v>
      </c>
      <c r="C1143" s="62" t="s">
        <v>2811</v>
      </c>
      <c r="D1143" s="61">
        <v>40</v>
      </c>
    </row>
    <row r="1144" spans="1:4" x14ac:dyDescent="0.2">
      <c r="A1144" s="61" t="s">
        <v>16</v>
      </c>
      <c r="B1144" s="61" t="s">
        <v>320</v>
      </c>
      <c r="C1144" s="62" t="s">
        <v>321</v>
      </c>
      <c r="D1144" s="61">
        <v>40</v>
      </c>
    </row>
    <row r="1145" spans="1:4" x14ac:dyDescent="0.2">
      <c r="A1145" s="62" t="s">
        <v>16</v>
      </c>
      <c r="B1145" s="61" t="s">
        <v>2812</v>
      </c>
      <c r="C1145" s="62" t="s">
        <v>2813</v>
      </c>
      <c r="D1145" s="61">
        <v>40</v>
      </c>
    </row>
    <row r="1146" spans="1:4" x14ac:dyDescent="0.2">
      <c r="A1146" s="61" t="s">
        <v>16</v>
      </c>
      <c r="B1146" s="61" t="s">
        <v>2814</v>
      </c>
      <c r="C1146" s="62" t="s">
        <v>2815</v>
      </c>
      <c r="D1146" s="61">
        <v>40</v>
      </c>
    </row>
    <row r="1147" spans="1:4" x14ac:dyDescent="0.2">
      <c r="A1147" s="62" t="s">
        <v>16</v>
      </c>
      <c r="B1147" s="61" t="s">
        <v>666</v>
      </c>
      <c r="C1147" s="62" t="s">
        <v>667</v>
      </c>
      <c r="D1147" s="61">
        <v>40</v>
      </c>
    </row>
    <row r="1148" spans="1:4" x14ac:dyDescent="0.2">
      <c r="A1148" s="61" t="s">
        <v>16</v>
      </c>
      <c r="B1148" s="61" t="s">
        <v>779</v>
      </c>
      <c r="C1148" s="62" t="s">
        <v>4749</v>
      </c>
      <c r="D1148" s="61">
        <v>40</v>
      </c>
    </row>
    <row r="1149" spans="1:4" x14ac:dyDescent="0.2">
      <c r="A1149" s="62" t="s">
        <v>16</v>
      </c>
      <c r="B1149" s="61" t="s">
        <v>797</v>
      </c>
      <c r="C1149" s="62" t="s">
        <v>798</v>
      </c>
      <c r="D1149" s="61">
        <v>40</v>
      </c>
    </row>
    <row r="1150" spans="1:4" x14ac:dyDescent="0.2">
      <c r="A1150" s="61" t="s">
        <v>16</v>
      </c>
      <c r="B1150" s="61" t="s">
        <v>2816</v>
      </c>
      <c r="C1150" s="62" t="s">
        <v>2817</v>
      </c>
      <c r="D1150" s="61">
        <v>40</v>
      </c>
    </row>
    <row r="1151" spans="1:4" x14ac:dyDescent="0.2">
      <c r="A1151" s="62" t="s">
        <v>16</v>
      </c>
      <c r="B1151" s="61" t="s">
        <v>2818</v>
      </c>
      <c r="C1151" s="62" t="s">
        <v>2819</v>
      </c>
      <c r="D1151" s="61">
        <v>40</v>
      </c>
    </row>
    <row r="1152" spans="1:4" x14ac:dyDescent="0.2">
      <c r="A1152" s="61" t="s">
        <v>16</v>
      </c>
      <c r="B1152" s="61" t="s">
        <v>2820</v>
      </c>
      <c r="C1152" s="62" t="s">
        <v>2821</v>
      </c>
      <c r="D1152" s="61">
        <v>40</v>
      </c>
    </row>
    <row r="1153" spans="1:4" x14ac:dyDescent="0.2">
      <c r="A1153" s="62" t="s">
        <v>16</v>
      </c>
      <c r="B1153" s="61" t="s">
        <v>2822</v>
      </c>
      <c r="C1153" s="62" t="s">
        <v>2823</v>
      </c>
      <c r="D1153" s="61">
        <v>40</v>
      </c>
    </row>
    <row r="1154" spans="1:4" x14ac:dyDescent="0.2">
      <c r="A1154" s="61" t="s">
        <v>16</v>
      </c>
      <c r="B1154" s="61" t="s">
        <v>2824</v>
      </c>
      <c r="C1154" s="62" t="s">
        <v>2825</v>
      </c>
      <c r="D1154" s="61">
        <v>40</v>
      </c>
    </row>
    <row r="1155" spans="1:4" x14ac:dyDescent="0.2">
      <c r="A1155" s="62" t="s">
        <v>16</v>
      </c>
      <c r="B1155" s="61" t="s">
        <v>2826</v>
      </c>
      <c r="C1155" s="62" t="s">
        <v>2827</v>
      </c>
      <c r="D1155" s="61">
        <v>40</v>
      </c>
    </row>
    <row r="1156" spans="1:4" x14ac:dyDescent="0.2">
      <c r="A1156" s="61" t="s">
        <v>16</v>
      </c>
      <c r="B1156" s="61" t="s">
        <v>2828</v>
      </c>
      <c r="C1156" s="62" t="s">
        <v>2829</v>
      </c>
      <c r="D1156" s="61">
        <v>40</v>
      </c>
    </row>
    <row r="1157" spans="1:4" x14ac:dyDescent="0.2">
      <c r="A1157" s="62" t="s">
        <v>16</v>
      </c>
      <c r="B1157" s="61" t="s">
        <v>2830</v>
      </c>
      <c r="C1157" s="62" t="s">
        <v>2831</v>
      </c>
      <c r="D1157" s="61">
        <v>40</v>
      </c>
    </row>
    <row r="1158" spans="1:4" x14ac:dyDescent="0.2">
      <c r="A1158" s="61" t="s">
        <v>16</v>
      </c>
      <c r="B1158" s="61" t="s">
        <v>2832</v>
      </c>
      <c r="C1158" s="62" t="s">
        <v>2833</v>
      </c>
      <c r="D1158" s="61">
        <v>40</v>
      </c>
    </row>
    <row r="1159" spans="1:4" x14ac:dyDescent="0.2">
      <c r="A1159" s="62" t="s">
        <v>16</v>
      </c>
      <c r="B1159" s="61" t="s">
        <v>2834</v>
      </c>
      <c r="C1159" s="62" t="s">
        <v>2835</v>
      </c>
      <c r="D1159" s="61">
        <v>40</v>
      </c>
    </row>
    <row r="1160" spans="1:4" x14ac:dyDescent="0.2">
      <c r="A1160" s="61" t="s">
        <v>16</v>
      </c>
      <c r="B1160" s="61" t="s">
        <v>830</v>
      </c>
      <c r="C1160" s="62" t="s">
        <v>831</v>
      </c>
      <c r="D1160" s="61">
        <v>40</v>
      </c>
    </row>
    <row r="1161" spans="1:4" x14ac:dyDescent="0.2">
      <c r="A1161" s="62" t="s">
        <v>16</v>
      </c>
      <c r="B1161" s="61" t="s">
        <v>2836</v>
      </c>
      <c r="C1161" s="62" t="s">
        <v>2837</v>
      </c>
      <c r="D1161" s="61">
        <v>40</v>
      </c>
    </row>
    <row r="1162" spans="1:4" x14ac:dyDescent="0.2">
      <c r="A1162" s="61" t="s">
        <v>16</v>
      </c>
      <c r="B1162" s="61" t="s">
        <v>2838</v>
      </c>
      <c r="C1162" s="62" t="s">
        <v>2839</v>
      </c>
      <c r="D1162" s="61">
        <v>40</v>
      </c>
    </row>
    <row r="1163" spans="1:4" x14ac:dyDescent="0.2">
      <c r="A1163" s="62" t="s">
        <v>16</v>
      </c>
      <c r="B1163" s="61" t="s">
        <v>2840</v>
      </c>
      <c r="C1163" s="62" t="s">
        <v>2841</v>
      </c>
      <c r="D1163" s="61">
        <v>40</v>
      </c>
    </row>
    <row r="1164" spans="1:4" x14ac:dyDescent="0.2">
      <c r="A1164" s="61" t="s">
        <v>16</v>
      </c>
      <c r="B1164" s="61" t="s">
        <v>2842</v>
      </c>
      <c r="C1164" s="62" t="s">
        <v>2843</v>
      </c>
      <c r="D1164" s="61">
        <v>40</v>
      </c>
    </row>
    <row r="1165" spans="1:4" x14ac:dyDescent="0.2">
      <c r="A1165" s="62" t="s">
        <v>16</v>
      </c>
      <c r="B1165" s="61" t="s">
        <v>2844</v>
      </c>
      <c r="C1165" s="62" t="s">
        <v>2845</v>
      </c>
      <c r="D1165" s="61">
        <v>40</v>
      </c>
    </row>
    <row r="1166" spans="1:4" x14ac:dyDescent="0.2">
      <c r="A1166" s="61" t="s">
        <v>16</v>
      </c>
      <c r="B1166" s="61" t="s">
        <v>2846</v>
      </c>
      <c r="C1166" s="62" t="s">
        <v>2847</v>
      </c>
      <c r="D1166" s="61">
        <v>40</v>
      </c>
    </row>
    <row r="1167" spans="1:4" x14ac:dyDescent="0.2">
      <c r="A1167" s="62" t="s">
        <v>16</v>
      </c>
      <c r="B1167" s="61" t="s">
        <v>2848</v>
      </c>
      <c r="C1167" s="62" t="s">
        <v>2849</v>
      </c>
      <c r="D1167" s="61">
        <v>40</v>
      </c>
    </row>
    <row r="1168" spans="1:4" x14ac:dyDescent="0.2">
      <c r="A1168" s="61" t="s">
        <v>16</v>
      </c>
      <c r="B1168" s="61" t="s">
        <v>2850</v>
      </c>
      <c r="C1168" s="62" t="s">
        <v>2851</v>
      </c>
      <c r="D1168" s="61">
        <v>40</v>
      </c>
    </row>
    <row r="1169" spans="1:4" x14ac:dyDescent="0.2">
      <c r="A1169" s="62" t="s">
        <v>16</v>
      </c>
      <c r="B1169" s="61" t="s">
        <v>2852</v>
      </c>
      <c r="C1169" s="62" t="s">
        <v>2853</v>
      </c>
      <c r="D1169" s="61">
        <v>40</v>
      </c>
    </row>
    <row r="1170" spans="1:4" x14ac:dyDescent="0.2">
      <c r="A1170" s="61" t="s">
        <v>16</v>
      </c>
      <c r="B1170" s="61" t="s">
        <v>2854</v>
      </c>
      <c r="C1170" s="62" t="s">
        <v>2855</v>
      </c>
      <c r="D1170" s="61">
        <v>40</v>
      </c>
    </row>
    <row r="1171" spans="1:4" x14ac:dyDescent="0.2">
      <c r="A1171" s="62" t="s">
        <v>16</v>
      </c>
      <c r="B1171" s="61" t="s">
        <v>2856</v>
      </c>
      <c r="C1171" s="62" t="s">
        <v>2857</v>
      </c>
      <c r="D1171" s="61">
        <v>40</v>
      </c>
    </row>
    <row r="1172" spans="1:4" x14ac:dyDescent="0.2">
      <c r="A1172" s="61" t="s">
        <v>16</v>
      </c>
      <c r="B1172" s="61" t="s">
        <v>2858</v>
      </c>
      <c r="C1172" s="62" t="s">
        <v>2859</v>
      </c>
      <c r="D1172" s="61">
        <v>40</v>
      </c>
    </row>
    <row r="1173" spans="1:4" x14ac:dyDescent="0.2">
      <c r="A1173" s="62" t="s">
        <v>16</v>
      </c>
      <c r="B1173" s="61" t="s">
        <v>2860</v>
      </c>
      <c r="C1173" s="62" t="s">
        <v>2861</v>
      </c>
      <c r="D1173" s="61">
        <v>40</v>
      </c>
    </row>
    <row r="1174" spans="1:4" x14ac:dyDescent="0.2">
      <c r="A1174" s="61" t="s">
        <v>16</v>
      </c>
      <c r="B1174" s="61" t="s">
        <v>2862</v>
      </c>
      <c r="C1174" s="62" t="s">
        <v>2863</v>
      </c>
      <c r="D1174" s="61">
        <v>40</v>
      </c>
    </row>
    <row r="1175" spans="1:4" x14ac:dyDescent="0.2">
      <c r="A1175" s="62" t="s">
        <v>16</v>
      </c>
      <c r="B1175" s="61" t="s">
        <v>2864</v>
      </c>
      <c r="C1175" s="62" t="s">
        <v>2865</v>
      </c>
      <c r="D1175" s="61">
        <v>40</v>
      </c>
    </row>
    <row r="1176" spans="1:4" x14ac:dyDescent="0.2">
      <c r="A1176" s="61" t="s">
        <v>16</v>
      </c>
      <c r="B1176" s="61" t="s">
        <v>2866</v>
      </c>
      <c r="C1176" s="62" t="s">
        <v>2867</v>
      </c>
      <c r="D1176" s="61">
        <v>40</v>
      </c>
    </row>
    <row r="1177" spans="1:4" x14ac:dyDescent="0.2">
      <c r="A1177" s="62" t="s">
        <v>16</v>
      </c>
      <c r="B1177" s="61" t="s">
        <v>2868</v>
      </c>
      <c r="C1177" s="62" t="s">
        <v>2869</v>
      </c>
      <c r="D1177" s="61">
        <v>40</v>
      </c>
    </row>
    <row r="1178" spans="1:4" x14ac:dyDescent="0.2">
      <c r="A1178" s="61" t="s">
        <v>16</v>
      </c>
      <c r="B1178" s="61" t="s">
        <v>2870</v>
      </c>
      <c r="C1178" s="62" t="s">
        <v>2871</v>
      </c>
      <c r="D1178" s="61">
        <v>40</v>
      </c>
    </row>
    <row r="1179" spans="1:4" x14ac:dyDescent="0.2">
      <c r="A1179" s="62" t="s">
        <v>16</v>
      </c>
      <c r="B1179" s="61" t="s">
        <v>963</v>
      </c>
      <c r="C1179" s="62" t="s">
        <v>964</v>
      </c>
      <c r="D1179" s="61">
        <v>40</v>
      </c>
    </row>
    <row r="1180" spans="1:4" x14ac:dyDescent="0.2">
      <c r="A1180" s="61" t="s">
        <v>16</v>
      </c>
      <c r="B1180" s="61" t="s">
        <v>2872</v>
      </c>
      <c r="C1180" s="62" t="s">
        <v>2873</v>
      </c>
      <c r="D1180" s="61">
        <v>40</v>
      </c>
    </row>
    <row r="1181" spans="1:4" x14ac:dyDescent="0.2">
      <c r="A1181" s="62" t="s">
        <v>16</v>
      </c>
      <c r="B1181" s="61" t="s">
        <v>2874</v>
      </c>
      <c r="C1181" s="62" t="s">
        <v>2875</v>
      </c>
      <c r="D1181" s="61">
        <v>40</v>
      </c>
    </row>
    <row r="1182" spans="1:4" x14ac:dyDescent="0.2">
      <c r="A1182" s="61" t="s">
        <v>16</v>
      </c>
      <c r="B1182" s="61" t="s">
        <v>2876</v>
      </c>
      <c r="C1182" s="62" t="s">
        <v>2877</v>
      </c>
      <c r="D1182" s="61">
        <v>40</v>
      </c>
    </row>
    <row r="1183" spans="1:4" x14ac:dyDescent="0.2">
      <c r="A1183" s="62" t="s">
        <v>16</v>
      </c>
      <c r="B1183" s="61" t="s">
        <v>2878</v>
      </c>
      <c r="C1183" s="62" t="s">
        <v>2879</v>
      </c>
      <c r="D1183" s="61">
        <v>40</v>
      </c>
    </row>
    <row r="1184" spans="1:4" x14ac:dyDescent="0.2">
      <c r="A1184" s="61" t="s">
        <v>16</v>
      </c>
      <c r="B1184" s="61" t="s">
        <v>2880</v>
      </c>
      <c r="C1184" s="62" t="s">
        <v>2881</v>
      </c>
      <c r="D1184" s="61">
        <v>40</v>
      </c>
    </row>
    <row r="1185" spans="1:4" x14ac:dyDescent="0.2">
      <c r="A1185" s="62" t="s">
        <v>16</v>
      </c>
      <c r="B1185" s="61" t="s">
        <v>2882</v>
      </c>
      <c r="C1185" s="62" t="s">
        <v>2883</v>
      </c>
      <c r="D1185" s="61">
        <v>40</v>
      </c>
    </row>
    <row r="1186" spans="1:4" x14ac:dyDescent="0.2">
      <c r="A1186" s="61" t="s">
        <v>16</v>
      </c>
      <c r="B1186" s="61" t="s">
        <v>2884</v>
      </c>
      <c r="C1186" s="62" t="s">
        <v>2885</v>
      </c>
      <c r="D1186" s="61">
        <v>40</v>
      </c>
    </row>
    <row r="1187" spans="1:4" x14ac:dyDescent="0.2">
      <c r="A1187" s="62" t="s">
        <v>16</v>
      </c>
      <c r="B1187" s="61" t="s">
        <v>2886</v>
      </c>
      <c r="C1187" s="62" t="s">
        <v>2887</v>
      </c>
      <c r="D1187" s="61">
        <v>40</v>
      </c>
    </row>
    <row r="1188" spans="1:4" x14ac:dyDescent="0.2">
      <c r="A1188" s="61" t="s">
        <v>16</v>
      </c>
      <c r="B1188" s="61" t="s">
        <v>2888</v>
      </c>
      <c r="C1188" s="62" t="s">
        <v>2889</v>
      </c>
      <c r="D1188" s="61">
        <v>40</v>
      </c>
    </row>
    <row r="1189" spans="1:4" x14ac:dyDescent="0.2">
      <c r="A1189" s="62" t="s">
        <v>16</v>
      </c>
      <c r="B1189" s="61" t="s">
        <v>2890</v>
      </c>
      <c r="C1189" s="62" t="s">
        <v>2891</v>
      </c>
      <c r="D1189" s="61">
        <v>40</v>
      </c>
    </row>
    <row r="1190" spans="1:4" x14ac:dyDescent="0.2">
      <c r="A1190" s="61" t="s">
        <v>16</v>
      </c>
      <c r="B1190" s="61" t="s">
        <v>868</v>
      </c>
      <c r="C1190" s="62" t="s">
        <v>4886</v>
      </c>
      <c r="D1190" s="61">
        <v>40</v>
      </c>
    </row>
    <row r="1191" spans="1:4" x14ac:dyDescent="0.2">
      <c r="A1191" s="62" t="s">
        <v>16</v>
      </c>
      <c r="B1191" s="61" t="s">
        <v>2892</v>
      </c>
      <c r="C1191" s="62" t="s">
        <v>2893</v>
      </c>
      <c r="D1191" s="61">
        <v>40</v>
      </c>
    </row>
    <row r="1192" spans="1:4" x14ac:dyDescent="0.2">
      <c r="A1192" s="61" t="s">
        <v>16</v>
      </c>
      <c r="B1192" s="61" t="s">
        <v>2894</v>
      </c>
      <c r="C1192" s="62" t="s">
        <v>2895</v>
      </c>
      <c r="D1192" s="61">
        <v>40</v>
      </c>
    </row>
    <row r="1193" spans="1:4" x14ac:dyDescent="0.2">
      <c r="A1193" s="62" t="s">
        <v>16</v>
      </c>
      <c r="B1193" s="61" t="s">
        <v>2896</v>
      </c>
      <c r="C1193" s="62" t="s">
        <v>5416</v>
      </c>
      <c r="D1193" s="61">
        <v>40</v>
      </c>
    </row>
    <row r="1194" spans="1:4" x14ac:dyDescent="0.2">
      <c r="A1194" s="61" t="s">
        <v>16</v>
      </c>
      <c r="B1194" s="61" t="s">
        <v>818</v>
      </c>
      <c r="C1194" s="62" t="s">
        <v>5417</v>
      </c>
      <c r="D1194" s="61">
        <v>40</v>
      </c>
    </row>
    <row r="1195" spans="1:4" x14ac:dyDescent="0.2">
      <c r="A1195" s="62" t="s">
        <v>16</v>
      </c>
      <c r="B1195" s="61" t="s">
        <v>644</v>
      </c>
      <c r="C1195" s="62" t="s">
        <v>5418</v>
      </c>
      <c r="D1195" s="61">
        <v>40</v>
      </c>
    </row>
    <row r="1196" spans="1:4" x14ac:dyDescent="0.2">
      <c r="A1196" s="61" t="s">
        <v>16</v>
      </c>
      <c r="B1196" s="61" t="s">
        <v>853</v>
      </c>
      <c r="C1196" s="62" t="s">
        <v>5419</v>
      </c>
      <c r="D1196" s="61">
        <v>40</v>
      </c>
    </row>
    <row r="1197" spans="1:4" x14ac:dyDescent="0.2">
      <c r="A1197" s="62" t="s">
        <v>16</v>
      </c>
      <c r="B1197" s="61" t="s">
        <v>2897</v>
      </c>
      <c r="C1197" s="62" t="s">
        <v>2898</v>
      </c>
      <c r="D1197" s="61">
        <v>40</v>
      </c>
    </row>
    <row r="1198" spans="1:4" x14ac:dyDescent="0.2">
      <c r="A1198" s="61" t="s">
        <v>16</v>
      </c>
      <c r="B1198" s="61" t="s">
        <v>642</v>
      </c>
      <c r="C1198" s="62" t="s">
        <v>643</v>
      </c>
      <c r="D1198" s="61">
        <v>40</v>
      </c>
    </row>
    <row r="1199" spans="1:4" x14ac:dyDescent="0.2">
      <c r="A1199" s="62" t="s">
        <v>16</v>
      </c>
      <c r="B1199" s="61" t="s">
        <v>828</v>
      </c>
      <c r="C1199" s="62" t="s">
        <v>829</v>
      </c>
      <c r="D1199" s="61">
        <v>40</v>
      </c>
    </row>
    <row r="1200" spans="1:4" x14ac:dyDescent="0.2">
      <c r="A1200" s="61" t="s">
        <v>16</v>
      </c>
      <c r="B1200" s="61" t="s">
        <v>2899</v>
      </c>
      <c r="C1200" s="62" t="s">
        <v>2900</v>
      </c>
      <c r="D1200" s="61">
        <v>40</v>
      </c>
    </row>
    <row r="1201" spans="1:4" x14ac:dyDescent="0.2">
      <c r="A1201" s="62" t="s">
        <v>16</v>
      </c>
      <c r="B1201" s="61" t="s">
        <v>2901</v>
      </c>
      <c r="C1201" s="62" t="s">
        <v>2902</v>
      </c>
      <c r="D1201" s="61">
        <v>40</v>
      </c>
    </row>
    <row r="1202" spans="1:4" x14ac:dyDescent="0.2">
      <c r="A1202" s="61" t="s">
        <v>16</v>
      </c>
      <c r="B1202" s="61" t="s">
        <v>2903</v>
      </c>
      <c r="C1202" s="62" t="s">
        <v>2904</v>
      </c>
      <c r="D1202" s="61">
        <v>40</v>
      </c>
    </row>
    <row r="1203" spans="1:4" x14ac:dyDescent="0.2">
      <c r="A1203" s="62" t="s">
        <v>16</v>
      </c>
      <c r="B1203" s="61" t="s">
        <v>2905</v>
      </c>
      <c r="C1203" s="62" t="s">
        <v>2906</v>
      </c>
      <c r="D1203" s="61">
        <v>40</v>
      </c>
    </row>
    <row r="1204" spans="1:4" x14ac:dyDescent="0.2">
      <c r="A1204" s="61" t="s">
        <v>16</v>
      </c>
      <c r="B1204" s="61" t="s">
        <v>2907</v>
      </c>
      <c r="C1204" s="62" t="s">
        <v>2908</v>
      </c>
      <c r="D1204" s="61">
        <v>40</v>
      </c>
    </row>
    <row r="1205" spans="1:4" x14ac:dyDescent="0.2">
      <c r="A1205" s="62" t="s">
        <v>16</v>
      </c>
      <c r="B1205" s="61" t="s">
        <v>2909</v>
      </c>
      <c r="C1205" s="62" t="s">
        <v>2910</v>
      </c>
      <c r="D1205" s="61">
        <v>40</v>
      </c>
    </row>
    <row r="1206" spans="1:4" x14ac:dyDescent="0.2">
      <c r="A1206" s="61" t="s">
        <v>16</v>
      </c>
      <c r="B1206" s="61" t="s">
        <v>2911</v>
      </c>
      <c r="C1206" s="62" t="s">
        <v>2912</v>
      </c>
      <c r="D1206" s="61">
        <v>40</v>
      </c>
    </row>
    <row r="1207" spans="1:4" x14ac:dyDescent="0.2">
      <c r="A1207" s="62" t="s">
        <v>16</v>
      </c>
      <c r="B1207" s="61" t="s">
        <v>2913</v>
      </c>
      <c r="C1207" s="62" t="s">
        <v>2914</v>
      </c>
      <c r="D1207" s="61">
        <v>40</v>
      </c>
    </row>
    <row r="1208" spans="1:4" x14ac:dyDescent="0.2">
      <c r="A1208" s="61" t="s">
        <v>16</v>
      </c>
      <c r="B1208" s="61" t="s">
        <v>866</v>
      </c>
      <c r="C1208" s="62" t="s">
        <v>5217</v>
      </c>
      <c r="D1208" s="61">
        <v>40</v>
      </c>
    </row>
    <row r="1209" spans="1:4" x14ac:dyDescent="0.2">
      <c r="A1209" s="62" t="s">
        <v>16</v>
      </c>
      <c r="B1209" s="61" t="s">
        <v>2915</v>
      </c>
      <c r="C1209" s="62" t="s">
        <v>2916</v>
      </c>
      <c r="D1209" s="61">
        <v>80</v>
      </c>
    </row>
    <row r="1210" spans="1:4" x14ac:dyDescent="0.2">
      <c r="A1210" s="61" t="s">
        <v>16</v>
      </c>
      <c r="B1210" s="61" t="s">
        <v>2917</v>
      </c>
      <c r="C1210" s="62" t="s">
        <v>2918</v>
      </c>
      <c r="D1210" s="61">
        <v>80</v>
      </c>
    </row>
    <row r="1211" spans="1:4" x14ac:dyDescent="0.2">
      <c r="A1211" s="62" t="s">
        <v>16</v>
      </c>
      <c r="B1211" s="61" t="s">
        <v>2919</v>
      </c>
      <c r="C1211" s="62" t="s">
        <v>2920</v>
      </c>
      <c r="D1211" s="61">
        <v>80</v>
      </c>
    </row>
    <row r="1212" spans="1:4" x14ac:dyDescent="0.2">
      <c r="A1212" s="61" t="s">
        <v>16</v>
      </c>
      <c r="B1212" s="61" t="s">
        <v>2921</v>
      </c>
      <c r="C1212" s="62" t="s">
        <v>2922</v>
      </c>
      <c r="D1212" s="61">
        <v>80</v>
      </c>
    </row>
    <row r="1213" spans="1:4" x14ac:dyDescent="0.2">
      <c r="A1213" s="62" t="s">
        <v>16</v>
      </c>
      <c r="B1213" s="61" t="s">
        <v>2923</v>
      </c>
      <c r="C1213" s="62" t="s">
        <v>2924</v>
      </c>
      <c r="D1213" s="61">
        <v>80</v>
      </c>
    </row>
    <row r="1214" spans="1:4" x14ac:dyDescent="0.2">
      <c r="A1214" s="61" t="s">
        <v>16</v>
      </c>
      <c r="B1214" s="61" t="s">
        <v>2925</v>
      </c>
      <c r="C1214" s="62" t="s">
        <v>2926</v>
      </c>
      <c r="D1214" s="61">
        <v>80</v>
      </c>
    </row>
    <row r="1215" spans="1:4" x14ac:dyDescent="0.2">
      <c r="A1215" s="62" t="s">
        <v>16</v>
      </c>
      <c r="B1215" s="61" t="s">
        <v>2927</v>
      </c>
      <c r="C1215" s="62" t="s">
        <v>2928</v>
      </c>
      <c r="D1215" s="61">
        <v>40</v>
      </c>
    </row>
    <row r="1216" spans="1:4" x14ac:dyDescent="0.2">
      <c r="A1216" s="61" t="s">
        <v>16</v>
      </c>
      <c r="B1216" s="61" t="s">
        <v>2929</v>
      </c>
      <c r="C1216" s="62" t="s">
        <v>2930</v>
      </c>
      <c r="D1216" s="61">
        <v>40</v>
      </c>
    </row>
    <row r="1217" spans="1:4" x14ac:dyDescent="0.2">
      <c r="A1217" s="62" t="s">
        <v>16</v>
      </c>
      <c r="B1217" s="61" t="s">
        <v>2931</v>
      </c>
      <c r="C1217" s="62" t="s">
        <v>2932</v>
      </c>
      <c r="D1217" s="61">
        <v>40</v>
      </c>
    </row>
    <row r="1218" spans="1:4" x14ac:dyDescent="0.2">
      <c r="A1218" s="61" t="s">
        <v>16</v>
      </c>
      <c r="B1218" s="61" t="s">
        <v>2933</v>
      </c>
      <c r="C1218" s="62" t="s">
        <v>2934</v>
      </c>
      <c r="D1218" s="61">
        <v>40</v>
      </c>
    </row>
    <row r="1219" spans="1:4" x14ac:dyDescent="0.2">
      <c r="A1219" s="62" t="s">
        <v>16</v>
      </c>
      <c r="B1219" s="61" t="s">
        <v>2935</v>
      </c>
      <c r="C1219" s="62" t="s">
        <v>2936</v>
      </c>
      <c r="D1219" s="61">
        <v>40</v>
      </c>
    </row>
    <row r="1220" spans="1:4" x14ac:dyDescent="0.2">
      <c r="A1220" s="61" t="s">
        <v>16</v>
      </c>
      <c r="B1220" s="61" t="s">
        <v>2937</v>
      </c>
      <c r="C1220" s="62" t="s">
        <v>5420</v>
      </c>
      <c r="D1220" s="61">
        <v>40</v>
      </c>
    </row>
    <row r="1221" spans="1:4" x14ac:dyDescent="0.2">
      <c r="A1221" s="62" t="s">
        <v>16</v>
      </c>
      <c r="B1221" s="61" t="s">
        <v>2938</v>
      </c>
      <c r="C1221" s="62" t="s">
        <v>5421</v>
      </c>
      <c r="D1221" s="61">
        <v>40</v>
      </c>
    </row>
    <row r="1222" spans="1:4" x14ac:dyDescent="0.2">
      <c r="A1222" s="61" t="s">
        <v>16</v>
      </c>
      <c r="B1222" s="61" t="s">
        <v>2939</v>
      </c>
      <c r="C1222" s="62" t="s">
        <v>5422</v>
      </c>
      <c r="D1222" s="61">
        <v>40</v>
      </c>
    </row>
    <row r="1223" spans="1:4" x14ac:dyDescent="0.2">
      <c r="A1223" s="62" t="s">
        <v>16</v>
      </c>
      <c r="B1223" s="61" t="s">
        <v>2940</v>
      </c>
      <c r="C1223" s="62" t="s">
        <v>5423</v>
      </c>
      <c r="D1223" s="61">
        <v>40</v>
      </c>
    </row>
    <row r="1224" spans="1:4" x14ac:dyDescent="0.2">
      <c r="A1224" s="61" t="s">
        <v>16</v>
      </c>
      <c r="B1224" s="61" t="s">
        <v>2941</v>
      </c>
      <c r="C1224" s="62" t="s">
        <v>2942</v>
      </c>
      <c r="D1224" s="61">
        <v>40</v>
      </c>
    </row>
    <row r="1225" spans="1:4" x14ac:dyDescent="0.2">
      <c r="A1225" s="62" t="s">
        <v>16</v>
      </c>
      <c r="B1225" s="61" t="s">
        <v>2943</v>
      </c>
      <c r="C1225" s="62" t="s">
        <v>2944</v>
      </c>
      <c r="D1225" s="61">
        <v>40</v>
      </c>
    </row>
    <row r="1226" spans="1:4" x14ac:dyDescent="0.2">
      <c r="A1226" s="61" t="s">
        <v>16</v>
      </c>
      <c r="B1226" s="61" t="s">
        <v>2945</v>
      </c>
      <c r="C1226" s="62" t="s">
        <v>2946</v>
      </c>
      <c r="D1226" s="61">
        <v>40</v>
      </c>
    </row>
    <row r="1227" spans="1:4" x14ac:dyDescent="0.2">
      <c r="A1227" s="62" t="s">
        <v>16</v>
      </c>
      <c r="B1227" s="61" t="s">
        <v>2947</v>
      </c>
      <c r="C1227" s="62" t="s">
        <v>2948</v>
      </c>
      <c r="D1227" s="61">
        <v>40</v>
      </c>
    </row>
    <row r="1228" spans="1:4" x14ac:dyDescent="0.2">
      <c r="A1228" s="61" t="s">
        <v>16</v>
      </c>
      <c r="B1228" s="61" t="s">
        <v>2949</v>
      </c>
      <c r="C1228" s="62" t="s">
        <v>2950</v>
      </c>
      <c r="D1228" s="61">
        <v>40</v>
      </c>
    </row>
    <row r="1229" spans="1:4" x14ac:dyDescent="0.2">
      <c r="A1229" s="62" t="s">
        <v>16</v>
      </c>
      <c r="B1229" s="61" t="s">
        <v>2951</v>
      </c>
      <c r="C1229" s="62" t="s">
        <v>5424</v>
      </c>
      <c r="D1229" s="61">
        <v>40</v>
      </c>
    </row>
    <row r="1230" spans="1:4" x14ac:dyDescent="0.2">
      <c r="A1230" s="61" t="s">
        <v>16</v>
      </c>
      <c r="B1230" s="61" t="s">
        <v>2952</v>
      </c>
      <c r="C1230" s="62" t="s">
        <v>5425</v>
      </c>
      <c r="D1230" s="61">
        <v>40</v>
      </c>
    </row>
    <row r="1231" spans="1:4" x14ac:dyDescent="0.2">
      <c r="A1231" s="62" t="s">
        <v>16</v>
      </c>
      <c r="B1231" s="61" t="s">
        <v>2953</v>
      </c>
      <c r="C1231" s="62" t="s">
        <v>2954</v>
      </c>
      <c r="D1231" s="61">
        <v>40</v>
      </c>
    </row>
    <row r="1232" spans="1:4" x14ac:dyDescent="0.2">
      <c r="A1232" s="61" t="s">
        <v>16</v>
      </c>
      <c r="B1232" s="61" t="s">
        <v>2955</v>
      </c>
      <c r="C1232" s="62" t="s">
        <v>2956</v>
      </c>
      <c r="D1232" s="61">
        <v>40</v>
      </c>
    </row>
    <row r="1233" spans="1:4" x14ac:dyDescent="0.2">
      <c r="A1233" s="62" t="s">
        <v>16</v>
      </c>
      <c r="B1233" s="61" t="s">
        <v>2957</v>
      </c>
      <c r="C1233" s="62" t="s">
        <v>2958</v>
      </c>
      <c r="D1233" s="61">
        <v>40</v>
      </c>
    </row>
    <row r="1234" spans="1:4" x14ac:dyDescent="0.2">
      <c r="A1234" s="61" t="s">
        <v>16</v>
      </c>
      <c r="B1234" s="61" t="s">
        <v>2959</v>
      </c>
      <c r="C1234" s="62" t="s">
        <v>2960</v>
      </c>
      <c r="D1234" s="61">
        <v>40</v>
      </c>
    </row>
    <row r="1235" spans="1:4" x14ac:dyDescent="0.2">
      <c r="A1235" s="62" t="s">
        <v>16</v>
      </c>
      <c r="B1235" s="61" t="s">
        <v>2961</v>
      </c>
      <c r="C1235" s="62" t="s">
        <v>2962</v>
      </c>
      <c r="D1235" s="61">
        <v>40</v>
      </c>
    </row>
    <row r="1236" spans="1:4" x14ac:dyDescent="0.2">
      <c r="A1236" s="61" t="s">
        <v>16</v>
      </c>
      <c r="B1236" s="61" t="s">
        <v>2963</v>
      </c>
      <c r="C1236" s="62" t="s">
        <v>2964</v>
      </c>
      <c r="D1236" s="61">
        <v>40</v>
      </c>
    </row>
    <row r="1237" spans="1:4" x14ac:dyDescent="0.2">
      <c r="A1237" s="62" t="s">
        <v>16</v>
      </c>
      <c r="B1237" s="61" t="s">
        <v>2965</v>
      </c>
      <c r="C1237" s="62" t="s">
        <v>2966</v>
      </c>
      <c r="D1237" s="61">
        <v>40</v>
      </c>
    </row>
    <row r="1238" spans="1:4" x14ac:dyDescent="0.2">
      <c r="A1238" s="61" t="s">
        <v>16</v>
      </c>
      <c r="B1238" s="61" t="s">
        <v>5605</v>
      </c>
      <c r="C1238" s="62" t="s">
        <v>5606</v>
      </c>
      <c r="D1238" s="61">
        <v>40</v>
      </c>
    </row>
    <row r="1239" spans="1:4" x14ac:dyDescent="0.2">
      <c r="A1239" s="62" t="s">
        <v>16</v>
      </c>
      <c r="B1239" s="61" t="s">
        <v>2967</v>
      </c>
      <c r="C1239" s="62" t="s">
        <v>2968</v>
      </c>
      <c r="D1239" s="61">
        <v>40</v>
      </c>
    </row>
    <row r="1240" spans="1:4" x14ac:dyDescent="0.2">
      <c r="A1240" s="61" t="s">
        <v>16</v>
      </c>
      <c r="B1240" s="61" t="s">
        <v>2969</v>
      </c>
      <c r="C1240" s="62" t="s">
        <v>2970</v>
      </c>
      <c r="D1240" s="61">
        <v>40</v>
      </c>
    </row>
    <row r="1241" spans="1:4" x14ac:dyDescent="0.2">
      <c r="A1241" s="62" t="s">
        <v>16</v>
      </c>
      <c r="B1241" s="61" t="s">
        <v>2971</v>
      </c>
      <c r="C1241" s="62" t="s">
        <v>2972</v>
      </c>
      <c r="D1241" s="61">
        <v>40</v>
      </c>
    </row>
    <row r="1242" spans="1:4" x14ac:dyDescent="0.2">
      <c r="A1242" s="61" t="s">
        <v>16</v>
      </c>
      <c r="B1242" s="61" t="s">
        <v>2973</v>
      </c>
      <c r="C1242" s="62" t="s">
        <v>2974</v>
      </c>
      <c r="D1242" s="61">
        <v>40</v>
      </c>
    </row>
    <row r="1243" spans="1:4" x14ac:dyDescent="0.2">
      <c r="A1243" s="62" t="s">
        <v>16</v>
      </c>
      <c r="B1243" s="61" t="s">
        <v>2975</v>
      </c>
      <c r="C1243" s="62" t="s">
        <v>2976</v>
      </c>
      <c r="D1243" s="61">
        <v>40</v>
      </c>
    </row>
    <row r="1244" spans="1:4" x14ac:dyDescent="0.2">
      <c r="A1244" s="61" t="s">
        <v>16</v>
      </c>
      <c r="B1244" s="61" t="s">
        <v>2977</v>
      </c>
      <c r="C1244" s="62" t="s">
        <v>2978</v>
      </c>
      <c r="D1244" s="61">
        <v>40</v>
      </c>
    </row>
    <row r="1245" spans="1:4" x14ac:dyDescent="0.2">
      <c r="A1245" s="62" t="s">
        <v>16</v>
      </c>
      <c r="B1245" s="61" t="s">
        <v>2979</v>
      </c>
      <c r="C1245" s="62" t="s">
        <v>2980</v>
      </c>
      <c r="D1245" s="61">
        <v>40</v>
      </c>
    </row>
    <row r="1246" spans="1:4" x14ac:dyDescent="0.2">
      <c r="A1246" s="61" t="s">
        <v>16</v>
      </c>
      <c r="B1246" s="61" t="s">
        <v>2981</v>
      </c>
      <c r="C1246" s="62" t="s">
        <v>2982</v>
      </c>
      <c r="D1246" s="61">
        <v>40</v>
      </c>
    </row>
    <row r="1247" spans="1:4" x14ac:dyDescent="0.2">
      <c r="A1247" s="62" t="s">
        <v>16</v>
      </c>
      <c r="B1247" s="61" t="s">
        <v>2983</v>
      </c>
      <c r="C1247" s="62" t="s">
        <v>2984</v>
      </c>
      <c r="D1247" s="61">
        <v>40</v>
      </c>
    </row>
    <row r="1248" spans="1:4" x14ac:dyDescent="0.2">
      <c r="A1248" s="61" t="s">
        <v>16</v>
      </c>
      <c r="B1248" s="61" t="s">
        <v>2985</v>
      </c>
      <c r="C1248" s="62" t="s">
        <v>2986</v>
      </c>
      <c r="D1248" s="61">
        <v>40</v>
      </c>
    </row>
    <row r="1249" spans="1:4" x14ac:dyDescent="0.2">
      <c r="A1249" s="62" t="s">
        <v>16</v>
      </c>
      <c r="B1249" s="61" t="s">
        <v>2987</v>
      </c>
      <c r="C1249" s="62" t="s">
        <v>2988</v>
      </c>
      <c r="D1249" s="61">
        <v>40</v>
      </c>
    </row>
    <row r="1250" spans="1:4" x14ac:dyDescent="0.2">
      <c r="A1250" s="61" t="s">
        <v>16</v>
      </c>
      <c r="B1250" s="61" t="s">
        <v>2989</v>
      </c>
      <c r="C1250" s="62" t="s">
        <v>2990</v>
      </c>
      <c r="D1250" s="61">
        <v>40</v>
      </c>
    </row>
    <row r="1251" spans="1:4" x14ac:dyDescent="0.2">
      <c r="A1251" s="62" t="s">
        <v>16</v>
      </c>
      <c r="B1251" s="61" t="s">
        <v>2991</v>
      </c>
      <c r="C1251" s="62" t="s">
        <v>2992</v>
      </c>
      <c r="D1251" s="61">
        <v>40</v>
      </c>
    </row>
    <row r="1252" spans="1:4" x14ac:dyDescent="0.2">
      <c r="A1252" s="61" t="s">
        <v>16</v>
      </c>
      <c r="B1252" s="61" t="s">
        <v>2993</v>
      </c>
      <c r="C1252" s="62" t="s">
        <v>2994</v>
      </c>
      <c r="D1252" s="61">
        <v>40</v>
      </c>
    </row>
    <row r="1253" spans="1:4" x14ac:dyDescent="0.2">
      <c r="A1253" s="62" t="s">
        <v>16</v>
      </c>
      <c r="B1253" s="61" t="s">
        <v>2995</v>
      </c>
      <c r="C1253" s="62" t="s">
        <v>2996</v>
      </c>
      <c r="D1253" s="61">
        <v>40</v>
      </c>
    </row>
    <row r="1254" spans="1:4" x14ac:dyDescent="0.2">
      <c r="A1254" s="61" t="s">
        <v>16</v>
      </c>
      <c r="B1254" s="61" t="s">
        <v>2997</v>
      </c>
      <c r="C1254" s="62" t="s">
        <v>2998</v>
      </c>
      <c r="D1254" s="61">
        <v>40</v>
      </c>
    </row>
    <row r="1255" spans="1:4" x14ac:dyDescent="0.2">
      <c r="A1255" s="62" t="s">
        <v>16</v>
      </c>
      <c r="B1255" s="61" t="s">
        <v>2999</v>
      </c>
      <c r="C1255" s="62" t="s">
        <v>3000</v>
      </c>
      <c r="D1255" s="61">
        <v>40</v>
      </c>
    </row>
    <row r="1256" spans="1:4" x14ac:dyDescent="0.2">
      <c r="A1256" s="61" t="s">
        <v>16</v>
      </c>
      <c r="B1256" s="61" t="s">
        <v>3001</v>
      </c>
      <c r="C1256" s="62" t="s">
        <v>3002</v>
      </c>
      <c r="D1256" s="61">
        <v>40</v>
      </c>
    </row>
    <row r="1257" spans="1:4" x14ac:dyDescent="0.2">
      <c r="A1257" s="62" t="s">
        <v>16</v>
      </c>
      <c r="B1257" s="61" t="s">
        <v>839</v>
      </c>
      <c r="C1257" s="62" t="s">
        <v>5426</v>
      </c>
      <c r="D1257" s="61">
        <v>40</v>
      </c>
    </row>
    <row r="1258" spans="1:4" x14ac:dyDescent="0.2">
      <c r="A1258" s="61" t="s">
        <v>16</v>
      </c>
      <c r="B1258" s="61" t="s">
        <v>3003</v>
      </c>
      <c r="C1258" s="62" t="s">
        <v>3004</v>
      </c>
      <c r="D1258" s="61">
        <v>40</v>
      </c>
    </row>
    <row r="1259" spans="1:4" x14ac:dyDescent="0.2">
      <c r="A1259" s="62" t="s">
        <v>16</v>
      </c>
      <c r="B1259" s="61" t="s">
        <v>3005</v>
      </c>
      <c r="C1259" s="62" t="s">
        <v>3006</v>
      </c>
      <c r="D1259" s="61">
        <v>40</v>
      </c>
    </row>
    <row r="1260" spans="1:4" x14ac:dyDescent="0.2">
      <c r="A1260" s="61" t="s">
        <v>16</v>
      </c>
      <c r="B1260" s="61" t="s">
        <v>3007</v>
      </c>
      <c r="C1260" s="62" t="s">
        <v>3008</v>
      </c>
      <c r="D1260" s="61">
        <v>40</v>
      </c>
    </row>
    <row r="1261" spans="1:4" x14ac:dyDescent="0.2">
      <c r="A1261" s="62" t="s">
        <v>16</v>
      </c>
      <c r="B1261" s="61" t="s">
        <v>3009</v>
      </c>
      <c r="C1261" s="62" t="s">
        <v>3010</v>
      </c>
      <c r="D1261" s="61">
        <v>40</v>
      </c>
    </row>
    <row r="1262" spans="1:4" x14ac:dyDescent="0.2">
      <c r="A1262" s="61" t="s">
        <v>16</v>
      </c>
      <c r="B1262" s="61" t="s">
        <v>3011</v>
      </c>
      <c r="C1262" s="62" t="s">
        <v>3012</v>
      </c>
      <c r="D1262" s="61">
        <v>40</v>
      </c>
    </row>
    <row r="1263" spans="1:4" x14ac:dyDescent="0.2">
      <c r="A1263" s="62" t="s">
        <v>16</v>
      </c>
      <c r="B1263" s="61" t="s">
        <v>3013</v>
      </c>
      <c r="C1263" s="62" t="s">
        <v>3014</v>
      </c>
      <c r="D1263" s="61">
        <v>40</v>
      </c>
    </row>
    <row r="1264" spans="1:4" x14ac:dyDescent="0.2">
      <c r="A1264" s="61" t="s">
        <v>16</v>
      </c>
      <c r="B1264" s="61" t="s">
        <v>3015</v>
      </c>
      <c r="C1264" s="62" t="s">
        <v>3016</v>
      </c>
      <c r="D1264" s="61">
        <v>40</v>
      </c>
    </row>
    <row r="1265" spans="1:4" x14ac:dyDescent="0.2">
      <c r="A1265" s="62" t="s">
        <v>16</v>
      </c>
      <c r="B1265" s="61" t="s">
        <v>3017</v>
      </c>
      <c r="C1265" s="62" t="s">
        <v>3018</v>
      </c>
      <c r="D1265" s="61">
        <v>40</v>
      </c>
    </row>
    <row r="1266" spans="1:4" x14ac:dyDescent="0.2">
      <c r="A1266" s="61" t="s">
        <v>16</v>
      </c>
      <c r="B1266" s="61" t="s">
        <v>3019</v>
      </c>
      <c r="C1266" s="62" t="s">
        <v>3020</v>
      </c>
      <c r="D1266" s="61">
        <v>40</v>
      </c>
    </row>
    <row r="1267" spans="1:4" x14ac:dyDescent="0.2">
      <c r="A1267" s="62" t="s">
        <v>16</v>
      </c>
      <c r="B1267" s="61" t="s">
        <v>3021</v>
      </c>
      <c r="C1267" s="62" t="s">
        <v>3022</v>
      </c>
      <c r="D1267" s="61">
        <v>40</v>
      </c>
    </row>
    <row r="1268" spans="1:4" x14ac:dyDescent="0.2">
      <c r="A1268" s="61" t="s">
        <v>16</v>
      </c>
      <c r="B1268" s="61" t="s">
        <v>3023</v>
      </c>
      <c r="C1268" s="62" t="s">
        <v>3024</v>
      </c>
      <c r="D1268" s="61">
        <v>40</v>
      </c>
    </row>
    <row r="1269" spans="1:4" x14ac:dyDescent="0.2">
      <c r="A1269" s="62" t="s">
        <v>16</v>
      </c>
      <c r="B1269" s="61" t="s">
        <v>3025</v>
      </c>
      <c r="C1269" s="62" t="s">
        <v>3026</v>
      </c>
      <c r="D1269" s="61">
        <v>40</v>
      </c>
    </row>
    <row r="1270" spans="1:4" x14ac:dyDescent="0.2">
      <c r="A1270" s="61" t="s">
        <v>16</v>
      </c>
      <c r="B1270" s="61" t="s">
        <v>3027</v>
      </c>
      <c r="C1270" s="62" t="s">
        <v>3028</v>
      </c>
      <c r="D1270" s="61">
        <v>40</v>
      </c>
    </row>
    <row r="1271" spans="1:4" x14ac:dyDescent="0.2">
      <c r="A1271" s="62" t="s">
        <v>16</v>
      </c>
      <c r="B1271" s="61" t="s">
        <v>3029</v>
      </c>
      <c r="C1271" s="62" t="s">
        <v>3030</v>
      </c>
      <c r="D1271" s="61">
        <v>40</v>
      </c>
    </row>
    <row r="1272" spans="1:4" x14ac:dyDescent="0.2">
      <c r="A1272" s="61" t="s">
        <v>16</v>
      </c>
      <c r="B1272" s="61" t="s">
        <v>3031</v>
      </c>
      <c r="C1272" s="62" t="s">
        <v>3032</v>
      </c>
      <c r="D1272" s="61">
        <v>40</v>
      </c>
    </row>
    <row r="1273" spans="1:4" x14ac:dyDescent="0.2">
      <c r="A1273" s="62" t="s">
        <v>16</v>
      </c>
      <c r="B1273" s="61" t="s">
        <v>3033</v>
      </c>
      <c r="C1273" s="62" t="s">
        <v>3034</v>
      </c>
      <c r="D1273" s="61">
        <v>40</v>
      </c>
    </row>
    <row r="1274" spans="1:4" x14ac:dyDescent="0.2">
      <c r="A1274" s="61" t="s">
        <v>16</v>
      </c>
      <c r="B1274" s="61" t="s">
        <v>3035</v>
      </c>
      <c r="C1274" s="62" t="s">
        <v>3036</v>
      </c>
      <c r="D1274" s="61">
        <v>40</v>
      </c>
    </row>
    <row r="1275" spans="1:4" x14ac:dyDescent="0.2">
      <c r="A1275" s="62" t="s">
        <v>16</v>
      </c>
      <c r="B1275" s="61" t="s">
        <v>3037</v>
      </c>
      <c r="C1275" s="62" t="s">
        <v>3038</v>
      </c>
      <c r="D1275" s="61">
        <v>40</v>
      </c>
    </row>
    <row r="1276" spans="1:4" x14ac:dyDescent="0.2">
      <c r="A1276" s="61" t="s">
        <v>16</v>
      </c>
      <c r="B1276" s="61" t="s">
        <v>3039</v>
      </c>
      <c r="C1276" s="62" t="s">
        <v>3040</v>
      </c>
      <c r="D1276" s="61">
        <v>40</v>
      </c>
    </row>
    <row r="1277" spans="1:4" x14ac:dyDescent="0.2">
      <c r="A1277" s="62" t="s">
        <v>16</v>
      </c>
      <c r="B1277" s="61" t="s">
        <v>3041</v>
      </c>
      <c r="C1277" s="62" t="s">
        <v>3042</v>
      </c>
      <c r="D1277" s="61">
        <v>40</v>
      </c>
    </row>
    <row r="1278" spans="1:4" x14ac:dyDescent="0.2">
      <c r="A1278" s="61" t="s">
        <v>16</v>
      </c>
      <c r="B1278" s="61" t="s">
        <v>3043</v>
      </c>
      <c r="C1278" s="62" t="s">
        <v>3044</v>
      </c>
      <c r="D1278" s="61">
        <v>40</v>
      </c>
    </row>
    <row r="1279" spans="1:4" x14ac:dyDescent="0.2">
      <c r="A1279" s="62" t="s">
        <v>16</v>
      </c>
      <c r="B1279" s="61" t="s">
        <v>3045</v>
      </c>
      <c r="C1279" s="62" t="s">
        <v>3046</v>
      </c>
      <c r="D1279" s="61">
        <v>40</v>
      </c>
    </row>
    <row r="1280" spans="1:4" x14ac:dyDescent="0.2">
      <c r="A1280" s="61" t="s">
        <v>16</v>
      </c>
      <c r="B1280" s="61" t="s">
        <v>3047</v>
      </c>
      <c r="C1280" s="62" t="s">
        <v>3048</v>
      </c>
      <c r="D1280" s="61">
        <v>40</v>
      </c>
    </row>
    <row r="1281" spans="1:4" x14ac:dyDescent="0.2">
      <c r="A1281" s="62" t="s">
        <v>16</v>
      </c>
      <c r="B1281" s="61" t="s">
        <v>3049</v>
      </c>
      <c r="C1281" s="62" t="s">
        <v>5427</v>
      </c>
      <c r="D1281" s="61">
        <v>40</v>
      </c>
    </row>
    <row r="1282" spans="1:4" x14ac:dyDescent="0.2">
      <c r="A1282" s="61" t="s">
        <v>16</v>
      </c>
      <c r="B1282" s="61" t="s">
        <v>3050</v>
      </c>
      <c r="C1282" s="62" t="s">
        <v>3051</v>
      </c>
      <c r="D1282" s="61">
        <v>40</v>
      </c>
    </row>
    <row r="1283" spans="1:4" x14ac:dyDescent="0.2">
      <c r="A1283" s="62" t="s">
        <v>16</v>
      </c>
      <c r="B1283" s="61" t="s">
        <v>3052</v>
      </c>
      <c r="C1283" s="62" t="s">
        <v>3053</v>
      </c>
      <c r="D1283" s="61">
        <v>40</v>
      </c>
    </row>
    <row r="1284" spans="1:4" x14ac:dyDescent="0.2">
      <c r="A1284" s="61" t="s">
        <v>16</v>
      </c>
      <c r="B1284" s="61" t="s">
        <v>3054</v>
      </c>
      <c r="C1284" s="62" t="s">
        <v>3055</v>
      </c>
      <c r="D1284" s="61">
        <v>40</v>
      </c>
    </row>
    <row r="1285" spans="1:4" x14ac:dyDescent="0.2">
      <c r="A1285" s="62" t="s">
        <v>16</v>
      </c>
      <c r="B1285" s="61" t="s">
        <v>3056</v>
      </c>
      <c r="C1285" s="62" t="s">
        <v>3057</v>
      </c>
      <c r="D1285" s="61">
        <v>40</v>
      </c>
    </row>
    <row r="1286" spans="1:4" x14ac:dyDescent="0.2">
      <c r="A1286" s="61" t="s">
        <v>16</v>
      </c>
      <c r="B1286" s="61" t="s">
        <v>3058</v>
      </c>
      <c r="C1286" s="62" t="s">
        <v>3059</v>
      </c>
      <c r="D1286" s="61">
        <v>40</v>
      </c>
    </row>
    <row r="1287" spans="1:4" x14ac:dyDescent="0.2">
      <c r="A1287" s="62" t="s">
        <v>16</v>
      </c>
      <c r="B1287" s="61" t="s">
        <v>3060</v>
      </c>
      <c r="C1287" s="62" t="s">
        <v>3061</v>
      </c>
      <c r="D1287" s="61">
        <v>40</v>
      </c>
    </row>
    <row r="1288" spans="1:4" x14ac:dyDescent="0.2">
      <c r="A1288" s="61" t="s">
        <v>16</v>
      </c>
      <c r="B1288" s="61" t="s">
        <v>3062</v>
      </c>
      <c r="C1288" s="62" t="s">
        <v>3063</v>
      </c>
      <c r="D1288" s="61">
        <v>40</v>
      </c>
    </row>
    <row r="1289" spans="1:4" x14ac:dyDescent="0.2">
      <c r="A1289" s="62" t="s">
        <v>16</v>
      </c>
      <c r="B1289" s="61" t="s">
        <v>3064</v>
      </c>
      <c r="C1289" s="62" t="s">
        <v>3065</v>
      </c>
      <c r="D1289" s="61">
        <v>40</v>
      </c>
    </row>
    <row r="1290" spans="1:4" x14ac:dyDescent="0.2">
      <c r="A1290" s="61" t="s">
        <v>16</v>
      </c>
      <c r="B1290" s="61" t="s">
        <v>3066</v>
      </c>
      <c r="C1290" s="62" t="s">
        <v>3067</v>
      </c>
      <c r="D1290" s="61">
        <v>40</v>
      </c>
    </row>
    <row r="1291" spans="1:4" x14ac:dyDescent="0.2">
      <c r="A1291" s="62" t="s">
        <v>16</v>
      </c>
      <c r="B1291" s="61" t="s">
        <v>3068</v>
      </c>
      <c r="C1291" s="62" t="s">
        <v>3069</v>
      </c>
      <c r="D1291" s="61">
        <v>40</v>
      </c>
    </row>
    <row r="1292" spans="1:4" x14ac:dyDescent="0.2">
      <c r="A1292" s="61" t="s">
        <v>16</v>
      </c>
      <c r="B1292" s="61" t="s">
        <v>3070</v>
      </c>
      <c r="C1292" s="62" t="s">
        <v>3071</v>
      </c>
      <c r="D1292" s="61">
        <v>40</v>
      </c>
    </row>
    <row r="1293" spans="1:4" x14ac:dyDescent="0.2">
      <c r="A1293" s="62" t="s">
        <v>16</v>
      </c>
      <c r="B1293" s="61" t="s">
        <v>3072</v>
      </c>
      <c r="C1293" s="62" t="s">
        <v>3073</v>
      </c>
      <c r="D1293" s="61">
        <v>40</v>
      </c>
    </row>
    <row r="1294" spans="1:4" x14ac:dyDescent="0.2">
      <c r="A1294" s="61" t="s">
        <v>16</v>
      </c>
      <c r="B1294" s="61" t="s">
        <v>3074</v>
      </c>
      <c r="C1294" s="62" t="s">
        <v>3075</v>
      </c>
      <c r="D1294" s="61">
        <v>40</v>
      </c>
    </row>
    <row r="1295" spans="1:4" x14ac:dyDescent="0.2">
      <c r="A1295" s="62" t="s">
        <v>16</v>
      </c>
      <c r="B1295" s="61" t="s">
        <v>3076</v>
      </c>
      <c r="C1295" s="62" t="s">
        <v>3077</v>
      </c>
      <c r="D1295" s="61">
        <v>40</v>
      </c>
    </row>
    <row r="1296" spans="1:4" x14ac:dyDescent="0.2">
      <c r="A1296" s="61" t="s">
        <v>16</v>
      </c>
      <c r="B1296" s="61" t="s">
        <v>3078</v>
      </c>
      <c r="C1296" s="62" t="s">
        <v>3079</v>
      </c>
      <c r="D1296" s="61">
        <v>40</v>
      </c>
    </row>
    <row r="1297" spans="1:4" x14ac:dyDescent="0.2">
      <c r="A1297" s="62" t="s">
        <v>16</v>
      </c>
      <c r="B1297" s="61" t="s">
        <v>3080</v>
      </c>
      <c r="C1297" s="62" t="s">
        <v>3081</v>
      </c>
      <c r="D1297" s="61">
        <v>40</v>
      </c>
    </row>
    <row r="1298" spans="1:4" x14ac:dyDescent="0.2">
      <c r="A1298" s="61" t="s">
        <v>16</v>
      </c>
      <c r="B1298" s="61" t="s">
        <v>3082</v>
      </c>
      <c r="C1298" s="62" t="s">
        <v>3083</v>
      </c>
      <c r="D1298" s="61">
        <v>40</v>
      </c>
    </row>
    <row r="1299" spans="1:4" x14ac:dyDescent="0.2">
      <c r="A1299" s="62" t="s">
        <v>16</v>
      </c>
      <c r="B1299" s="61" t="s">
        <v>3084</v>
      </c>
      <c r="C1299" s="62" t="s">
        <v>3085</v>
      </c>
      <c r="D1299" s="61">
        <v>40</v>
      </c>
    </row>
    <row r="1300" spans="1:4" x14ac:dyDescent="0.2">
      <c r="A1300" s="61" t="s">
        <v>16</v>
      </c>
      <c r="B1300" s="61" t="s">
        <v>3086</v>
      </c>
      <c r="C1300" s="62" t="s">
        <v>3087</v>
      </c>
      <c r="D1300" s="61">
        <v>40</v>
      </c>
    </row>
    <row r="1301" spans="1:4" x14ac:dyDescent="0.2">
      <c r="A1301" s="62" t="s">
        <v>16</v>
      </c>
      <c r="B1301" s="61" t="s">
        <v>3088</v>
      </c>
      <c r="C1301" s="62" t="s">
        <v>3089</v>
      </c>
      <c r="D1301" s="61">
        <v>40</v>
      </c>
    </row>
    <row r="1302" spans="1:4" x14ac:dyDescent="0.2">
      <c r="A1302" s="61" t="s">
        <v>16</v>
      </c>
      <c r="B1302" s="61" t="s">
        <v>3090</v>
      </c>
      <c r="C1302" s="62" t="s">
        <v>3091</v>
      </c>
      <c r="D1302" s="61">
        <v>40</v>
      </c>
    </row>
    <row r="1303" spans="1:4" x14ac:dyDescent="0.2">
      <c r="A1303" s="62" t="s">
        <v>16</v>
      </c>
      <c r="B1303" s="61" t="s">
        <v>3092</v>
      </c>
      <c r="C1303" s="62" t="s">
        <v>3093</v>
      </c>
      <c r="D1303" s="61">
        <v>40</v>
      </c>
    </row>
    <row r="1304" spans="1:4" x14ac:dyDescent="0.2">
      <c r="A1304" s="61" t="s">
        <v>16</v>
      </c>
      <c r="B1304" s="61" t="s">
        <v>3094</v>
      </c>
      <c r="C1304" s="62" t="s">
        <v>3095</v>
      </c>
      <c r="D1304" s="61">
        <v>40</v>
      </c>
    </row>
    <row r="1305" spans="1:4" x14ac:dyDescent="0.2">
      <c r="A1305" s="62" t="s">
        <v>16</v>
      </c>
      <c r="B1305" s="61" t="s">
        <v>3096</v>
      </c>
      <c r="C1305" s="62" t="s">
        <v>3097</v>
      </c>
      <c r="D1305" s="61">
        <v>40</v>
      </c>
    </row>
    <row r="1306" spans="1:4" x14ac:dyDescent="0.2">
      <c r="A1306" s="61" t="s">
        <v>16</v>
      </c>
      <c r="B1306" s="61" t="s">
        <v>3098</v>
      </c>
      <c r="C1306" s="62" t="s">
        <v>3099</v>
      </c>
      <c r="D1306" s="61">
        <v>40</v>
      </c>
    </row>
    <row r="1307" spans="1:4" x14ac:dyDescent="0.2">
      <c r="A1307" s="62" t="s">
        <v>16</v>
      </c>
      <c r="B1307" s="61" t="s">
        <v>3100</v>
      </c>
      <c r="C1307" s="62" t="s">
        <v>3101</v>
      </c>
      <c r="D1307" s="61">
        <v>40</v>
      </c>
    </row>
    <row r="1308" spans="1:4" x14ac:dyDescent="0.2">
      <c r="A1308" s="61" t="s">
        <v>16</v>
      </c>
      <c r="B1308" s="61" t="s">
        <v>3102</v>
      </c>
      <c r="C1308" s="62" t="s">
        <v>3103</v>
      </c>
      <c r="D1308" s="61">
        <v>40</v>
      </c>
    </row>
    <row r="1309" spans="1:4" x14ac:dyDescent="0.2">
      <c r="A1309" s="62" t="s">
        <v>16</v>
      </c>
      <c r="B1309" s="61" t="s">
        <v>3104</v>
      </c>
      <c r="C1309" s="62" t="s">
        <v>3105</v>
      </c>
      <c r="D1309" s="61">
        <v>40</v>
      </c>
    </row>
    <row r="1310" spans="1:4" x14ac:dyDescent="0.2">
      <c r="A1310" s="61" t="s">
        <v>16</v>
      </c>
      <c r="B1310" s="61" t="s">
        <v>3106</v>
      </c>
      <c r="C1310" s="62" t="s">
        <v>3107</v>
      </c>
      <c r="D1310" s="61">
        <v>40</v>
      </c>
    </row>
    <row r="1311" spans="1:4" x14ac:dyDescent="0.2">
      <c r="A1311" s="62" t="s">
        <v>16</v>
      </c>
      <c r="B1311" s="61" t="s">
        <v>3108</v>
      </c>
      <c r="C1311" s="62" t="s">
        <v>3109</v>
      </c>
      <c r="D1311" s="61">
        <v>40</v>
      </c>
    </row>
    <row r="1312" spans="1:4" x14ac:dyDescent="0.2">
      <c r="A1312" s="61" t="s">
        <v>16</v>
      </c>
      <c r="B1312" s="61" t="s">
        <v>3110</v>
      </c>
      <c r="C1312" s="62" t="s">
        <v>3111</v>
      </c>
      <c r="D1312" s="61">
        <v>40</v>
      </c>
    </row>
    <row r="1313" spans="1:4" x14ac:dyDescent="0.2">
      <c r="A1313" s="62" t="s">
        <v>16</v>
      </c>
      <c r="B1313" s="61" t="s">
        <v>3112</v>
      </c>
      <c r="C1313" s="62" t="s">
        <v>3113</v>
      </c>
      <c r="D1313" s="61">
        <v>40</v>
      </c>
    </row>
    <row r="1314" spans="1:4" x14ac:dyDescent="0.2">
      <c r="A1314" s="61" t="s">
        <v>16</v>
      </c>
      <c r="B1314" s="61" t="s">
        <v>3114</v>
      </c>
      <c r="C1314" s="62" t="s">
        <v>3115</v>
      </c>
      <c r="D1314" s="61">
        <v>40</v>
      </c>
    </row>
    <row r="1315" spans="1:4" x14ac:dyDescent="0.2">
      <c r="A1315" s="62" t="s">
        <v>16</v>
      </c>
      <c r="B1315" s="61" t="s">
        <v>3116</v>
      </c>
      <c r="C1315" s="62" t="s">
        <v>3117</v>
      </c>
      <c r="D1315" s="61">
        <v>40</v>
      </c>
    </row>
    <row r="1316" spans="1:4" x14ac:dyDescent="0.2">
      <c r="A1316" s="61" t="s">
        <v>16</v>
      </c>
      <c r="B1316" s="61" t="s">
        <v>3118</v>
      </c>
      <c r="C1316" s="62" t="s">
        <v>3119</v>
      </c>
      <c r="D1316" s="61">
        <v>40</v>
      </c>
    </row>
    <row r="1317" spans="1:4" x14ac:dyDescent="0.2">
      <c r="A1317" s="62" t="s">
        <v>16</v>
      </c>
      <c r="B1317" s="61" t="s">
        <v>3120</v>
      </c>
      <c r="C1317" s="62" t="s">
        <v>3121</v>
      </c>
      <c r="D1317" s="61">
        <v>40</v>
      </c>
    </row>
    <row r="1318" spans="1:4" x14ac:dyDescent="0.2">
      <c r="A1318" s="61" t="s">
        <v>16</v>
      </c>
      <c r="B1318" s="61" t="s">
        <v>3122</v>
      </c>
      <c r="C1318" s="62" t="s">
        <v>3123</v>
      </c>
      <c r="D1318" s="61">
        <v>40</v>
      </c>
    </row>
    <row r="1319" spans="1:4" x14ac:dyDescent="0.2">
      <c r="A1319" s="62" t="s">
        <v>16</v>
      </c>
      <c r="B1319" s="61" t="s">
        <v>3124</v>
      </c>
      <c r="C1319" s="62" t="s">
        <v>3125</v>
      </c>
      <c r="D1319" s="61">
        <v>40</v>
      </c>
    </row>
    <row r="1320" spans="1:4" x14ac:dyDescent="0.2">
      <c r="A1320" s="61" t="s">
        <v>16</v>
      </c>
      <c r="B1320" s="61" t="s">
        <v>3126</v>
      </c>
      <c r="C1320" s="62" t="s">
        <v>3127</v>
      </c>
      <c r="D1320" s="61">
        <v>40</v>
      </c>
    </row>
    <row r="1321" spans="1:4" x14ac:dyDescent="0.2">
      <c r="A1321" s="62" t="s">
        <v>16</v>
      </c>
      <c r="B1321" s="61" t="s">
        <v>3128</v>
      </c>
      <c r="C1321" s="62" t="s">
        <v>3129</v>
      </c>
      <c r="D1321" s="61">
        <v>40</v>
      </c>
    </row>
    <row r="1322" spans="1:4" x14ac:dyDescent="0.2">
      <c r="A1322" s="61" t="s">
        <v>16</v>
      </c>
      <c r="B1322" s="61" t="s">
        <v>3130</v>
      </c>
      <c r="C1322" s="62" t="s">
        <v>3131</v>
      </c>
      <c r="D1322" s="61">
        <v>40</v>
      </c>
    </row>
    <row r="1323" spans="1:4" x14ac:dyDescent="0.2">
      <c r="A1323" s="62" t="s">
        <v>16</v>
      </c>
      <c r="B1323" s="61" t="s">
        <v>3132</v>
      </c>
      <c r="C1323" s="62" t="s">
        <v>3133</v>
      </c>
      <c r="D1323" s="61">
        <v>40</v>
      </c>
    </row>
    <row r="1324" spans="1:4" x14ac:dyDescent="0.2">
      <c r="A1324" s="61" t="s">
        <v>16</v>
      </c>
      <c r="B1324" s="61" t="s">
        <v>3134</v>
      </c>
      <c r="C1324" s="62" t="s">
        <v>3135</v>
      </c>
      <c r="D1324" s="61">
        <v>40</v>
      </c>
    </row>
    <row r="1325" spans="1:4" x14ac:dyDescent="0.2">
      <c r="A1325" s="62" t="s">
        <v>16</v>
      </c>
      <c r="B1325" s="61" t="s">
        <v>3136</v>
      </c>
      <c r="C1325" s="62" t="s">
        <v>3137</v>
      </c>
      <c r="D1325" s="61">
        <v>40</v>
      </c>
    </row>
    <row r="1326" spans="1:4" x14ac:dyDescent="0.2">
      <c r="A1326" s="61" t="s">
        <v>16</v>
      </c>
      <c r="B1326" s="61" t="s">
        <v>3138</v>
      </c>
      <c r="C1326" s="62" t="s">
        <v>3139</v>
      </c>
      <c r="D1326" s="61">
        <v>40</v>
      </c>
    </row>
    <row r="1327" spans="1:4" x14ac:dyDescent="0.2">
      <c r="A1327" s="62" t="s">
        <v>16</v>
      </c>
      <c r="B1327" s="61" t="s">
        <v>3140</v>
      </c>
      <c r="C1327" s="62" t="s">
        <v>3141</v>
      </c>
      <c r="D1327" s="61">
        <v>40</v>
      </c>
    </row>
    <row r="1328" spans="1:4" x14ac:dyDescent="0.2">
      <c r="A1328" s="61" t="s">
        <v>16</v>
      </c>
      <c r="B1328" s="61" t="s">
        <v>3142</v>
      </c>
      <c r="C1328" s="62" t="s">
        <v>3143</v>
      </c>
      <c r="D1328" s="61">
        <v>40</v>
      </c>
    </row>
    <row r="1329" spans="1:4" x14ac:dyDescent="0.2">
      <c r="A1329" s="62" t="s">
        <v>16</v>
      </c>
      <c r="B1329" s="61" t="s">
        <v>3144</v>
      </c>
      <c r="C1329" s="62" t="s">
        <v>3145</v>
      </c>
      <c r="D1329" s="61">
        <v>40</v>
      </c>
    </row>
    <row r="1330" spans="1:4" x14ac:dyDescent="0.2">
      <c r="A1330" s="61" t="s">
        <v>16</v>
      </c>
      <c r="B1330" s="61" t="s">
        <v>3146</v>
      </c>
      <c r="C1330" s="62" t="s">
        <v>3147</v>
      </c>
      <c r="D1330" s="61">
        <v>40</v>
      </c>
    </row>
    <row r="1331" spans="1:4" x14ac:dyDescent="0.2">
      <c r="A1331" s="62" t="s">
        <v>16</v>
      </c>
      <c r="B1331" s="61" t="s">
        <v>3148</v>
      </c>
      <c r="C1331" s="62" t="s">
        <v>3149</v>
      </c>
      <c r="D1331" s="61">
        <v>40</v>
      </c>
    </row>
    <row r="1332" spans="1:4" x14ac:dyDescent="0.2">
      <c r="A1332" s="61" t="s">
        <v>16</v>
      </c>
      <c r="B1332" s="61" t="s">
        <v>3150</v>
      </c>
      <c r="C1332" s="62" t="s">
        <v>3151</v>
      </c>
      <c r="D1332" s="61">
        <v>40</v>
      </c>
    </row>
    <row r="1333" spans="1:4" x14ac:dyDescent="0.2">
      <c r="A1333" s="62" t="s">
        <v>16</v>
      </c>
      <c r="B1333" s="61" t="s">
        <v>772</v>
      </c>
      <c r="C1333" s="62" t="s">
        <v>4933</v>
      </c>
      <c r="D1333" s="61">
        <v>40</v>
      </c>
    </row>
    <row r="1334" spans="1:4" x14ac:dyDescent="0.2">
      <c r="A1334" s="61" t="s">
        <v>16</v>
      </c>
      <c r="B1334" s="61" t="s">
        <v>3152</v>
      </c>
      <c r="C1334" s="62" t="s">
        <v>3153</v>
      </c>
      <c r="D1334" s="61">
        <v>40</v>
      </c>
    </row>
    <row r="1335" spans="1:4" x14ac:dyDescent="0.2">
      <c r="A1335" s="62" t="s">
        <v>16</v>
      </c>
      <c r="B1335" s="61" t="s">
        <v>3154</v>
      </c>
      <c r="C1335" s="62" t="s">
        <v>3155</v>
      </c>
      <c r="D1335" s="61">
        <v>40</v>
      </c>
    </row>
    <row r="1336" spans="1:4" x14ac:dyDescent="0.2">
      <c r="A1336" s="61" t="s">
        <v>16</v>
      </c>
      <c r="B1336" s="61" t="s">
        <v>3156</v>
      </c>
      <c r="C1336" s="62" t="s">
        <v>3157</v>
      </c>
      <c r="D1336" s="61">
        <v>40</v>
      </c>
    </row>
    <row r="1337" spans="1:4" x14ac:dyDescent="0.2">
      <c r="A1337" s="62" t="s">
        <v>16</v>
      </c>
      <c r="B1337" s="61" t="s">
        <v>3158</v>
      </c>
      <c r="C1337" s="62" t="s">
        <v>3159</v>
      </c>
      <c r="D1337" s="61">
        <v>40</v>
      </c>
    </row>
    <row r="1338" spans="1:4" x14ac:dyDescent="0.2">
      <c r="A1338" s="61" t="s">
        <v>16</v>
      </c>
      <c r="B1338" s="61" t="s">
        <v>3160</v>
      </c>
      <c r="C1338" s="62" t="s">
        <v>3161</v>
      </c>
      <c r="D1338" s="61">
        <v>40</v>
      </c>
    </row>
    <row r="1339" spans="1:4" x14ac:dyDescent="0.2">
      <c r="A1339" s="62" t="s">
        <v>16</v>
      </c>
      <c r="B1339" s="61" t="s">
        <v>3162</v>
      </c>
      <c r="C1339" s="62" t="s">
        <v>3163</v>
      </c>
      <c r="D1339" s="61">
        <v>40</v>
      </c>
    </row>
    <row r="1340" spans="1:4" x14ac:dyDescent="0.2">
      <c r="A1340" s="61" t="s">
        <v>16</v>
      </c>
      <c r="B1340" s="61" t="s">
        <v>3164</v>
      </c>
      <c r="C1340" s="62" t="s">
        <v>3165</v>
      </c>
      <c r="D1340" s="61">
        <v>40</v>
      </c>
    </row>
    <row r="1341" spans="1:4" x14ac:dyDescent="0.2">
      <c r="A1341" s="62" t="s">
        <v>16</v>
      </c>
      <c r="B1341" s="61" t="s">
        <v>3166</v>
      </c>
      <c r="C1341" s="62" t="s">
        <v>3167</v>
      </c>
      <c r="D1341" s="61">
        <v>40</v>
      </c>
    </row>
    <row r="1342" spans="1:4" x14ac:dyDescent="0.2">
      <c r="A1342" s="61" t="s">
        <v>16</v>
      </c>
      <c r="B1342" s="61" t="s">
        <v>3168</v>
      </c>
      <c r="C1342" s="62" t="s">
        <v>3169</v>
      </c>
      <c r="D1342" s="61">
        <v>40</v>
      </c>
    </row>
    <row r="1343" spans="1:4" x14ac:dyDescent="0.2">
      <c r="A1343" s="62" t="s">
        <v>16</v>
      </c>
      <c r="B1343" s="61" t="s">
        <v>3170</v>
      </c>
      <c r="C1343" s="62" t="s">
        <v>3171</v>
      </c>
      <c r="D1343" s="61">
        <v>40</v>
      </c>
    </row>
    <row r="1344" spans="1:4" x14ac:dyDescent="0.2">
      <c r="A1344" s="61" t="s">
        <v>16</v>
      </c>
      <c r="B1344" s="61" t="s">
        <v>319</v>
      </c>
      <c r="C1344" s="62" t="s">
        <v>435</v>
      </c>
      <c r="D1344" s="61">
        <v>40</v>
      </c>
    </row>
    <row r="1345" spans="1:4" x14ac:dyDescent="0.2">
      <c r="A1345" s="62" t="s">
        <v>16</v>
      </c>
      <c r="B1345" s="61" t="s">
        <v>318</v>
      </c>
      <c r="C1345" s="62" t="s">
        <v>436</v>
      </c>
      <c r="D1345" s="61">
        <v>40</v>
      </c>
    </row>
    <row r="1346" spans="1:4" x14ac:dyDescent="0.2">
      <c r="A1346" s="61" t="s">
        <v>16</v>
      </c>
      <c r="B1346" s="61" t="s">
        <v>3172</v>
      </c>
      <c r="C1346" s="62" t="s">
        <v>3173</v>
      </c>
      <c r="D1346" s="61">
        <v>40</v>
      </c>
    </row>
    <row r="1347" spans="1:4" x14ac:dyDescent="0.2">
      <c r="A1347" s="62" t="s">
        <v>16</v>
      </c>
      <c r="B1347" s="61" t="s">
        <v>3174</v>
      </c>
      <c r="C1347" s="62" t="s">
        <v>3175</v>
      </c>
      <c r="D1347" s="61">
        <v>40</v>
      </c>
    </row>
    <row r="1348" spans="1:4" x14ac:dyDescent="0.2">
      <c r="A1348" s="61" t="s">
        <v>16</v>
      </c>
      <c r="B1348" s="61" t="s">
        <v>3176</v>
      </c>
      <c r="C1348" s="62" t="s">
        <v>3177</v>
      </c>
      <c r="D1348" s="61">
        <v>40</v>
      </c>
    </row>
    <row r="1349" spans="1:4" x14ac:dyDescent="0.2">
      <c r="A1349" s="62" t="s">
        <v>16</v>
      </c>
      <c r="B1349" s="61" t="s">
        <v>3178</v>
      </c>
      <c r="C1349" s="62" t="s">
        <v>3179</v>
      </c>
      <c r="D1349" s="61">
        <v>40</v>
      </c>
    </row>
    <row r="1350" spans="1:4" x14ac:dyDescent="0.2">
      <c r="A1350" s="61" t="s">
        <v>16</v>
      </c>
      <c r="B1350" s="61" t="s">
        <v>3180</v>
      </c>
      <c r="C1350" s="62" t="s">
        <v>3181</v>
      </c>
      <c r="D1350" s="61">
        <v>40</v>
      </c>
    </row>
    <row r="1351" spans="1:4" x14ac:dyDescent="0.2">
      <c r="A1351" s="62" t="s">
        <v>16</v>
      </c>
      <c r="B1351" s="61" t="s">
        <v>3182</v>
      </c>
      <c r="C1351" s="62" t="s">
        <v>3183</v>
      </c>
      <c r="D1351" s="61">
        <v>40</v>
      </c>
    </row>
    <row r="1352" spans="1:4" x14ac:dyDescent="0.2">
      <c r="A1352" s="61" t="s">
        <v>16</v>
      </c>
      <c r="B1352" s="61" t="s">
        <v>3184</v>
      </c>
      <c r="C1352" s="62" t="s">
        <v>3185</v>
      </c>
      <c r="D1352" s="61">
        <v>40</v>
      </c>
    </row>
    <row r="1353" spans="1:4" x14ac:dyDescent="0.2">
      <c r="A1353" s="62" t="s">
        <v>16</v>
      </c>
      <c r="B1353" s="61" t="s">
        <v>3186</v>
      </c>
      <c r="C1353" s="62" t="s">
        <v>3187</v>
      </c>
      <c r="D1353" s="61">
        <v>40</v>
      </c>
    </row>
    <row r="1354" spans="1:4" x14ac:dyDescent="0.2">
      <c r="A1354" s="61" t="s">
        <v>16</v>
      </c>
      <c r="B1354" s="61" t="s">
        <v>3188</v>
      </c>
      <c r="C1354" s="62" t="s">
        <v>3189</v>
      </c>
      <c r="D1354" s="61">
        <v>40</v>
      </c>
    </row>
    <row r="1355" spans="1:4" x14ac:dyDescent="0.2">
      <c r="A1355" s="62" t="s">
        <v>16</v>
      </c>
      <c r="B1355" s="61" t="s">
        <v>3190</v>
      </c>
      <c r="C1355" s="62" t="s">
        <v>4933</v>
      </c>
      <c r="D1355" s="61">
        <v>40</v>
      </c>
    </row>
    <row r="1356" spans="1:4" x14ac:dyDescent="0.2">
      <c r="A1356" s="61" t="s">
        <v>16</v>
      </c>
      <c r="B1356" s="61" t="s">
        <v>3191</v>
      </c>
      <c r="C1356" s="62" t="s">
        <v>3192</v>
      </c>
      <c r="D1356" s="61">
        <v>40</v>
      </c>
    </row>
    <row r="1357" spans="1:4" x14ac:dyDescent="0.2">
      <c r="A1357" s="62" t="s">
        <v>16</v>
      </c>
      <c r="B1357" s="61" t="s">
        <v>754</v>
      </c>
      <c r="C1357" s="62" t="s">
        <v>4973</v>
      </c>
      <c r="D1357" s="61">
        <v>40</v>
      </c>
    </row>
    <row r="1358" spans="1:4" x14ac:dyDescent="0.2">
      <c r="A1358" s="61" t="s">
        <v>16</v>
      </c>
      <c r="B1358" s="61" t="s">
        <v>350</v>
      </c>
      <c r="C1358" s="62" t="s">
        <v>4837</v>
      </c>
      <c r="D1358" s="61">
        <v>40</v>
      </c>
    </row>
    <row r="1359" spans="1:4" x14ac:dyDescent="0.2">
      <c r="A1359" s="62" t="s">
        <v>16</v>
      </c>
      <c r="B1359" s="61" t="s">
        <v>3193</v>
      </c>
      <c r="C1359" s="62" t="s">
        <v>3194</v>
      </c>
      <c r="D1359" s="61">
        <v>40</v>
      </c>
    </row>
    <row r="1360" spans="1:4" x14ac:dyDescent="0.2">
      <c r="A1360" s="61" t="s">
        <v>16</v>
      </c>
      <c r="B1360" s="61" t="s">
        <v>3195</v>
      </c>
      <c r="C1360" s="62" t="s">
        <v>3196</v>
      </c>
      <c r="D1360" s="61">
        <v>40</v>
      </c>
    </row>
    <row r="1361" spans="1:4" x14ac:dyDescent="0.2">
      <c r="A1361" s="62" t="s">
        <v>16</v>
      </c>
      <c r="B1361" s="61" t="s">
        <v>3197</v>
      </c>
      <c r="C1361" s="62" t="s">
        <v>3198</v>
      </c>
      <c r="D1361" s="61">
        <v>40</v>
      </c>
    </row>
    <row r="1362" spans="1:4" x14ac:dyDescent="0.2">
      <c r="A1362" s="61" t="s">
        <v>16</v>
      </c>
      <c r="B1362" s="61" t="s">
        <v>3199</v>
      </c>
      <c r="C1362" s="62" t="s">
        <v>3200</v>
      </c>
      <c r="D1362" s="61">
        <v>40</v>
      </c>
    </row>
    <row r="1363" spans="1:4" x14ac:dyDescent="0.2">
      <c r="A1363" s="62" t="s">
        <v>16</v>
      </c>
      <c r="B1363" s="61" t="s">
        <v>3201</v>
      </c>
      <c r="C1363" s="62" t="s">
        <v>3202</v>
      </c>
      <c r="D1363" s="61">
        <v>40</v>
      </c>
    </row>
    <row r="1364" spans="1:4" x14ac:dyDescent="0.2">
      <c r="A1364" s="61" t="s">
        <v>16</v>
      </c>
      <c r="B1364" s="61" t="s">
        <v>3203</v>
      </c>
      <c r="C1364" s="62" t="s">
        <v>5428</v>
      </c>
      <c r="D1364" s="61">
        <v>40</v>
      </c>
    </row>
    <row r="1365" spans="1:4" x14ac:dyDescent="0.2">
      <c r="A1365" s="62" t="s">
        <v>16</v>
      </c>
      <c r="B1365" s="61" t="s">
        <v>3204</v>
      </c>
      <c r="C1365" s="62" t="s">
        <v>3205</v>
      </c>
      <c r="D1365" s="61">
        <v>40</v>
      </c>
    </row>
    <row r="1366" spans="1:4" x14ac:dyDescent="0.2">
      <c r="A1366" s="61" t="s">
        <v>16</v>
      </c>
      <c r="B1366" s="61" t="s">
        <v>3206</v>
      </c>
      <c r="C1366" s="62" t="s">
        <v>3207</v>
      </c>
      <c r="D1366" s="61">
        <v>40</v>
      </c>
    </row>
    <row r="1367" spans="1:4" x14ac:dyDescent="0.2">
      <c r="A1367" s="62" t="s">
        <v>16</v>
      </c>
      <c r="B1367" s="61" t="s">
        <v>3208</v>
      </c>
      <c r="C1367" s="62" t="s">
        <v>3209</v>
      </c>
      <c r="D1367" s="61">
        <v>40</v>
      </c>
    </row>
    <row r="1368" spans="1:4" x14ac:dyDescent="0.2">
      <c r="A1368" s="61" t="s">
        <v>16</v>
      </c>
      <c r="B1368" s="61" t="s">
        <v>3210</v>
      </c>
      <c r="C1368" s="62" t="s">
        <v>3211</v>
      </c>
      <c r="D1368" s="61">
        <v>40</v>
      </c>
    </row>
    <row r="1369" spans="1:4" x14ac:dyDescent="0.2">
      <c r="A1369" s="62" t="s">
        <v>16</v>
      </c>
      <c r="B1369" s="61" t="s">
        <v>3212</v>
      </c>
      <c r="C1369" s="62" t="s">
        <v>3213</v>
      </c>
      <c r="D1369" s="61">
        <v>40</v>
      </c>
    </row>
    <row r="1370" spans="1:4" x14ac:dyDescent="0.2">
      <c r="A1370" s="61" t="s">
        <v>16</v>
      </c>
      <c r="B1370" s="61" t="s">
        <v>3214</v>
      </c>
      <c r="C1370" s="62" t="s">
        <v>5429</v>
      </c>
      <c r="D1370" s="61">
        <v>40</v>
      </c>
    </row>
    <row r="1371" spans="1:4" x14ac:dyDescent="0.2">
      <c r="A1371" s="62" t="s">
        <v>16</v>
      </c>
      <c r="B1371" s="61" t="s">
        <v>3215</v>
      </c>
      <c r="C1371" s="62" t="s">
        <v>5430</v>
      </c>
      <c r="D1371" s="61">
        <v>40</v>
      </c>
    </row>
    <row r="1372" spans="1:4" x14ac:dyDescent="0.2">
      <c r="A1372" s="61" t="s">
        <v>16</v>
      </c>
      <c r="B1372" s="61" t="s">
        <v>3216</v>
      </c>
      <c r="C1372" s="62" t="s">
        <v>3217</v>
      </c>
      <c r="D1372" s="61">
        <v>40</v>
      </c>
    </row>
    <row r="1373" spans="1:4" x14ac:dyDescent="0.2">
      <c r="A1373" s="62" t="s">
        <v>16</v>
      </c>
      <c r="B1373" s="61" t="s">
        <v>3218</v>
      </c>
      <c r="C1373" s="62" t="s">
        <v>5431</v>
      </c>
      <c r="D1373" s="61">
        <v>40</v>
      </c>
    </row>
    <row r="1374" spans="1:4" x14ac:dyDescent="0.2">
      <c r="A1374" s="61" t="s">
        <v>16</v>
      </c>
      <c r="B1374" s="61" t="s">
        <v>3219</v>
      </c>
      <c r="C1374" s="62" t="s">
        <v>3220</v>
      </c>
      <c r="D1374" s="61">
        <v>40</v>
      </c>
    </row>
    <row r="1375" spans="1:4" x14ac:dyDescent="0.2">
      <c r="A1375" s="62" t="s">
        <v>16</v>
      </c>
      <c r="B1375" s="61" t="s">
        <v>3221</v>
      </c>
      <c r="C1375" s="62" t="s">
        <v>3222</v>
      </c>
      <c r="D1375" s="61">
        <v>40</v>
      </c>
    </row>
    <row r="1376" spans="1:4" x14ac:dyDescent="0.2">
      <c r="A1376" s="61" t="s">
        <v>16</v>
      </c>
      <c r="B1376" s="61" t="s">
        <v>3223</v>
      </c>
      <c r="C1376" s="62" t="s">
        <v>3224</v>
      </c>
      <c r="D1376" s="61">
        <v>40</v>
      </c>
    </row>
    <row r="1377" spans="1:4" x14ac:dyDescent="0.2">
      <c r="A1377" s="62" t="s">
        <v>16</v>
      </c>
      <c r="B1377" s="61" t="s">
        <v>3225</v>
      </c>
      <c r="C1377" s="62" t="s">
        <v>3226</v>
      </c>
      <c r="D1377" s="61">
        <v>40</v>
      </c>
    </row>
    <row r="1378" spans="1:4" x14ac:dyDescent="0.2">
      <c r="A1378" s="61" t="s">
        <v>16</v>
      </c>
      <c r="B1378" s="61" t="s">
        <v>3227</v>
      </c>
      <c r="C1378" s="62" t="s">
        <v>3228</v>
      </c>
      <c r="D1378" s="61">
        <v>40</v>
      </c>
    </row>
    <row r="1379" spans="1:4" x14ac:dyDescent="0.2">
      <c r="A1379" s="62" t="s">
        <v>16</v>
      </c>
      <c r="B1379" s="61" t="s">
        <v>3229</v>
      </c>
      <c r="C1379" s="62" t="s">
        <v>3230</v>
      </c>
      <c r="D1379" s="61">
        <v>40</v>
      </c>
    </row>
    <row r="1380" spans="1:4" x14ac:dyDescent="0.2">
      <c r="A1380" s="61" t="s">
        <v>16</v>
      </c>
      <c r="B1380" s="61" t="s">
        <v>3231</v>
      </c>
      <c r="C1380" s="62" t="s">
        <v>3232</v>
      </c>
      <c r="D1380" s="61">
        <v>40</v>
      </c>
    </row>
    <row r="1381" spans="1:4" x14ac:dyDescent="0.2">
      <c r="A1381" s="62" t="s">
        <v>16</v>
      </c>
      <c r="B1381" s="61" t="s">
        <v>3233</v>
      </c>
      <c r="C1381" s="62" t="s">
        <v>3234</v>
      </c>
      <c r="D1381" s="61">
        <v>40</v>
      </c>
    </row>
    <row r="1382" spans="1:4" x14ac:dyDescent="0.2">
      <c r="A1382" s="61" t="s">
        <v>16</v>
      </c>
      <c r="B1382" s="61" t="s">
        <v>3235</v>
      </c>
      <c r="C1382" s="62" t="s">
        <v>3236</v>
      </c>
      <c r="D1382" s="61">
        <v>40</v>
      </c>
    </row>
    <row r="1383" spans="1:4" x14ac:dyDescent="0.2">
      <c r="A1383" s="62" t="s">
        <v>16</v>
      </c>
      <c r="B1383" s="61" t="s">
        <v>3237</v>
      </c>
      <c r="C1383" s="62" t="s">
        <v>3238</v>
      </c>
      <c r="D1383" s="61">
        <v>40</v>
      </c>
    </row>
    <row r="1384" spans="1:4" x14ac:dyDescent="0.2">
      <c r="A1384" s="61" t="s">
        <v>16</v>
      </c>
      <c r="B1384" s="61" t="s">
        <v>3239</v>
      </c>
      <c r="C1384" s="62" t="s">
        <v>3240</v>
      </c>
      <c r="D1384" s="61">
        <v>40</v>
      </c>
    </row>
    <row r="1385" spans="1:4" x14ac:dyDescent="0.2">
      <c r="A1385" s="62" t="s">
        <v>16</v>
      </c>
      <c r="B1385" s="61" t="s">
        <v>3241</v>
      </c>
      <c r="C1385" s="62" t="s">
        <v>3242</v>
      </c>
      <c r="D1385" s="61">
        <v>40</v>
      </c>
    </row>
    <row r="1386" spans="1:4" x14ac:dyDescent="0.2">
      <c r="A1386" s="61" t="s">
        <v>16</v>
      </c>
      <c r="B1386" s="61" t="s">
        <v>3243</v>
      </c>
      <c r="C1386" s="62" t="s">
        <v>3244</v>
      </c>
      <c r="D1386" s="61">
        <v>40</v>
      </c>
    </row>
    <row r="1387" spans="1:4" x14ac:dyDescent="0.2">
      <c r="A1387" s="62" t="s">
        <v>16</v>
      </c>
      <c r="B1387" s="61" t="s">
        <v>3245</v>
      </c>
      <c r="C1387" s="62" t="s">
        <v>3246</v>
      </c>
      <c r="D1387" s="61">
        <v>40</v>
      </c>
    </row>
    <row r="1388" spans="1:4" x14ac:dyDescent="0.2">
      <c r="A1388" s="61" t="s">
        <v>16</v>
      </c>
      <c r="B1388" s="61" t="s">
        <v>3247</v>
      </c>
      <c r="C1388" s="62" t="s">
        <v>3248</v>
      </c>
      <c r="D1388" s="61">
        <v>40</v>
      </c>
    </row>
    <row r="1389" spans="1:4" x14ac:dyDescent="0.2">
      <c r="A1389" s="62" t="s">
        <v>16</v>
      </c>
      <c r="B1389" s="61" t="s">
        <v>3249</v>
      </c>
      <c r="C1389" s="62" t="s">
        <v>3250</v>
      </c>
      <c r="D1389" s="61">
        <v>40</v>
      </c>
    </row>
    <row r="1390" spans="1:4" x14ac:dyDescent="0.2">
      <c r="A1390" s="61" t="s">
        <v>16</v>
      </c>
      <c r="B1390" s="61" t="s">
        <v>3251</v>
      </c>
      <c r="C1390" s="62" t="s">
        <v>3252</v>
      </c>
      <c r="D1390" s="61">
        <v>40</v>
      </c>
    </row>
    <row r="1391" spans="1:4" x14ac:dyDescent="0.2">
      <c r="A1391" s="62" t="s">
        <v>16</v>
      </c>
      <c r="B1391" s="61" t="s">
        <v>3253</v>
      </c>
      <c r="C1391" s="62" t="s">
        <v>3254</v>
      </c>
      <c r="D1391" s="61">
        <v>40</v>
      </c>
    </row>
    <row r="1392" spans="1:4" x14ac:dyDescent="0.2">
      <c r="A1392" s="61" t="s">
        <v>16</v>
      </c>
      <c r="B1392" s="61" t="s">
        <v>3255</v>
      </c>
      <c r="C1392" s="62" t="s">
        <v>3256</v>
      </c>
      <c r="D1392" s="61">
        <v>40</v>
      </c>
    </row>
    <row r="1393" spans="1:4" x14ac:dyDescent="0.2">
      <c r="A1393" s="62" t="s">
        <v>16</v>
      </c>
      <c r="B1393" s="61" t="s">
        <v>3257</v>
      </c>
      <c r="C1393" s="62" t="s">
        <v>3258</v>
      </c>
      <c r="D1393" s="61">
        <v>40</v>
      </c>
    </row>
    <row r="1394" spans="1:4" x14ac:dyDescent="0.2">
      <c r="A1394" s="61" t="s">
        <v>16</v>
      </c>
      <c r="B1394" s="61" t="s">
        <v>3259</v>
      </c>
      <c r="C1394" s="62" t="s">
        <v>3260</v>
      </c>
      <c r="D1394" s="61">
        <v>40</v>
      </c>
    </row>
    <row r="1395" spans="1:4" x14ac:dyDescent="0.2">
      <c r="A1395" s="62" t="s">
        <v>16</v>
      </c>
      <c r="B1395" s="61" t="s">
        <v>3261</v>
      </c>
      <c r="C1395" s="62" t="s">
        <v>3262</v>
      </c>
      <c r="D1395" s="61">
        <v>40</v>
      </c>
    </row>
    <row r="1396" spans="1:4" x14ac:dyDescent="0.2">
      <c r="A1396" s="61" t="s">
        <v>16</v>
      </c>
      <c r="B1396" s="61" t="s">
        <v>3263</v>
      </c>
      <c r="C1396" s="62" t="s">
        <v>3264</v>
      </c>
      <c r="D1396" s="61">
        <v>40</v>
      </c>
    </row>
    <row r="1397" spans="1:4" x14ac:dyDescent="0.2">
      <c r="A1397" s="62" t="s">
        <v>16</v>
      </c>
      <c r="B1397" s="61" t="s">
        <v>3265</v>
      </c>
      <c r="C1397" s="62" t="s">
        <v>3266</v>
      </c>
      <c r="D1397" s="61">
        <v>40</v>
      </c>
    </row>
    <row r="1398" spans="1:4" x14ac:dyDescent="0.2">
      <c r="A1398" s="61" t="s">
        <v>16</v>
      </c>
      <c r="B1398" s="61" t="s">
        <v>3267</v>
      </c>
      <c r="C1398" s="62" t="s">
        <v>3268</v>
      </c>
      <c r="D1398" s="61">
        <v>40</v>
      </c>
    </row>
    <row r="1399" spans="1:4" x14ac:dyDescent="0.2">
      <c r="A1399" s="62" t="s">
        <v>16</v>
      </c>
      <c r="B1399" s="61" t="s">
        <v>3269</v>
      </c>
      <c r="C1399" s="62" t="s">
        <v>3270</v>
      </c>
      <c r="D1399" s="61">
        <v>40</v>
      </c>
    </row>
    <row r="1400" spans="1:4" x14ac:dyDescent="0.2">
      <c r="A1400" s="61" t="s">
        <v>16</v>
      </c>
      <c r="B1400" s="61" t="s">
        <v>3271</v>
      </c>
      <c r="C1400" s="62" t="s">
        <v>3272</v>
      </c>
      <c r="D1400" s="61">
        <v>40</v>
      </c>
    </row>
    <row r="1401" spans="1:4" x14ac:dyDescent="0.2">
      <c r="A1401" s="62" t="s">
        <v>16</v>
      </c>
      <c r="B1401" s="61" t="s">
        <v>3273</v>
      </c>
      <c r="C1401" s="62" t="s">
        <v>3274</v>
      </c>
      <c r="D1401" s="61">
        <v>40</v>
      </c>
    </row>
    <row r="1402" spans="1:4" x14ac:dyDescent="0.2">
      <c r="A1402" s="61" t="s">
        <v>16</v>
      </c>
      <c r="B1402" s="61" t="s">
        <v>3275</v>
      </c>
      <c r="C1402" s="62" t="s">
        <v>3276</v>
      </c>
      <c r="D1402" s="61">
        <v>40</v>
      </c>
    </row>
    <row r="1403" spans="1:4" x14ac:dyDescent="0.2">
      <c r="A1403" s="62" t="s">
        <v>16</v>
      </c>
      <c r="B1403" s="61" t="s">
        <v>3277</v>
      </c>
      <c r="C1403" s="62" t="s">
        <v>3278</v>
      </c>
      <c r="D1403" s="61">
        <v>40</v>
      </c>
    </row>
    <row r="1404" spans="1:4" x14ac:dyDescent="0.2">
      <c r="A1404" s="61" t="s">
        <v>16</v>
      </c>
      <c r="B1404" s="61" t="s">
        <v>3279</v>
      </c>
      <c r="C1404" s="62" t="s">
        <v>3280</v>
      </c>
      <c r="D1404" s="61">
        <v>40</v>
      </c>
    </row>
    <row r="1405" spans="1:4" x14ac:dyDescent="0.2">
      <c r="A1405" s="62" t="s">
        <v>16</v>
      </c>
      <c r="B1405" s="61" t="s">
        <v>3281</v>
      </c>
      <c r="C1405" s="62" t="s">
        <v>3282</v>
      </c>
      <c r="D1405" s="61">
        <v>40</v>
      </c>
    </row>
    <row r="1406" spans="1:4" x14ac:dyDescent="0.2">
      <c r="A1406" s="61" t="s">
        <v>16</v>
      </c>
      <c r="B1406" s="61" t="s">
        <v>3283</v>
      </c>
      <c r="C1406" s="62" t="s">
        <v>3284</v>
      </c>
      <c r="D1406" s="61">
        <v>40</v>
      </c>
    </row>
    <row r="1407" spans="1:4" x14ac:dyDescent="0.2">
      <c r="A1407" s="62" t="s">
        <v>16</v>
      </c>
      <c r="B1407" s="61" t="s">
        <v>472</v>
      </c>
      <c r="C1407" s="62" t="s">
        <v>4943</v>
      </c>
      <c r="D1407" s="61">
        <v>40</v>
      </c>
    </row>
    <row r="1408" spans="1:4" x14ac:dyDescent="0.2">
      <c r="A1408" s="61" t="s">
        <v>16</v>
      </c>
      <c r="B1408" s="61" t="s">
        <v>3285</v>
      </c>
      <c r="C1408" s="62" t="s">
        <v>5432</v>
      </c>
      <c r="D1408" s="61">
        <v>40</v>
      </c>
    </row>
    <row r="1409" spans="1:4" x14ac:dyDescent="0.2">
      <c r="A1409" s="62" t="s">
        <v>16</v>
      </c>
      <c r="B1409" s="61" t="s">
        <v>3286</v>
      </c>
      <c r="C1409" s="62" t="s">
        <v>3287</v>
      </c>
      <c r="D1409" s="61">
        <v>40</v>
      </c>
    </row>
    <row r="1410" spans="1:4" x14ac:dyDescent="0.2">
      <c r="A1410" s="61" t="s">
        <v>16</v>
      </c>
      <c r="B1410" s="61" t="s">
        <v>3288</v>
      </c>
      <c r="C1410" s="62" t="s">
        <v>3289</v>
      </c>
      <c r="D1410" s="61">
        <v>40</v>
      </c>
    </row>
    <row r="1411" spans="1:4" x14ac:dyDescent="0.2">
      <c r="A1411" s="62" t="s">
        <v>16</v>
      </c>
      <c r="B1411" s="61" t="s">
        <v>3290</v>
      </c>
      <c r="C1411" s="62" t="s">
        <v>3291</v>
      </c>
      <c r="D1411" s="61">
        <v>40</v>
      </c>
    </row>
    <row r="1412" spans="1:4" x14ac:dyDescent="0.2">
      <c r="A1412" s="61" t="s">
        <v>16</v>
      </c>
      <c r="B1412" s="61" t="s">
        <v>3292</v>
      </c>
      <c r="C1412" s="62" t="s">
        <v>5433</v>
      </c>
      <c r="D1412" s="61">
        <v>40</v>
      </c>
    </row>
    <row r="1413" spans="1:4" x14ac:dyDescent="0.2">
      <c r="A1413" s="62" t="s">
        <v>16</v>
      </c>
      <c r="B1413" s="61" t="s">
        <v>3293</v>
      </c>
      <c r="C1413" s="62" t="s">
        <v>3294</v>
      </c>
      <c r="D1413" s="61">
        <v>40</v>
      </c>
    </row>
    <row r="1414" spans="1:4" x14ac:dyDescent="0.2">
      <c r="A1414" s="61" t="s">
        <v>16</v>
      </c>
      <c r="B1414" s="61" t="s">
        <v>3295</v>
      </c>
      <c r="C1414" s="62" t="s">
        <v>3296</v>
      </c>
      <c r="D1414" s="61">
        <v>40</v>
      </c>
    </row>
    <row r="1415" spans="1:4" x14ac:dyDescent="0.2">
      <c r="A1415" s="62" t="s">
        <v>16</v>
      </c>
      <c r="B1415" s="61" t="s">
        <v>311</v>
      </c>
      <c r="C1415" s="62" t="s">
        <v>312</v>
      </c>
      <c r="D1415" s="61">
        <v>40</v>
      </c>
    </row>
    <row r="1416" spans="1:4" x14ac:dyDescent="0.2">
      <c r="A1416" s="61" t="s">
        <v>16</v>
      </c>
      <c r="B1416" s="61" t="s">
        <v>3297</v>
      </c>
      <c r="C1416" s="62" t="s">
        <v>3298</v>
      </c>
      <c r="D1416" s="61">
        <v>40</v>
      </c>
    </row>
    <row r="1417" spans="1:4" x14ac:dyDescent="0.2">
      <c r="A1417" s="62" t="s">
        <v>16</v>
      </c>
      <c r="B1417" s="61" t="s">
        <v>3299</v>
      </c>
      <c r="C1417" s="62" t="s">
        <v>3300</v>
      </c>
      <c r="D1417" s="61">
        <v>40</v>
      </c>
    </row>
    <row r="1418" spans="1:4" x14ac:dyDescent="0.2">
      <c r="A1418" s="61" t="s">
        <v>16</v>
      </c>
      <c r="B1418" s="61" t="s">
        <v>3301</v>
      </c>
      <c r="C1418" s="62" t="s">
        <v>3302</v>
      </c>
      <c r="D1418" s="61">
        <v>40</v>
      </c>
    </row>
    <row r="1419" spans="1:4" x14ac:dyDescent="0.2">
      <c r="A1419" s="62" t="s">
        <v>16</v>
      </c>
      <c r="B1419" s="61" t="s">
        <v>3303</v>
      </c>
      <c r="C1419" s="62" t="s">
        <v>3304</v>
      </c>
      <c r="D1419" s="61">
        <v>40</v>
      </c>
    </row>
    <row r="1420" spans="1:4" x14ac:dyDescent="0.2">
      <c r="A1420" s="61" t="s">
        <v>16</v>
      </c>
      <c r="B1420" s="61" t="s">
        <v>3305</v>
      </c>
      <c r="C1420" s="62" t="s">
        <v>4982</v>
      </c>
      <c r="D1420" s="61">
        <v>40</v>
      </c>
    </row>
    <row r="1421" spans="1:4" x14ac:dyDescent="0.2">
      <c r="A1421" s="62" t="s">
        <v>16</v>
      </c>
      <c r="B1421" s="61" t="s">
        <v>3306</v>
      </c>
      <c r="C1421" s="62" t="s">
        <v>4983</v>
      </c>
      <c r="D1421" s="61">
        <v>40</v>
      </c>
    </row>
    <row r="1422" spans="1:4" x14ac:dyDescent="0.2">
      <c r="A1422" s="61" t="s">
        <v>16</v>
      </c>
      <c r="B1422" s="61" t="s">
        <v>3307</v>
      </c>
      <c r="C1422" s="62" t="s">
        <v>3308</v>
      </c>
      <c r="D1422" s="61">
        <v>40</v>
      </c>
    </row>
    <row r="1423" spans="1:4" x14ac:dyDescent="0.2">
      <c r="A1423" s="62" t="s">
        <v>16</v>
      </c>
      <c r="B1423" s="61" t="s">
        <v>3309</v>
      </c>
      <c r="C1423" s="62" t="s">
        <v>3310</v>
      </c>
      <c r="D1423" s="61">
        <v>40</v>
      </c>
    </row>
    <row r="1424" spans="1:4" x14ac:dyDescent="0.2">
      <c r="A1424" s="61" t="s">
        <v>16</v>
      </c>
      <c r="B1424" s="61" t="s">
        <v>3311</v>
      </c>
      <c r="C1424" s="62" t="s">
        <v>3312</v>
      </c>
      <c r="D1424" s="61">
        <v>40</v>
      </c>
    </row>
    <row r="1425" spans="1:4" x14ac:dyDescent="0.2">
      <c r="A1425" s="62" t="s">
        <v>16</v>
      </c>
      <c r="B1425" s="61" t="s">
        <v>3313</v>
      </c>
      <c r="C1425" s="62" t="s">
        <v>3314</v>
      </c>
      <c r="D1425" s="61">
        <v>40</v>
      </c>
    </row>
    <row r="1426" spans="1:4" x14ac:dyDescent="0.2">
      <c r="A1426" s="61" t="s">
        <v>16</v>
      </c>
      <c r="B1426" s="61" t="s">
        <v>3315</v>
      </c>
      <c r="C1426" s="62" t="s">
        <v>3316</v>
      </c>
      <c r="D1426" s="61">
        <v>40</v>
      </c>
    </row>
    <row r="1427" spans="1:4" x14ac:dyDescent="0.2">
      <c r="A1427" s="62" t="s">
        <v>16</v>
      </c>
      <c r="B1427" s="61" t="s">
        <v>3317</v>
      </c>
      <c r="C1427" s="62" t="s">
        <v>3318</v>
      </c>
      <c r="D1427" s="61">
        <v>40</v>
      </c>
    </row>
    <row r="1428" spans="1:4" x14ac:dyDescent="0.2">
      <c r="A1428" s="61" t="s">
        <v>16</v>
      </c>
      <c r="B1428" s="61" t="s">
        <v>3319</v>
      </c>
      <c r="C1428" s="62" t="s">
        <v>3320</v>
      </c>
      <c r="D1428" s="61">
        <v>40</v>
      </c>
    </row>
    <row r="1429" spans="1:4" x14ac:dyDescent="0.2">
      <c r="A1429" s="62" t="s">
        <v>16</v>
      </c>
      <c r="B1429" s="61" t="s">
        <v>3321</v>
      </c>
      <c r="C1429" s="62" t="s">
        <v>3322</v>
      </c>
      <c r="D1429" s="61">
        <v>40</v>
      </c>
    </row>
    <row r="1430" spans="1:4" x14ac:dyDescent="0.2">
      <c r="A1430" s="61" t="s">
        <v>16</v>
      </c>
      <c r="B1430" s="61" t="s">
        <v>3323</v>
      </c>
      <c r="C1430" s="62" t="s">
        <v>3324</v>
      </c>
      <c r="D1430" s="61">
        <v>40</v>
      </c>
    </row>
    <row r="1431" spans="1:4" x14ac:dyDescent="0.2">
      <c r="A1431" s="62" t="s">
        <v>16</v>
      </c>
      <c r="B1431" s="61" t="s">
        <v>3325</v>
      </c>
      <c r="C1431" s="62" t="s">
        <v>3326</v>
      </c>
      <c r="D1431" s="61">
        <v>40</v>
      </c>
    </row>
    <row r="1432" spans="1:4" x14ac:dyDescent="0.2">
      <c r="A1432" s="61" t="s">
        <v>16</v>
      </c>
      <c r="B1432" s="61" t="s">
        <v>3327</v>
      </c>
      <c r="C1432" s="62" t="s">
        <v>3328</v>
      </c>
      <c r="D1432" s="61">
        <v>40</v>
      </c>
    </row>
    <row r="1433" spans="1:4" x14ac:dyDescent="0.2">
      <c r="A1433" s="62" t="s">
        <v>16</v>
      </c>
      <c r="B1433" s="61" t="s">
        <v>3329</v>
      </c>
      <c r="C1433" s="62" t="s">
        <v>3330</v>
      </c>
      <c r="D1433" s="61">
        <v>40</v>
      </c>
    </row>
    <row r="1434" spans="1:4" x14ac:dyDescent="0.2">
      <c r="A1434" s="62" t="s">
        <v>16</v>
      </c>
      <c r="B1434" s="61" t="s">
        <v>3331</v>
      </c>
      <c r="C1434" s="62" t="s">
        <v>5434</v>
      </c>
      <c r="D1434" s="61">
        <v>40</v>
      </c>
    </row>
    <row r="1435" spans="1:4" x14ac:dyDescent="0.2">
      <c r="A1435" s="61" t="s">
        <v>16</v>
      </c>
      <c r="B1435" s="61" t="s">
        <v>3332</v>
      </c>
      <c r="C1435" s="62" t="s">
        <v>5435</v>
      </c>
      <c r="D1435" s="61">
        <v>40</v>
      </c>
    </row>
    <row r="1436" spans="1:4" x14ac:dyDescent="0.2">
      <c r="A1436" s="62" t="s">
        <v>16</v>
      </c>
      <c r="B1436" s="61" t="s">
        <v>3333</v>
      </c>
      <c r="C1436" s="62" t="s">
        <v>3334</v>
      </c>
      <c r="D1436" s="61">
        <v>40</v>
      </c>
    </row>
    <row r="1437" spans="1:4" x14ac:dyDescent="0.2">
      <c r="A1437" s="61" t="s">
        <v>16</v>
      </c>
      <c r="B1437" s="61" t="s">
        <v>3335</v>
      </c>
      <c r="C1437" s="62" t="s">
        <v>3336</v>
      </c>
      <c r="D1437" s="61">
        <v>40</v>
      </c>
    </row>
    <row r="1438" spans="1:4" x14ac:dyDescent="0.2">
      <c r="A1438" s="62" t="s">
        <v>16</v>
      </c>
      <c r="B1438" s="61" t="s">
        <v>3337</v>
      </c>
      <c r="C1438" s="62" t="s">
        <v>3338</v>
      </c>
      <c r="D1438" s="61">
        <v>40</v>
      </c>
    </row>
    <row r="1439" spans="1:4" x14ac:dyDescent="0.2">
      <c r="A1439" s="61" t="s">
        <v>16</v>
      </c>
      <c r="B1439" s="61" t="s">
        <v>3339</v>
      </c>
      <c r="C1439" s="62" t="s">
        <v>5436</v>
      </c>
      <c r="D1439" s="61">
        <v>40</v>
      </c>
    </row>
    <row r="1440" spans="1:4" x14ac:dyDescent="0.2">
      <c r="A1440" s="62" t="s">
        <v>16</v>
      </c>
      <c r="B1440" s="61" t="s">
        <v>3340</v>
      </c>
      <c r="C1440" s="62" t="s">
        <v>5437</v>
      </c>
      <c r="D1440" s="61">
        <v>50</v>
      </c>
    </row>
    <row r="1441" spans="1:4" x14ac:dyDescent="0.2">
      <c r="A1441" s="61" t="s">
        <v>16</v>
      </c>
      <c r="B1441" s="61" t="s">
        <v>3341</v>
      </c>
      <c r="C1441" s="62" t="s">
        <v>3342</v>
      </c>
      <c r="D1441" s="61">
        <v>40</v>
      </c>
    </row>
    <row r="1442" spans="1:4" x14ac:dyDescent="0.2">
      <c r="A1442" s="62" t="s">
        <v>16</v>
      </c>
      <c r="B1442" s="61" t="s">
        <v>3343</v>
      </c>
      <c r="C1442" s="62" t="s">
        <v>3344</v>
      </c>
      <c r="D1442" s="61">
        <v>40</v>
      </c>
    </row>
    <row r="1443" spans="1:4" x14ac:dyDescent="0.2">
      <c r="A1443" s="61" t="s">
        <v>16</v>
      </c>
      <c r="B1443" s="61" t="s">
        <v>3345</v>
      </c>
      <c r="C1443" s="62" t="s">
        <v>3346</v>
      </c>
      <c r="D1443" s="61">
        <v>40</v>
      </c>
    </row>
    <row r="1444" spans="1:4" x14ac:dyDescent="0.2">
      <c r="A1444" s="62" t="s">
        <v>16</v>
      </c>
      <c r="B1444" s="61" t="s">
        <v>3347</v>
      </c>
      <c r="C1444" s="62" t="s">
        <v>3348</v>
      </c>
      <c r="D1444" s="61">
        <v>40</v>
      </c>
    </row>
    <row r="1445" spans="1:4" x14ac:dyDescent="0.2">
      <c r="A1445" s="61" t="s">
        <v>16</v>
      </c>
      <c r="B1445" s="61" t="s">
        <v>3349</v>
      </c>
      <c r="C1445" s="62" t="s">
        <v>3350</v>
      </c>
      <c r="D1445" s="61">
        <v>40</v>
      </c>
    </row>
    <row r="1446" spans="1:4" x14ac:dyDescent="0.2">
      <c r="A1446" s="62" t="s">
        <v>16</v>
      </c>
      <c r="B1446" s="61" t="s">
        <v>3351</v>
      </c>
      <c r="C1446" s="62" t="s">
        <v>3352</v>
      </c>
      <c r="D1446" s="61">
        <v>40</v>
      </c>
    </row>
    <row r="1447" spans="1:4" x14ac:dyDescent="0.2">
      <c r="A1447" s="61" t="s">
        <v>16</v>
      </c>
      <c r="B1447" s="61" t="s">
        <v>3353</v>
      </c>
      <c r="C1447" s="62" t="s">
        <v>3354</v>
      </c>
      <c r="D1447" s="61">
        <v>40</v>
      </c>
    </row>
    <row r="1448" spans="1:4" x14ac:dyDescent="0.2">
      <c r="A1448" s="62" t="s">
        <v>16</v>
      </c>
      <c r="B1448" s="61" t="s">
        <v>3355</v>
      </c>
      <c r="C1448" s="62" t="s">
        <v>5438</v>
      </c>
      <c r="D1448" s="61">
        <v>40</v>
      </c>
    </row>
    <row r="1449" spans="1:4" x14ac:dyDescent="0.2">
      <c r="A1449" s="61" t="s">
        <v>16</v>
      </c>
      <c r="B1449" s="61" t="s">
        <v>3356</v>
      </c>
      <c r="C1449" s="62" t="s">
        <v>5439</v>
      </c>
      <c r="D1449" s="61">
        <v>40</v>
      </c>
    </row>
    <row r="1450" spans="1:4" x14ac:dyDescent="0.2">
      <c r="A1450" s="62" t="s">
        <v>16</v>
      </c>
      <c r="B1450" s="61" t="s">
        <v>3357</v>
      </c>
      <c r="C1450" s="62" t="s">
        <v>5440</v>
      </c>
      <c r="D1450" s="61">
        <v>40</v>
      </c>
    </row>
    <row r="1451" spans="1:4" x14ac:dyDescent="0.2">
      <c r="A1451" s="61" t="s">
        <v>16</v>
      </c>
      <c r="B1451" s="61" t="s">
        <v>3358</v>
      </c>
      <c r="C1451" s="62" t="s">
        <v>5441</v>
      </c>
      <c r="D1451" s="61">
        <v>40</v>
      </c>
    </row>
    <row r="1452" spans="1:4" x14ac:dyDescent="0.2">
      <c r="A1452" s="62" t="s">
        <v>16</v>
      </c>
      <c r="B1452" s="61" t="s">
        <v>3359</v>
      </c>
      <c r="C1452" s="62" t="s">
        <v>3360</v>
      </c>
      <c r="D1452" s="61">
        <v>40</v>
      </c>
    </row>
    <row r="1453" spans="1:4" x14ac:dyDescent="0.2">
      <c r="A1453" s="61" t="s">
        <v>16</v>
      </c>
      <c r="B1453" s="61" t="s">
        <v>3361</v>
      </c>
      <c r="C1453" s="62" t="s">
        <v>5219</v>
      </c>
      <c r="D1453" s="61">
        <v>40</v>
      </c>
    </row>
    <row r="1454" spans="1:4" x14ac:dyDescent="0.2">
      <c r="A1454" s="62" t="s">
        <v>16</v>
      </c>
      <c r="B1454" s="61" t="s">
        <v>255</v>
      </c>
      <c r="C1454" s="62" t="s">
        <v>4773</v>
      </c>
      <c r="D1454" s="61">
        <v>40</v>
      </c>
    </row>
    <row r="1455" spans="1:4" x14ac:dyDescent="0.2">
      <c r="A1455" s="61" t="s">
        <v>16</v>
      </c>
      <c r="B1455" s="61" t="s">
        <v>256</v>
      </c>
      <c r="C1455" s="62" t="s">
        <v>4772</v>
      </c>
      <c r="D1455" s="61">
        <v>40</v>
      </c>
    </row>
    <row r="1456" spans="1:4" x14ac:dyDescent="0.2">
      <c r="A1456" s="62" t="s">
        <v>16</v>
      </c>
      <c r="B1456" s="61" t="s">
        <v>3362</v>
      </c>
      <c r="C1456" s="62" t="s">
        <v>3284</v>
      </c>
      <c r="D1456" s="61">
        <v>40</v>
      </c>
    </row>
    <row r="1457" spans="1:4" x14ac:dyDescent="0.2">
      <c r="A1457" s="61" t="s">
        <v>16</v>
      </c>
      <c r="B1457" s="61" t="s">
        <v>3363</v>
      </c>
      <c r="C1457" s="62" t="s">
        <v>3364</v>
      </c>
      <c r="D1457" s="61">
        <v>40</v>
      </c>
    </row>
    <row r="1458" spans="1:4" x14ac:dyDescent="0.2">
      <c r="A1458" s="62" t="s">
        <v>16</v>
      </c>
      <c r="B1458" s="61" t="s">
        <v>3365</v>
      </c>
      <c r="C1458" s="62" t="s">
        <v>3366</v>
      </c>
      <c r="D1458" s="61">
        <v>40</v>
      </c>
    </row>
    <row r="1459" spans="1:4" x14ac:dyDescent="0.2">
      <c r="A1459" s="61" t="s">
        <v>16</v>
      </c>
      <c r="B1459" s="61" t="s">
        <v>3367</v>
      </c>
      <c r="C1459" s="62" t="s">
        <v>3368</v>
      </c>
      <c r="D1459" s="61">
        <v>40</v>
      </c>
    </row>
    <row r="1460" spans="1:4" x14ac:dyDescent="0.2">
      <c r="A1460" s="62" t="s">
        <v>16</v>
      </c>
      <c r="B1460" s="61" t="s">
        <v>3369</v>
      </c>
      <c r="C1460" s="62" t="s">
        <v>3370</v>
      </c>
      <c r="D1460" s="61">
        <v>40</v>
      </c>
    </row>
    <row r="1461" spans="1:4" x14ac:dyDescent="0.2">
      <c r="A1461" s="61" t="s">
        <v>16</v>
      </c>
      <c r="B1461" s="61" t="s">
        <v>3371</v>
      </c>
      <c r="C1461" s="62" t="s">
        <v>3372</v>
      </c>
      <c r="D1461" s="61">
        <v>40</v>
      </c>
    </row>
    <row r="1462" spans="1:4" x14ac:dyDescent="0.2">
      <c r="A1462" s="62" t="s">
        <v>16</v>
      </c>
      <c r="B1462" s="61" t="s">
        <v>3373</v>
      </c>
      <c r="C1462" s="62" t="s">
        <v>3374</v>
      </c>
      <c r="D1462" s="61">
        <v>40</v>
      </c>
    </row>
    <row r="1463" spans="1:4" x14ac:dyDescent="0.2">
      <c r="A1463" s="61" t="s">
        <v>16</v>
      </c>
      <c r="B1463" s="61" t="s">
        <v>3375</v>
      </c>
      <c r="C1463" s="62" t="s">
        <v>3376</v>
      </c>
      <c r="D1463" s="61">
        <v>40</v>
      </c>
    </row>
    <row r="1464" spans="1:4" x14ac:dyDescent="0.2">
      <c r="A1464" s="62" t="s">
        <v>16</v>
      </c>
      <c r="B1464" s="61" t="s">
        <v>3377</v>
      </c>
      <c r="C1464" s="62" t="s">
        <v>3378</v>
      </c>
      <c r="D1464" s="61">
        <v>40</v>
      </c>
    </row>
    <row r="1465" spans="1:4" x14ac:dyDescent="0.2">
      <c r="A1465" s="61" t="s">
        <v>16</v>
      </c>
      <c r="B1465" s="61" t="s">
        <v>3379</v>
      </c>
      <c r="C1465" s="62" t="s">
        <v>3380</v>
      </c>
      <c r="D1465" s="61">
        <v>40</v>
      </c>
    </row>
    <row r="1466" spans="1:4" x14ac:dyDescent="0.2">
      <c r="A1466" s="62" t="s">
        <v>16</v>
      </c>
      <c r="B1466" s="61" t="s">
        <v>3381</v>
      </c>
      <c r="C1466" s="62" t="s">
        <v>3382</v>
      </c>
      <c r="D1466" s="61">
        <v>40</v>
      </c>
    </row>
    <row r="1467" spans="1:4" x14ac:dyDescent="0.2">
      <c r="A1467" s="61" t="s">
        <v>16</v>
      </c>
      <c r="B1467" s="61" t="s">
        <v>3383</v>
      </c>
      <c r="C1467" s="62" t="s">
        <v>3384</v>
      </c>
      <c r="D1467" s="61">
        <v>40</v>
      </c>
    </row>
    <row r="1468" spans="1:4" x14ac:dyDescent="0.2">
      <c r="A1468" s="62" t="s">
        <v>16</v>
      </c>
      <c r="B1468" s="61" t="s">
        <v>3385</v>
      </c>
      <c r="C1468" s="62" t="s">
        <v>3386</v>
      </c>
      <c r="D1468" s="61">
        <v>40</v>
      </c>
    </row>
    <row r="1469" spans="1:4" x14ac:dyDescent="0.2">
      <c r="A1469" s="61" t="s">
        <v>16</v>
      </c>
      <c r="B1469" s="61" t="s">
        <v>3387</v>
      </c>
      <c r="C1469" s="62" t="s">
        <v>3388</v>
      </c>
      <c r="D1469" s="61">
        <v>40</v>
      </c>
    </row>
    <row r="1470" spans="1:4" x14ac:dyDescent="0.2">
      <c r="A1470" s="62" t="s">
        <v>16</v>
      </c>
      <c r="B1470" s="61" t="s">
        <v>3389</v>
      </c>
      <c r="C1470" s="62" t="s">
        <v>3390</v>
      </c>
      <c r="D1470" s="61">
        <v>40</v>
      </c>
    </row>
    <row r="1471" spans="1:4" x14ac:dyDescent="0.2">
      <c r="A1471" s="61" t="s">
        <v>16</v>
      </c>
      <c r="B1471" s="61" t="s">
        <v>3391</v>
      </c>
      <c r="C1471" s="62" t="s">
        <v>3392</v>
      </c>
      <c r="D1471" s="61">
        <v>40</v>
      </c>
    </row>
    <row r="1472" spans="1:4" x14ac:dyDescent="0.2">
      <c r="A1472" s="62" t="s">
        <v>16</v>
      </c>
      <c r="B1472" s="61" t="s">
        <v>3393</v>
      </c>
      <c r="C1472" s="62" t="s">
        <v>3394</v>
      </c>
      <c r="D1472" s="61">
        <v>40</v>
      </c>
    </row>
    <row r="1473" spans="1:4" x14ac:dyDescent="0.2">
      <c r="A1473" s="61" t="s">
        <v>16</v>
      </c>
      <c r="B1473" s="61" t="s">
        <v>3395</v>
      </c>
      <c r="C1473" s="62" t="s">
        <v>3396</v>
      </c>
      <c r="D1473" s="61">
        <v>40</v>
      </c>
    </row>
    <row r="1474" spans="1:4" x14ac:dyDescent="0.2">
      <c r="A1474" s="62" t="s">
        <v>16</v>
      </c>
      <c r="B1474" s="61" t="s">
        <v>3397</v>
      </c>
      <c r="C1474" s="62" t="s">
        <v>3398</v>
      </c>
      <c r="D1474" s="61">
        <v>40</v>
      </c>
    </row>
    <row r="1475" spans="1:4" x14ac:dyDescent="0.2">
      <c r="A1475" s="61" t="s">
        <v>16</v>
      </c>
      <c r="B1475" s="61" t="s">
        <v>3399</v>
      </c>
      <c r="C1475" s="62" t="s">
        <v>3400</v>
      </c>
      <c r="D1475" s="61">
        <v>50</v>
      </c>
    </row>
    <row r="1476" spans="1:4" x14ac:dyDescent="0.2">
      <c r="A1476" s="62" t="s">
        <v>16</v>
      </c>
      <c r="B1476" s="61" t="s">
        <v>3401</v>
      </c>
      <c r="C1476" s="62" t="s">
        <v>3402</v>
      </c>
      <c r="D1476" s="61">
        <v>50</v>
      </c>
    </row>
    <row r="1477" spans="1:4" x14ac:dyDescent="0.2">
      <c r="A1477" s="61" t="s">
        <v>16</v>
      </c>
      <c r="B1477" s="61" t="s">
        <v>3403</v>
      </c>
      <c r="C1477" s="62" t="s">
        <v>3404</v>
      </c>
      <c r="D1477" s="61">
        <v>50</v>
      </c>
    </row>
    <row r="1478" spans="1:4" x14ac:dyDescent="0.2">
      <c r="A1478" s="62" t="s">
        <v>16</v>
      </c>
      <c r="B1478" s="61" t="s">
        <v>3405</v>
      </c>
      <c r="C1478" s="62" t="s">
        <v>3406</v>
      </c>
      <c r="D1478" s="61">
        <v>50</v>
      </c>
    </row>
    <row r="1479" spans="1:4" x14ac:dyDescent="0.2">
      <c r="A1479" s="61" t="s">
        <v>16</v>
      </c>
      <c r="B1479" s="61" t="s">
        <v>3407</v>
      </c>
      <c r="C1479" s="62" t="s">
        <v>3408</v>
      </c>
      <c r="D1479" s="61">
        <v>50</v>
      </c>
    </row>
    <row r="1480" spans="1:4" x14ac:dyDescent="0.2">
      <c r="A1480" s="62" t="s">
        <v>16</v>
      </c>
      <c r="B1480" s="61" t="s">
        <v>3409</v>
      </c>
      <c r="C1480" s="62" t="s">
        <v>3410</v>
      </c>
      <c r="D1480" s="61">
        <v>50</v>
      </c>
    </row>
    <row r="1481" spans="1:4" x14ac:dyDescent="0.2">
      <c r="A1481" s="61" t="s">
        <v>16</v>
      </c>
      <c r="B1481" s="61" t="s">
        <v>3411</v>
      </c>
      <c r="C1481" s="62" t="s">
        <v>3412</v>
      </c>
      <c r="D1481" s="61">
        <v>50</v>
      </c>
    </row>
    <row r="1482" spans="1:4" x14ac:dyDescent="0.2">
      <c r="A1482" s="62" t="s">
        <v>16</v>
      </c>
      <c r="B1482" s="61" t="s">
        <v>3413</v>
      </c>
      <c r="C1482" s="62" t="s">
        <v>3414</v>
      </c>
      <c r="D1482" s="61">
        <v>40</v>
      </c>
    </row>
    <row r="1483" spans="1:4" x14ac:dyDescent="0.2">
      <c r="A1483" s="61" t="s">
        <v>16</v>
      </c>
      <c r="B1483" s="61" t="s">
        <v>3415</v>
      </c>
      <c r="C1483" s="62" t="s">
        <v>3416</v>
      </c>
      <c r="D1483" s="61">
        <v>40</v>
      </c>
    </row>
    <row r="1484" spans="1:4" x14ac:dyDescent="0.2">
      <c r="A1484" s="62" t="s">
        <v>16</v>
      </c>
      <c r="B1484" s="61" t="s">
        <v>3417</v>
      </c>
      <c r="C1484" s="62" t="s">
        <v>3418</v>
      </c>
      <c r="D1484" s="61">
        <v>40</v>
      </c>
    </row>
    <row r="1485" spans="1:4" x14ac:dyDescent="0.2">
      <c r="A1485" s="61" t="s">
        <v>16</v>
      </c>
      <c r="B1485" s="61" t="s">
        <v>3419</v>
      </c>
      <c r="C1485" s="62" t="s">
        <v>3420</v>
      </c>
      <c r="D1485" s="61">
        <v>40</v>
      </c>
    </row>
    <row r="1486" spans="1:4" x14ac:dyDescent="0.2">
      <c r="A1486" s="62" t="s">
        <v>16</v>
      </c>
      <c r="B1486" s="61" t="s">
        <v>3421</v>
      </c>
      <c r="C1486" s="62" t="s">
        <v>3422</v>
      </c>
      <c r="D1486" s="61">
        <v>40</v>
      </c>
    </row>
    <row r="1487" spans="1:4" x14ac:dyDescent="0.2">
      <c r="A1487" s="61" t="s">
        <v>16</v>
      </c>
      <c r="B1487" s="61" t="s">
        <v>3423</v>
      </c>
      <c r="C1487" s="62" t="s">
        <v>4961</v>
      </c>
      <c r="D1487" s="61">
        <v>50</v>
      </c>
    </row>
    <row r="1488" spans="1:4" x14ac:dyDescent="0.2">
      <c r="A1488" s="62" t="s">
        <v>16</v>
      </c>
      <c r="B1488" s="61" t="s">
        <v>3424</v>
      </c>
      <c r="C1488" s="62" t="s">
        <v>4962</v>
      </c>
      <c r="D1488" s="61">
        <v>50</v>
      </c>
    </row>
    <row r="1489" spans="1:4" x14ac:dyDescent="0.2">
      <c r="A1489" s="61" t="s">
        <v>16</v>
      </c>
      <c r="B1489" s="61" t="s">
        <v>3425</v>
      </c>
      <c r="C1489" s="62" t="s">
        <v>3426</v>
      </c>
      <c r="D1489" s="61">
        <v>40</v>
      </c>
    </row>
    <row r="1490" spans="1:4" x14ac:dyDescent="0.2">
      <c r="A1490" s="62" t="s">
        <v>16</v>
      </c>
      <c r="B1490" s="61" t="s">
        <v>3427</v>
      </c>
      <c r="C1490" s="62" t="s">
        <v>5442</v>
      </c>
      <c r="D1490" s="61">
        <v>40</v>
      </c>
    </row>
    <row r="1491" spans="1:4" x14ac:dyDescent="0.2">
      <c r="A1491" s="61" t="s">
        <v>16</v>
      </c>
      <c r="B1491" s="61" t="s">
        <v>858</v>
      </c>
      <c r="C1491" s="62" t="s">
        <v>4768</v>
      </c>
      <c r="D1491" s="61">
        <v>40</v>
      </c>
    </row>
    <row r="1492" spans="1:4" x14ac:dyDescent="0.2">
      <c r="A1492" s="62" t="s">
        <v>16</v>
      </c>
      <c r="B1492" s="61" t="s">
        <v>692</v>
      </c>
      <c r="C1492" s="62" t="s">
        <v>5443</v>
      </c>
      <c r="D1492" s="61">
        <v>40</v>
      </c>
    </row>
    <row r="1493" spans="1:4" x14ac:dyDescent="0.2">
      <c r="A1493" s="61" t="s">
        <v>16</v>
      </c>
      <c r="B1493" s="61" t="s">
        <v>748</v>
      </c>
      <c r="C1493" s="62" t="s">
        <v>5444</v>
      </c>
      <c r="D1493" s="61">
        <v>40</v>
      </c>
    </row>
    <row r="1494" spans="1:4" x14ac:dyDescent="0.2">
      <c r="A1494" s="62" t="s">
        <v>16</v>
      </c>
      <c r="B1494" s="61" t="s">
        <v>613</v>
      </c>
      <c r="C1494" s="62" t="s">
        <v>5445</v>
      </c>
      <c r="D1494" s="61">
        <v>40</v>
      </c>
    </row>
    <row r="1495" spans="1:4" x14ac:dyDescent="0.2">
      <c r="A1495" s="61" t="s">
        <v>16</v>
      </c>
      <c r="B1495" s="61" t="s">
        <v>3429</v>
      </c>
      <c r="C1495" s="62" t="s">
        <v>4944</v>
      </c>
      <c r="D1495" s="61">
        <v>40</v>
      </c>
    </row>
    <row r="1496" spans="1:4" x14ac:dyDescent="0.2">
      <c r="A1496" s="62" t="s">
        <v>16</v>
      </c>
      <c r="B1496" s="61" t="s">
        <v>3431</v>
      </c>
      <c r="C1496" s="62" t="s">
        <v>3432</v>
      </c>
      <c r="D1496" s="61">
        <v>40</v>
      </c>
    </row>
    <row r="1497" spans="1:4" x14ac:dyDescent="0.2">
      <c r="A1497" s="61" t="s">
        <v>16</v>
      </c>
      <c r="B1497" s="61" t="s">
        <v>3433</v>
      </c>
      <c r="C1497" s="62" t="s">
        <v>3434</v>
      </c>
      <c r="D1497" s="61">
        <v>40</v>
      </c>
    </row>
    <row r="1498" spans="1:4" x14ac:dyDescent="0.2">
      <c r="A1498" s="62" t="s">
        <v>16</v>
      </c>
      <c r="B1498" s="61" t="s">
        <v>3435</v>
      </c>
      <c r="C1498" s="62" t="s">
        <v>3430</v>
      </c>
      <c r="D1498" s="61">
        <v>40</v>
      </c>
    </row>
    <row r="1499" spans="1:4" x14ac:dyDescent="0.2">
      <c r="A1499" s="61" t="s">
        <v>16</v>
      </c>
      <c r="B1499" s="61" t="s">
        <v>3436</v>
      </c>
      <c r="C1499" s="62" t="s">
        <v>3428</v>
      </c>
      <c r="D1499" s="61">
        <v>40</v>
      </c>
    </row>
    <row r="1500" spans="1:4" x14ac:dyDescent="0.2">
      <c r="A1500" s="62" t="s">
        <v>16</v>
      </c>
      <c r="B1500" s="61" t="s">
        <v>3437</v>
      </c>
      <c r="C1500" s="62" t="s">
        <v>3438</v>
      </c>
      <c r="D1500" s="61">
        <v>40</v>
      </c>
    </row>
    <row r="1501" spans="1:4" x14ac:dyDescent="0.2">
      <c r="A1501" s="61" t="s">
        <v>16</v>
      </c>
      <c r="B1501" s="61" t="s">
        <v>3439</v>
      </c>
      <c r="C1501" s="62" t="s">
        <v>3440</v>
      </c>
      <c r="D1501" s="61">
        <v>40</v>
      </c>
    </row>
    <row r="1502" spans="1:4" x14ac:dyDescent="0.2">
      <c r="A1502" s="62" t="s">
        <v>16</v>
      </c>
      <c r="B1502" s="61" t="s">
        <v>3441</v>
      </c>
      <c r="C1502" s="62" t="s">
        <v>3442</v>
      </c>
      <c r="D1502" s="61">
        <v>40</v>
      </c>
    </row>
    <row r="1503" spans="1:4" x14ac:dyDescent="0.2">
      <c r="A1503" s="61" t="s">
        <v>16</v>
      </c>
      <c r="B1503" s="61" t="s">
        <v>3443</v>
      </c>
      <c r="C1503" s="62" t="s">
        <v>5446</v>
      </c>
      <c r="D1503" s="61">
        <v>40</v>
      </c>
    </row>
    <row r="1504" spans="1:4" x14ac:dyDescent="0.2">
      <c r="A1504" s="62" t="s">
        <v>16</v>
      </c>
      <c r="B1504" s="61" t="s">
        <v>3444</v>
      </c>
      <c r="C1504" s="62" t="s">
        <v>3445</v>
      </c>
      <c r="D1504" s="61">
        <v>40</v>
      </c>
    </row>
    <row r="1505" spans="1:4" x14ac:dyDescent="0.2">
      <c r="A1505" s="61" t="s">
        <v>16</v>
      </c>
      <c r="B1505" s="61" t="s">
        <v>3446</v>
      </c>
      <c r="C1505" s="62" t="s">
        <v>3447</v>
      </c>
      <c r="D1505" s="61">
        <v>40</v>
      </c>
    </row>
    <row r="1506" spans="1:4" x14ac:dyDescent="0.2">
      <c r="A1506" s="62" t="s">
        <v>16</v>
      </c>
      <c r="B1506" s="61" t="s">
        <v>3448</v>
      </c>
      <c r="C1506" s="62" t="s">
        <v>3449</v>
      </c>
      <c r="D1506" s="61">
        <v>40</v>
      </c>
    </row>
    <row r="1507" spans="1:4" x14ac:dyDescent="0.2">
      <c r="A1507" s="61" t="s">
        <v>16</v>
      </c>
      <c r="B1507" s="61" t="s">
        <v>3450</v>
      </c>
      <c r="C1507" s="62" t="s">
        <v>3451</v>
      </c>
      <c r="D1507" s="61">
        <v>40</v>
      </c>
    </row>
    <row r="1508" spans="1:4" x14ac:dyDescent="0.2">
      <c r="A1508" s="62" t="s">
        <v>16</v>
      </c>
      <c r="B1508" s="61" t="s">
        <v>3452</v>
      </c>
      <c r="C1508" s="62" t="s">
        <v>3453</v>
      </c>
      <c r="D1508" s="61">
        <v>40</v>
      </c>
    </row>
    <row r="1509" spans="1:4" x14ac:dyDescent="0.2">
      <c r="A1509" s="61" t="s">
        <v>16</v>
      </c>
      <c r="B1509" s="61" t="s">
        <v>3454</v>
      </c>
      <c r="C1509" s="62" t="s">
        <v>3455</v>
      </c>
      <c r="D1509" s="61">
        <v>40</v>
      </c>
    </row>
    <row r="1510" spans="1:4" x14ac:dyDescent="0.2">
      <c r="A1510" s="62" t="s">
        <v>16</v>
      </c>
      <c r="B1510" s="61" t="s">
        <v>3456</v>
      </c>
      <c r="C1510" s="62" t="s">
        <v>3457</v>
      </c>
      <c r="D1510" s="61">
        <v>40</v>
      </c>
    </row>
    <row r="1511" spans="1:4" x14ac:dyDescent="0.2">
      <c r="A1511" s="61" t="s">
        <v>16</v>
      </c>
      <c r="B1511" s="61" t="s">
        <v>3458</v>
      </c>
      <c r="C1511" s="62" t="s">
        <v>3459</v>
      </c>
      <c r="D1511" s="61">
        <v>40</v>
      </c>
    </row>
    <row r="1512" spans="1:4" x14ac:dyDescent="0.2">
      <c r="A1512" s="62" t="s">
        <v>16</v>
      </c>
      <c r="B1512" s="61" t="s">
        <v>3460</v>
      </c>
      <c r="C1512" s="62" t="s">
        <v>3461</v>
      </c>
      <c r="D1512" s="61">
        <v>40</v>
      </c>
    </row>
    <row r="1513" spans="1:4" x14ac:dyDescent="0.2">
      <c r="A1513" s="61" t="s">
        <v>16</v>
      </c>
      <c r="B1513" s="61" t="s">
        <v>3462</v>
      </c>
      <c r="C1513" s="62" t="s">
        <v>3463</v>
      </c>
      <c r="D1513" s="61">
        <v>40</v>
      </c>
    </row>
    <row r="1514" spans="1:4" x14ac:dyDescent="0.2">
      <c r="A1514" s="62" t="s">
        <v>16</v>
      </c>
      <c r="B1514" s="61" t="s">
        <v>3464</v>
      </c>
      <c r="C1514" s="62" t="s">
        <v>3465</v>
      </c>
      <c r="D1514" s="61">
        <v>40</v>
      </c>
    </row>
    <row r="1515" spans="1:4" x14ac:dyDescent="0.2">
      <c r="A1515" s="61" t="s">
        <v>16</v>
      </c>
      <c r="B1515" s="61" t="s">
        <v>3466</v>
      </c>
      <c r="C1515" s="62" t="s">
        <v>3467</v>
      </c>
      <c r="D1515" s="61">
        <v>40</v>
      </c>
    </row>
    <row r="1516" spans="1:4" x14ac:dyDescent="0.2">
      <c r="A1516" s="62" t="s">
        <v>16</v>
      </c>
      <c r="B1516" s="61" t="s">
        <v>3468</v>
      </c>
      <c r="C1516" s="62" t="s">
        <v>3469</v>
      </c>
      <c r="D1516" s="61">
        <v>40</v>
      </c>
    </row>
    <row r="1517" spans="1:4" x14ac:dyDescent="0.2">
      <c r="A1517" s="62" t="s">
        <v>16</v>
      </c>
      <c r="B1517" s="61" t="s">
        <v>3470</v>
      </c>
      <c r="C1517" s="62" t="s">
        <v>3471</v>
      </c>
      <c r="D1517" s="61">
        <v>40</v>
      </c>
    </row>
    <row r="1518" spans="1:4" x14ac:dyDescent="0.2">
      <c r="A1518" s="61" t="s">
        <v>16</v>
      </c>
      <c r="B1518" s="61" t="s">
        <v>812</v>
      </c>
      <c r="C1518" s="62" t="s">
        <v>4940</v>
      </c>
      <c r="D1518" s="61">
        <v>40</v>
      </c>
    </row>
    <row r="1519" spans="1:4" x14ac:dyDescent="0.2">
      <c r="A1519" s="62" t="s">
        <v>16</v>
      </c>
      <c r="B1519" s="61" t="s">
        <v>800</v>
      </c>
      <c r="C1519" s="62" t="s">
        <v>4937</v>
      </c>
      <c r="D1519" s="61">
        <v>40</v>
      </c>
    </row>
    <row r="1520" spans="1:4" x14ac:dyDescent="0.2">
      <c r="A1520" s="61" t="s">
        <v>16</v>
      </c>
      <c r="B1520" s="61" t="s">
        <v>3472</v>
      </c>
      <c r="C1520" s="62" t="s">
        <v>3473</v>
      </c>
      <c r="D1520" s="61">
        <v>40</v>
      </c>
    </row>
    <row r="1521" spans="1:4" x14ac:dyDescent="0.2">
      <c r="A1521" s="62" t="s">
        <v>16</v>
      </c>
      <c r="B1521" s="61" t="s">
        <v>3474</v>
      </c>
      <c r="C1521" s="62" t="s">
        <v>3475</v>
      </c>
      <c r="D1521" s="61">
        <v>40</v>
      </c>
    </row>
    <row r="1522" spans="1:4" x14ac:dyDescent="0.2">
      <c r="A1522" s="61" t="s">
        <v>16</v>
      </c>
      <c r="B1522" s="61" t="s">
        <v>3476</v>
      </c>
      <c r="C1522" s="62" t="s">
        <v>3477</v>
      </c>
      <c r="D1522" s="61">
        <v>40</v>
      </c>
    </row>
    <row r="1523" spans="1:4" x14ac:dyDescent="0.2">
      <c r="A1523" s="62" t="s">
        <v>16</v>
      </c>
      <c r="B1523" s="61" t="s">
        <v>3478</v>
      </c>
      <c r="C1523" s="62" t="s">
        <v>3479</v>
      </c>
      <c r="D1523" s="61">
        <v>40</v>
      </c>
    </row>
    <row r="1524" spans="1:4" x14ac:dyDescent="0.2">
      <c r="A1524" s="61" t="s">
        <v>16</v>
      </c>
      <c r="B1524" s="61" t="s">
        <v>3480</v>
      </c>
      <c r="C1524" s="62" t="s">
        <v>3481</v>
      </c>
      <c r="D1524" s="61">
        <v>40</v>
      </c>
    </row>
    <row r="1525" spans="1:4" x14ac:dyDescent="0.2">
      <c r="A1525" s="62" t="s">
        <v>16</v>
      </c>
      <c r="B1525" s="61" t="s">
        <v>3482</v>
      </c>
      <c r="C1525" s="62" t="s">
        <v>3483</v>
      </c>
      <c r="D1525" s="61">
        <v>40</v>
      </c>
    </row>
    <row r="1526" spans="1:4" x14ac:dyDescent="0.2">
      <c r="A1526" s="61" t="s">
        <v>16</v>
      </c>
      <c r="B1526" s="61" t="s">
        <v>3484</v>
      </c>
      <c r="C1526" s="62" t="s">
        <v>3485</v>
      </c>
      <c r="D1526" s="61">
        <v>40</v>
      </c>
    </row>
    <row r="1527" spans="1:4" x14ac:dyDescent="0.2">
      <c r="A1527" s="62" t="s">
        <v>16</v>
      </c>
      <c r="B1527" s="61" t="s">
        <v>3486</v>
      </c>
      <c r="C1527" s="62" t="s">
        <v>3487</v>
      </c>
      <c r="D1527" s="61">
        <v>40</v>
      </c>
    </row>
    <row r="1528" spans="1:4" x14ac:dyDescent="0.2">
      <c r="A1528" s="61" t="s">
        <v>16</v>
      </c>
      <c r="B1528" s="61" t="s">
        <v>3488</v>
      </c>
      <c r="C1528" s="62" t="s">
        <v>3489</v>
      </c>
      <c r="D1528" s="61">
        <v>40</v>
      </c>
    </row>
    <row r="1529" spans="1:4" x14ac:dyDescent="0.2">
      <c r="A1529" s="62" t="s">
        <v>16</v>
      </c>
      <c r="B1529" s="61" t="s">
        <v>3490</v>
      </c>
      <c r="C1529" s="62" t="s">
        <v>3491</v>
      </c>
      <c r="D1529" s="61">
        <v>40</v>
      </c>
    </row>
    <row r="1530" spans="1:4" x14ac:dyDescent="0.2">
      <c r="A1530" s="61" t="s">
        <v>16</v>
      </c>
      <c r="B1530" s="61" t="s">
        <v>3492</v>
      </c>
      <c r="C1530" s="62" t="s">
        <v>3493</v>
      </c>
      <c r="D1530" s="61">
        <v>40</v>
      </c>
    </row>
    <row r="1531" spans="1:4" x14ac:dyDescent="0.2">
      <c r="A1531" s="62" t="s">
        <v>16</v>
      </c>
      <c r="B1531" s="61" t="s">
        <v>3494</v>
      </c>
      <c r="C1531" s="62" t="s">
        <v>3495</v>
      </c>
      <c r="D1531" s="61">
        <v>40</v>
      </c>
    </row>
    <row r="1532" spans="1:4" x14ac:dyDescent="0.2">
      <c r="A1532" s="61" t="s">
        <v>16</v>
      </c>
      <c r="B1532" s="61" t="s">
        <v>3496</v>
      </c>
      <c r="C1532" s="62" t="s">
        <v>3497</v>
      </c>
      <c r="D1532" s="61">
        <v>40</v>
      </c>
    </row>
    <row r="1533" spans="1:4" x14ac:dyDescent="0.2">
      <c r="A1533" s="62" t="s">
        <v>16</v>
      </c>
      <c r="B1533" s="61" t="s">
        <v>3498</v>
      </c>
      <c r="C1533" s="62" t="s">
        <v>3499</v>
      </c>
      <c r="D1533" s="61">
        <v>40</v>
      </c>
    </row>
    <row r="1534" spans="1:4" x14ac:dyDescent="0.2">
      <c r="A1534" s="61" t="s">
        <v>16</v>
      </c>
      <c r="B1534" s="61" t="s">
        <v>3500</v>
      </c>
      <c r="C1534" s="62" t="s">
        <v>3501</v>
      </c>
      <c r="D1534" s="61">
        <v>40</v>
      </c>
    </row>
    <row r="1535" spans="1:4" x14ac:dyDescent="0.2">
      <c r="A1535" s="62" t="s">
        <v>16</v>
      </c>
      <c r="B1535" s="61" t="s">
        <v>3502</v>
      </c>
      <c r="C1535" s="62" t="s">
        <v>3503</v>
      </c>
      <c r="D1535" s="61">
        <v>40</v>
      </c>
    </row>
    <row r="1536" spans="1:4" x14ac:dyDescent="0.2">
      <c r="A1536" s="61" t="s">
        <v>16</v>
      </c>
      <c r="B1536" s="61" t="s">
        <v>3504</v>
      </c>
      <c r="C1536" s="62" t="s">
        <v>3505</v>
      </c>
      <c r="D1536" s="61">
        <v>40</v>
      </c>
    </row>
    <row r="1537" spans="1:4" x14ac:dyDescent="0.2">
      <c r="A1537" s="62" t="s">
        <v>16</v>
      </c>
      <c r="B1537" s="61" t="s">
        <v>3506</v>
      </c>
      <c r="C1537" s="62" t="s">
        <v>3507</v>
      </c>
      <c r="D1537" s="61">
        <v>40</v>
      </c>
    </row>
    <row r="1538" spans="1:4" x14ac:dyDescent="0.2">
      <c r="A1538" s="61" t="s">
        <v>16</v>
      </c>
      <c r="B1538" s="61" t="s">
        <v>3508</v>
      </c>
      <c r="C1538" s="62" t="s">
        <v>3509</v>
      </c>
      <c r="D1538" s="61">
        <v>40</v>
      </c>
    </row>
    <row r="1539" spans="1:4" x14ac:dyDescent="0.2">
      <c r="A1539" s="62" t="s">
        <v>16</v>
      </c>
      <c r="B1539" s="61" t="s">
        <v>3510</v>
      </c>
      <c r="C1539" s="62" t="s">
        <v>3511</v>
      </c>
      <c r="D1539" s="61">
        <v>40</v>
      </c>
    </row>
    <row r="1540" spans="1:4" x14ac:dyDescent="0.2">
      <c r="A1540" s="61" t="s">
        <v>16</v>
      </c>
      <c r="B1540" s="61" t="s">
        <v>3512</v>
      </c>
      <c r="C1540" s="62" t="s">
        <v>3513</v>
      </c>
      <c r="D1540" s="61">
        <v>40</v>
      </c>
    </row>
    <row r="1541" spans="1:4" x14ac:dyDescent="0.2">
      <c r="A1541" s="62" t="s">
        <v>16</v>
      </c>
      <c r="B1541" s="61" t="s">
        <v>3514</v>
      </c>
      <c r="C1541" s="62" t="s">
        <v>3515</v>
      </c>
      <c r="D1541" s="61">
        <v>40</v>
      </c>
    </row>
    <row r="1542" spans="1:4" x14ac:dyDescent="0.2">
      <c r="A1542" s="61" t="s">
        <v>16</v>
      </c>
      <c r="B1542" s="61" t="s">
        <v>3516</v>
      </c>
      <c r="C1542" s="62" t="s">
        <v>5447</v>
      </c>
      <c r="D1542" s="61">
        <v>40</v>
      </c>
    </row>
    <row r="1543" spans="1:4" x14ac:dyDescent="0.2">
      <c r="A1543" s="62" t="s">
        <v>16</v>
      </c>
      <c r="B1543" s="61" t="s">
        <v>3517</v>
      </c>
      <c r="C1543" s="62" t="s">
        <v>3518</v>
      </c>
      <c r="D1543" s="61">
        <v>40</v>
      </c>
    </row>
    <row r="1544" spans="1:4" x14ac:dyDescent="0.2">
      <c r="A1544" s="61" t="s">
        <v>16</v>
      </c>
      <c r="B1544" s="61" t="s">
        <v>3519</v>
      </c>
      <c r="C1544" s="62" t="s">
        <v>3520</v>
      </c>
      <c r="D1544" s="61">
        <v>50</v>
      </c>
    </row>
    <row r="1545" spans="1:4" x14ac:dyDescent="0.2">
      <c r="A1545" s="62" t="s">
        <v>16</v>
      </c>
      <c r="B1545" s="61" t="s">
        <v>3521</v>
      </c>
      <c r="C1545" s="62" t="s">
        <v>3522</v>
      </c>
      <c r="D1545" s="61">
        <v>40</v>
      </c>
    </row>
    <row r="1546" spans="1:4" x14ac:dyDescent="0.2">
      <c r="A1546" s="61" t="s">
        <v>16</v>
      </c>
      <c r="B1546" s="61" t="s">
        <v>3523</v>
      </c>
      <c r="C1546" s="62" t="s">
        <v>3524</v>
      </c>
      <c r="D1546" s="61">
        <v>40</v>
      </c>
    </row>
    <row r="1547" spans="1:4" x14ac:dyDescent="0.2">
      <c r="A1547" s="62" t="s">
        <v>16</v>
      </c>
      <c r="B1547" s="61" t="s">
        <v>3525</v>
      </c>
      <c r="C1547" s="62" t="s">
        <v>3526</v>
      </c>
      <c r="D1547" s="61">
        <v>40</v>
      </c>
    </row>
    <row r="1548" spans="1:4" x14ac:dyDescent="0.2">
      <c r="A1548" s="61" t="s">
        <v>16</v>
      </c>
      <c r="B1548" s="61" t="s">
        <v>3527</v>
      </c>
      <c r="C1548" s="62" t="s">
        <v>3528</v>
      </c>
      <c r="D1548" s="61">
        <v>40</v>
      </c>
    </row>
    <row r="1549" spans="1:4" x14ac:dyDescent="0.2">
      <c r="A1549" s="62" t="s">
        <v>16</v>
      </c>
      <c r="B1549" s="61" t="s">
        <v>3529</v>
      </c>
      <c r="C1549" s="62" t="s">
        <v>3530</v>
      </c>
      <c r="D1549" s="61">
        <v>40</v>
      </c>
    </row>
    <row r="1550" spans="1:4" x14ac:dyDescent="0.2">
      <c r="A1550" s="61" t="s">
        <v>16</v>
      </c>
      <c r="B1550" s="61" t="s">
        <v>3531</v>
      </c>
      <c r="C1550" s="62" t="s">
        <v>3532</v>
      </c>
      <c r="D1550" s="61">
        <v>40</v>
      </c>
    </row>
    <row r="1551" spans="1:4" x14ac:dyDescent="0.2">
      <c r="A1551" s="62" t="s">
        <v>16</v>
      </c>
      <c r="B1551" s="61" t="s">
        <v>3533</v>
      </c>
      <c r="C1551" s="62" t="s">
        <v>3534</v>
      </c>
      <c r="D1551" s="61">
        <v>50</v>
      </c>
    </row>
    <row r="1552" spans="1:4" x14ac:dyDescent="0.2">
      <c r="A1552" s="61" t="s">
        <v>16</v>
      </c>
      <c r="B1552" s="61" t="s">
        <v>3535</v>
      </c>
      <c r="C1552" s="62" t="s">
        <v>3536</v>
      </c>
      <c r="D1552" s="61">
        <v>50</v>
      </c>
    </row>
    <row r="1553" spans="1:4" x14ac:dyDescent="0.2">
      <c r="A1553" s="62" t="s">
        <v>16</v>
      </c>
      <c r="B1553" s="61" t="s">
        <v>3537</v>
      </c>
      <c r="C1553" s="62" t="s">
        <v>3538</v>
      </c>
      <c r="D1553" s="61">
        <v>50</v>
      </c>
    </row>
    <row r="1554" spans="1:4" x14ac:dyDescent="0.2">
      <c r="A1554" s="61" t="s">
        <v>16</v>
      </c>
      <c r="B1554" s="61" t="s">
        <v>3539</v>
      </c>
      <c r="C1554" s="62" t="s">
        <v>3540</v>
      </c>
      <c r="D1554" s="61">
        <v>50</v>
      </c>
    </row>
    <row r="1555" spans="1:4" x14ac:dyDescent="0.2">
      <c r="A1555" s="62" t="s">
        <v>16</v>
      </c>
      <c r="B1555" s="61" t="s">
        <v>3541</v>
      </c>
      <c r="C1555" s="62" t="s">
        <v>3542</v>
      </c>
      <c r="D1555" s="61">
        <v>50</v>
      </c>
    </row>
    <row r="1556" spans="1:4" x14ac:dyDescent="0.2">
      <c r="A1556" s="61" t="s">
        <v>16</v>
      </c>
      <c r="B1556" s="61" t="s">
        <v>3543</v>
      </c>
      <c r="C1556" s="62" t="s">
        <v>3544</v>
      </c>
      <c r="D1556" s="61">
        <v>50</v>
      </c>
    </row>
    <row r="1557" spans="1:4" x14ac:dyDescent="0.2">
      <c r="A1557" s="62" t="s">
        <v>16</v>
      </c>
      <c r="B1557" s="61" t="s">
        <v>3545</v>
      </c>
      <c r="C1557" s="62" t="s">
        <v>3546</v>
      </c>
      <c r="D1557" s="61">
        <v>50</v>
      </c>
    </row>
    <row r="1558" spans="1:4" x14ac:dyDescent="0.2">
      <c r="A1558" s="61" t="s">
        <v>16</v>
      </c>
      <c r="B1558" s="61" t="s">
        <v>3547</v>
      </c>
      <c r="C1558" s="62" t="s">
        <v>3548</v>
      </c>
      <c r="D1558" s="61">
        <v>40</v>
      </c>
    </row>
    <row r="1559" spans="1:4" x14ac:dyDescent="0.2">
      <c r="A1559" s="62" t="s">
        <v>16</v>
      </c>
      <c r="B1559" s="61" t="s">
        <v>323</v>
      </c>
      <c r="C1559" s="62" t="s">
        <v>4907</v>
      </c>
      <c r="D1559" s="61">
        <v>40</v>
      </c>
    </row>
    <row r="1560" spans="1:4" x14ac:dyDescent="0.2">
      <c r="A1560" s="61" t="s">
        <v>16</v>
      </c>
      <c r="B1560" s="61" t="s">
        <v>325</v>
      </c>
      <c r="C1560" s="62" t="s">
        <v>4908</v>
      </c>
      <c r="D1560" s="61">
        <v>40</v>
      </c>
    </row>
    <row r="1561" spans="1:4" x14ac:dyDescent="0.2">
      <c r="A1561" s="62" t="s">
        <v>16</v>
      </c>
      <c r="B1561" s="61" t="s">
        <v>3549</v>
      </c>
      <c r="C1561" s="62" t="s">
        <v>3550</v>
      </c>
      <c r="D1561" s="61">
        <v>40</v>
      </c>
    </row>
    <row r="1562" spans="1:4" x14ac:dyDescent="0.2">
      <c r="A1562" s="61" t="s">
        <v>16</v>
      </c>
      <c r="B1562" s="61" t="s">
        <v>3551</v>
      </c>
      <c r="C1562" s="62" t="s">
        <v>3552</v>
      </c>
      <c r="D1562" s="61">
        <v>40</v>
      </c>
    </row>
    <row r="1563" spans="1:4" x14ac:dyDescent="0.2">
      <c r="A1563" s="62" t="s">
        <v>16</v>
      </c>
      <c r="B1563" s="61" t="s">
        <v>1015</v>
      </c>
      <c r="C1563" s="62" t="s">
        <v>1016</v>
      </c>
      <c r="D1563" s="61">
        <v>40</v>
      </c>
    </row>
    <row r="1564" spans="1:4" x14ac:dyDescent="0.2">
      <c r="A1564" s="61" t="s">
        <v>16</v>
      </c>
      <c r="B1564" s="61" t="s">
        <v>1026</v>
      </c>
      <c r="C1564" s="62" t="s">
        <v>1027</v>
      </c>
      <c r="D1564" s="61">
        <v>40</v>
      </c>
    </row>
    <row r="1565" spans="1:4" x14ac:dyDescent="0.2">
      <c r="A1565" s="62" t="s">
        <v>16</v>
      </c>
      <c r="B1565" s="61" t="s">
        <v>458</v>
      </c>
      <c r="C1565" s="62" t="s">
        <v>5220</v>
      </c>
      <c r="D1565" s="61">
        <v>40</v>
      </c>
    </row>
    <row r="1566" spans="1:4" x14ac:dyDescent="0.2">
      <c r="A1566" s="61" t="s">
        <v>16</v>
      </c>
      <c r="B1566" s="61" t="s">
        <v>552</v>
      </c>
      <c r="C1566" s="62" t="s">
        <v>553</v>
      </c>
      <c r="D1566" s="61">
        <v>40</v>
      </c>
    </row>
    <row r="1567" spans="1:4" x14ac:dyDescent="0.2">
      <c r="A1567" s="62" t="s">
        <v>16</v>
      </c>
      <c r="B1567" s="61" t="s">
        <v>573</v>
      </c>
      <c r="C1567" s="62" t="s">
        <v>574</v>
      </c>
      <c r="D1567" s="61">
        <v>40</v>
      </c>
    </row>
    <row r="1568" spans="1:4" x14ac:dyDescent="0.2">
      <c r="A1568" s="61" t="s">
        <v>16</v>
      </c>
      <c r="B1568" s="61" t="s">
        <v>3553</v>
      </c>
      <c r="C1568" s="62" t="s">
        <v>5448</v>
      </c>
      <c r="D1568" s="61">
        <v>40</v>
      </c>
    </row>
    <row r="1569" spans="1:4" x14ac:dyDescent="0.2">
      <c r="A1569" s="62" t="s">
        <v>16</v>
      </c>
      <c r="B1569" s="61" t="s">
        <v>3554</v>
      </c>
      <c r="C1569" s="62" t="s">
        <v>3555</v>
      </c>
      <c r="D1569" s="61">
        <v>40</v>
      </c>
    </row>
    <row r="1570" spans="1:4" x14ac:dyDescent="0.2">
      <c r="A1570" s="61" t="s">
        <v>16</v>
      </c>
      <c r="B1570" s="61" t="s">
        <v>3556</v>
      </c>
      <c r="C1570" s="62" t="s">
        <v>3557</v>
      </c>
      <c r="D1570" s="61">
        <v>50</v>
      </c>
    </row>
    <row r="1571" spans="1:4" x14ac:dyDescent="0.2">
      <c r="A1571" s="62" t="s">
        <v>16</v>
      </c>
      <c r="B1571" s="61" t="s">
        <v>3558</v>
      </c>
      <c r="C1571" s="62" t="s">
        <v>3559</v>
      </c>
      <c r="D1571" s="61">
        <v>50</v>
      </c>
    </row>
    <row r="1572" spans="1:4" x14ac:dyDescent="0.2">
      <c r="A1572" s="61" t="s">
        <v>16</v>
      </c>
      <c r="B1572" s="61" t="s">
        <v>3560</v>
      </c>
      <c r="C1572" s="62" t="s">
        <v>3561</v>
      </c>
      <c r="D1572" s="61">
        <v>50</v>
      </c>
    </row>
    <row r="1573" spans="1:4" x14ac:dyDescent="0.2">
      <c r="A1573" s="62" t="s">
        <v>16</v>
      </c>
      <c r="B1573" s="61" t="s">
        <v>3562</v>
      </c>
      <c r="C1573" s="62" t="s">
        <v>3563</v>
      </c>
      <c r="D1573" s="61">
        <v>50</v>
      </c>
    </row>
    <row r="1574" spans="1:4" x14ac:dyDescent="0.2">
      <c r="A1574" s="61" t="s">
        <v>16</v>
      </c>
      <c r="B1574" s="61" t="s">
        <v>3564</v>
      </c>
      <c r="C1574" s="62" t="s">
        <v>3565</v>
      </c>
      <c r="D1574" s="61">
        <v>50</v>
      </c>
    </row>
    <row r="1575" spans="1:4" x14ac:dyDescent="0.2">
      <c r="A1575" s="62" t="s">
        <v>16</v>
      </c>
      <c r="B1575" s="61" t="s">
        <v>3566</v>
      </c>
      <c r="C1575" s="62" t="s">
        <v>3567</v>
      </c>
      <c r="D1575" s="61">
        <v>50</v>
      </c>
    </row>
    <row r="1576" spans="1:4" x14ac:dyDescent="0.2">
      <c r="A1576" s="61" t="s">
        <v>16</v>
      </c>
      <c r="B1576" s="61" t="s">
        <v>3568</v>
      </c>
      <c r="C1576" s="62" t="s">
        <v>3569</v>
      </c>
      <c r="D1576" s="61">
        <v>50</v>
      </c>
    </row>
    <row r="1577" spans="1:4" x14ac:dyDescent="0.2">
      <c r="A1577" s="62" t="s">
        <v>16</v>
      </c>
      <c r="B1577" s="61" t="s">
        <v>3570</v>
      </c>
      <c r="C1577" s="62" t="s">
        <v>3571</v>
      </c>
      <c r="D1577" s="61">
        <v>40</v>
      </c>
    </row>
    <row r="1578" spans="1:4" x14ac:dyDescent="0.2">
      <c r="A1578" s="61" t="s">
        <v>16</v>
      </c>
      <c r="B1578" s="61" t="s">
        <v>3572</v>
      </c>
      <c r="C1578" s="62" t="s">
        <v>3573</v>
      </c>
      <c r="D1578" s="61">
        <v>40</v>
      </c>
    </row>
    <row r="1579" spans="1:4" x14ac:dyDescent="0.2">
      <c r="A1579" s="62" t="s">
        <v>16</v>
      </c>
      <c r="B1579" s="61" t="s">
        <v>3574</v>
      </c>
      <c r="C1579" s="62" t="s">
        <v>3575</v>
      </c>
      <c r="D1579" s="61">
        <v>40</v>
      </c>
    </row>
    <row r="1580" spans="1:4" x14ac:dyDescent="0.2">
      <c r="A1580" s="61" t="s">
        <v>16</v>
      </c>
      <c r="B1580" s="61" t="s">
        <v>3576</v>
      </c>
      <c r="C1580" s="62" t="s">
        <v>3577</v>
      </c>
      <c r="D1580" s="61">
        <v>40</v>
      </c>
    </row>
    <row r="1581" spans="1:4" x14ac:dyDescent="0.2">
      <c r="A1581" s="62" t="s">
        <v>16</v>
      </c>
      <c r="B1581" s="61" t="s">
        <v>3578</v>
      </c>
      <c r="C1581" s="62" t="s">
        <v>3579</v>
      </c>
      <c r="D1581" s="61">
        <v>40</v>
      </c>
    </row>
    <row r="1582" spans="1:4" x14ac:dyDescent="0.2">
      <c r="A1582" s="61" t="s">
        <v>16</v>
      </c>
      <c r="B1582" s="61" t="s">
        <v>3580</v>
      </c>
      <c r="C1582" s="62" t="s">
        <v>5449</v>
      </c>
      <c r="D1582" s="61">
        <v>40</v>
      </c>
    </row>
    <row r="1583" spans="1:4" x14ac:dyDescent="0.2">
      <c r="A1583" s="62" t="s">
        <v>16</v>
      </c>
      <c r="B1583" s="61" t="s">
        <v>3581</v>
      </c>
      <c r="C1583" s="62" t="s">
        <v>5450</v>
      </c>
      <c r="D1583" s="61">
        <v>40</v>
      </c>
    </row>
    <row r="1584" spans="1:4" x14ac:dyDescent="0.2">
      <c r="A1584" s="61" t="s">
        <v>16</v>
      </c>
      <c r="B1584" s="61" t="s">
        <v>3582</v>
      </c>
      <c r="C1584" s="62" t="s">
        <v>5451</v>
      </c>
      <c r="D1584" s="61">
        <v>40</v>
      </c>
    </row>
    <row r="1585" spans="1:4" x14ac:dyDescent="0.2">
      <c r="A1585" s="62" t="s">
        <v>16</v>
      </c>
      <c r="B1585" s="61" t="s">
        <v>3583</v>
      </c>
      <c r="C1585" s="62" t="s">
        <v>3584</v>
      </c>
      <c r="D1585" s="61">
        <v>40</v>
      </c>
    </row>
    <row r="1586" spans="1:4" x14ac:dyDescent="0.2">
      <c r="A1586" s="61" t="s">
        <v>16</v>
      </c>
      <c r="B1586" s="61" t="s">
        <v>3585</v>
      </c>
      <c r="C1586" s="62" t="s">
        <v>3586</v>
      </c>
      <c r="D1586" s="61">
        <v>40</v>
      </c>
    </row>
    <row r="1587" spans="1:4" x14ac:dyDescent="0.2">
      <c r="A1587" s="62" t="s">
        <v>16</v>
      </c>
      <c r="B1587" s="61" t="s">
        <v>3587</v>
      </c>
      <c r="C1587" s="62" t="s">
        <v>3588</v>
      </c>
      <c r="D1587" s="61">
        <v>40</v>
      </c>
    </row>
    <row r="1588" spans="1:4" x14ac:dyDescent="0.2">
      <c r="A1588" s="62" t="s">
        <v>16</v>
      </c>
      <c r="B1588" s="61" t="s">
        <v>3589</v>
      </c>
      <c r="C1588" s="62" t="s">
        <v>3590</v>
      </c>
      <c r="D1588" s="61">
        <v>40</v>
      </c>
    </row>
    <row r="1589" spans="1:4" x14ac:dyDescent="0.2">
      <c r="A1589" s="61" t="s">
        <v>16</v>
      </c>
      <c r="B1589" s="61" t="s">
        <v>3591</v>
      </c>
      <c r="C1589" s="62" t="s">
        <v>3592</v>
      </c>
      <c r="D1589" s="61">
        <v>40</v>
      </c>
    </row>
    <row r="1590" spans="1:4" x14ac:dyDescent="0.2">
      <c r="A1590" s="62" t="s">
        <v>16</v>
      </c>
      <c r="B1590" s="61" t="s">
        <v>3593</v>
      </c>
      <c r="C1590" s="62" t="s">
        <v>3594</v>
      </c>
      <c r="D1590" s="61">
        <v>40</v>
      </c>
    </row>
    <row r="1591" spans="1:4" x14ac:dyDescent="0.2">
      <c r="A1591" s="61" t="s">
        <v>16</v>
      </c>
      <c r="B1591" s="61" t="s">
        <v>3595</v>
      </c>
      <c r="C1591" s="62" t="s">
        <v>3596</v>
      </c>
      <c r="D1591" s="61">
        <v>40</v>
      </c>
    </row>
    <row r="1592" spans="1:4" x14ac:dyDescent="0.2">
      <c r="A1592" s="62" t="s">
        <v>16</v>
      </c>
      <c r="B1592" s="61" t="s">
        <v>3597</v>
      </c>
      <c r="C1592" s="62" t="s">
        <v>3598</v>
      </c>
      <c r="D1592" s="61">
        <v>40</v>
      </c>
    </row>
    <row r="1593" spans="1:4" x14ac:dyDescent="0.2">
      <c r="A1593" s="62" t="s">
        <v>16</v>
      </c>
      <c r="B1593" s="61" t="s">
        <v>463</v>
      </c>
      <c r="C1593" s="62" t="s">
        <v>464</v>
      </c>
      <c r="D1593" s="61">
        <v>40</v>
      </c>
    </row>
    <row r="1594" spans="1:4" x14ac:dyDescent="0.2">
      <c r="A1594" s="61" t="s">
        <v>16</v>
      </c>
      <c r="B1594" s="61" t="s">
        <v>3599</v>
      </c>
      <c r="C1594" s="62" t="s">
        <v>3600</v>
      </c>
      <c r="D1594" s="61">
        <v>40</v>
      </c>
    </row>
    <row r="1595" spans="1:4" x14ac:dyDescent="0.2">
      <c r="A1595" s="62" t="s">
        <v>16</v>
      </c>
      <c r="B1595" s="61" t="s">
        <v>3601</v>
      </c>
      <c r="C1595" s="62" t="s">
        <v>3602</v>
      </c>
      <c r="D1595" s="61">
        <v>40</v>
      </c>
    </row>
    <row r="1596" spans="1:4" x14ac:dyDescent="0.2">
      <c r="A1596" s="61" t="s">
        <v>16</v>
      </c>
      <c r="B1596" s="61" t="s">
        <v>449</v>
      </c>
      <c r="C1596" s="62" t="s">
        <v>450</v>
      </c>
      <c r="D1596" s="61">
        <v>40</v>
      </c>
    </row>
    <row r="1597" spans="1:4" x14ac:dyDescent="0.2">
      <c r="A1597" s="62" t="s">
        <v>16</v>
      </c>
      <c r="B1597" s="61" t="s">
        <v>3603</v>
      </c>
      <c r="C1597" s="62" t="s">
        <v>3604</v>
      </c>
      <c r="D1597" s="61">
        <v>40</v>
      </c>
    </row>
    <row r="1598" spans="1:4" x14ac:dyDescent="0.2">
      <c r="A1598" s="61" t="s">
        <v>16</v>
      </c>
      <c r="B1598" s="61" t="s">
        <v>313</v>
      </c>
      <c r="C1598" s="62" t="s">
        <v>314</v>
      </c>
      <c r="D1598" s="61">
        <v>40</v>
      </c>
    </row>
    <row r="1599" spans="1:4" x14ac:dyDescent="0.2">
      <c r="A1599" s="62" t="s">
        <v>16</v>
      </c>
      <c r="B1599" s="61" t="s">
        <v>3605</v>
      </c>
      <c r="C1599" s="62" t="s">
        <v>3606</v>
      </c>
      <c r="D1599" s="61">
        <v>40</v>
      </c>
    </row>
    <row r="1600" spans="1:4" x14ac:dyDescent="0.2">
      <c r="A1600" s="61" t="s">
        <v>16</v>
      </c>
      <c r="B1600" s="61" t="s">
        <v>3607</v>
      </c>
      <c r="C1600" s="62" t="s">
        <v>3608</v>
      </c>
      <c r="D1600" s="61">
        <v>40</v>
      </c>
    </row>
    <row r="1601" spans="1:4" x14ac:dyDescent="0.2">
      <c r="A1601" s="61" t="s">
        <v>16</v>
      </c>
      <c r="B1601" s="61" t="s">
        <v>3609</v>
      </c>
      <c r="C1601" s="62" t="s">
        <v>3610</v>
      </c>
      <c r="D1601" s="61">
        <v>40</v>
      </c>
    </row>
    <row r="1602" spans="1:4" x14ac:dyDescent="0.2">
      <c r="A1602" s="62" t="s">
        <v>16</v>
      </c>
      <c r="B1602" s="61" t="s">
        <v>3611</v>
      </c>
      <c r="C1602" s="62" t="s">
        <v>3612</v>
      </c>
      <c r="D1602" s="61">
        <v>40</v>
      </c>
    </row>
    <row r="1603" spans="1:4" x14ac:dyDescent="0.2">
      <c r="A1603" s="61" t="s">
        <v>16</v>
      </c>
      <c r="B1603" s="61" t="s">
        <v>3613</v>
      </c>
      <c r="C1603" s="62" t="s">
        <v>3614</v>
      </c>
      <c r="D1603" s="61">
        <v>40</v>
      </c>
    </row>
    <row r="1604" spans="1:4" x14ac:dyDescent="0.2">
      <c r="A1604" s="62" t="s">
        <v>16</v>
      </c>
      <c r="B1604" s="61" t="s">
        <v>3615</v>
      </c>
      <c r="C1604" s="62" t="s">
        <v>3616</v>
      </c>
      <c r="D1604" s="61">
        <v>40</v>
      </c>
    </row>
    <row r="1605" spans="1:4" x14ac:dyDescent="0.2">
      <c r="A1605" s="61" t="s">
        <v>16</v>
      </c>
      <c r="B1605" s="61" t="s">
        <v>3617</v>
      </c>
      <c r="C1605" s="62" t="s">
        <v>3618</v>
      </c>
      <c r="D1605" s="61">
        <v>40</v>
      </c>
    </row>
    <row r="1606" spans="1:4" x14ac:dyDescent="0.2">
      <c r="A1606" s="62" t="s">
        <v>16</v>
      </c>
      <c r="B1606" s="61" t="s">
        <v>3619</v>
      </c>
      <c r="C1606" s="62" t="s">
        <v>3620</v>
      </c>
      <c r="D1606" s="61">
        <v>40</v>
      </c>
    </row>
    <row r="1607" spans="1:4" x14ac:dyDescent="0.2">
      <c r="A1607" s="61" t="s">
        <v>16</v>
      </c>
      <c r="B1607" s="61" t="s">
        <v>743</v>
      </c>
      <c r="C1607" s="62" t="s">
        <v>5452</v>
      </c>
      <c r="D1607" s="61">
        <v>40</v>
      </c>
    </row>
    <row r="1608" spans="1:4" x14ac:dyDescent="0.2">
      <c r="A1608" s="62" t="s">
        <v>16</v>
      </c>
      <c r="B1608" s="61" t="s">
        <v>3621</v>
      </c>
      <c r="C1608" s="62" t="s">
        <v>3622</v>
      </c>
      <c r="D1608" s="61">
        <v>40</v>
      </c>
    </row>
    <row r="1609" spans="1:4" x14ac:dyDescent="0.2">
      <c r="A1609" s="61" t="s">
        <v>16</v>
      </c>
      <c r="B1609" s="61" t="s">
        <v>3623</v>
      </c>
      <c r="C1609" s="62" t="s">
        <v>3624</v>
      </c>
      <c r="D1609" s="61">
        <v>40</v>
      </c>
    </row>
    <row r="1610" spans="1:4" x14ac:dyDescent="0.2">
      <c r="A1610" s="62" t="s">
        <v>16</v>
      </c>
      <c r="B1610" s="61" t="s">
        <v>3625</v>
      </c>
      <c r="C1610" s="62" t="s">
        <v>3626</v>
      </c>
      <c r="D1610" s="61">
        <v>40</v>
      </c>
    </row>
    <row r="1611" spans="1:4" x14ac:dyDescent="0.2">
      <c r="A1611" s="61" t="s">
        <v>16</v>
      </c>
      <c r="B1611" s="61" t="s">
        <v>3627</v>
      </c>
      <c r="C1611" s="62" t="s">
        <v>4977</v>
      </c>
      <c r="D1611" s="61">
        <v>40</v>
      </c>
    </row>
    <row r="1612" spans="1:4" x14ac:dyDescent="0.2">
      <c r="A1612" s="62" t="s">
        <v>16</v>
      </c>
      <c r="B1612" s="61" t="s">
        <v>3628</v>
      </c>
      <c r="C1612" s="62" t="s">
        <v>3629</v>
      </c>
      <c r="D1612" s="61">
        <v>40</v>
      </c>
    </row>
    <row r="1613" spans="1:4" x14ac:dyDescent="0.2">
      <c r="A1613" s="61" t="s">
        <v>16</v>
      </c>
      <c r="B1613" s="61" t="s">
        <v>3630</v>
      </c>
      <c r="C1613" s="62" t="s">
        <v>3631</v>
      </c>
      <c r="D1613" s="61">
        <v>40</v>
      </c>
    </row>
    <row r="1614" spans="1:4" x14ac:dyDescent="0.2">
      <c r="A1614" s="62" t="s">
        <v>16</v>
      </c>
      <c r="B1614" s="61" t="s">
        <v>3632</v>
      </c>
      <c r="C1614" s="62" t="s">
        <v>5453</v>
      </c>
      <c r="D1614" s="61">
        <v>40</v>
      </c>
    </row>
    <row r="1615" spans="1:4" x14ac:dyDescent="0.2">
      <c r="A1615" s="61" t="s">
        <v>16</v>
      </c>
      <c r="B1615" s="61" t="s">
        <v>3633</v>
      </c>
      <c r="C1615" s="62" t="s">
        <v>5454</v>
      </c>
      <c r="D1615" s="61">
        <v>40</v>
      </c>
    </row>
    <row r="1616" spans="1:4" x14ac:dyDescent="0.2">
      <c r="A1616" s="62" t="s">
        <v>16</v>
      </c>
      <c r="B1616" s="61" t="s">
        <v>3634</v>
      </c>
      <c r="C1616" s="62" t="s">
        <v>5455</v>
      </c>
      <c r="D1616" s="61">
        <v>40</v>
      </c>
    </row>
    <row r="1617" spans="1:4" x14ac:dyDescent="0.2">
      <c r="A1617" s="62" t="s">
        <v>16</v>
      </c>
      <c r="B1617" s="61" t="s">
        <v>3635</v>
      </c>
      <c r="C1617" s="62" t="s">
        <v>3636</v>
      </c>
      <c r="D1617" s="61">
        <v>40</v>
      </c>
    </row>
    <row r="1618" spans="1:4" x14ac:dyDescent="0.2">
      <c r="A1618" s="61" t="s">
        <v>16</v>
      </c>
      <c r="B1618" s="61" t="s">
        <v>3637</v>
      </c>
      <c r="C1618" s="62" t="s">
        <v>3638</v>
      </c>
      <c r="D1618" s="61">
        <v>40</v>
      </c>
    </row>
    <row r="1619" spans="1:4" x14ac:dyDescent="0.2">
      <c r="A1619" s="62" t="s">
        <v>16</v>
      </c>
      <c r="B1619" s="61" t="s">
        <v>3639</v>
      </c>
      <c r="C1619" s="62" t="s">
        <v>3640</v>
      </c>
      <c r="D1619" s="61">
        <v>40</v>
      </c>
    </row>
    <row r="1620" spans="1:4" x14ac:dyDescent="0.2">
      <c r="A1620" s="61" t="s">
        <v>16</v>
      </c>
      <c r="B1620" s="61" t="s">
        <v>3641</v>
      </c>
      <c r="C1620" s="62" t="s">
        <v>3642</v>
      </c>
      <c r="D1620" s="61">
        <v>40</v>
      </c>
    </row>
    <row r="1621" spans="1:4" x14ac:dyDescent="0.2">
      <c r="A1621" s="62" t="s">
        <v>16</v>
      </c>
      <c r="B1621" s="61" t="s">
        <v>3643</v>
      </c>
      <c r="C1621" s="62" t="s">
        <v>3644</v>
      </c>
      <c r="D1621" s="61">
        <v>40</v>
      </c>
    </row>
    <row r="1622" spans="1:4" x14ac:dyDescent="0.2">
      <c r="A1622" s="61" t="s">
        <v>16</v>
      </c>
      <c r="B1622" s="61" t="s">
        <v>3645</v>
      </c>
      <c r="C1622" s="62" t="s">
        <v>3646</v>
      </c>
      <c r="D1622" s="61">
        <v>40</v>
      </c>
    </row>
    <row r="1623" spans="1:4" x14ac:dyDescent="0.2">
      <c r="A1623" s="62" t="s">
        <v>16</v>
      </c>
      <c r="B1623" s="61" t="s">
        <v>3647</v>
      </c>
      <c r="C1623" s="62" t="s">
        <v>3648</v>
      </c>
      <c r="D1623" s="61">
        <v>40</v>
      </c>
    </row>
    <row r="1624" spans="1:4" x14ac:dyDescent="0.2">
      <c r="A1624" s="61" t="s">
        <v>16</v>
      </c>
      <c r="B1624" s="61" t="s">
        <v>3649</v>
      </c>
      <c r="C1624" s="62" t="s">
        <v>3650</v>
      </c>
      <c r="D1624" s="61">
        <v>40</v>
      </c>
    </row>
    <row r="1625" spans="1:4" x14ac:dyDescent="0.2">
      <c r="A1625" s="62" t="s">
        <v>16</v>
      </c>
      <c r="B1625" s="61" t="s">
        <v>700</v>
      </c>
      <c r="C1625" s="62" t="s">
        <v>701</v>
      </c>
      <c r="D1625" s="61">
        <v>40</v>
      </c>
    </row>
    <row r="1626" spans="1:4" x14ac:dyDescent="0.2">
      <c r="A1626" s="61" t="s">
        <v>16</v>
      </c>
      <c r="B1626" s="61" t="s">
        <v>379</v>
      </c>
      <c r="C1626" s="62" t="s">
        <v>380</v>
      </c>
      <c r="D1626" s="61">
        <v>40</v>
      </c>
    </row>
    <row r="1627" spans="1:4" x14ac:dyDescent="0.2">
      <c r="A1627" s="62" t="s">
        <v>16</v>
      </c>
      <c r="B1627" s="61" t="s">
        <v>3651</v>
      </c>
      <c r="C1627" s="62" t="s">
        <v>3652</v>
      </c>
      <c r="D1627" s="61">
        <v>40</v>
      </c>
    </row>
    <row r="1628" spans="1:4" x14ac:dyDescent="0.2">
      <c r="A1628" s="61" t="s">
        <v>16</v>
      </c>
      <c r="B1628" s="61" t="s">
        <v>3653</v>
      </c>
      <c r="C1628" s="62" t="s">
        <v>3654</v>
      </c>
      <c r="D1628" s="61">
        <v>40</v>
      </c>
    </row>
    <row r="1629" spans="1:4" x14ac:dyDescent="0.2">
      <c r="A1629" s="62" t="s">
        <v>16</v>
      </c>
      <c r="B1629" s="61" t="s">
        <v>333</v>
      </c>
      <c r="C1629" s="62" t="s">
        <v>4898</v>
      </c>
      <c r="D1629" s="61">
        <v>40</v>
      </c>
    </row>
    <row r="1630" spans="1:4" x14ac:dyDescent="0.2">
      <c r="A1630" s="61" t="s">
        <v>16</v>
      </c>
      <c r="B1630" s="61" t="s">
        <v>332</v>
      </c>
      <c r="C1630" s="62" t="s">
        <v>4899</v>
      </c>
      <c r="D1630" s="61">
        <v>40</v>
      </c>
    </row>
    <row r="1631" spans="1:4" x14ac:dyDescent="0.2">
      <c r="A1631" s="61" t="s">
        <v>16</v>
      </c>
      <c r="B1631" s="61" t="s">
        <v>3655</v>
      </c>
      <c r="C1631" s="62" t="s">
        <v>3656</v>
      </c>
      <c r="D1631" s="61">
        <v>40</v>
      </c>
    </row>
    <row r="1632" spans="1:4" x14ac:dyDescent="0.2">
      <c r="A1632" s="62" t="s">
        <v>16</v>
      </c>
      <c r="B1632" s="61" t="s">
        <v>3657</v>
      </c>
      <c r="C1632" s="62" t="s">
        <v>3658</v>
      </c>
      <c r="D1632" s="61">
        <v>40</v>
      </c>
    </row>
    <row r="1633" spans="1:4" x14ac:dyDescent="0.2">
      <c r="A1633" s="61" t="s">
        <v>16</v>
      </c>
      <c r="B1633" s="61" t="s">
        <v>888</v>
      </c>
      <c r="C1633" s="62" t="s">
        <v>5456</v>
      </c>
      <c r="D1633" s="61">
        <v>40</v>
      </c>
    </row>
    <row r="1634" spans="1:4" x14ac:dyDescent="0.2">
      <c r="A1634" s="62" t="s">
        <v>16</v>
      </c>
      <c r="B1634" s="61" t="s">
        <v>882</v>
      </c>
      <c r="C1634" s="62" t="s">
        <v>5457</v>
      </c>
      <c r="D1634" s="61">
        <v>40</v>
      </c>
    </row>
    <row r="1635" spans="1:4" x14ac:dyDescent="0.2">
      <c r="A1635" s="61" t="s">
        <v>16</v>
      </c>
      <c r="B1635" s="61" t="s">
        <v>3659</v>
      </c>
      <c r="C1635" s="62" t="s">
        <v>3660</v>
      </c>
      <c r="D1635" s="61">
        <v>40</v>
      </c>
    </row>
    <row r="1636" spans="1:4" x14ac:dyDescent="0.2">
      <c r="A1636" s="62" t="s">
        <v>16</v>
      </c>
      <c r="B1636" s="61" t="s">
        <v>3661</v>
      </c>
      <c r="C1636" s="62" t="s">
        <v>3662</v>
      </c>
      <c r="D1636" s="61">
        <v>40</v>
      </c>
    </row>
    <row r="1637" spans="1:4" x14ac:dyDescent="0.2">
      <c r="A1637" s="61" t="s">
        <v>16</v>
      </c>
      <c r="B1637" s="61" t="s">
        <v>3663</v>
      </c>
      <c r="C1637" s="62" t="s">
        <v>3664</v>
      </c>
      <c r="D1637" s="61">
        <v>40</v>
      </c>
    </row>
    <row r="1638" spans="1:4" x14ac:dyDescent="0.2">
      <c r="A1638" s="62" t="s">
        <v>16</v>
      </c>
      <c r="B1638" s="61" t="s">
        <v>3665</v>
      </c>
      <c r="C1638" s="62" t="s">
        <v>5458</v>
      </c>
      <c r="D1638" s="61">
        <v>40</v>
      </c>
    </row>
    <row r="1639" spans="1:4" x14ac:dyDescent="0.2">
      <c r="A1639" s="61" t="s">
        <v>16</v>
      </c>
      <c r="B1639" s="61" t="s">
        <v>3666</v>
      </c>
      <c r="C1639" s="62" t="s">
        <v>5459</v>
      </c>
      <c r="D1639" s="61">
        <v>40</v>
      </c>
    </row>
    <row r="1640" spans="1:4" x14ac:dyDescent="0.2">
      <c r="A1640" s="62" t="s">
        <v>16</v>
      </c>
      <c r="B1640" s="61" t="s">
        <v>811</v>
      </c>
      <c r="C1640" s="62" t="s">
        <v>5460</v>
      </c>
      <c r="D1640" s="61">
        <v>40</v>
      </c>
    </row>
    <row r="1641" spans="1:4" x14ac:dyDescent="0.2">
      <c r="A1641" s="61" t="s">
        <v>16</v>
      </c>
      <c r="B1641" s="61" t="s">
        <v>3667</v>
      </c>
      <c r="C1641" s="62" t="s">
        <v>5461</v>
      </c>
      <c r="D1641" s="61">
        <v>40</v>
      </c>
    </row>
    <row r="1642" spans="1:4" x14ac:dyDescent="0.2">
      <c r="A1642" s="62" t="s">
        <v>16</v>
      </c>
      <c r="B1642" s="61" t="s">
        <v>3668</v>
      </c>
      <c r="C1642" s="62" t="s">
        <v>3669</v>
      </c>
      <c r="D1642" s="61">
        <v>40</v>
      </c>
    </row>
    <row r="1643" spans="1:4" x14ac:dyDescent="0.2">
      <c r="A1643" s="61" t="s">
        <v>16</v>
      </c>
      <c r="B1643" s="61" t="s">
        <v>3670</v>
      </c>
      <c r="C1643" s="62" t="s">
        <v>3671</v>
      </c>
      <c r="D1643" s="61">
        <v>40</v>
      </c>
    </row>
    <row r="1644" spans="1:4" x14ac:dyDescent="0.2">
      <c r="A1644" s="62" t="s">
        <v>16</v>
      </c>
      <c r="B1644" s="61" t="s">
        <v>3672</v>
      </c>
      <c r="C1644" s="62" t="s">
        <v>3673</v>
      </c>
      <c r="D1644" s="61">
        <v>40</v>
      </c>
    </row>
    <row r="1645" spans="1:4" x14ac:dyDescent="0.2">
      <c r="A1645" s="61" t="s">
        <v>16</v>
      </c>
      <c r="B1645" s="61" t="s">
        <v>3674</v>
      </c>
      <c r="C1645" s="62" t="s">
        <v>3675</v>
      </c>
      <c r="D1645" s="61">
        <v>40</v>
      </c>
    </row>
    <row r="1646" spans="1:4" x14ac:dyDescent="0.2">
      <c r="A1646" s="62" t="s">
        <v>16</v>
      </c>
      <c r="B1646" s="61" t="s">
        <v>3676</v>
      </c>
      <c r="C1646" s="62" t="s">
        <v>3677</v>
      </c>
      <c r="D1646" s="61">
        <v>40</v>
      </c>
    </row>
    <row r="1647" spans="1:4" x14ac:dyDescent="0.2">
      <c r="A1647" s="61" t="s">
        <v>16</v>
      </c>
      <c r="B1647" s="61" t="s">
        <v>3678</v>
      </c>
      <c r="C1647" s="62" t="s">
        <v>3679</v>
      </c>
      <c r="D1647" s="61">
        <v>40</v>
      </c>
    </row>
    <row r="1648" spans="1:4" x14ac:dyDescent="0.2">
      <c r="A1648" s="62" t="s">
        <v>16</v>
      </c>
      <c r="B1648" s="61" t="s">
        <v>3680</v>
      </c>
      <c r="C1648" s="62" t="s">
        <v>3681</v>
      </c>
      <c r="D1648" s="61">
        <v>40</v>
      </c>
    </row>
    <row r="1649" spans="1:4" x14ac:dyDescent="0.2">
      <c r="A1649" s="61" t="s">
        <v>16</v>
      </c>
      <c r="B1649" s="61" t="s">
        <v>3682</v>
      </c>
      <c r="C1649" s="62" t="s">
        <v>3683</v>
      </c>
      <c r="D1649" s="61">
        <v>40</v>
      </c>
    </row>
    <row r="1650" spans="1:4" x14ac:dyDescent="0.2">
      <c r="A1650" s="62" t="s">
        <v>16</v>
      </c>
      <c r="B1650" s="61" t="s">
        <v>3684</v>
      </c>
      <c r="C1650" s="62" t="s">
        <v>3685</v>
      </c>
      <c r="D1650" s="61">
        <v>40</v>
      </c>
    </row>
    <row r="1651" spans="1:4" x14ac:dyDescent="0.2">
      <c r="A1651" s="61" t="s">
        <v>16</v>
      </c>
      <c r="B1651" s="61" t="s">
        <v>3686</v>
      </c>
      <c r="C1651" s="62" t="s">
        <v>3687</v>
      </c>
      <c r="D1651" s="61">
        <v>40</v>
      </c>
    </row>
    <row r="1652" spans="1:4" x14ac:dyDescent="0.2">
      <c r="A1652" s="62" t="s">
        <v>16</v>
      </c>
      <c r="B1652" s="61" t="s">
        <v>3688</v>
      </c>
      <c r="C1652" s="62" t="s">
        <v>3689</v>
      </c>
      <c r="D1652" s="61">
        <v>40</v>
      </c>
    </row>
    <row r="1653" spans="1:4" x14ac:dyDescent="0.2">
      <c r="A1653" s="61" t="s">
        <v>16</v>
      </c>
      <c r="B1653" s="61" t="s">
        <v>3690</v>
      </c>
      <c r="C1653" s="62" t="s">
        <v>3691</v>
      </c>
      <c r="D1653" s="61">
        <v>40</v>
      </c>
    </row>
    <row r="1654" spans="1:4" x14ac:dyDescent="0.2">
      <c r="A1654" s="62" t="s">
        <v>16</v>
      </c>
      <c r="B1654" s="61" t="s">
        <v>3692</v>
      </c>
      <c r="C1654" s="62" t="s">
        <v>3693</v>
      </c>
      <c r="D1654" s="61">
        <v>40</v>
      </c>
    </row>
    <row r="1655" spans="1:4" x14ac:dyDescent="0.2">
      <c r="A1655" s="61" t="s">
        <v>16</v>
      </c>
      <c r="B1655" s="61" t="s">
        <v>3694</v>
      </c>
      <c r="C1655" s="62" t="s">
        <v>3695</v>
      </c>
      <c r="D1655" s="61">
        <v>40</v>
      </c>
    </row>
    <row r="1656" spans="1:4" x14ac:dyDescent="0.2">
      <c r="A1656" s="62" t="s">
        <v>16</v>
      </c>
      <c r="B1656" s="61" t="s">
        <v>3696</v>
      </c>
      <c r="C1656" s="62" t="s">
        <v>3697</v>
      </c>
      <c r="D1656" s="61">
        <v>40</v>
      </c>
    </row>
    <row r="1657" spans="1:4" x14ac:dyDescent="0.2">
      <c r="A1657" s="61" t="s">
        <v>16</v>
      </c>
      <c r="B1657" s="61" t="s">
        <v>3698</v>
      </c>
      <c r="C1657" s="62" t="s">
        <v>3699</v>
      </c>
      <c r="D1657" s="61">
        <v>40</v>
      </c>
    </row>
    <row r="1658" spans="1:4" x14ac:dyDescent="0.2">
      <c r="A1658" s="62" t="s">
        <v>16</v>
      </c>
      <c r="B1658" s="61" t="s">
        <v>3700</v>
      </c>
      <c r="C1658" s="62" t="s">
        <v>3701</v>
      </c>
      <c r="D1658" s="61">
        <v>40</v>
      </c>
    </row>
    <row r="1659" spans="1:4" x14ac:dyDescent="0.2">
      <c r="A1659" s="61" t="s">
        <v>16</v>
      </c>
      <c r="B1659" s="61" t="s">
        <v>3702</v>
      </c>
      <c r="C1659" s="62" t="s">
        <v>3703</v>
      </c>
      <c r="D1659" s="61">
        <v>40</v>
      </c>
    </row>
    <row r="1660" spans="1:4" x14ac:dyDescent="0.2">
      <c r="A1660" s="62" t="s">
        <v>16</v>
      </c>
      <c r="B1660" s="61" t="s">
        <v>3704</v>
      </c>
      <c r="C1660" s="62" t="s">
        <v>3705</v>
      </c>
      <c r="D1660" s="61">
        <v>40</v>
      </c>
    </row>
    <row r="1661" spans="1:4" x14ac:dyDescent="0.2">
      <c r="A1661" s="61" t="s">
        <v>16</v>
      </c>
      <c r="B1661" s="61" t="s">
        <v>3706</v>
      </c>
      <c r="C1661" s="62" t="s">
        <v>3707</v>
      </c>
      <c r="D1661" s="61">
        <v>40</v>
      </c>
    </row>
    <row r="1662" spans="1:4" x14ac:dyDescent="0.2">
      <c r="A1662" s="62" t="s">
        <v>16</v>
      </c>
      <c r="B1662" s="61" t="s">
        <v>3708</v>
      </c>
      <c r="C1662" s="62" t="s">
        <v>3709</v>
      </c>
      <c r="D1662" s="61">
        <v>40</v>
      </c>
    </row>
    <row r="1663" spans="1:4" x14ac:dyDescent="0.2">
      <c r="A1663" s="61" t="s">
        <v>16</v>
      </c>
      <c r="B1663" s="61" t="s">
        <v>3710</v>
      </c>
      <c r="C1663" s="62" t="s">
        <v>3711</v>
      </c>
      <c r="D1663" s="61">
        <v>40</v>
      </c>
    </row>
    <row r="1664" spans="1:4" x14ac:dyDescent="0.2">
      <c r="A1664" s="62" t="s">
        <v>16</v>
      </c>
      <c r="B1664" s="61" t="s">
        <v>3712</v>
      </c>
      <c r="C1664" s="62" t="s">
        <v>3713</v>
      </c>
      <c r="D1664" s="61">
        <v>40</v>
      </c>
    </row>
    <row r="1665" spans="1:4" x14ac:dyDescent="0.2">
      <c r="A1665" s="61" t="s">
        <v>16</v>
      </c>
      <c r="B1665" s="61" t="s">
        <v>3714</v>
      </c>
      <c r="C1665" s="62" t="s">
        <v>3715</v>
      </c>
      <c r="D1665" s="61">
        <v>40</v>
      </c>
    </row>
    <row r="1666" spans="1:4" x14ac:dyDescent="0.2">
      <c r="A1666" s="62" t="s">
        <v>16</v>
      </c>
      <c r="B1666" s="61" t="s">
        <v>3716</v>
      </c>
      <c r="C1666" s="62" t="s">
        <v>3717</v>
      </c>
      <c r="D1666" s="61">
        <v>40</v>
      </c>
    </row>
    <row r="1667" spans="1:4" x14ac:dyDescent="0.2">
      <c r="A1667" s="61" t="s">
        <v>16</v>
      </c>
      <c r="B1667" s="61" t="s">
        <v>3718</v>
      </c>
      <c r="C1667" s="62" t="s">
        <v>3719</v>
      </c>
      <c r="D1667" s="61">
        <v>40</v>
      </c>
    </row>
    <row r="1668" spans="1:4" x14ac:dyDescent="0.2">
      <c r="A1668" s="62" t="s">
        <v>16</v>
      </c>
      <c r="B1668" s="61" t="s">
        <v>3720</v>
      </c>
      <c r="C1668" s="62" t="s">
        <v>3721</v>
      </c>
      <c r="D1668" s="61">
        <v>40</v>
      </c>
    </row>
    <row r="1669" spans="1:4" x14ac:dyDescent="0.2">
      <c r="A1669" s="61" t="s">
        <v>16</v>
      </c>
      <c r="B1669" s="61" t="s">
        <v>3722</v>
      </c>
      <c r="C1669" s="62" t="s">
        <v>3723</v>
      </c>
      <c r="D1669" s="61">
        <v>40</v>
      </c>
    </row>
    <row r="1670" spans="1:4" x14ac:dyDescent="0.2">
      <c r="A1670" s="62" t="s">
        <v>16</v>
      </c>
      <c r="B1670" s="61" t="s">
        <v>3724</v>
      </c>
      <c r="C1670" s="62" t="s">
        <v>3725</v>
      </c>
      <c r="D1670" s="61">
        <v>40</v>
      </c>
    </row>
    <row r="1671" spans="1:4" x14ac:dyDescent="0.2">
      <c r="A1671" s="61" t="s">
        <v>16</v>
      </c>
      <c r="B1671" s="61" t="s">
        <v>3726</v>
      </c>
      <c r="C1671" s="62" t="s">
        <v>3727</v>
      </c>
      <c r="D1671" s="61">
        <v>40</v>
      </c>
    </row>
    <row r="1672" spans="1:4" x14ac:dyDescent="0.2">
      <c r="A1672" s="62" t="s">
        <v>16</v>
      </c>
      <c r="B1672" s="61" t="s">
        <v>3728</v>
      </c>
      <c r="C1672" s="62" t="s">
        <v>3729</v>
      </c>
      <c r="D1672" s="61">
        <v>40</v>
      </c>
    </row>
    <row r="1673" spans="1:4" x14ac:dyDescent="0.2">
      <c r="A1673" s="61" t="s">
        <v>16</v>
      </c>
      <c r="B1673" s="61" t="s">
        <v>3730</v>
      </c>
      <c r="C1673" s="62" t="s">
        <v>3731</v>
      </c>
      <c r="D1673" s="61">
        <v>40</v>
      </c>
    </row>
    <row r="1674" spans="1:4" x14ac:dyDescent="0.2">
      <c r="A1674" s="62" t="s">
        <v>16</v>
      </c>
      <c r="B1674" s="61" t="s">
        <v>3732</v>
      </c>
      <c r="C1674" s="62" t="s">
        <v>3733</v>
      </c>
      <c r="D1674" s="61">
        <v>40</v>
      </c>
    </row>
    <row r="1675" spans="1:4" x14ac:dyDescent="0.2">
      <c r="A1675" s="61" t="s">
        <v>16</v>
      </c>
      <c r="B1675" s="61" t="s">
        <v>3734</v>
      </c>
      <c r="C1675" s="62" t="s">
        <v>3735</v>
      </c>
      <c r="D1675" s="61">
        <v>40</v>
      </c>
    </row>
    <row r="1676" spans="1:4" x14ac:dyDescent="0.2">
      <c r="A1676" s="62" t="s">
        <v>16</v>
      </c>
      <c r="B1676" s="61" t="s">
        <v>3736</v>
      </c>
      <c r="C1676" s="62" t="s">
        <v>3737</v>
      </c>
      <c r="D1676" s="61">
        <v>40</v>
      </c>
    </row>
    <row r="1677" spans="1:4" x14ac:dyDescent="0.2">
      <c r="A1677" s="61" t="s">
        <v>16</v>
      </c>
      <c r="B1677" s="61" t="s">
        <v>3738</v>
      </c>
      <c r="C1677" s="62" t="s">
        <v>3739</v>
      </c>
      <c r="D1677" s="61">
        <v>40</v>
      </c>
    </row>
    <row r="1678" spans="1:4" x14ac:dyDescent="0.2">
      <c r="A1678" s="62" t="s">
        <v>16</v>
      </c>
      <c r="B1678" s="61" t="s">
        <v>3740</v>
      </c>
      <c r="C1678" s="62" t="s">
        <v>3741</v>
      </c>
      <c r="D1678" s="61">
        <v>40</v>
      </c>
    </row>
    <row r="1679" spans="1:4" x14ac:dyDescent="0.2">
      <c r="A1679" s="61" t="s">
        <v>16</v>
      </c>
      <c r="B1679" s="61" t="s">
        <v>3742</v>
      </c>
      <c r="C1679" s="62" t="s">
        <v>3743</v>
      </c>
      <c r="D1679" s="61">
        <v>40</v>
      </c>
    </row>
    <row r="1680" spans="1:4" x14ac:dyDescent="0.2">
      <c r="A1680" s="62" t="s">
        <v>16</v>
      </c>
      <c r="B1680" s="61" t="s">
        <v>3744</v>
      </c>
      <c r="C1680" s="62" t="s">
        <v>3745</v>
      </c>
      <c r="D1680" s="61">
        <v>40</v>
      </c>
    </row>
    <row r="1681" spans="1:4" x14ac:dyDescent="0.2">
      <c r="A1681" s="61" t="s">
        <v>16</v>
      </c>
      <c r="B1681" s="61" t="s">
        <v>3746</v>
      </c>
      <c r="C1681" s="62" t="s">
        <v>3747</v>
      </c>
      <c r="D1681" s="61">
        <v>40</v>
      </c>
    </row>
    <row r="1682" spans="1:4" x14ac:dyDescent="0.2">
      <c r="A1682" s="62" t="s">
        <v>16</v>
      </c>
      <c r="B1682" s="61" t="s">
        <v>3748</v>
      </c>
      <c r="C1682" s="62" t="s">
        <v>3749</v>
      </c>
      <c r="D1682" s="61">
        <v>40</v>
      </c>
    </row>
    <row r="1683" spans="1:4" x14ac:dyDescent="0.2">
      <c r="A1683" s="61" t="s">
        <v>16</v>
      </c>
      <c r="B1683" s="61" t="s">
        <v>3750</v>
      </c>
      <c r="C1683" s="62" t="s">
        <v>3751</v>
      </c>
      <c r="D1683" s="61">
        <v>40</v>
      </c>
    </row>
    <row r="1684" spans="1:4" x14ac:dyDescent="0.2">
      <c r="A1684" s="62" t="s">
        <v>16</v>
      </c>
      <c r="B1684" s="61" t="s">
        <v>3752</v>
      </c>
      <c r="C1684" s="62" t="s">
        <v>3753</v>
      </c>
      <c r="D1684" s="61">
        <v>40</v>
      </c>
    </row>
    <row r="1685" spans="1:4" x14ac:dyDescent="0.2">
      <c r="A1685" s="61" t="s">
        <v>16</v>
      </c>
      <c r="B1685" s="61" t="s">
        <v>3754</v>
      </c>
      <c r="C1685" s="62" t="s">
        <v>3755</v>
      </c>
      <c r="D1685" s="61">
        <v>40</v>
      </c>
    </row>
    <row r="1686" spans="1:4" x14ac:dyDescent="0.2">
      <c r="A1686" s="62" t="s">
        <v>16</v>
      </c>
      <c r="B1686" s="61" t="s">
        <v>3756</v>
      </c>
      <c r="C1686" s="62" t="s">
        <v>3757</v>
      </c>
      <c r="D1686" s="61">
        <v>40</v>
      </c>
    </row>
    <row r="1687" spans="1:4" x14ac:dyDescent="0.2">
      <c r="A1687" s="61" t="s">
        <v>16</v>
      </c>
      <c r="B1687" s="61" t="s">
        <v>3758</v>
      </c>
      <c r="C1687" s="62" t="s">
        <v>3759</v>
      </c>
      <c r="D1687" s="61">
        <v>40</v>
      </c>
    </row>
    <row r="1688" spans="1:4" x14ac:dyDescent="0.2">
      <c r="A1688" s="62" t="s">
        <v>16</v>
      </c>
      <c r="B1688" s="61" t="s">
        <v>3760</v>
      </c>
      <c r="C1688" s="62" t="s">
        <v>3761</v>
      </c>
      <c r="D1688" s="61">
        <v>40</v>
      </c>
    </row>
    <row r="1689" spans="1:4" x14ac:dyDescent="0.2">
      <c r="A1689" s="61" t="s">
        <v>16</v>
      </c>
      <c r="B1689" s="61" t="s">
        <v>3762</v>
      </c>
      <c r="C1689" s="62" t="s">
        <v>3763</v>
      </c>
      <c r="D1689" s="61">
        <v>40</v>
      </c>
    </row>
    <row r="1690" spans="1:4" x14ac:dyDescent="0.2">
      <c r="A1690" s="62" t="s">
        <v>16</v>
      </c>
      <c r="B1690" s="61" t="s">
        <v>264</v>
      </c>
      <c r="C1690" s="62" t="s">
        <v>5462</v>
      </c>
      <c r="D1690" s="61">
        <v>40</v>
      </c>
    </row>
    <row r="1691" spans="1:4" x14ac:dyDescent="0.2">
      <c r="A1691" s="61" t="s">
        <v>16</v>
      </c>
      <c r="B1691" s="61" t="s">
        <v>260</v>
      </c>
      <c r="C1691" s="62" t="s">
        <v>5463</v>
      </c>
      <c r="D1691" s="61">
        <v>40</v>
      </c>
    </row>
    <row r="1692" spans="1:4" x14ac:dyDescent="0.2">
      <c r="A1692" s="62" t="s">
        <v>16</v>
      </c>
      <c r="B1692" s="61" t="s">
        <v>220</v>
      </c>
      <c r="C1692" s="62" t="s">
        <v>5464</v>
      </c>
      <c r="D1692" s="61">
        <v>40</v>
      </c>
    </row>
    <row r="1693" spans="1:4" x14ac:dyDescent="0.2">
      <c r="A1693" s="61" t="s">
        <v>16</v>
      </c>
      <c r="B1693" s="61" t="s">
        <v>3764</v>
      </c>
      <c r="C1693" s="62" t="s">
        <v>3765</v>
      </c>
      <c r="D1693" s="61">
        <v>40</v>
      </c>
    </row>
    <row r="1694" spans="1:4" x14ac:dyDescent="0.2">
      <c r="A1694" s="62" t="s">
        <v>16</v>
      </c>
      <c r="B1694" s="61" t="s">
        <v>3766</v>
      </c>
      <c r="C1694" s="62" t="s">
        <v>3767</v>
      </c>
      <c r="D1694" s="61">
        <v>40</v>
      </c>
    </row>
    <row r="1695" spans="1:4" x14ac:dyDescent="0.2">
      <c r="A1695" s="61" t="s">
        <v>16</v>
      </c>
      <c r="B1695" s="61" t="s">
        <v>3768</v>
      </c>
      <c r="C1695" s="62" t="s">
        <v>3769</v>
      </c>
      <c r="D1695" s="61">
        <v>40</v>
      </c>
    </row>
    <row r="1696" spans="1:4" x14ac:dyDescent="0.2">
      <c r="A1696" s="62" t="s">
        <v>16</v>
      </c>
      <c r="B1696" s="61" t="s">
        <v>3770</v>
      </c>
      <c r="C1696" s="62" t="s">
        <v>3771</v>
      </c>
      <c r="D1696" s="61">
        <v>40</v>
      </c>
    </row>
    <row r="1697" spans="1:4" x14ac:dyDescent="0.2">
      <c r="A1697" s="61" t="s">
        <v>16</v>
      </c>
      <c r="B1697" s="61" t="s">
        <v>3772</v>
      </c>
      <c r="C1697" s="62" t="s">
        <v>3773</v>
      </c>
      <c r="D1697" s="61">
        <v>40</v>
      </c>
    </row>
    <row r="1698" spans="1:4" x14ac:dyDescent="0.2">
      <c r="A1698" s="62" t="s">
        <v>16</v>
      </c>
      <c r="B1698" s="61" t="s">
        <v>3774</v>
      </c>
      <c r="C1698" s="62" t="s">
        <v>3775</v>
      </c>
      <c r="D1698" s="61">
        <v>40</v>
      </c>
    </row>
    <row r="1699" spans="1:4" x14ac:dyDescent="0.2">
      <c r="A1699" s="61" t="s">
        <v>16</v>
      </c>
      <c r="B1699" s="61" t="s">
        <v>3776</v>
      </c>
      <c r="C1699" s="62" t="s">
        <v>3777</v>
      </c>
      <c r="D1699" s="61">
        <v>40</v>
      </c>
    </row>
    <row r="1700" spans="1:4" x14ac:dyDescent="0.2">
      <c r="A1700" s="62" t="s">
        <v>16</v>
      </c>
      <c r="B1700" s="61" t="s">
        <v>3778</v>
      </c>
      <c r="C1700" s="62" t="s">
        <v>3779</v>
      </c>
      <c r="D1700" s="61">
        <v>40</v>
      </c>
    </row>
    <row r="1701" spans="1:4" x14ac:dyDescent="0.2">
      <c r="A1701" s="61" t="s">
        <v>16</v>
      </c>
      <c r="B1701" s="61" t="s">
        <v>3780</v>
      </c>
      <c r="C1701" s="62" t="s">
        <v>3781</v>
      </c>
      <c r="D1701" s="61">
        <v>40</v>
      </c>
    </row>
    <row r="1702" spans="1:4" x14ac:dyDescent="0.2">
      <c r="A1702" s="62" t="s">
        <v>16</v>
      </c>
      <c r="B1702" s="61" t="s">
        <v>3782</v>
      </c>
      <c r="C1702" s="62" t="s">
        <v>3783</v>
      </c>
      <c r="D1702" s="61">
        <v>40</v>
      </c>
    </row>
    <row r="1703" spans="1:4" x14ac:dyDescent="0.2">
      <c r="A1703" s="61" t="s">
        <v>16</v>
      </c>
      <c r="B1703" s="61" t="s">
        <v>982</v>
      </c>
      <c r="C1703" s="62" t="s">
        <v>4879</v>
      </c>
      <c r="D1703" s="61">
        <v>40</v>
      </c>
    </row>
    <row r="1704" spans="1:4" x14ac:dyDescent="0.2">
      <c r="A1704" s="62" t="s">
        <v>16</v>
      </c>
      <c r="B1704" s="61" t="s">
        <v>953</v>
      </c>
      <c r="C1704" s="62" t="s">
        <v>4872</v>
      </c>
      <c r="D1704" s="61">
        <v>40</v>
      </c>
    </row>
    <row r="1705" spans="1:4" x14ac:dyDescent="0.2">
      <c r="A1705" s="61" t="s">
        <v>16</v>
      </c>
      <c r="B1705" s="61" t="s">
        <v>871</v>
      </c>
      <c r="C1705" s="62" t="s">
        <v>4860</v>
      </c>
      <c r="D1705" s="61">
        <v>40</v>
      </c>
    </row>
    <row r="1706" spans="1:4" x14ac:dyDescent="0.2">
      <c r="A1706" s="62" t="s">
        <v>16</v>
      </c>
      <c r="B1706" s="61" t="s">
        <v>3784</v>
      </c>
      <c r="C1706" s="62" t="s">
        <v>3785</v>
      </c>
      <c r="D1706" s="61">
        <v>40</v>
      </c>
    </row>
    <row r="1707" spans="1:4" x14ac:dyDescent="0.2">
      <c r="A1707" s="61" t="s">
        <v>16</v>
      </c>
      <c r="B1707" s="61" t="s">
        <v>269</v>
      </c>
      <c r="C1707" s="62" t="s">
        <v>275</v>
      </c>
      <c r="D1707" s="61">
        <v>40</v>
      </c>
    </row>
    <row r="1708" spans="1:4" x14ac:dyDescent="0.2">
      <c r="A1708" s="62" t="s">
        <v>16</v>
      </c>
      <c r="B1708" s="61" t="s">
        <v>316</v>
      </c>
      <c r="C1708" s="62" t="s">
        <v>434</v>
      </c>
      <c r="D1708" s="61">
        <v>40</v>
      </c>
    </row>
    <row r="1709" spans="1:4" x14ac:dyDescent="0.2">
      <c r="A1709" s="61" t="s">
        <v>16</v>
      </c>
      <c r="B1709" s="61" t="s">
        <v>296</v>
      </c>
      <c r="C1709" s="62" t="s">
        <v>297</v>
      </c>
      <c r="D1709" s="61">
        <v>40</v>
      </c>
    </row>
    <row r="1710" spans="1:4" x14ac:dyDescent="0.2">
      <c r="A1710" s="62" t="s">
        <v>16</v>
      </c>
      <c r="B1710" s="61" t="s">
        <v>238</v>
      </c>
      <c r="C1710" s="62" t="s">
        <v>239</v>
      </c>
      <c r="D1710" s="61">
        <v>40</v>
      </c>
    </row>
    <row r="1711" spans="1:4" x14ac:dyDescent="0.2">
      <c r="A1711" s="61" t="s">
        <v>16</v>
      </c>
      <c r="B1711" s="61" t="s">
        <v>945</v>
      </c>
      <c r="C1711" s="62" t="s">
        <v>946</v>
      </c>
      <c r="D1711" s="61">
        <v>40</v>
      </c>
    </row>
    <row r="1712" spans="1:4" x14ac:dyDescent="0.2">
      <c r="A1712" s="62" t="s">
        <v>16</v>
      </c>
      <c r="B1712" s="61" t="s">
        <v>3786</v>
      </c>
      <c r="C1712" s="62" t="s">
        <v>3787</v>
      </c>
      <c r="D1712" s="61">
        <v>50</v>
      </c>
    </row>
    <row r="1713" spans="1:4" x14ac:dyDescent="0.2">
      <c r="A1713" s="61" t="s">
        <v>16</v>
      </c>
      <c r="B1713" s="61" t="s">
        <v>3788</v>
      </c>
      <c r="C1713" s="62" t="s">
        <v>3789</v>
      </c>
      <c r="D1713" s="61">
        <v>50</v>
      </c>
    </row>
    <row r="1714" spans="1:4" x14ac:dyDescent="0.2">
      <c r="A1714" s="62" t="s">
        <v>16</v>
      </c>
      <c r="B1714" s="61" t="s">
        <v>3790</v>
      </c>
      <c r="C1714" s="62" t="s">
        <v>3791</v>
      </c>
      <c r="D1714" s="61">
        <v>50</v>
      </c>
    </row>
    <row r="1715" spans="1:4" x14ac:dyDescent="0.2">
      <c r="A1715" s="61" t="s">
        <v>16</v>
      </c>
      <c r="B1715" s="61" t="s">
        <v>3792</v>
      </c>
      <c r="C1715" s="62" t="s">
        <v>3793</v>
      </c>
      <c r="D1715" s="61">
        <v>50</v>
      </c>
    </row>
    <row r="1716" spans="1:4" x14ac:dyDescent="0.2">
      <c r="A1716" s="62" t="s">
        <v>16</v>
      </c>
      <c r="B1716" s="61" t="s">
        <v>3794</v>
      </c>
      <c r="C1716" s="62" t="s">
        <v>3795</v>
      </c>
      <c r="D1716" s="61">
        <v>50</v>
      </c>
    </row>
    <row r="1717" spans="1:4" x14ac:dyDescent="0.2">
      <c r="A1717" s="61" t="s">
        <v>16</v>
      </c>
      <c r="B1717" s="61" t="s">
        <v>3796</v>
      </c>
      <c r="C1717" s="62" t="s">
        <v>3797</v>
      </c>
      <c r="D1717" s="61">
        <v>50</v>
      </c>
    </row>
    <row r="1718" spans="1:4" x14ac:dyDescent="0.2">
      <c r="A1718" s="62" t="s">
        <v>16</v>
      </c>
      <c r="B1718" s="61" t="s">
        <v>3798</v>
      </c>
      <c r="C1718" s="62" t="s">
        <v>3799</v>
      </c>
      <c r="D1718" s="61">
        <v>50</v>
      </c>
    </row>
    <row r="1719" spans="1:4" x14ac:dyDescent="0.2">
      <c r="A1719" s="61" t="s">
        <v>16</v>
      </c>
      <c r="B1719" s="61" t="s">
        <v>224</v>
      </c>
      <c r="C1719" s="62" t="s">
        <v>272</v>
      </c>
      <c r="D1719" s="61">
        <v>40</v>
      </c>
    </row>
    <row r="1720" spans="1:4" x14ac:dyDescent="0.2">
      <c r="A1720" s="62" t="s">
        <v>16</v>
      </c>
      <c r="B1720" s="61" t="s">
        <v>243</v>
      </c>
      <c r="C1720" s="62" t="s">
        <v>244</v>
      </c>
      <c r="D1720" s="61">
        <v>40</v>
      </c>
    </row>
    <row r="1721" spans="1:4" x14ac:dyDescent="0.2">
      <c r="A1721" s="61" t="s">
        <v>16</v>
      </c>
      <c r="B1721" s="61" t="s">
        <v>253</v>
      </c>
      <c r="C1721" s="62" t="s">
        <v>254</v>
      </c>
      <c r="D1721" s="61">
        <v>40</v>
      </c>
    </row>
    <row r="1722" spans="1:4" x14ac:dyDescent="0.2">
      <c r="A1722" s="62" t="s">
        <v>16</v>
      </c>
      <c r="B1722" s="61" t="s">
        <v>246</v>
      </c>
      <c r="C1722" s="62" t="s">
        <v>247</v>
      </c>
      <c r="D1722" s="61">
        <v>40</v>
      </c>
    </row>
    <row r="1723" spans="1:4" x14ac:dyDescent="0.2">
      <c r="A1723" s="61" t="s">
        <v>16</v>
      </c>
      <c r="B1723" s="61" t="s">
        <v>996</v>
      </c>
      <c r="C1723" s="62" t="s">
        <v>5465</v>
      </c>
      <c r="D1723" s="61">
        <v>40</v>
      </c>
    </row>
    <row r="1724" spans="1:4" x14ac:dyDescent="0.2">
      <c r="A1724" s="62" t="s">
        <v>16</v>
      </c>
      <c r="B1724" s="61" t="s">
        <v>985</v>
      </c>
      <c r="C1724" s="62" t="s">
        <v>5466</v>
      </c>
      <c r="D1724" s="61">
        <v>40</v>
      </c>
    </row>
    <row r="1725" spans="1:4" x14ac:dyDescent="0.2">
      <c r="A1725" s="62" t="s">
        <v>16</v>
      </c>
      <c r="B1725" s="61" t="s">
        <v>3800</v>
      </c>
      <c r="C1725" s="62" t="s">
        <v>3801</v>
      </c>
      <c r="D1725" s="61">
        <v>40</v>
      </c>
    </row>
    <row r="1726" spans="1:4" x14ac:dyDescent="0.2">
      <c r="A1726" s="62" t="s">
        <v>16</v>
      </c>
      <c r="B1726" s="61" t="s">
        <v>992</v>
      </c>
      <c r="C1726" s="62" t="s">
        <v>4995</v>
      </c>
      <c r="D1726" s="61">
        <v>50</v>
      </c>
    </row>
    <row r="1727" spans="1:4" x14ac:dyDescent="0.2">
      <c r="A1727" s="61" t="s">
        <v>16</v>
      </c>
      <c r="B1727" s="61" t="s">
        <v>994</v>
      </c>
      <c r="C1727" s="62" t="s">
        <v>4974</v>
      </c>
      <c r="D1727" s="61">
        <v>50</v>
      </c>
    </row>
    <row r="1728" spans="1:4" x14ac:dyDescent="0.2">
      <c r="A1728" s="62" t="s">
        <v>16</v>
      </c>
      <c r="B1728" s="61" t="s">
        <v>3802</v>
      </c>
      <c r="C1728" s="62" t="s">
        <v>4925</v>
      </c>
      <c r="D1728" s="61">
        <v>50</v>
      </c>
    </row>
    <row r="1729" spans="1:4" x14ac:dyDescent="0.2">
      <c r="A1729" s="61" t="s">
        <v>16</v>
      </c>
      <c r="B1729" s="61" t="s">
        <v>3803</v>
      </c>
      <c r="C1729" s="62" t="s">
        <v>4895</v>
      </c>
      <c r="D1729" s="61">
        <v>50</v>
      </c>
    </row>
    <row r="1730" spans="1:4" x14ac:dyDescent="0.2">
      <c r="A1730" s="62" t="s">
        <v>16</v>
      </c>
      <c r="B1730" s="61" t="s">
        <v>315</v>
      </c>
      <c r="C1730" s="62" t="s">
        <v>4876</v>
      </c>
      <c r="D1730" s="61">
        <v>50</v>
      </c>
    </row>
    <row r="1731" spans="1:4" x14ac:dyDescent="0.2">
      <c r="A1731" s="61" t="s">
        <v>16</v>
      </c>
      <c r="B1731" s="61" t="s">
        <v>993</v>
      </c>
      <c r="C1731" s="62" t="s">
        <v>4848</v>
      </c>
      <c r="D1731" s="61">
        <v>50</v>
      </c>
    </row>
    <row r="1732" spans="1:4" x14ac:dyDescent="0.2">
      <c r="A1732" s="62" t="s">
        <v>16</v>
      </c>
      <c r="B1732" s="61" t="s">
        <v>3804</v>
      </c>
      <c r="C1732" s="62" t="s">
        <v>4892</v>
      </c>
      <c r="D1732" s="61">
        <v>50</v>
      </c>
    </row>
    <row r="1733" spans="1:4" x14ac:dyDescent="0.2">
      <c r="A1733" s="61" t="s">
        <v>16</v>
      </c>
      <c r="B1733" s="61" t="s">
        <v>3805</v>
      </c>
      <c r="C1733" s="62" t="s">
        <v>4976</v>
      </c>
      <c r="D1733" s="61">
        <v>50</v>
      </c>
    </row>
    <row r="1734" spans="1:4" x14ac:dyDescent="0.2">
      <c r="A1734" s="62" t="s">
        <v>16</v>
      </c>
      <c r="B1734" s="61" t="s">
        <v>3806</v>
      </c>
      <c r="C1734" s="62" t="s">
        <v>5225</v>
      </c>
      <c r="D1734" s="61">
        <v>50</v>
      </c>
    </row>
    <row r="1735" spans="1:4" x14ac:dyDescent="0.2">
      <c r="A1735" s="61" t="s">
        <v>16</v>
      </c>
      <c r="B1735" s="61" t="s">
        <v>995</v>
      </c>
      <c r="C1735" s="62" t="s">
        <v>4994</v>
      </c>
      <c r="D1735" s="61">
        <v>50</v>
      </c>
    </row>
    <row r="1736" spans="1:4" x14ac:dyDescent="0.2">
      <c r="A1736" s="62" t="s">
        <v>16</v>
      </c>
      <c r="B1736" s="61" t="s">
        <v>991</v>
      </c>
      <c r="C1736" s="62" t="s">
        <v>4975</v>
      </c>
      <c r="D1736" s="61">
        <v>50</v>
      </c>
    </row>
    <row r="1737" spans="1:4" x14ac:dyDescent="0.2">
      <c r="A1737" s="61" t="s">
        <v>16</v>
      </c>
      <c r="B1737" s="61" t="s">
        <v>3807</v>
      </c>
      <c r="C1737" s="62" t="s">
        <v>3808</v>
      </c>
      <c r="D1737" s="61">
        <v>40</v>
      </c>
    </row>
    <row r="1738" spans="1:4" x14ac:dyDescent="0.2">
      <c r="A1738" s="62" t="s">
        <v>16</v>
      </c>
      <c r="B1738" s="61" t="s">
        <v>3809</v>
      </c>
      <c r="C1738" s="62" t="s">
        <v>3810</v>
      </c>
      <c r="D1738" s="61">
        <v>40</v>
      </c>
    </row>
    <row r="1739" spans="1:4" x14ac:dyDescent="0.2">
      <c r="A1739" s="61" t="s">
        <v>16</v>
      </c>
      <c r="B1739" s="61" t="s">
        <v>3811</v>
      </c>
      <c r="C1739" s="62" t="s">
        <v>3812</v>
      </c>
      <c r="D1739" s="61">
        <v>40</v>
      </c>
    </row>
    <row r="1740" spans="1:4" x14ac:dyDescent="0.2">
      <c r="A1740" s="61" t="s">
        <v>16</v>
      </c>
      <c r="B1740" s="61" t="s">
        <v>3813</v>
      </c>
      <c r="C1740" s="62" t="s">
        <v>5467</v>
      </c>
      <c r="D1740" s="61">
        <v>40</v>
      </c>
    </row>
    <row r="1741" spans="1:4" x14ac:dyDescent="0.2">
      <c r="A1741" s="62" t="s">
        <v>16</v>
      </c>
      <c r="B1741" s="61" t="s">
        <v>3814</v>
      </c>
      <c r="C1741" s="62" t="s">
        <v>5468</v>
      </c>
      <c r="D1741" s="61">
        <v>40</v>
      </c>
    </row>
    <row r="1742" spans="1:4" x14ac:dyDescent="0.2">
      <c r="A1742" s="61" t="s">
        <v>16</v>
      </c>
      <c r="B1742" s="61" t="s">
        <v>3815</v>
      </c>
      <c r="C1742" s="62" t="s">
        <v>5469</v>
      </c>
      <c r="D1742" s="61">
        <v>40</v>
      </c>
    </row>
    <row r="1743" spans="1:4" x14ac:dyDescent="0.2">
      <c r="A1743" s="62" t="s">
        <v>16</v>
      </c>
      <c r="B1743" s="61" t="s">
        <v>3816</v>
      </c>
      <c r="C1743" s="62" t="s">
        <v>3817</v>
      </c>
      <c r="D1743" s="61">
        <v>40</v>
      </c>
    </row>
    <row r="1744" spans="1:4" x14ac:dyDescent="0.2">
      <c r="A1744" s="61" t="s">
        <v>16</v>
      </c>
      <c r="B1744" s="61" t="s">
        <v>3818</v>
      </c>
      <c r="C1744" s="62" t="s">
        <v>3819</v>
      </c>
      <c r="D1744" s="61">
        <v>40</v>
      </c>
    </row>
    <row r="1745" spans="1:4" x14ac:dyDescent="0.2">
      <c r="A1745" s="62" t="s">
        <v>16</v>
      </c>
      <c r="B1745" s="61" t="s">
        <v>3820</v>
      </c>
      <c r="C1745" s="62" t="s">
        <v>3821</v>
      </c>
      <c r="D1745" s="61">
        <v>40</v>
      </c>
    </row>
    <row r="1746" spans="1:4" x14ac:dyDescent="0.2">
      <c r="A1746" s="61" t="s">
        <v>16</v>
      </c>
      <c r="B1746" s="61" t="s">
        <v>3822</v>
      </c>
      <c r="C1746" s="62" t="s">
        <v>3823</v>
      </c>
      <c r="D1746" s="61">
        <v>40</v>
      </c>
    </row>
    <row r="1747" spans="1:4" x14ac:dyDescent="0.2">
      <c r="A1747" s="62" t="s">
        <v>16</v>
      </c>
      <c r="B1747" s="61" t="s">
        <v>3824</v>
      </c>
      <c r="C1747" s="62" t="s">
        <v>3825</v>
      </c>
      <c r="D1747" s="61">
        <v>40</v>
      </c>
    </row>
    <row r="1748" spans="1:4" x14ac:dyDescent="0.2">
      <c r="A1748" s="61" t="s">
        <v>16</v>
      </c>
      <c r="B1748" s="61" t="s">
        <v>3826</v>
      </c>
      <c r="C1748" s="62" t="s">
        <v>3827</v>
      </c>
      <c r="D1748" s="61">
        <v>40</v>
      </c>
    </row>
    <row r="1749" spans="1:4" x14ac:dyDescent="0.2">
      <c r="A1749" s="62" t="s">
        <v>16</v>
      </c>
      <c r="B1749" s="61" t="s">
        <v>3828</v>
      </c>
      <c r="C1749" s="62" t="s">
        <v>3829</v>
      </c>
      <c r="D1749" s="61">
        <v>40</v>
      </c>
    </row>
    <row r="1750" spans="1:4" x14ac:dyDescent="0.2">
      <c r="A1750" s="61" t="s">
        <v>16</v>
      </c>
      <c r="B1750" s="61" t="s">
        <v>695</v>
      </c>
      <c r="C1750" s="62" t="s">
        <v>4871</v>
      </c>
      <c r="D1750" s="61">
        <v>40</v>
      </c>
    </row>
    <row r="1751" spans="1:4" x14ac:dyDescent="0.2">
      <c r="A1751" s="62" t="s">
        <v>16</v>
      </c>
      <c r="B1751" s="61" t="s">
        <v>979</v>
      </c>
      <c r="C1751" s="62" t="s">
        <v>4871</v>
      </c>
      <c r="D1751" s="61">
        <v>40</v>
      </c>
    </row>
    <row r="1752" spans="1:4" x14ac:dyDescent="0.2">
      <c r="A1752" s="61" t="s">
        <v>16</v>
      </c>
      <c r="B1752" s="61" t="s">
        <v>3830</v>
      </c>
      <c r="C1752" s="62" t="s">
        <v>3831</v>
      </c>
      <c r="D1752" s="61">
        <v>40</v>
      </c>
    </row>
    <row r="1753" spans="1:4" x14ac:dyDescent="0.2">
      <c r="A1753" s="62" t="s">
        <v>16</v>
      </c>
      <c r="B1753" s="61" t="s">
        <v>3832</v>
      </c>
      <c r="C1753" s="62" t="s">
        <v>3833</v>
      </c>
      <c r="D1753" s="61">
        <v>40</v>
      </c>
    </row>
    <row r="1754" spans="1:4" x14ac:dyDescent="0.2">
      <c r="A1754" s="61" t="s">
        <v>16</v>
      </c>
      <c r="B1754" s="61" t="s">
        <v>3834</v>
      </c>
      <c r="C1754" s="62" t="s">
        <v>5470</v>
      </c>
      <c r="D1754" s="61">
        <v>50</v>
      </c>
    </row>
    <row r="1755" spans="1:4" x14ac:dyDescent="0.2">
      <c r="A1755" s="62" t="s">
        <v>16</v>
      </c>
      <c r="B1755" s="61" t="s">
        <v>3835</v>
      </c>
      <c r="C1755" s="62" t="s">
        <v>5471</v>
      </c>
      <c r="D1755" s="61">
        <v>40</v>
      </c>
    </row>
    <row r="1756" spans="1:4" x14ac:dyDescent="0.2">
      <c r="A1756" s="62" t="s">
        <v>16</v>
      </c>
      <c r="B1756" s="61" t="s">
        <v>956</v>
      </c>
      <c r="C1756" s="62" t="s">
        <v>5472</v>
      </c>
      <c r="D1756" s="61">
        <v>40</v>
      </c>
    </row>
    <row r="1757" spans="1:4" x14ac:dyDescent="0.2">
      <c r="A1757" s="61" t="s">
        <v>16</v>
      </c>
      <c r="B1757" s="61" t="s">
        <v>3836</v>
      </c>
      <c r="C1757" s="62" t="s">
        <v>3837</v>
      </c>
      <c r="D1757" s="61">
        <v>40</v>
      </c>
    </row>
    <row r="1758" spans="1:4" x14ac:dyDescent="0.2">
      <c r="A1758" s="62" t="s">
        <v>16</v>
      </c>
      <c r="B1758" s="61" t="s">
        <v>3838</v>
      </c>
      <c r="C1758" s="62" t="s">
        <v>3839</v>
      </c>
      <c r="D1758" s="61">
        <v>40</v>
      </c>
    </row>
    <row r="1759" spans="1:4" x14ac:dyDescent="0.2">
      <c r="A1759" s="61" t="s">
        <v>16</v>
      </c>
      <c r="B1759" s="61" t="s">
        <v>3840</v>
      </c>
      <c r="C1759" s="62" t="s">
        <v>3841</v>
      </c>
      <c r="D1759" s="61">
        <v>40</v>
      </c>
    </row>
    <row r="1760" spans="1:4" x14ac:dyDescent="0.2">
      <c r="A1760" s="62" t="s">
        <v>16</v>
      </c>
      <c r="B1760" s="61" t="s">
        <v>3842</v>
      </c>
      <c r="C1760" s="62" t="s">
        <v>5473</v>
      </c>
      <c r="D1760" s="61">
        <v>50</v>
      </c>
    </row>
    <row r="1761" spans="1:4" x14ac:dyDescent="0.2">
      <c r="A1761" s="62" t="s">
        <v>16</v>
      </c>
      <c r="B1761" s="61" t="s">
        <v>3843</v>
      </c>
      <c r="C1761" s="62" t="s">
        <v>3844</v>
      </c>
      <c r="D1761" s="61">
        <v>40</v>
      </c>
    </row>
    <row r="1762" spans="1:4" x14ac:dyDescent="0.2">
      <c r="A1762" s="61" t="s">
        <v>16</v>
      </c>
      <c r="B1762" s="61" t="s">
        <v>453</v>
      </c>
      <c r="C1762" s="62" t="s">
        <v>454</v>
      </c>
      <c r="D1762" s="61">
        <v>40</v>
      </c>
    </row>
    <row r="1763" spans="1:4" x14ac:dyDescent="0.2">
      <c r="A1763" s="62" t="s">
        <v>16</v>
      </c>
      <c r="B1763" s="61" t="s">
        <v>443</v>
      </c>
      <c r="C1763" s="62" t="s">
        <v>444</v>
      </c>
      <c r="D1763" s="61">
        <v>40</v>
      </c>
    </row>
    <row r="1764" spans="1:4" x14ac:dyDescent="0.2">
      <c r="A1764" s="61" t="s">
        <v>16</v>
      </c>
      <c r="B1764" s="61" t="s">
        <v>3845</v>
      </c>
      <c r="C1764" s="62" t="s">
        <v>3846</v>
      </c>
      <c r="D1764" s="61">
        <v>40</v>
      </c>
    </row>
    <row r="1765" spans="1:4" x14ac:dyDescent="0.2">
      <c r="A1765" s="62" t="s">
        <v>16</v>
      </c>
      <c r="B1765" s="61" t="s">
        <v>3847</v>
      </c>
      <c r="C1765" s="62" t="s">
        <v>3848</v>
      </c>
      <c r="D1765" s="61">
        <v>40</v>
      </c>
    </row>
    <row r="1766" spans="1:4" x14ac:dyDescent="0.2">
      <c r="A1766" s="61" t="s">
        <v>16</v>
      </c>
      <c r="B1766" s="61" t="s">
        <v>3849</v>
      </c>
      <c r="C1766" s="62" t="s">
        <v>3850</v>
      </c>
      <c r="D1766" s="61">
        <v>40</v>
      </c>
    </row>
    <row r="1767" spans="1:4" x14ac:dyDescent="0.2">
      <c r="A1767" s="62" t="s">
        <v>16</v>
      </c>
      <c r="B1767" s="61" t="s">
        <v>988</v>
      </c>
      <c r="C1767" s="62" t="s">
        <v>989</v>
      </c>
      <c r="D1767" s="61">
        <v>40</v>
      </c>
    </row>
    <row r="1768" spans="1:4" x14ac:dyDescent="0.2">
      <c r="A1768" s="61" t="s">
        <v>16</v>
      </c>
      <c r="B1768" s="61" t="s">
        <v>3851</v>
      </c>
      <c r="C1768" s="62" t="s">
        <v>3852</v>
      </c>
      <c r="D1768" s="61">
        <v>40</v>
      </c>
    </row>
    <row r="1769" spans="1:4" x14ac:dyDescent="0.2">
      <c r="A1769" s="62" t="s">
        <v>16</v>
      </c>
      <c r="B1769" s="61" t="s">
        <v>3853</v>
      </c>
      <c r="C1769" s="62" t="s">
        <v>3854</v>
      </c>
      <c r="D1769" s="61">
        <v>40</v>
      </c>
    </row>
    <row r="1770" spans="1:4" x14ac:dyDescent="0.2">
      <c r="A1770" s="61" t="s">
        <v>16</v>
      </c>
      <c r="B1770" s="61" t="s">
        <v>3855</v>
      </c>
      <c r="C1770" s="62" t="s">
        <v>3856</v>
      </c>
      <c r="D1770" s="61">
        <v>40</v>
      </c>
    </row>
    <row r="1771" spans="1:4" x14ac:dyDescent="0.2">
      <c r="A1771" s="62" t="s">
        <v>16</v>
      </c>
      <c r="B1771" s="61" t="s">
        <v>3857</v>
      </c>
      <c r="C1771" s="62" t="s">
        <v>3858</v>
      </c>
      <c r="D1771" s="61">
        <v>40</v>
      </c>
    </row>
    <row r="1772" spans="1:4" x14ac:dyDescent="0.2">
      <c r="A1772" s="61" t="s">
        <v>16</v>
      </c>
      <c r="B1772" s="61" t="s">
        <v>3859</v>
      </c>
      <c r="C1772" s="62" t="s">
        <v>3860</v>
      </c>
      <c r="D1772" s="61">
        <v>40</v>
      </c>
    </row>
    <row r="1773" spans="1:4" x14ac:dyDescent="0.2">
      <c r="A1773" s="62" t="s">
        <v>16</v>
      </c>
      <c r="B1773" s="61" t="s">
        <v>3861</v>
      </c>
      <c r="C1773" s="62" t="s">
        <v>3862</v>
      </c>
      <c r="D1773" s="61">
        <v>40</v>
      </c>
    </row>
    <row r="1774" spans="1:4" x14ac:dyDescent="0.2">
      <c r="A1774" s="61" t="s">
        <v>16</v>
      </c>
      <c r="B1774" s="61" t="s">
        <v>3863</v>
      </c>
      <c r="C1774" s="62" t="s">
        <v>3864</v>
      </c>
      <c r="D1774" s="61">
        <v>40</v>
      </c>
    </row>
    <row r="1775" spans="1:4" x14ac:dyDescent="0.2">
      <c r="A1775" s="62" t="s">
        <v>16</v>
      </c>
      <c r="B1775" s="61" t="s">
        <v>3865</v>
      </c>
      <c r="C1775" s="62" t="s">
        <v>3866</v>
      </c>
      <c r="D1775" s="61">
        <v>40</v>
      </c>
    </row>
    <row r="1776" spans="1:4" x14ac:dyDescent="0.2">
      <c r="A1776" s="61" t="s">
        <v>16</v>
      </c>
      <c r="B1776" s="61" t="s">
        <v>3867</v>
      </c>
      <c r="C1776" s="62" t="s">
        <v>3868</v>
      </c>
      <c r="D1776" s="61">
        <v>40</v>
      </c>
    </row>
    <row r="1777" spans="1:4" x14ac:dyDescent="0.2">
      <c r="A1777" s="62" t="s">
        <v>16</v>
      </c>
      <c r="B1777" s="61" t="s">
        <v>3869</v>
      </c>
      <c r="C1777" s="62" t="s">
        <v>3870</v>
      </c>
      <c r="D1777" s="61">
        <v>40</v>
      </c>
    </row>
    <row r="1778" spans="1:4" x14ac:dyDescent="0.2">
      <c r="A1778" s="61" t="s">
        <v>16</v>
      </c>
      <c r="B1778" s="61" t="s">
        <v>3871</v>
      </c>
      <c r="C1778" s="62" t="s">
        <v>3872</v>
      </c>
      <c r="D1778" s="61">
        <v>40</v>
      </c>
    </row>
    <row r="1779" spans="1:4" x14ac:dyDescent="0.2">
      <c r="A1779" s="62" t="s">
        <v>16</v>
      </c>
      <c r="B1779" s="61" t="s">
        <v>3873</v>
      </c>
      <c r="C1779" s="62" t="s">
        <v>3874</v>
      </c>
      <c r="D1779" s="61">
        <v>40</v>
      </c>
    </row>
    <row r="1780" spans="1:4" x14ac:dyDescent="0.2">
      <c r="A1780" s="61" t="s">
        <v>16</v>
      </c>
      <c r="B1780" s="61" t="s">
        <v>3875</v>
      </c>
      <c r="C1780" s="62" t="s">
        <v>3876</v>
      </c>
      <c r="D1780" s="61">
        <v>40</v>
      </c>
    </row>
    <row r="1781" spans="1:4" x14ac:dyDescent="0.2">
      <c r="A1781" s="62" t="s">
        <v>16</v>
      </c>
      <c r="B1781" s="61" t="s">
        <v>3877</v>
      </c>
      <c r="C1781" s="62" t="s">
        <v>3878</v>
      </c>
      <c r="D1781" s="61">
        <v>40</v>
      </c>
    </row>
    <row r="1782" spans="1:4" x14ac:dyDescent="0.2">
      <c r="A1782" s="61" t="s">
        <v>16</v>
      </c>
      <c r="B1782" s="61" t="s">
        <v>3879</v>
      </c>
      <c r="C1782" s="62" t="s">
        <v>3880</v>
      </c>
      <c r="D1782" s="61">
        <v>40</v>
      </c>
    </row>
    <row r="1783" spans="1:4" x14ac:dyDescent="0.2">
      <c r="A1783" s="62" t="s">
        <v>16</v>
      </c>
      <c r="B1783" s="61" t="s">
        <v>3881</v>
      </c>
      <c r="C1783" s="62" t="s">
        <v>3882</v>
      </c>
      <c r="D1783" s="61">
        <v>40</v>
      </c>
    </row>
    <row r="1784" spans="1:4" x14ac:dyDescent="0.2">
      <c r="A1784" s="61" t="s">
        <v>16</v>
      </c>
      <c r="B1784" s="61" t="s">
        <v>3883</v>
      </c>
      <c r="C1784" s="62" t="s">
        <v>3884</v>
      </c>
      <c r="D1784" s="61">
        <v>40</v>
      </c>
    </row>
    <row r="1785" spans="1:4" x14ac:dyDescent="0.2">
      <c r="A1785" s="62" t="s">
        <v>16</v>
      </c>
      <c r="B1785" s="61" t="s">
        <v>3885</v>
      </c>
      <c r="C1785" s="62" t="s">
        <v>3886</v>
      </c>
      <c r="D1785" s="61">
        <v>40</v>
      </c>
    </row>
    <row r="1786" spans="1:4" x14ac:dyDescent="0.2">
      <c r="A1786" s="61" t="s">
        <v>16</v>
      </c>
      <c r="B1786" s="61" t="s">
        <v>3887</v>
      </c>
      <c r="C1786" s="62" t="s">
        <v>3888</v>
      </c>
      <c r="D1786" s="61">
        <v>40</v>
      </c>
    </row>
    <row r="1787" spans="1:4" x14ac:dyDescent="0.2">
      <c r="A1787" s="61" t="s">
        <v>16</v>
      </c>
      <c r="B1787" s="61" t="s">
        <v>3889</v>
      </c>
      <c r="C1787" s="62" t="s">
        <v>3890</v>
      </c>
      <c r="D1787" s="61">
        <v>40</v>
      </c>
    </row>
    <row r="1788" spans="1:4" x14ac:dyDescent="0.2">
      <c r="A1788" s="62" t="s">
        <v>16</v>
      </c>
      <c r="B1788" s="61" t="s">
        <v>3891</v>
      </c>
      <c r="C1788" s="62" t="s">
        <v>3892</v>
      </c>
      <c r="D1788" s="61">
        <v>40</v>
      </c>
    </row>
    <row r="1789" spans="1:4" x14ac:dyDescent="0.2">
      <c r="A1789" s="61" t="s">
        <v>16</v>
      </c>
      <c r="B1789" s="61" t="s">
        <v>3893</v>
      </c>
      <c r="C1789" s="62" t="s">
        <v>3894</v>
      </c>
      <c r="D1789" s="61">
        <v>40</v>
      </c>
    </row>
    <row r="1790" spans="1:4" x14ac:dyDescent="0.2">
      <c r="A1790" s="62" t="s">
        <v>16</v>
      </c>
      <c r="B1790" s="61" t="s">
        <v>3895</v>
      </c>
      <c r="C1790" s="62" t="s">
        <v>3896</v>
      </c>
      <c r="D1790" s="61">
        <v>40</v>
      </c>
    </row>
    <row r="1791" spans="1:4" x14ac:dyDescent="0.2">
      <c r="A1791" s="61" t="s">
        <v>16</v>
      </c>
      <c r="B1791" s="61" t="s">
        <v>3897</v>
      </c>
      <c r="C1791" s="62" t="s">
        <v>3898</v>
      </c>
      <c r="D1791" s="61">
        <v>40</v>
      </c>
    </row>
    <row r="1792" spans="1:4" x14ac:dyDescent="0.2">
      <c r="A1792" s="62" t="s">
        <v>16</v>
      </c>
      <c r="B1792" s="61" t="s">
        <v>3899</v>
      </c>
      <c r="C1792" s="62" t="s">
        <v>3900</v>
      </c>
      <c r="D1792" s="61">
        <v>40</v>
      </c>
    </row>
    <row r="1793" spans="1:4" x14ac:dyDescent="0.2">
      <c r="A1793" s="61" t="s">
        <v>16</v>
      </c>
      <c r="B1793" s="61" t="s">
        <v>3901</v>
      </c>
      <c r="C1793" s="62" t="s">
        <v>3902</v>
      </c>
      <c r="D1793" s="61">
        <v>40</v>
      </c>
    </row>
    <row r="1794" spans="1:4" x14ac:dyDescent="0.2">
      <c r="A1794" s="62" t="s">
        <v>16</v>
      </c>
      <c r="B1794" s="61" t="s">
        <v>3903</v>
      </c>
      <c r="C1794" s="62" t="s">
        <v>3904</v>
      </c>
      <c r="D1794" s="61">
        <v>40</v>
      </c>
    </row>
    <row r="1795" spans="1:4" x14ac:dyDescent="0.2">
      <c r="A1795" s="61" t="s">
        <v>16</v>
      </c>
      <c r="B1795" s="61" t="s">
        <v>3905</v>
      </c>
      <c r="C1795" s="62" t="s">
        <v>3906</v>
      </c>
      <c r="D1795" s="61">
        <v>40</v>
      </c>
    </row>
    <row r="1796" spans="1:4" x14ac:dyDescent="0.2">
      <c r="A1796" s="62" t="s">
        <v>16</v>
      </c>
      <c r="B1796" s="61" t="s">
        <v>3907</v>
      </c>
      <c r="C1796" s="62" t="s">
        <v>3908</v>
      </c>
      <c r="D1796" s="61">
        <v>40</v>
      </c>
    </row>
    <row r="1797" spans="1:4" x14ac:dyDescent="0.2">
      <c r="A1797" s="61" t="s">
        <v>16</v>
      </c>
      <c r="B1797" s="61" t="s">
        <v>3909</v>
      </c>
      <c r="C1797" s="62" t="s">
        <v>5474</v>
      </c>
      <c r="D1797" s="61">
        <v>40</v>
      </c>
    </row>
    <row r="1798" spans="1:4" x14ac:dyDescent="0.2">
      <c r="A1798" s="62" t="s">
        <v>16</v>
      </c>
      <c r="B1798" s="61" t="s">
        <v>3910</v>
      </c>
      <c r="C1798" s="62" t="s">
        <v>5475</v>
      </c>
      <c r="D1798" s="61">
        <v>40</v>
      </c>
    </row>
    <row r="1799" spans="1:4" x14ac:dyDescent="0.2">
      <c r="A1799" s="62" t="s">
        <v>16</v>
      </c>
      <c r="B1799" s="61" t="s">
        <v>3911</v>
      </c>
      <c r="C1799" s="62" t="s">
        <v>3912</v>
      </c>
      <c r="D1799" s="61">
        <v>40</v>
      </c>
    </row>
    <row r="1800" spans="1:4" x14ac:dyDescent="0.2">
      <c r="A1800" s="61" t="s">
        <v>16</v>
      </c>
      <c r="B1800" s="61" t="s">
        <v>3913</v>
      </c>
      <c r="C1800" s="62" t="s">
        <v>3914</v>
      </c>
      <c r="D1800" s="61">
        <v>40</v>
      </c>
    </row>
    <row r="1801" spans="1:4" x14ac:dyDescent="0.2">
      <c r="A1801" s="62" t="s">
        <v>16</v>
      </c>
      <c r="B1801" s="61" t="s">
        <v>3915</v>
      </c>
      <c r="C1801" s="62" t="s">
        <v>3916</v>
      </c>
      <c r="D1801" s="61">
        <v>40</v>
      </c>
    </row>
    <row r="1802" spans="1:4" x14ac:dyDescent="0.2">
      <c r="A1802" s="61" t="s">
        <v>16</v>
      </c>
      <c r="B1802" s="61" t="s">
        <v>775</v>
      </c>
      <c r="C1802" s="62" t="s">
        <v>776</v>
      </c>
      <c r="D1802" s="61">
        <v>40</v>
      </c>
    </row>
    <row r="1803" spans="1:4" x14ac:dyDescent="0.2">
      <c r="A1803" s="62" t="s">
        <v>16</v>
      </c>
      <c r="B1803" s="61" t="s">
        <v>676</v>
      </c>
      <c r="C1803" s="62" t="s">
        <v>677</v>
      </c>
      <c r="D1803" s="61">
        <v>40</v>
      </c>
    </row>
    <row r="1804" spans="1:4" x14ac:dyDescent="0.2">
      <c r="A1804" s="62" t="s">
        <v>16</v>
      </c>
      <c r="B1804" s="61" t="s">
        <v>3917</v>
      </c>
      <c r="C1804" s="62" t="s">
        <v>5476</v>
      </c>
      <c r="D1804" s="61">
        <v>40</v>
      </c>
    </row>
    <row r="1805" spans="1:4" x14ac:dyDescent="0.2">
      <c r="A1805" s="61" t="s">
        <v>16</v>
      </c>
      <c r="B1805" s="61" t="s">
        <v>3918</v>
      </c>
      <c r="C1805" s="62" t="s">
        <v>5477</v>
      </c>
      <c r="D1805" s="61">
        <v>40</v>
      </c>
    </row>
    <row r="1806" spans="1:4" x14ac:dyDescent="0.2">
      <c r="A1806" s="62" t="s">
        <v>16</v>
      </c>
      <c r="B1806" s="61" t="s">
        <v>3919</v>
      </c>
      <c r="C1806" s="62" t="s">
        <v>3920</v>
      </c>
      <c r="D1806" s="61">
        <v>40</v>
      </c>
    </row>
    <row r="1807" spans="1:4" x14ac:dyDescent="0.2">
      <c r="A1807" s="61" t="s">
        <v>16</v>
      </c>
      <c r="B1807" s="61" t="s">
        <v>3921</v>
      </c>
      <c r="C1807" s="62" t="s">
        <v>3922</v>
      </c>
      <c r="D1807" s="61">
        <v>40</v>
      </c>
    </row>
    <row r="1808" spans="1:4" x14ac:dyDescent="0.2">
      <c r="A1808" s="61" t="s">
        <v>16</v>
      </c>
      <c r="B1808" s="61" t="s">
        <v>3923</v>
      </c>
      <c r="C1808" s="62" t="s">
        <v>3924</v>
      </c>
      <c r="D1808" s="61">
        <v>40</v>
      </c>
    </row>
    <row r="1809" spans="1:4" x14ac:dyDescent="0.2">
      <c r="A1809" s="62" t="s">
        <v>16</v>
      </c>
      <c r="B1809" s="61" t="s">
        <v>3925</v>
      </c>
      <c r="C1809" s="62" t="s">
        <v>3926</v>
      </c>
      <c r="D1809" s="61">
        <v>40</v>
      </c>
    </row>
    <row r="1810" spans="1:4" x14ac:dyDescent="0.2">
      <c r="A1810" s="61" t="s">
        <v>16</v>
      </c>
      <c r="B1810" s="61" t="s">
        <v>3927</v>
      </c>
      <c r="C1810" s="62" t="s">
        <v>5478</v>
      </c>
      <c r="D1810" s="61">
        <v>40</v>
      </c>
    </row>
    <row r="1811" spans="1:4" x14ac:dyDescent="0.2">
      <c r="A1811" s="62" t="s">
        <v>16</v>
      </c>
      <c r="B1811" s="61" t="s">
        <v>3928</v>
      </c>
      <c r="C1811" s="62" t="s">
        <v>3929</v>
      </c>
      <c r="D1811" s="61">
        <v>40</v>
      </c>
    </row>
    <row r="1812" spans="1:4" x14ac:dyDescent="0.2">
      <c r="A1812" s="61" t="s">
        <v>16</v>
      </c>
      <c r="B1812" s="61" t="s">
        <v>3930</v>
      </c>
      <c r="C1812" s="62" t="s">
        <v>3931</v>
      </c>
      <c r="D1812" s="61">
        <v>40</v>
      </c>
    </row>
    <row r="1813" spans="1:4" x14ac:dyDescent="0.2">
      <c r="A1813" s="62" t="s">
        <v>16</v>
      </c>
      <c r="B1813" s="61" t="s">
        <v>3932</v>
      </c>
      <c r="C1813" s="62" t="s">
        <v>3933</v>
      </c>
      <c r="D1813" s="61">
        <v>40</v>
      </c>
    </row>
    <row r="1814" spans="1:4" x14ac:dyDescent="0.2">
      <c r="A1814" s="61" t="s">
        <v>16</v>
      </c>
      <c r="B1814" s="61" t="s">
        <v>3934</v>
      </c>
      <c r="C1814" s="62" t="s">
        <v>3935</v>
      </c>
      <c r="D1814" s="61">
        <v>40</v>
      </c>
    </row>
    <row r="1815" spans="1:4" x14ac:dyDescent="0.2">
      <c r="A1815" s="62" t="s">
        <v>16</v>
      </c>
      <c r="B1815" s="61" t="s">
        <v>3936</v>
      </c>
      <c r="C1815" s="62" t="s">
        <v>3937</v>
      </c>
      <c r="D1815" s="61">
        <v>40</v>
      </c>
    </row>
    <row r="1816" spans="1:4" x14ac:dyDescent="0.2">
      <c r="A1816" s="61" t="s">
        <v>16</v>
      </c>
      <c r="B1816" s="61" t="s">
        <v>498</v>
      </c>
      <c r="C1816" s="62" t="s">
        <v>499</v>
      </c>
      <c r="D1816" s="61">
        <v>40</v>
      </c>
    </row>
    <row r="1817" spans="1:4" x14ac:dyDescent="0.2">
      <c r="A1817" s="62" t="s">
        <v>16</v>
      </c>
      <c r="B1817" s="61" t="s">
        <v>686</v>
      </c>
      <c r="C1817" s="62" t="s">
        <v>687</v>
      </c>
      <c r="D1817" s="61">
        <v>40</v>
      </c>
    </row>
    <row r="1818" spans="1:4" x14ac:dyDescent="0.2">
      <c r="A1818" s="61" t="s">
        <v>16</v>
      </c>
      <c r="B1818" s="61" t="s">
        <v>688</v>
      </c>
      <c r="C1818" s="62" t="s">
        <v>689</v>
      </c>
      <c r="D1818" s="61">
        <v>40</v>
      </c>
    </row>
    <row r="1819" spans="1:4" x14ac:dyDescent="0.2">
      <c r="A1819" s="62" t="s">
        <v>16</v>
      </c>
      <c r="B1819" s="61" t="s">
        <v>3938</v>
      </c>
      <c r="C1819" s="62" t="s">
        <v>3939</v>
      </c>
      <c r="D1819" s="61">
        <v>40</v>
      </c>
    </row>
    <row r="1820" spans="1:4" x14ac:dyDescent="0.2">
      <c r="A1820" s="61" t="s">
        <v>16</v>
      </c>
      <c r="B1820" s="61" t="s">
        <v>3940</v>
      </c>
      <c r="C1820" s="62" t="s">
        <v>3941</v>
      </c>
      <c r="D1820" s="61">
        <v>40</v>
      </c>
    </row>
    <row r="1821" spans="1:4" x14ac:dyDescent="0.2">
      <c r="A1821" s="62" t="s">
        <v>16</v>
      </c>
      <c r="B1821" s="61" t="s">
        <v>3942</v>
      </c>
      <c r="C1821" s="62" t="s">
        <v>3943</v>
      </c>
      <c r="D1821" s="61">
        <v>40</v>
      </c>
    </row>
    <row r="1822" spans="1:4" x14ac:dyDescent="0.2">
      <c r="A1822" s="61" t="s">
        <v>16</v>
      </c>
      <c r="B1822" s="61" t="s">
        <v>3944</v>
      </c>
      <c r="C1822" s="62" t="s">
        <v>3945</v>
      </c>
      <c r="D1822" s="61">
        <v>40</v>
      </c>
    </row>
    <row r="1823" spans="1:4" x14ac:dyDescent="0.2">
      <c r="A1823" s="62" t="s">
        <v>16</v>
      </c>
      <c r="B1823" s="61" t="s">
        <v>565</v>
      </c>
      <c r="C1823" s="62" t="s">
        <v>566</v>
      </c>
      <c r="D1823" s="61">
        <v>50</v>
      </c>
    </row>
    <row r="1824" spans="1:4" x14ac:dyDescent="0.2">
      <c r="A1824" s="61" t="s">
        <v>16</v>
      </c>
      <c r="B1824" s="61" t="s">
        <v>737</v>
      </c>
      <c r="C1824" s="62" t="s">
        <v>738</v>
      </c>
      <c r="D1824" s="61">
        <v>50</v>
      </c>
    </row>
    <row r="1825" spans="1:4" x14ac:dyDescent="0.2">
      <c r="A1825" s="62" t="s">
        <v>16</v>
      </c>
      <c r="B1825" s="61" t="s">
        <v>484</v>
      </c>
      <c r="C1825" s="62" t="s">
        <v>485</v>
      </c>
      <c r="D1825" s="61">
        <v>50</v>
      </c>
    </row>
    <row r="1826" spans="1:4" x14ac:dyDescent="0.2">
      <c r="A1826" s="61" t="s">
        <v>16</v>
      </c>
      <c r="B1826" s="61" t="s">
        <v>741</v>
      </c>
      <c r="C1826" s="62" t="s">
        <v>742</v>
      </c>
      <c r="D1826" s="61">
        <v>50</v>
      </c>
    </row>
    <row r="1827" spans="1:4" x14ac:dyDescent="0.2">
      <c r="A1827" s="62" t="s">
        <v>16</v>
      </c>
      <c r="B1827" s="61" t="s">
        <v>432</v>
      </c>
      <c r="C1827" s="62" t="s">
        <v>433</v>
      </c>
      <c r="D1827" s="61">
        <v>50</v>
      </c>
    </row>
    <row r="1828" spans="1:4" x14ac:dyDescent="0.2">
      <c r="A1828" s="61" t="s">
        <v>16</v>
      </c>
      <c r="B1828" s="61" t="s">
        <v>3946</v>
      </c>
      <c r="C1828" s="62" t="s">
        <v>3947</v>
      </c>
      <c r="D1828" s="61">
        <v>50</v>
      </c>
    </row>
    <row r="1829" spans="1:4" x14ac:dyDescent="0.2">
      <c r="A1829" s="62" t="s">
        <v>16</v>
      </c>
      <c r="B1829" s="61" t="s">
        <v>567</v>
      </c>
      <c r="C1829" s="62" t="s">
        <v>568</v>
      </c>
      <c r="D1829" s="61">
        <v>50</v>
      </c>
    </row>
    <row r="1830" spans="1:4" x14ac:dyDescent="0.2">
      <c r="A1830" s="61" t="s">
        <v>16</v>
      </c>
      <c r="B1830" s="61" t="s">
        <v>3948</v>
      </c>
      <c r="C1830" s="62" t="s">
        <v>5479</v>
      </c>
      <c r="D1830" s="61">
        <v>40</v>
      </c>
    </row>
    <row r="1831" spans="1:4" x14ac:dyDescent="0.2">
      <c r="A1831" s="62" t="s">
        <v>16</v>
      </c>
      <c r="B1831" s="61" t="s">
        <v>3949</v>
      </c>
      <c r="C1831" s="62" t="s">
        <v>5480</v>
      </c>
      <c r="D1831" s="61">
        <v>40</v>
      </c>
    </row>
    <row r="1832" spans="1:4" x14ac:dyDescent="0.2">
      <c r="A1832" s="61" t="s">
        <v>16</v>
      </c>
      <c r="B1832" s="61" t="s">
        <v>3950</v>
      </c>
      <c r="C1832" s="62" t="s">
        <v>3951</v>
      </c>
      <c r="D1832" s="61">
        <v>40</v>
      </c>
    </row>
    <row r="1833" spans="1:4" x14ac:dyDescent="0.2">
      <c r="A1833" s="62" t="s">
        <v>16</v>
      </c>
      <c r="B1833" s="61" t="s">
        <v>3952</v>
      </c>
      <c r="C1833" s="62" t="s">
        <v>3953</v>
      </c>
      <c r="D1833" s="61">
        <v>40</v>
      </c>
    </row>
    <row r="1834" spans="1:4" x14ac:dyDescent="0.2">
      <c r="A1834" s="61" t="s">
        <v>16</v>
      </c>
      <c r="B1834" s="61" t="s">
        <v>3954</v>
      </c>
      <c r="C1834" s="62" t="s">
        <v>3955</v>
      </c>
      <c r="D1834" s="61">
        <v>50</v>
      </c>
    </row>
    <row r="1835" spans="1:4" x14ac:dyDescent="0.2">
      <c r="A1835" s="62" t="s">
        <v>16</v>
      </c>
      <c r="B1835" s="61" t="s">
        <v>915</v>
      </c>
      <c r="C1835" s="62" t="s">
        <v>916</v>
      </c>
      <c r="D1835" s="61">
        <v>50</v>
      </c>
    </row>
    <row r="1836" spans="1:4" x14ac:dyDescent="0.2">
      <c r="A1836" s="61" t="s">
        <v>16</v>
      </c>
      <c r="B1836" s="61" t="s">
        <v>649</v>
      </c>
      <c r="C1836" s="62" t="s">
        <v>650</v>
      </c>
      <c r="D1836" s="61">
        <v>50</v>
      </c>
    </row>
    <row r="1837" spans="1:4" x14ac:dyDescent="0.2">
      <c r="A1837" s="62" t="s">
        <v>16</v>
      </c>
      <c r="B1837" s="61" t="s">
        <v>278</v>
      </c>
      <c r="C1837" s="62" t="s">
        <v>279</v>
      </c>
      <c r="D1837" s="61">
        <v>50</v>
      </c>
    </row>
    <row r="1838" spans="1:4" x14ac:dyDescent="0.2">
      <c r="A1838" s="61" t="s">
        <v>16</v>
      </c>
      <c r="B1838" s="61" t="s">
        <v>647</v>
      </c>
      <c r="C1838" s="62" t="s">
        <v>648</v>
      </c>
      <c r="D1838" s="61">
        <v>50</v>
      </c>
    </row>
    <row r="1839" spans="1:4" x14ac:dyDescent="0.2">
      <c r="A1839" s="62" t="s">
        <v>16</v>
      </c>
      <c r="B1839" s="61" t="s">
        <v>651</v>
      </c>
      <c r="C1839" s="62" t="s">
        <v>652</v>
      </c>
      <c r="D1839" s="61">
        <v>50</v>
      </c>
    </row>
    <row r="1840" spans="1:4" x14ac:dyDescent="0.2">
      <c r="A1840" s="61" t="s">
        <v>16</v>
      </c>
      <c r="B1840" s="61" t="s">
        <v>846</v>
      </c>
      <c r="C1840" s="62" t="s">
        <v>847</v>
      </c>
      <c r="D1840" s="61">
        <v>50</v>
      </c>
    </row>
    <row r="1841" spans="1:4" x14ac:dyDescent="0.2">
      <c r="A1841" s="62" t="s">
        <v>16</v>
      </c>
      <c r="B1841" s="61" t="s">
        <v>3956</v>
      </c>
      <c r="C1841" s="62" t="s">
        <v>3957</v>
      </c>
      <c r="D1841" s="61">
        <v>40</v>
      </c>
    </row>
    <row r="1842" spans="1:4" x14ac:dyDescent="0.2">
      <c r="A1842" s="61" t="s">
        <v>16</v>
      </c>
      <c r="B1842" s="61" t="s">
        <v>3958</v>
      </c>
      <c r="C1842" s="62" t="s">
        <v>3959</v>
      </c>
      <c r="D1842" s="61">
        <v>40</v>
      </c>
    </row>
    <row r="1843" spans="1:4" x14ac:dyDescent="0.2">
      <c r="A1843" s="62" t="s">
        <v>16</v>
      </c>
      <c r="B1843" s="61" t="s">
        <v>3960</v>
      </c>
      <c r="C1843" s="62" t="s">
        <v>3961</v>
      </c>
      <c r="D1843" s="61">
        <v>40</v>
      </c>
    </row>
    <row r="1844" spans="1:4" x14ac:dyDescent="0.2">
      <c r="A1844" s="61" t="s">
        <v>16</v>
      </c>
      <c r="B1844" s="61" t="s">
        <v>3962</v>
      </c>
      <c r="C1844" s="62" t="s">
        <v>3963</v>
      </c>
      <c r="D1844" s="61">
        <v>40</v>
      </c>
    </row>
    <row r="1845" spans="1:4" x14ac:dyDescent="0.2">
      <c r="A1845" s="62" t="s">
        <v>16</v>
      </c>
      <c r="B1845" s="61" t="s">
        <v>3964</v>
      </c>
      <c r="C1845" s="62" t="s">
        <v>3965</v>
      </c>
      <c r="D1845" s="61">
        <v>40</v>
      </c>
    </row>
    <row r="1846" spans="1:4" x14ac:dyDescent="0.2">
      <c r="A1846" s="62" t="s">
        <v>16</v>
      </c>
      <c r="B1846" s="61" t="s">
        <v>3966</v>
      </c>
      <c r="C1846" s="62" t="s">
        <v>3967</v>
      </c>
      <c r="D1846" s="61">
        <v>40</v>
      </c>
    </row>
    <row r="1847" spans="1:4" x14ac:dyDescent="0.2">
      <c r="A1847" s="61" t="s">
        <v>16</v>
      </c>
      <c r="B1847" s="61" t="s">
        <v>929</v>
      </c>
      <c r="C1847" s="62" t="s">
        <v>930</v>
      </c>
      <c r="D1847" s="61">
        <v>40</v>
      </c>
    </row>
    <row r="1848" spans="1:4" x14ac:dyDescent="0.2">
      <c r="A1848" s="62" t="s">
        <v>16</v>
      </c>
      <c r="B1848" s="61" t="s">
        <v>465</v>
      </c>
      <c r="C1848" s="62" t="s">
        <v>570</v>
      </c>
      <c r="D1848" s="61">
        <v>40</v>
      </c>
    </row>
    <row r="1849" spans="1:4" x14ac:dyDescent="0.2">
      <c r="A1849" s="61" t="s">
        <v>16</v>
      </c>
      <c r="B1849" s="61" t="s">
        <v>581</v>
      </c>
      <c r="C1849" s="62" t="s">
        <v>582</v>
      </c>
      <c r="D1849" s="61">
        <v>40</v>
      </c>
    </row>
    <row r="1850" spans="1:4" x14ac:dyDescent="0.2">
      <c r="A1850" s="62" t="s">
        <v>16</v>
      </c>
      <c r="B1850" s="61" t="s">
        <v>3968</v>
      </c>
      <c r="C1850" s="62" t="s">
        <v>3969</v>
      </c>
      <c r="D1850" s="61">
        <v>40</v>
      </c>
    </row>
    <row r="1851" spans="1:4" x14ac:dyDescent="0.2">
      <c r="A1851" s="61" t="s">
        <v>16</v>
      </c>
      <c r="B1851" s="61" t="s">
        <v>3970</v>
      </c>
      <c r="C1851" s="62" t="s">
        <v>3971</v>
      </c>
      <c r="D1851" s="61">
        <v>40</v>
      </c>
    </row>
    <row r="1852" spans="1:4" x14ac:dyDescent="0.2">
      <c r="A1852" s="62" t="s">
        <v>16</v>
      </c>
      <c r="B1852" s="61" t="s">
        <v>3972</v>
      </c>
      <c r="C1852" s="62" t="s">
        <v>3973</v>
      </c>
      <c r="D1852" s="61">
        <v>40</v>
      </c>
    </row>
    <row r="1853" spans="1:4" x14ac:dyDescent="0.2">
      <c r="A1853" s="61" t="s">
        <v>16</v>
      </c>
      <c r="B1853" s="61" t="s">
        <v>3974</v>
      </c>
      <c r="C1853" s="62" t="s">
        <v>3975</v>
      </c>
      <c r="D1853" s="61">
        <v>40</v>
      </c>
    </row>
    <row r="1854" spans="1:4" x14ac:dyDescent="0.2">
      <c r="A1854" s="62" t="s">
        <v>16</v>
      </c>
      <c r="B1854" s="61" t="s">
        <v>3976</v>
      </c>
      <c r="C1854" s="62" t="s">
        <v>3977</v>
      </c>
      <c r="D1854" s="61">
        <v>40</v>
      </c>
    </row>
    <row r="1855" spans="1:4" x14ac:dyDescent="0.2">
      <c r="A1855" s="61" t="s">
        <v>16</v>
      </c>
      <c r="B1855" s="61" t="s">
        <v>3978</v>
      </c>
      <c r="C1855" s="62" t="s">
        <v>3979</v>
      </c>
      <c r="D1855" s="61">
        <v>40</v>
      </c>
    </row>
    <row r="1856" spans="1:4" x14ac:dyDescent="0.2">
      <c r="A1856" s="62" t="s">
        <v>16</v>
      </c>
      <c r="B1856" s="61" t="s">
        <v>3980</v>
      </c>
      <c r="C1856" s="62" t="s">
        <v>3981</v>
      </c>
      <c r="D1856" s="61">
        <v>40</v>
      </c>
    </row>
    <row r="1857" spans="1:4" x14ac:dyDescent="0.2">
      <c r="A1857" s="61" t="s">
        <v>16</v>
      </c>
      <c r="B1857" s="61" t="s">
        <v>3982</v>
      </c>
      <c r="C1857" s="62" t="s">
        <v>5481</v>
      </c>
      <c r="D1857" s="61">
        <v>40</v>
      </c>
    </row>
    <row r="1858" spans="1:4" x14ac:dyDescent="0.2">
      <c r="A1858" s="62" t="s">
        <v>16</v>
      </c>
      <c r="B1858" s="61" t="s">
        <v>3983</v>
      </c>
      <c r="C1858" s="62" t="s">
        <v>5482</v>
      </c>
      <c r="D1858" s="61">
        <v>40</v>
      </c>
    </row>
    <row r="1859" spans="1:4" x14ac:dyDescent="0.2">
      <c r="A1859" s="61" t="s">
        <v>16</v>
      </c>
      <c r="B1859" s="61" t="s">
        <v>3984</v>
      </c>
      <c r="C1859" s="62" t="s">
        <v>5483</v>
      </c>
      <c r="D1859" s="61">
        <v>40</v>
      </c>
    </row>
    <row r="1860" spans="1:4" x14ac:dyDescent="0.2">
      <c r="A1860" s="62" t="s">
        <v>16</v>
      </c>
      <c r="B1860" s="61" t="s">
        <v>3985</v>
      </c>
      <c r="C1860" s="62" t="s">
        <v>5484</v>
      </c>
      <c r="D1860" s="61">
        <v>40</v>
      </c>
    </row>
    <row r="1861" spans="1:4" x14ac:dyDescent="0.2">
      <c r="A1861" s="62" t="s">
        <v>16</v>
      </c>
      <c r="B1861" s="61" t="s">
        <v>3986</v>
      </c>
      <c r="C1861" s="62" t="s">
        <v>5485</v>
      </c>
      <c r="D1861" s="61">
        <v>40</v>
      </c>
    </row>
    <row r="1862" spans="1:4" x14ac:dyDescent="0.2">
      <c r="A1862" s="61" t="s">
        <v>16</v>
      </c>
      <c r="B1862" s="61" t="s">
        <v>3987</v>
      </c>
      <c r="C1862" s="62" t="s">
        <v>5486</v>
      </c>
      <c r="D1862" s="61">
        <v>40</v>
      </c>
    </row>
    <row r="1863" spans="1:4" x14ac:dyDescent="0.2">
      <c r="A1863" s="62" t="s">
        <v>16</v>
      </c>
      <c r="B1863" s="61" t="s">
        <v>3988</v>
      </c>
      <c r="C1863" s="62" t="s">
        <v>3989</v>
      </c>
      <c r="D1863" s="61">
        <v>40</v>
      </c>
    </row>
    <row r="1864" spans="1:4" x14ac:dyDescent="0.2">
      <c r="A1864" s="61" t="s">
        <v>16</v>
      </c>
      <c r="B1864" s="61" t="s">
        <v>859</v>
      </c>
      <c r="C1864" s="62" t="s">
        <v>860</v>
      </c>
      <c r="D1864" s="61">
        <v>40</v>
      </c>
    </row>
    <row r="1865" spans="1:4" x14ac:dyDescent="0.2">
      <c r="A1865" s="62" t="s">
        <v>16</v>
      </c>
      <c r="B1865" s="61" t="s">
        <v>3990</v>
      </c>
      <c r="C1865" s="62" t="s">
        <v>5487</v>
      </c>
      <c r="D1865" s="61">
        <v>40</v>
      </c>
    </row>
    <row r="1866" spans="1:4" x14ac:dyDescent="0.2">
      <c r="A1866" s="61" t="s">
        <v>16</v>
      </c>
      <c r="B1866" s="61" t="s">
        <v>3991</v>
      </c>
      <c r="C1866" s="62" t="s">
        <v>3992</v>
      </c>
      <c r="D1866" s="61">
        <v>40</v>
      </c>
    </row>
    <row r="1867" spans="1:4" x14ac:dyDescent="0.2">
      <c r="A1867" s="62" t="s">
        <v>16</v>
      </c>
      <c r="B1867" s="61" t="s">
        <v>3993</v>
      </c>
      <c r="C1867" s="62" t="s">
        <v>3994</v>
      </c>
      <c r="D1867" s="61">
        <v>40</v>
      </c>
    </row>
    <row r="1868" spans="1:4" x14ac:dyDescent="0.2">
      <c r="A1868" s="61" t="s">
        <v>16</v>
      </c>
      <c r="B1868" s="61" t="s">
        <v>3995</v>
      </c>
      <c r="C1868" s="62" t="s">
        <v>3996</v>
      </c>
      <c r="D1868" s="61">
        <v>40</v>
      </c>
    </row>
    <row r="1869" spans="1:4" x14ac:dyDescent="0.2">
      <c r="A1869" s="62" t="s">
        <v>16</v>
      </c>
      <c r="B1869" s="61" t="s">
        <v>3997</v>
      </c>
      <c r="C1869" s="62" t="s">
        <v>5488</v>
      </c>
      <c r="D1869" s="61">
        <v>40</v>
      </c>
    </row>
    <row r="1870" spans="1:4" x14ac:dyDescent="0.2">
      <c r="A1870" s="61" t="s">
        <v>16</v>
      </c>
      <c r="B1870" s="61" t="s">
        <v>3998</v>
      </c>
      <c r="C1870" s="62" t="s">
        <v>3999</v>
      </c>
      <c r="D1870" s="61">
        <v>40</v>
      </c>
    </row>
    <row r="1871" spans="1:4" x14ac:dyDescent="0.2">
      <c r="A1871" s="62" t="s">
        <v>16</v>
      </c>
      <c r="B1871" s="61" t="s">
        <v>4000</v>
      </c>
      <c r="C1871" s="62" t="s">
        <v>4001</v>
      </c>
      <c r="D1871" s="61">
        <v>40</v>
      </c>
    </row>
    <row r="1872" spans="1:4" x14ac:dyDescent="0.2">
      <c r="A1872" s="61" t="s">
        <v>16</v>
      </c>
      <c r="B1872" s="61" t="s">
        <v>4002</v>
      </c>
      <c r="C1872" s="62" t="s">
        <v>4003</v>
      </c>
      <c r="D1872" s="61">
        <v>40</v>
      </c>
    </row>
    <row r="1873" spans="1:4" x14ac:dyDescent="0.2">
      <c r="A1873" s="62" t="s">
        <v>16</v>
      </c>
      <c r="B1873" s="61" t="s">
        <v>4004</v>
      </c>
      <c r="C1873" s="62" t="s">
        <v>4005</v>
      </c>
      <c r="D1873" s="61">
        <v>40</v>
      </c>
    </row>
    <row r="1874" spans="1:4" x14ac:dyDescent="0.2">
      <c r="A1874" s="61" t="s">
        <v>16</v>
      </c>
      <c r="B1874" s="61" t="s">
        <v>4006</v>
      </c>
      <c r="C1874" s="62" t="s">
        <v>4007</v>
      </c>
      <c r="D1874" s="61">
        <v>40</v>
      </c>
    </row>
    <row r="1875" spans="1:4" x14ac:dyDescent="0.2">
      <c r="A1875" s="62" t="s">
        <v>16</v>
      </c>
      <c r="B1875" s="61" t="s">
        <v>4008</v>
      </c>
      <c r="C1875" s="62" t="s">
        <v>4009</v>
      </c>
      <c r="D1875" s="61">
        <v>40</v>
      </c>
    </row>
    <row r="1876" spans="1:4" x14ac:dyDescent="0.2">
      <c r="A1876" s="61" t="s">
        <v>16</v>
      </c>
      <c r="B1876" s="61" t="s">
        <v>4010</v>
      </c>
      <c r="C1876" s="62" t="s">
        <v>5489</v>
      </c>
      <c r="D1876" s="61">
        <v>40</v>
      </c>
    </row>
    <row r="1877" spans="1:4" x14ac:dyDescent="0.2">
      <c r="A1877" s="62" t="s">
        <v>16</v>
      </c>
      <c r="B1877" s="61" t="s">
        <v>931</v>
      </c>
      <c r="C1877" s="62" t="s">
        <v>5490</v>
      </c>
      <c r="D1877" s="61">
        <v>40</v>
      </c>
    </row>
    <row r="1878" spans="1:4" x14ac:dyDescent="0.2">
      <c r="A1878" s="61" t="s">
        <v>16</v>
      </c>
      <c r="B1878" s="61" t="s">
        <v>4011</v>
      </c>
      <c r="C1878" s="62" t="s">
        <v>4012</v>
      </c>
      <c r="D1878" s="61">
        <v>40</v>
      </c>
    </row>
    <row r="1879" spans="1:4" x14ac:dyDescent="0.2">
      <c r="A1879" s="62" t="s">
        <v>16</v>
      </c>
      <c r="B1879" s="61" t="s">
        <v>4013</v>
      </c>
      <c r="C1879" s="62" t="s">
        <v>4014</v>
      </c>
      <c r="D1879" s="61">
        <v>40</v>
      </c>
    </row>
    <row r="1880" spans="1:4" x14ac:dyDescent="0.2">
      <c r="A1880" s="61" t="s">
        <v>16</v>
      </c>
      <c r="B1880" s="61" t="s">
        <v>4015</v>
      </c>
      <c r="C1880" s="62" t="s">
        <v>4016</v>
      </c>
      <c r="D1880" s="61">
        <v>40</v>
      </c>
    </row>
    <row r="1881" spans="1:4" x14ac:dyDescent="0.2">
      <c r="A1881" s="62" t="s">
        <v>16</v>
      </c>
      <c r="B1881" s="61" t="s">
        <v>445</v>
      </c>
      <c r="C1881" s="62" t="s">
        <v>446</v>
      </c>
      <c r="D1881" s="61">
        <v>40</v>
      </c>
    </row>
    <row r="1882" spans="1:4" x14ac:dyDescent="0.2">
      <c r="A1882" s="61" t="s">
        <v>16</v>
      </c>
      <c r="B1882" s="61" t="s">
        <v>4017</v>
      </c>
      <c r="C1882" s="62" t="s">
        <v>4018</v>
      </c>
      <c r="D1882" s="61">
        <v>40</v>
      </c>
    </row>
    <row r="1883" spans="1:4" x14ac:dyDescent="0.2">
      <c r="A1883" s="62" t="s">
        <v>16</v>
      </c>
      <c r="B1883" s="61" t="s">
        <v>397</v>
      </c>
      <c r="C1883" s="62" t="s">
        <v>398</v>
      </c>
      <c r="D1883" s="61">
        <v>40</v>
      </c>
    </row>
    <row r="1884" spans="1:4" x14ac:dyDescent="0.2">
      <c r="A1884" s="61" t="s">
        <v>16</v>
      </c>
      <c r="B1884" s="61" t="s">
        <v>4019</v>
      </c>
      <c r="C1884" s="62" t="s">
        <v>4020</v>
      </c>
      <c r="D1884" s="61">
        <v>40</v>
      </c>
    </row>
    <row r="1885" spans="1:4" x14ac:dyDescent="0.2">
      <c r="A1885" s="62" t="s">
        <v>16</v>
      </c>
      <c r="B1885" s="61" t="s">
        <v>4021</v>
      </c>
      <c r="C1885" s="62" t="s">
        <v>4022</v>
      </c>
      <c r="D1885" s="61">
        <v>40</v>
      </c>
    </row>
    <row r="1886" spans="1:4" x14ac:dyDescent="0.2">
      <c r="A1886" s="61" t="s">
        <v>16</v>
      </c>
      <c r="B1886" s="61" t="s">
        <v>4023</v>
      </c>
      <c r="C1886" s="62" t="s">
        <v>4814</v>
      </c>
      <c r="D1886" s="61">
        <v>40</v>
      </c>
    </row>
    <row r="1887" spans="1:4" x14ac:dyDescent="0.2">
      <c r="A1887" s="62" t="s">
        <v>16</v>
      </c>
      <c r="B1887" s="61" t="s">
        <v>4024</v>
      </c>
      <c r="C1887" s="62" t="s">
        <v>4025</v>
      </c>
      <c r="D1887" s="61">
        <v>40</v>
      </c>
    </row>
    <row r="1888" spans="1:4" x14ac:dyDescent="0.2">
      <c r="A1888" s="61" t="s">
        <v>16</v>
      </c>
      <c r="B1888" s="61" t="s">
        <v>4026</v>
      </c>
      <c r="C1888" s="62" t="s">
        <v>4027</v>
      </c>
      <c r="D1888" s="61">
        <v>40</v>
      </c>
    </row>
    <row r="1889" spans="1:4" x14ac:dyDescent="0.2">
      <c r="A1889" s="62" t="s">
        <v>16</v>
      </c>
      <c r="B1889" s="61" t="s">
        <v>4028</v>
      </c>
      <c r="C1889" s="62" t="s">
        <v>4029</v>
      </c>
      <c r="D1889" s="61">
        <v>40</v>
      </c>
    </row>
    <row r="1890" spans="1:4" x14ac:dyDescent="0.2">
      <c r="A1890" s="61" t="s">
        <v>16</v>
      </c>
      <c r="B1890" s="61" t="s">
        <v>4030</v>
      </c>
      <c r="C1890" s="62" t="s">
        <v>4031</v>
      </c>
      <c r="D1890" s="61">
        <v>40</v>
      </c>
    </row>
    <row r="1891" spans="1:4" x14ac:dyDescent="0.2">
      <c r="A1891" s="62" t="s">
        <v>16</v>
      </c>
      <c r="B1891" s="61" t="s">
        <v>877</v>
      </c>
      <c r="C1891" s="62" t="s">
        <v>878</v>
      </c>
      <c r="D1891" s="61">
        <v>40</v>
      </c>
    </row>
    <row r="1892" spans="1:4" x14ac:dyDescent="0.2">
      <c r="A1892" s="61" t="s">
        <v>16</v>
      </c>
      <c r="B1892" s="61" t="s">
        <v>4032</v>
      </c>
      <c r="C1892" s="62" t="s">
        <v>4033</v>
      </c>
      <c r="D1892" s="61">
        <v>40</v>
      </c>
    </row>
    <row r="1893" spans="1:4" x14ac:dyDescent="0.2">
      <c r="A1893" s="62" t="s">
        <v>16</v>
      </c>
      <c r="B1893" s="61" t="s">
        <v>4034</v>
      </c>
      <c r="C1893" s="62" t="s">
        <v>4035</v>
      </c>
      <c r="D1893" s="61">
        <v>40</v>
      </c>
    </row>
    <row r="1894" spans="1:4" x14ac:dyDescent="0.2">
      <c r="A1894" s="61" t="s">
        <v>16</v>
      </c>
      <c r="B1894" s="61" t="s">
        <v>4036</v>
      </c>
      <c r="C1894" s="62" t="s">
        <v>4037</v>
      </c>
      <c r="D1894" s="61">
        <v>40</v>
      </c>
    </row>
    <row r="1895" spans="1:4" x14ac:dyDescent="0.2">
      <c r="A1895" s="62" t="s">
        <v>16</v>
      </c>
      <c r="B1895" s="61" t="s">
        <v>4038</v>
      </c>
      <c r="C1895" s="62" t="s">
        <v>4039</v>
      </c>
      <c r="D1895" s="61">
        <v>40</v>
      </c>
    </row>
    <row r="1896" spans="1:4" x14ac:dyDescent="0.2">
      <c r="A1896" s="61" t="s">
        <v>16</v>
      </c>
      <c r="B1896" s="61" t="s">
        <v>4040</v>
      </c>
      <c r="C1896" s="62" t="s">
        <v>4041</v>
      </c>
      <c r="D1896" s="61">
        <v>40</v>
      </c>
    </row>
    <row r="1897" spans="1:4" x14ac:dyDescent="0.2">
      <c r="A1897" s="62" t="s">
        <v>16</v>
      </c>
      <c r="B1897" s="61" t="s">
        <v>4042</v>
      </c>
      <c r="C1897" s="62" t="s">
        <v>4043</v>
      </c>
      <c r="D1897" s="61">
        <v>40</v>
      </c>
    </row>
    <row r="1898" spans="1:4" x14ac:dyDescent="0.2">
      <c r="A1898" s="61" t="s">
        <v>16</v>
      </c>
      <c r="B1898" s="61" t="s">
        <v>4044</v>
      </c>
      <c r="C1898" s="62" t="s">
        <v>4045</v>
      </c>
      <c r="D1898" s="61">
        <v>40</v>
      </c>
    </row>
    <row r="1899" spans="1:4" x14ac:dyDescent="0.2">
      <c r="A1899" s="62" t="s">
        <v>16</v>
      </c>
      <c r="B1899" s="61" t="s">
        <v>4046</v>
      </c>
      <c r="C1899" s="62" t="s">
        <v>4047</v>
      </c>
      <c r="D1899" s="61">
        <v>40</v>
      </c>
    </row>
    <row r="1900" spans="1:4" x14ac:dyDescent="0.2">
      <c r="A1900" s="61" t="s">
        <v>16</v>
      </c>
      <c r="B1900" s="61" t="s">
        <v>718</v>
      </c>
      <c r="C1900" s="62" t="s">
        <v>719</v>
      </c>
      <c r="D1900" s="61">
        <v>40</v>
      </c>
    </row>
    <row r="1901" spans="1:4" x14ac:dyDescent="0.2">
      <c r="A1901" s="62" t="s">
        <v>16</v>
      </c>
      <c r="B1901" s="61" t="s">
        <v>4048</v>
      </c>
      <c r="C1901" s="62" t="s">
        <v>4049</v>
      </c>
      <c r="D1901" s="61">
        <v>40</v>
      </c>
    </row>
    <row r="1902" spans="1:4" x14ac:dyDescent="0.2">
      <c r="A1902" s="61" t="s">
        <v>16</v>
      </c>
      <c r="B1902" s="61" t="s">
        <v>4050</v>
      </c>
      <c r="C1902" s="62" t="s">
        <v>4051</v>
      </c>
      <c r="D1902" s="61">
        <v>40</v>
      </c>
    </row>
    <row r="1903" spans="1:4" x14ac:dyDescent="0.2">
      <c r="A1903" s="62" t="s">
        <v>16</v>
      </c>
      <c r="B1903" s="61" t="s">
        <v>4052</v>
      </c>
      <c r="C1903" s="62" t="s">
        <v>4053</v>
      </c>
      <c r="D1903" s="61">
        <v>40</v>
      </c>
    </row>
    <row r="1904" spans="1:4" x14ac:dyDescent="0.2">
      <c r="A1904" s="61" t="s">
        <v>16</v>
      </c>
      <c r="B1904" s="61" t="s">
        <v>482</v>
      </c>
      <c r="C1904" s="62" t="s">
        <v>483</v>
      </c>
      <c r="D1904" s="61">
        <v>40</v>
      </c>
    </row>
    <row r="1905" spans="1:4" x14ac:dyDescent="0.2">
      <c r="A1905" s="62" t="s">
        <v>16</v>
      </c>
      <c r="B1905" s="61" t="s">
        <v>477</v>
      </c>
      <c r="C1905" s="62" t="s">
        <v>478</v>
      </c>
      <c r="D1905" s="61">
        <v>40</v>
      </c>
    </row>
    <row r="1906" spans="1:4" x14ac:dyDescent="0.2">
      <c r="A1906" s="61" t="s">
        <v>16</v>
      </c>
      <c r="B1906" s="61" t="s">
        <v>500</v>
      </c>
      <c r="C1906" s="62" t="s">
        <v>501</v>
      </c>
      <c r="D1906" s="61">
        <v>50</v>
      </c>
    </row>
    <row r="1907" spans="1:4" x14ac:dyDescent="0.2">
      <c r="A1907" s="62" t="s">
        <v>16</v>
      </c>
      <c r="B1907" s="61" t="s">
        <v>746</v>
      </c>
      <c r="C1907" s="62" t="s">
        <v>747</v>
      </c>
      <c r="D1907" s="61">
        <v>50</v>
      </c>
    </row>
    <row r="1908" spans="1:4" x14ac:dyDescent="0.2">
      <c r="A1908" s="61" t="s">
        <v>16</v>
      </c>
      <c r="B1908" s="61" t="s">
        <v>287</v>
      </c>
      <c r="C1908" s="62" t="s">
        <v>288</v>
      </c>
      <c r="D1908" s="61">
        <v>50</v>
      </c>
    </row>
    <row r="1909" spans="1:4" x14ac:dyDescent="0.2">
      <c r="A1909" s="62" t="s">
        <v>16</v>
      </c>
      <c r="B1909" s="61" t="s">
        <v>414</v>
      </c>
      <c r="C1909" s="62" t="s">
        <v>415</v>
      </c>
      <c r="D1909" s="61">
        <v>50</v>
      </c>
    </row>
    <row r="1910" spans="1:4" x14ac:dyDescent="0.2">
      <c r="A1910" s="61" t="s">
        <v>16</v>
      </c>
      <c r="B1910" s="61" t="s">
        <v>218</v>
      </c>
      <c r="C1910" s="62" t="s">
        <v>219</v>
      </c>
      <c r="D1910" s="61">
        <v>50</v>
      </c>
    </row>
    <row r="1911" spans="1:4" x14ac:dyDescent="0.2">
      <c r="A1911" s="62" t="s">
        <v>16</v>
      </c>
      <c r="B1911" s="61" t="s">
        <v>303</v>
      </c>
      <c r="C1911" s="62" t="s">
        <v>441</v>
      </c>
      <c r="D1911" s="61">
        <v>50</v>
      </c>
    </row>
    <row r="1912" spans="1:4" x14ac:dyDescent="0.2">
      <c r="A1912" s="61" t="s">
        <v>16</v>
      </c>
      <c r="B1912" s="61" t="s">
        <v>502</v>
      </c>
      <c r="C1912" s="62" t="s">
        <v>503</v>
      </c>
      <c r="D1912" s="61">
        <v>50</v>
      </c>
    </row>
    <row r="1913" spans="1:4" x14ac:dyDescent="0.2">
      <c r="A1913" s="62" t="s">
        <v>16</v>
      </c>
      <c r="B1913" s="61" t="s">
        <v>4054</v>
      </c>
      <c r="C1913" s="62" t="s">
        <v>4055</v>
      </c>
      <c r="D1913" s="61">
        <v>40</v>
      </c>
    </row>
    <row r="1914" spans="1:4" x14ac:dyDescent="0.2">
      <c r="A1914" s="61" t="s">
        <v>16</v>
      </c>
      <c r="B1914" s="61" t="s">
        <v>790</v>
      </c>
      <c r="C1914" s="62" t="s">
        <v>791</v>
      </c>
      <c r="D1914" s="61">
        <v>40</v>
      </c>
    </row>
    <row r="1915" spans="1:4" x14ac:dyDescent="0.2">
      <c r="A1915" s="62" t="s">
        <v>16</v>
      </c>
      <c r="B1915" s="61" t="s">
        <v>4056</v>
      </c>
      <c r="C1915" s="62" t="s">
        <v>4057</v>
      </c>
      <c r="D1915" s="61">
        <v>40</v>
      </c>
    </row>
    <row r="1916" spans="1:4" x14ac:dyDescent="0.2">
      <c r="A1916" s="61" t="s">
        <v>16</v>
      </c>
      <c r="B1916" s="61" t="s">
        <v>939</v>
      </c>
      <c r="C1916" s="62" t="s">
        <v>940</v>
      </c>
      <c r="D1916" s="61">
        <v>40</v>
      </c>
    </row>
    <row r="1917" spans="1:4" x14ac:dyDescent="0.2">
      <c r="A1917" s="62" t="s">
        <v>16</v>
      </c>
      <c r="B1917" s="61" t="s">
        <v>965</v>
      </c>
      <c r="C1917" s="62" t="s">
        <v>966</v>
      </c>
      <c r="D1917" s="61">
        <v>40</v>
      </c>
    </row>
    <row r="1918" spans="1:4" x14ac:dyDescent="0.2">
      <c r="A1918" s="61" t="s">
        <v>16</v>
      </c>
      <c r="B1918" s="61" t="s">
        <v>4058</v>
      </c>
      <c r="C1918" s="62" t="s">
        <v>5491</v>
      </c>
      <c r="D1918" s="61">
        <v>40</v>
      </c>
    </row>
    <row r="1919" spans="1:4" x14ac:dyDescent="0.2">
      <c r="A1919" s="62" t="s">
        <v>16</v>
      </c>
      <c r="B1919" s="61" t="s">
        <v>4059</v>
      </c>
      <c r="C1919" s="62" t="s">
        <v>5492</v>
      </c>
      <c r="D1919" s="61">
        <v>40</v>
      </c>
    </row>
    <row r="1920" spans="1:4" x14ac:dyDescent="0.2">
      <c r="A1920" s="61" t="s">
        <v>16</v>
      </c>
      <c r="B1920" s="61" t="s">
        <v>4060</v>
      </c>
      <c r="C1920" s="62" t="s">
        <v>5493</v>
      </c>
      <c r="D1920" s="61">
        <v>40</v>
      </c>
    </row>
    <row r="1921" spans="1:4" x14ac:dyDescent="0.2">
      <c r="A1921" s="62" t="s">
        <v>16</v>
      </c>
      <c r="B1921" s="61" t="s">
        <v>4061</v>
      </c>
      <c r="C1921" s="62" t="s">
        <v>5494</v>
      </c>
      <c r="D1921" s="61">
        <v>40</v>
      </c>
    </row>
    <row r="1922" spans="1:4" x14ac:dyDescent="0.2">
      <c r="A1922" s="61" t="s">
        <v>16</v>
      </c>
      <c r="B1922" s="61" t="s">
        <v>4062</v>
      </c>
      <c r="C1922" s="62" t="s">
        <v>5495</v>
      </c>
      <c r="D1922" s="61">
        <v>40</v>
      </c>
    </row>
    <row r="1923" spans="1:4" x14ac:dyDescent="0.2">
      <c r="A1923" s="62" t="s">
        <v>16</v>
      </c>
      <c r="B1923" s="61" t="s">
        <v>4063</v>
      </c>
      <c r="C1923" s="62" t="s">
        <v>5496</v>
      </c>
      <c r="D1923" s="61">
        <v>40</v>
      </c>
    </row>
    <row r="1924" spans="1:4" x14ac:dyDescent="0.2">
      <c r="A1924" s="61" t="s">
        <v>16</v>
      </c>
      <c r="B1924" s="61" t="s">
        <v>4064</v>
      </c>
      <c r="C1924" s="62" t="s">
        <v>4065</v>
      </c>
      <c r="D1924" s="61">
        <v>40</v>
      </c>
    </row>
    <row r="1925" spans="1:4" x14ac:dyDescent="0.2">
      <c r="A1925" s="62" t="s">
        <v>16</v>
      </c>
      <c r="B1925" s="61" t="s">
        <v>4066</v>
      </c>
      <c r="C1925" s="62" t="s">
        <v>4067</v>
      </c>
      <c r="D1925" s="61">
        <v>40</v>
      </c>
    </row>
    <row r="1926" spans="1:4" x14ac:dyDescent="0.2">
      <c r="A1926" s="61" t="s">
        <v>16</v>
      </c>
      <c r="B1926" s="61" t="s">
        <v>4068</v>
      </c>
      <c r="C1926" s="62" t="s">
        <v>4069</v>
      </c>
      <c r="D1926" s="61">
        <v>40</v>
      </c>
    </row>
    <row r="1927" spans="1:4" x14ac:dyDescent="0.2">
      <c r="A1927" s="62" t="s">
        <v>16</v>
      </c>
      <c r="B1927" s="61" t="s">
        <v>4070</v>
      </c>
      <c r="C1927" s="62" t="s">
        <v>4071</v>
      </c>
      <c r="D1927" s="61">
        <v>40</v>
      </c>
    </row>
    <row r="1928" spans="1:4" x14ac:dyDescent="0.2">
      <c r="A1928" s="61" t="s">
        <v>16</v>
      </c>
      <c r="B1928" s="61" t="s">
        <v>4072</v>
      </c>
      <c r="C1928" s="62" t="s">
        <v>4073</v>
      </c>
      <c r="D1928" s="61">
        <v>40</v>
      </c>
    </row>
    <row r="1929" spans="1:4" x14ac:dyDescent="0.2">
      <c r="A1929" s="62" t="s">
        <v>16</v>
      </c>
      <c r="B1929" s="61" t="s">
        <v>4074</v>
      </c>
      <c r="C1929" s="62" t="s">
        <v>4075</v>
      </c>
      <c r="D1929" s="61">
        <v>40</v>
      </c>
    </row>
    <row r="1930" spans="1:4" x14ac:dyDescent="0.2">
      <c r="A1930" s="61" t="s">
        <v>16</v>
      </c>
      <c r="B1930" s="61" t="s">
        <v>4076</v>
      </c>
      <c r="C1930" s="62" t="s">
        <v>5497</v>
      </c>
      <c r="D1930" s="61">
        <v>50</v>
      </c>
    </row>
    <row r="1931" spans="1:4" x14ac:dyDescent="0.2">
      <c r="A1931" s="62" t="s">
        <v>16</v>
      </c>
      <c r="B1931" s="61" t="s">
        <v>4077</v>
      </c>
      <c r="C1931" s="62" t="s">
        <v>5498</v>
      </c>
      <c r="D1931" s="61">
        <v>50</v>
      </c>
    </row>
    <row r="1932" spans="1:4" x14ac:dyDescent="0.2">
      <c r="A1932" s="61" t="s">
        <v>16</v>
      </c>
      <c r="B1932" s="61" t="s">
        <v>4078</v>
      </c>
      <c r="C1932" s="62" t="s">
        <v>4079</v>
      </c>
      <c r="D1932" s="61">
        <v>40</v>
      </c>
    </row>
    <row r="1933" spans="1:4" x14ac:dyDescent="0.2">
      <c r="A1933" s="62" t="s">
        <v>16</v>
      </c>
      <c r="B1933" s="61" t="s">
        <v>4080</v>
      </c>
      <c r="C1933" s="62" t="s">
        <v>4081</v>
      </c>
      <c r="D1933" s="61">
        <v>40</v>
      </c>
    </row>
    <row r="1934" spans="1:4" x14ac:dyDescent="0.2">
      <c r="A1934" s="61" t="s">
        <v>16</v>
      </c>
      <c r="B1934" s="61" t="s">
        <v>4082</v>
      </c>
      <c r="C1934" s="62" t="s">
        <v>4083</v>
      </c>
      <c r="D1934" s="61">
        <v>40</v>
      </c>
    </row>
    <row r="1935" spans="1:4" x14ac:dyDescent="0.2">
      <c r="A1935" s="62" t="s">
        <v>16</v>
      </c>
      <c r="B1935" s="61" t="s">
        <v>933</v>
      </c>
      <c r="C1935" s="62" t="s">
        <v>4968</v>
      </c>
      <c r="D1935" s="61">
        <v>40</v>
      </c>
    </row>
    <row r="1936" spans="1:4" x14ac:dyDescent="0.2">
      <c r="A1936" s="61" t="s">
        <v>16</v>
      </c>
      <c r="B1936" s="61" t="s">
        <v>784</v>
      </c>
      <c r="C1936" s="62" t="s">
        <v>785</v>
      </c>
      <c r="D1936" s="61">
        <v>40</v>
      </c>
    </row>
    <row r="1937" spans="1:4" x14ac:dyDescent="0.2">
      <c r="A1937" s="62" t="s">
        <v>16</v>
      </c>
      <c r="B1937" s="61" t="s">
        <v>4084</v>
      </c>
      <c r="C1937" s="62" t="s">
        <v>4085</v>
      </c>
      <c r="D1937" s="61">
        <v>40</v>
      </c>
    </row>
    <row r="1938" spans="1:4" x14ac:dyDescent="0.2">
      <c r="A1938" s="61" t="s">
        <v>16</v>
      </c>
      <c r="B1938" s="61" t="s">
        <v>4086</v>
      </c>
      <c r="C1938" s="62" t="s">
        <v>4087</v>
      </c>
      <c r="D1938" s="61">
        <v>40</v>
      </c>
    </row>
    <row r="1939" spans="1:4" x14ac:dyDescent="0.2">
      <c r="A1939" s="62" t="s">
        <v>16</v>
      </c>
      <c r="B1939" s="61" t="s">
        <v>4088</v>
      </c>
      <c r="C1939" s="62" t="s">
        <v>4089</v>
      </c>
      <c r="D1939" s="61">
        <v>40</v>
      </c>
    </row>
    <row r="1940" spans="1:4" x14ac:dyDescent="0.2">
      <c r="A1940" s="61" t="s">
        <v>16</v>
      </c>
      <c r="B1940" s="61" t="s">
        <v>4090</v>
      </c>
      <c r="C1940" s="62" t="s">
        <v>4091</v>
      </c>
      <c r="D1940" s="61">
        <v>40</v>
      </c>
    </row>
    <row r="1941" spans="1:4" x14ac:dyDescent="0.2">
      <c r="A1941" s="62" t="s">
        <v>16</v>
      </c>
      <c r="B1941" s="61" t="s">
        <v>4092</v>
      </c>
      <c r="C1941" s="62" t="s">
        <v>4093</v>
      </c>
      <c r="D1941" s="61">
        <v>40</v>
      </c>
    </row>
    <row r="1942" spans="1:4" x14ac:dyDescent="0.2">
      <c r="A1942" s="61" t="s">
        <v>16</v>
      </c>
      <c r="B1942" s="61" t="s">
        <v>4094</v>
      </c>
      <c r="C1942" s="62" t="s">
        <v>4095</v>
      </c>
      <c r="D1942" s="61">
        <v>40</v>
      </c>
    </row>
    <row r="1943" spans="1:4" x14ac:dyDescent="0.2">
      <c r="A1943" s="62" t="s">
        <v>16</v>
      </c>
      <c r="B1943" s="61" t="s">
        <v>4096</v>
      </c>
      <c r="C1943" s="62" t="s">
        <v>4097</v>
      </c>
      <c r="D1943" s="61">
        <v>40</v>
      </c>
    </row>
    <row r="1944" spans="1:4" x14ac:dyDescent="0.2">
      <c r="A1944" s="61" t="s">
        <v>16</v>
      </c>
      <c r="B1944" s="61" t="s">
        <v>4098</v>
      </c>
      <c r="C1944" s="62" t="s">
        <v>4099</v>
      </c>
      <c r="D1944" s="61">
        <v>40</v>
      </c>
    </row>
    <row r="1945" spans="1:4" x14ac:dyDescent="0.2">
      <c r="A1945" s="62" t="s">
        <v>16</v>
      </c>
      <c r="B1945" s="61" t="s">
        <v>4100</v>
      </c>
      <c r="C1945" s="62" t="s">
        <v>4101</v>
      </c>
      <c r="D1945" s="61">
        <v>40</v>
      </c>
    </row>
    <row r="1946" spans="1:4" x14ac:dyDescent="0.2">
      <c r="A1946" s="61" t="s">
        <v>16</v>
      </c>
      <c r="B1946" s="61" t="s">
        <v>4102</v>
      </c>
      <c r="C1946" s="62" t="s">
        <v>4103</v>
      </c>
      <c r="D1946" s="61">
        <v>40</v>
      </c>
    </row>
    <row r="1947" spans="1:4" x14ac:dyDescent="0.2">
      <c r="A1947" s="62" t="s">
        <v>16</v>
      </c>
      <c r="B1947" s="61" t="s">
        <v>4104</v>
      </c>
      <c r="C1947" s="62" t="s">
        <v>4105</v>
      </c>
      <c r="D1947" s="61">
        <v>40</v>
      </c>
    </row>
    <row r="1948" spans="1:4" x14ac:dyDescent="0.2">
      <c r="A1948" s="61" t="s">
        <v>16</v>
      </c>
      <c r="B1948" s="61" t="s">
        <v>4106</v>
      </c>
      <c r="C1948" s="62" t="s">
        <v>4107</v>
      </c>
      <c r="D1948" s="61">
        <v>40</v>
      </c>
    </row>
    <row r="1949" spans="1:4" x14ac:dyDescent="0.2">
      <c r="A1949" s="62" t="s">
        <v>16</v>
      </c>
      <c r="B1949" s="61" t="s">
        <v>4108</v>
      </c>
      <c r="C1949" s="62" t="s">
        <v>5499</v>
      </c>
      <c r="D1949" s="61">
        <v>50</v>
      </c>
    </row>
    <row r="1950" spans="1:4" x14ac:dyDescent="0.2">
      <c r="A1950" s="61" t="s">
        <v>16</v>
      </c>
      <c r="B1950" s="61" t="s">
        <v>4109</v>
      </c>
      <c r="C1950" s="62" t="s">
        <v>4110</v>
      </c>
      <c r="D1950" s="61">
        <v>40</v>
      </c>
    </row>
    <row r="1951" spans="1:4" x14ac:dyDescent="0.2">
      <c r="A1951" s="62" t="s">
        <v>16</v>
      </c>
      <c r="B1951" s="61" t="s">
        <v>4111</v>
      </c>
      <c r="C1951" s="62" t="s">
        <v>4112</v>
      </c>
      <c r="D1951" s="61">
        <v>40</v>
      </c>
    </row>
    <row r="1952" spans="1:4" x14ac:dyDescent="0.2">
      <c r="A1952" s="61" t="s">
        <v>16</v>
      </c>
      <c r="B1952" s="61" t="s">
        <v>4113</v>
      </c>
      <c r="C1952" s="62" t="s">
        <v>4114</v>
      </c>
      <c r="D1952" s="61">
        <v>40</v>
      </c>
    </row>
    <row r="1953" spans="1:4" x14ac:dyDescent="0.2">
      <c r="A1953" s="62" t="s">
        <v>16</v>
      </c>
      <c r="B1953" s="61" t="s">
        <v>4115</v>
      </c>
      <c r="C1953" s="62" t="s">
        <v>5500</v>
      </c>
      <c r="D1953" s="61">
        <v>80</v>
      </c>
    </row>
    <row r="1954" spans="1:4" x14ac:dyDescent="0.2">
      <c r="A1954" s="61" t="s">
        <v>16</v>
      </c>
      <c r="B1954" s="61" t="s">
        <v>4116</v>
      </c>
      <c r="C1954" s="62" t="s">
        <v>5501</v>
      </c>
      <c r="D1954" s="61">
        <v>40</v>
      </c>
    </row>
    <row r="1955" spans="1:4" x14ac:dyDescent="0.2">
      <c r="A1955" s="62" t="s">
        <v>16</v>
      </c>
      <c r="B1955" s="61" t="s">
        <v>4117</v>
      </c>
      <c r="C1955" s="62" t="s">
        <v>5502</v>
      </c>
      <c r="D1955" s="61">
        <v>40</v>
      </c>
    </row>
    <row r="1956" spans="1:4" x14ac:dyDescent="0.2">
      <c r="A1956" s="61" t="s">
        <v>16</v>
      </c>
      <c r="B1956" s="61" t="s">
        <v>4118</v>
      </c>
      <c r="C1956" s="62" t="s">
        <v>4119</v>
      </c>
      <c r="D1956" s="61">
        <v>40</v>
      </c>
    </row>
    <row r="1957" spans="1:4" x14ac:dyDescent="0.2">
      <c r="A1957" s="62" t="s">
        <v>16</v>
      </c>
      <c r="B1957" s="61" t="s">
        <v>4120</v>
      </c>
      <c r="C1957" s="62" t="s">
        <v>4121</v>
      </c>
      <c r="D1957" s="61">
        <v>40</v>
      </c>
    </row>
    <row r="1958" spans="1:4" x14ac:dyDescent="0.2">
      <c r="A1958" s="61" t="s">
        <v>16</v>
      </c>
      <c r="B1958" s="61" t="s">
        <v>4122</v>
      </c>
      <c r="C1958" s="62" t="s">
        <v>4123</v>
      </c>
      <c r="D1958" s="61">
        <v>40</v>
      </c>
    </row>
    <row r="1959" spans="1:4" x14ac:dyDescent="0.2">
      <c r="A1959" s="62" t="s">
        <v>16</v>
      </c>
      <c r="B1959" s="61" t="s">
        <v>4124</v>
      </c>
      <c r="C1959" s="62" t="s">
        <v>4806</v>
      </c>
      <c r="D1959" s="61">
        <v>40</v>
      </c>
    </row>
    <row r="1960" spans="1:4" x14ac:dyDescent="0.2">
      <c r="A1960" s="61" t="s">
        <v>16</v>
      </c>
      <c r="B1960" s="61" t="s">
        <v>4125</v>
      </c>
      <c r="C1960" s="62" t="s">
        <v>4126</v>
      </c>
      <c r="D1960" s="61">
        <v>40</v>
      </c>
    </row>
    <row r="1961" spans="1:4" x14ac:dyDescent="0.2">
      <c r="A1961" s="62" t="s">
        <v>16</v>
      </c>
      <c r="B1961" s="61" t="s">
        <v>4127</v>
      </c>
      <c r="C1961" s="62" t="s">
        <v>4128</v>
      </c>
      <c r="D1961" s="61">
        <v>40</v>
      </c>
    </row>
    <row r="1962" spans="1:4" x14ac:dyDescent="0.2">
      <c r="A1962" s="61" t="s">
        <v>16</v>
      </c>
      <c r="B1962" s="61" t="s">
        <v>4129</v>
      </c>
      <c r="C1962" s="62" t="s">
        <v>4130</v>
      </c>
      <c r="D1962" s="61">
        <v>40</v>
      </c>
    </row>
    <row r="1963" spans="1:4" x14ac:dyDescent="0.2">
      <c r="A1963" s="62" t="s">
        <v>16</v>
      </c>
      <c r="B1963" s="61" t="s">
        <v>902</v>
      </c>
      <c r="C1963" s="62" t="s">
        <v>903</v>
      </c>
      <c r="D1963" s="61">
        <v>40</v>
      </c>
    </row>
    <row r="1964" spans="1:4" x14ac:dyDescent="0.2">
      <c r="A1964" s="61" t="s">
        <v>16</v>
      </c>
      <c r="B1964" s="61" t="s">
        <v>803</v>
      </c>
      <c r="C1964" s="62" t="s">
        <v>804</v>
      </c>
      <c r="D1964" s="61">
        <v>40</v>
      </c>
    </row>
    <row r="1965" spans="1:4" x14ac:dyDescent="0.2">
      <c r="A1965" s="62" t="s">
        <v>16</v>
      </c>
      <c r="B1965" s="61" t="s">
        <v>4131</v>
      </c>
      <c r="C1965" s="62" t="s">
        <v>5503</v>
      </c>
      <c r="D1965" s="61">
        <v>40</v>
      </c>
    </row>
    <row r="1966" spans="1:4" x14ac:dyDescent="0.2">
      <c r="A1966" s="61" t="s">
        <v>16</v>
      </c>
      <c r="B1966" s="61" t="s">
        <v>4132</v>
      </c>
      <c r="C1966" s="62" t="s">
        <v>4133</v>
      </c>
      <c r="D1966" s="61">
        <v>40</v>
      </c>
    </row>
    <row r="1967" spans="1:4" x14ac:dyDescent="0.2">
      <c r="A1967" s="62" t="s">
        <v>16</v>
      </c>
      <c r="B1967" s="61" t="s">
        <v>702</v>
      </c>
      <c r="C1967" s="62" t="s">
        <v>562</v>
      </c>
      <c r="D1967" s="61">
        <v>40</v>
      </c>
    </row>
    <row r="1968" spans="1:4" x14ac:dyDescent="0.2">
      <c r="A1968" s="61" t="s">
        <v>16</v>
      </c>
      <c r="B1968" s="61" t="s">
        <v>341</v>
      </c>
      <c r="C1968" s="62" t="s">
        <v>5504</v>
      </c>
      <c r="D1968" s="61">
        <v>40</v>
      </c>
    </row>
    <row r="1969" spans="1:4" x14ac:dyDescent="0.2">
      <c r="A1969" s="61" t="s">
        <v>16</v>
      </c>
      <c r="B1969" s="61" t="s">
        <v>4134</v>
      </c>
      <c r="C1969" s="62" t="s">
        <v>4135</v>
      </c>
      <c r="D1969" s="61">
        <v>40</v>
      </c>
    </row>
    <row r="1970" spans="1:4" x14ac:dyDescent="0.2">
      <c r="A1970" s="62" t="s">
        <v>16</v>
      </c>
      <c r="B1970" s="61" t="s">
        <v>4136</v>
      </c>
      <c r="C1970" s="62" t="s">
        <v>4137</v>
      </c>
      <c r="D1970" s="61">
        <v>40</v>
      </c>
    </row>
    <row r="1971" spans="1:4" x14ac:dyDescent="0.2">
      <c r="A1971" s="61" t="s">
        <v>16</v>
      </c>
      <c r="B1971" s="61" t="s">
        <v>4138</v>
      </c>
      <c r="C1971" s="62" t="s">
        <v>4139</v>
      </c>
      <c r="D1971" s="61">
        <v>40</v>
      </c>
    </row>
    <row r="1972" spans="1:4" x14ac:dyDescent="0.2">
      <c r="A1972" s="62" t="s">
        <v>16</v>
      </c>
      <c r="B1972" s="61" t="s">
        <v>678</v>
      </c>
      <c r="C1972" s="62" t="s">
        <v>446</v>
      </c>
      <c r="D1972" s="61">
        <v>40</v>
      </c>
    </row>
    <row r="1973" spans="1:4" x14ac:dyDescent="0.2">
      <c r="A1973" s="61" t="s">
        <v>16</v>
      </c>
      <c r="B1973" s="61" t="s">
        <v>577</v>
      </c>
      <c r="C1973" s="62" t="s">
        <v>578</v>
      </c>
      <c r="D1973" s="61">
        <v>40</v>
      </c>
    </row>
    <row r="1974" spans="1:4" x14ac:dyDescent="0.2">
      <c r="A1974" s="62" t="s">
        <v>16</v>
      </c>
      <c r="B1974" s="61" t="s">
        <v>4140</v>
      </c>
      <c r="C1974" s="62" t="s">
        <v>5505</v>
      </c>
      <c r="D1974" s="61">
        <v>40</v>
      </c>
    </row>
    <row r="1975" spans="1:4" x14ac:dyDescent="0.2">
      <c r="A1975" s="61" t="s">
        <v>16</v>
      </c>
      <c r="B1975" s="61" t="s">
        <v>1003</v>
      </c>
      <c r="C1975" s="62" t="s">
        <v>1004</v>
      </c>
      <c r="D1975" s="61">
        <v>40</v>
      </c>
    </row>
    <row r="1976" spans="1:4" x14ac:dyDescent="0.2">
      <c r="A1976" s="62" t="s">
        <v>16</v>
      </c>
      <c r="B1976" s="61" t="s">
        <v>782</v>
      </c>
      <c r="C1976" s="62" t="s">
        <v>783</v>
      </c>
      <c r="D1976" s="61">
        <v>40</v>
      </c>
    </row>
    <row r="1977" spans="1:4" x14ac:dyDescent="0.2">
      <c r="A1977" s="61" t="s">
        <v>16</v>
      </c>
      <c r="B1977" s="61" t="s">
        <v>780</v>
      </c>
      <c r="C1977" s="62" t="s">
        <v>781</v>
      </c>
      <c r="D1977" s="61">
        <v>40</v>
      </c>
    </row>
    <row r="1978" spans="1:4" x14ac:dyDescent="0.2">
      <c r="A1978" s="62" t="s">
        <v>16</v>
      </c>
      <c r="B1978" s="61" t="s">
        <v>592</v>
      </c>
      <c r="C1978" s="62" t="s">
        <v>593</v>
      </c>
      <c r="D1978" s="61">
        <v>40</v>
      </c>
    </row>
    <row r="1979" spans="1:4" x14ac:dyDescent="0.2">
      <c r="A1979" s="61" t="s">
        <v>16</v>
      </c>
      <c r="B1979" s="61" t="s">
        <v>594</v>
      </c>
      <c r="C1979" s="62" t="s">
        <v>595</v>
      </c>
      <c r="D1979" s="61">
        <v>40</v>
      </c>
    </row>
    <row r="1980" spans="1:4" x14ac:dyDescent="0.2">
      <c r="A1980" s="61" t="s">
        <v>16</v>
      </c>
      <c r="B1980" s="61" t="s">
        <v>4141</v>
      </c>
      <c r="C1980" s="62" t="s">
        <v>4142</v>
      </c>
      <c r="D1980" s="61">
        <v>40</v>
      </c>
    </row>
    <row r="1981" spans="1:4" x14ac:dyDescent="0.2">
      <c r="A1981" s="62" t="s">
        <v>16</v>
      </c>
      <c r="B1981" s="61" t="s">
        <v>4143</v>
      </c>
      <c r="C1981" s="62" t="s">
        <v>4144</v>
      </c>
      <c r="D1981" s="61">
        <v>40</v>
      </c>
    </row>
    <row r="1982" spans="1:4" x14ac:dyDescent="0.2">
      <c r="A1982" s="62" t="s">
        <v>16</v>
      </c>
      <c r="B1982" s="61" t="s">
        <v>4145</v>
      </c>
      <c r="C1982" s="62" t="s">
        <v>4146</v>
      </c>
      <c r="D1982" s="61">
        <v>40</v>
      </c>
    </row>
    <row r="1983" spans="1:4" x14ac:dyDescent="0.2">
      <c r="A1983" s="61" t="s">
        <v>16</v>
      </c>
      <c r="B1983" s="61" t="s">
        <v>4147</v>
      </c>
      <c r="C1983" s="62" t="s">
        <v>4148</v>
      </c>
      <c r="D1983" s="61">
        <v>40</v>
      </c>
    </row>
    <row r="1984" spans="1:4" x14ac:dyDescent="0.2">
      <c r="A1984" s="62" t="s">
        <v>16</v>
      </c>
      <c r="B1984" s="61" t="s">
        <v>4149</v>
      </c>
      <c r="C1984" s="62" t="s">
        <v>4150</v>
      </c>
      <c r="D1984" s="61">
        <v>40</v>
      </c>
    </row>
    <row r="1985" spans="1:4" x14ac:dyDescent="0.2">
      <c r="A1985" s="61" t="s">
        <v>16</v>
      </c>
      <c r="B1985" s="61" t="s">
        <v>4151</v>
      </c>
      <c r="C1985" s="62" t="s">
        <v>4152</v>
      </c>
      <c r="D1985" s="61">
        <v>40</v>
      </c>
    </row>
    <row r="1986" spans="1:4" x14ac:dyDescent="0.2">
      <c r="A1986" s="62" t="s">
        <v>16</v>
      </c>
      <c r="B1986" s="61" t="s">
        <v>4153</v>
      </c>
      <c r="C1986" s="62" t="s">
        <v>4154</v>
      </c>
      <c r="D1986" s="61">
        <v>40</v>
      </c>
    </row>
    <row r="1987" spans="1:4" x14ac:dyDescent="0.2">
      <c r="A1987" s="61" t="s">
        <v>16</v>
      </c>
      <c r="B1987" s="61" t="s">
        <v>4155</v>
      </c>
      <c r="C1987" s="62" t="s">
        <v>5506</v>
      </c>
      <c r="D1987" s="61">
        <v>40</v>
      </c>
    </row>
    <row r="1988" spans="1:4" x14ac:dyDescent="0.2">
      <c r="A1988" s="62" t="s">
        <v>16</v>
      </c>
      <c r="B1988" s="61" t="s">
        <v>4156</v>
      </c>
      <c r="C1988" s="62" t="s">
        <v>4157</v>
      </c>
      <c r="D1988" s="61">
        <v>40</v>
      </c>
    </row>
    <row r="1989" spans="1:4" x14ac:dyDescent="0.2">
      <c r="A1989" s="61" t="s">
        <v>16</v>
      </c>
      <c r="B1989" s="61" t="s">
        <v>4158</v>
      </c>
      <c r="C1989" s="62" t="s">
        <v>4159</v>
      </c>
      <c r="D1989" s="61">
        <v>40</v>
      </c>
    </row>
    <row r="1990" spans="1:4" x14ac:dyDescent="0.2">
      <c r="A1990" s="62" t="s">
        <v>16</v>
      </c>
      <c r="B1990" s="61" t="s">
        <v>4160</v>
      </c>
      <c r="C1990" s="62" t="s">
        <v>4161</v>
      </c>
      <c r="D1990" s="61">
        <v>40</v>
      </c>
    </row>
    <row r="1991" spans="1:4" x14ac:dyDescent="0.2">
      <c r="A1991" s="61" t="s">
        <v>16</v>
      </c>
      <c r="B1991" s="61" t="s">
        <v>4162</v>
      </c>
      <c r="C1991" s="62" t="s">
        <v>4163</v>
      </c>
      <c r="D1991" s="61">
        <v>40</v>
      </c>
    </row>
    <row r="1992" spans="1:4" x14ac:dyDescent="0.2">
      <c r="A1992" s="62" t="s">
        <v>16</v>
      </c>
      <c r="B1992" s="61" t="s">
        <v>4164</v>
      </c>
      <c r="C1992" s="62" t="s">
        <v>4165</v>
      </c>
      <c r="D1992" s="61">
        <v>40</v>
      </c>
    </row>
    <row r="1993" spans="1:4" x14ac:dyDescent="0.2">
      <c r="A1993" s="61" t="s">
        <v>16</v>
      </c>
      <c r="B1993" s="61" t="s">
        <v>4166</v>
      </c>
      <c r="C1993" s="62" t="s">
        <v>4167</v>
      </c>
      <c r="D1993" s="61">
        <v>40</v>
      </c>
    </row>
    <row r="1994" spans="1:4" x14ac:dyDescent="0.2">
      <c r="A1994" s="62" t="s">
        <v>16</v>
      </c>
      <c r="B1994" s="61" t="s">
        <v>4168</v>
      </c>
      <c r="C1994" s="62" t="s">
        <v>4169</v>
      </c>
      <c r="D1994" s="61">
        <v>40</v>
      </c>
    </row>
    <row r="1995" spans="1:4" x14ac:dyDescent="0.2">
      <c r="A1995" s="61" t="s">
        <v>16</v>
      </c>
      <c r="B1995" s="61" t="s">
        <v>4170</v>
      </c>
      <c r="C1995" s="62" t="s">
        <v>4171</v>
      </c>
      <c r="D1995" s="61">
        <v>40</v>
      </c>
    </row>
    <row r="1996" spans="1:4" x14ac:dyDescent="0.2">
      <c r="A1996" s="62" t="s">
        <v>16</v>
      </c>
      <c r="B1996" s="61" t="s">
        <v>4172</v>
      </c>
      <c r="C1996" s="62" t="s">
        <v>4173</v>
      </c>
      <c r="D1996" s="61">
        <v>40</v>
      </c>
    </row>
    <row r="1997" spans="1:4" x14ac:dyDescent="0.2">
      <c r="A1997" s="61" t="s">
        <v>16</v>
      </c>
      <c r="B1997" s="61" t="s">
        <v>4174</v>
      </c>
      <c r="C1997" s="62" t="s">
        <v>5507</v>
      </c>
      <c r="D1997" s="61">
        <v>40</v>
      </c>
    </row>
    <row r="1998" spans="1:4" x14ac:dyDescent="0.2">
      <c r="A1998" s="61" t="s">
        <v>16</v>
      </c>
      <c r="B1998" s="61" t="s">
        <v>4175</v>
      </c>
      <c r="C1998" s="62" t="s">
        <v>5508</v>
      </c>
      <c r="D1998" s="61">
        <v>40</v>
      </c>
    </row>
    <row r="1999" spans="1:4" x14ac:dyDescent="0.2">
      <c r="A1999" s="62" t="s">
        <v>16</v>
      </c>
      <c r="B1999" s="61" t="s">
        <v>4176</v>
      </c>
      <c r="C1999" s="62" t="s">
        <v>4834</v>
      </c>
      <c r="D1999" s="61">
        <v>40</v>
      </c>
    </row>
    <row r="2000" spans="1:4" x14ac:dyDescent="0.2">
      <c r="A2000" s="61" t="s">
        <v>16</v>
      </c>
      <c r="B2000" s="61" t="s">
        <v>4177</v>
      </c>
      <c r="C2000" s="62" t="s">
        <v>4833</v>
      </c>
      <c r="D2000" s="61">
        <v>40</v>
      </c>
    </row>
    <row r="2001" spans="1:4" x14ac:dyDescent="0.2">
      <c r="A2001" s="62" t="s">
        <v>16</v>
      </c>
      <c r="B2001" s="61" t="s">
        <v>4178</v>
      </c>
      <c r="C2001" s="62" t="s">
        <v>5509</v>
      </c>
      <c r="D2001" s="61">
        <v>40</v>
      </c>
    </row>
    <row r="2002" spans="1:4" x14ac:dyDescent="0.2">
      <c r="A2002" s="61" t="s">
        <v>16</v>
      </c>
      <c r="B2002" s="61" t="s">
        <v>4179</v>
      </c>
      <c r="C2002" s="62" t="s">
        <v>4180</v>
      </c>
      <c r="D2002" s="61">
        <v>40</v>
      </c>
    </row>
    <row r="2003" spans="1:4" x14ac:dyDescent="0.2">
      <c r="A2003" s="62" t="s">
        <v>16</v>
      </c>
      <c r="B2003" s="61" t="s">
        <v>4181</v>
      </c>
      <c r="C2003" s="62" t="s">
        <v>4182</v>
      </c>
      <c r="D2003" s="61">
        <v>40</v>
      </c>
    </row>
    <row r="2004" spans="1:4" x14ac:dyDescent="0.2">
      <c r="A2004" s="62" t="s">
        <v>16</v>
      </c>
      <c r="B2004" s="61" t="s">
        <v>4183</v>
      </c>
      <c r="C2004" s="62" t="s">
        <v>4184</v>
      </c>
      <c r="D2004" s="61">
        <v>40</v>
      </c>
    </row>
    <row r="2005" spans="1:4" x14ac:dyDescent="0.2">
      <c r="A2005" s="61" t="s">
        <v>16</v>
      </c>
      <c r="B2005" s="61" t="s">
        <v>4185</v>
      </c>
      <c r="C2005" s="62" t="s">
        <v>4186</v>
      </c>
      <c r="D2005" s="61">
        <v>40</v>
      </c>
    </row>
    <row r="2006" spans="1:4" x14ac:dyDescent="0.2">
      <c r="A2006" s="62" t="s">
        <v>16</v>
      </c>
      <c r="B2006" s="61" t="s">
        <v>4187</v>
      </c>
      <c r="C2006" s="62" t="s">
        <v>4188</v>
      </c>
      <c r="D2006" s="61">
        <v>40</v>
      </c>
    </row>
    <row r="2007" spans="1:4" x14ac:dyDescent="0.2">
      <c r="A2007" s="61" t="s">
        <v>16</v>
      </c>
      <c r="B2007" s="61" t="s">
        <v>4189</v>
      </c>
      <c r="C2007" s="62" t="s">
        <v>4190</v>
      </c>
      <c r="D2007" s="61">
        <v>40</v>
      </c>
    </row>
    <row r="2008" spans="1:4" x14ac:dyDescent="0.2">
      <c r="A2008" s="62" t="s">
        <v>16</v>
      </c>
      <c r="B2008" s="61" t="s">
        <v>4191</v>
      </c>
      <c r="C2008" s="62" t="s">
        <v>4192</v>
      </c>
      <c r="D2008" s="61">
        <v>40</v>
      </c>
    </row>
    <row r="2009" spans="1:4" x14ac:dyDescent="0.2">
      <c r="A2009" s="61" t="s">
        <v>16</v>
      </c>
      <c r="B2009" s="61" t="s">
        <v>4193</v>
      </c>
      <c r="C2009" s="62" t="s">
        <v>4194</v>
      </c>
      <c r="D2009" s="61">
        <v>40</v>
      </c>
    </row>
    <row r="2010" spans="1:4" x14ac:dyDescent="0.2">
      <c r="A2010" s="62" t="s">
        <v>16</v>
      </c>
      <c r="B2010" s="61" t="s">
        <v>943</v>
      </c>
      <c r="C2010" s="62" t="s">
        <v>944</v>
      </c>
      <c r="D2010" s="61">
        <v>40</v>
      </c>
    </row>
    <row r="2011" spans="1:4" x14ac:dyDescent="0.2">
      <c r="A2011" s="61" t="s">
        <v>16</v>
      </c>
      <c r="B2011" s="61" t="s">
        <v>306</v>
      </c>
      <c r="C2011" s="62" t="s">
        <v>307</v>
      </c>
      <c r="D2011" s="61">
        <v>40</v>
      </c>
    </row>
    <row r="2012" spans="1:4" x14ac:dyDescent="0.2">
      <c r="A2012" s="62" t="s">
        <v>16</v>
      </c>
      <c r="B2012" s="61" t="s">
        <v>705</v>
      </c>
      <c r="C2012" s="62" t="s">
        <v>706</v>
      </c>
      <c r="D2012" s="61">
        <v>40</v>
      </c>
    </row>
    <row r="2013" spans="1:4" x14ac:dyDescent="0.2">
      <c r="A2013" s="61" t="s">
        <v>16</v>
      </c>
      <c r="B2013" s="61" t="s">
        <v>4195</v>
      </c>
      <c r="C2013" s="62" t="s">
        <v>4196</v>
      </c>
      <c r="D2013" s="61">
        <v>40</v>
      </c>
    </row>
    <row r="2014" spans="1:4" x14ac:dyDescent="0.2">
      <c r="A2014" s="62" t="s">
        <v>16</v>
      </c>
      <c r="B2014" s="61" t="s">
        <v>4197</v>
      </c>
      <c r="C2014" s="62" t="s">
        <v>4198</v>
      </c>
      <c r="D2014" s="61">
        <v>40</v>
      </c>
    </row>
    <row r="2015" spans="1:4" x14ac:dyDescent="0.2">
      <c r="A2015" s="61" t="s">
        <v>16</v>
      </c>
      <c r="B2015" s="61" t="s">
        <v>4199</v>
      </c>
      <c r="C2015" s="62" t="s">
        <v>4200</v>
      </c>
      <c r="D2015" s="61">
        <v>40</v>
      </c>
    </row>
    <row r="2016" spans="1:4" x14ac:dyDescent="0.2">
      <c r="A2016" s="62" t="s">
        <v>16</v>
      </c>
      <c r="B2016" s="61" t="s">
        <v>713</v>
      </c>
      <c r="C2016" s="62" t="s">
        <v>5510</v>
      </c>
      <c r="D2016" s="61">
        <v>40</v>
      </c>
    </row>
    <row r="2017" spans="1:4" x14ac:dyDescent="0.2">
      <c r="A2017" s="61" t="s">
        <v>16</v>
      </c>
      <c r="B2017" s="61" t="s">
        <v>767</v>
      </c>
      <c r="C2017" s="62" t="s">
        <v>5511</v>
      </c>
      <c r="D2017" s="61">
        <v>40</v>
      </c>
    </row>
    <row r="2018" spans="1:4" x14ac:dyDescent="0.2">
      <c r="A2018" s="62" t="s">
        <v>16</v>
      </c>
      <c r="B2018" s="61" t="s">
        <v>4201</v>
      </c>
      <c r="C2018" s="62" t="s">
        <v>4202</v>
      </c>
      <c r="D2018" s="61">
        <v>50</v>
      </c>
    </row>
    <row r="2019" spans="1:4" x14ac:dyDescent="0.2">
      <c r="A2019" s="61" t="s">
        <v>16</v>
      </c>
      <c r="B2019" s="61" t="s">
        <v>1017</v>
      </c>
      <c r="C2019" s="62" t="s">
        <v>1018</v>
      </c>
      <c r="D2019" s="61">
        <v>50</v>
      </c>
    </row>
    <row r="2020" spans="1:4" x14ac:dyDescent="0.2">
      <c r="A2020" s="62" t="s">
        <v>16</v>
      </c>
      <c r="B2020" s="61" t="s">
        <v>4203</v>
      </c>
      <c r="C2020" s="62" t="s">
        <v>4204</v>
      </c>
      <c r="D2020" s="61">
        <v>50</v>
      </c>
    </row>
    <row r="2021" spans="1:4" x14ac:dyDescent="0.2">
      <c r="A2021" s="61" t="s">
        <v>16</v>
      </c>
      <c r="B2021" s="61" t="s">
        <v>4205</v>
      </c>
      <c r="C2021" s="62" t="s">
        <v>4206</v>
      </c>
      <c r="D2021" s="61">
        <v>50</v>
      </c>
    </row>
    <row r="2022" spans="1:4" x14ac:dyDescent="0.2">
      <c r="A2022" s="62" t="s">
        <v>16</v>
      </c>
      <c r="B2022" s="61" t="s">
        <v>4207</v>
      </c>
      <c r="C2022" s="62" t="s">
        <v>4208</v>
      </c>
      <c r="D2022" s="61">
        <v>50</v>
      </c>
    </row>
    <row r="2023" spans="1:4" x14ac:dyDescent="0.2">
      <c r="A2023" s="61" t="s">
        <v>16</v>
      </c>
      <c r="B2023" s="61" t="s">
        <v>4209</v>
      </c>
      <c r="C2023" s="62" t="s">
        <v>4210</v>
      </c>
      <c r="D2023" s="61">
        <v>50</v>
      </c>
    </row>
    <row r="2024" spans="1:4" x14ac:dyDescent="0.2">
      <c r="A2024" s="62" t="s">
        <v>16</v>
      </c>
      <c r="B2024" s="61" t="s">
        <v>728</v>
      </c>
      <c r="C2024" s="62" t="s">
        <v>729</v>
      </c>
      <c r="D2024" s="61">
        <v>50</v>
      </c>
    </row>
    <row r="2025" spans="1:4" x14ac:dyDescent="0.2">
      <c r="A2025" s="61" t="s">
        <v>16</v>
      </c>
      <c r="B2025" s="61" t="s">
        <v>4211</v>
      </c>
      <c r="C2025" s="62" t="s">
        <v>4212</v>
      </c>
      <c r="D2025" s="61">
        <v>40</v>
      </c>
    </row>
    <row r="2026" spans="1:4" x14ac:dyDescent="0.2">
      <c r="A2026" s="62" t="s">
        <v>16</v>
      </c>
      <c r="B2026" s="61" t="s">
        <v>4213</v>
      </c>
      <c r="C2026" s="62" t="s">
        <v>4214</v>
      </c>
      <c r="D2026" s="61">
        <v>40</v>
      </c>
    </row>
    <row r="2027" spans="1:4" x14ac:dyDescent="0.2">
      <c r="A2027" s="61" t="s">
        <v>16</v>
      </c>
      <c r="B2027" s="61" t="s">
        <v>4215</v>
      </c>
      <c r="C2027" s="62" t="s">
        <v>4216</v>
      </c>
      <c r="D2027" s="61">
        <v>40</v>
      </c>
    </row>
    <row r="2028" spans="1:4" x14ac:dyDescent="0.2">
      <c r="A2028" s="62" t="s">
        <v>16</v>
      </c>
      <c r="B2028" s="61" t="s">
        <v>4217</v>
      </c>
      <c r="C2028" s="62" t="s">
        <v>4218</v>
      </c>
      <c r="D2028" s="61">
        <v>40</v>
      </c>
    </row>
    <row r="2029" spans="1:4" x14ac:dyDescent="0.2">
      <c r="A2029" s="61" t="s">
        <v>16</v>
      </c>
      <c r="B2029" s="61" t="s">
        <v>4219</v>
      </c>
      <c r="C2029" s="62" t="s">
        <v>4220</v>
      </c>
      <c r="D2029" s="61">
        <v>40</v>
      </c>
    </row>
    <row r="2030" spans="1:4" x14ac:dyDescent="0.2">
      <c r="A2030" s="62" t="s">
        <v>16</v>
      </c>
      <c r="B2030" s="61" t="s">
        <v>4221</v>
      </c>
      <c r="C2030" s="62" t="s">
        <v>4222</v>
      </c>
      <c r="D2030" s="61">
        <v>40</v>
      </c>
    </row>
    <row r="2031" spans="1:4" x14ac:dyDescent="0.2">
      <c r="A2031" s="62" t="s">
        <v>16</v>
      </c>
      <c r="B2031" s="61" t="s">
        <v>4223</v>
      </c>
      <c r="C2031" s="62" t="s">
        <v>4224</v>
      </c>
      <c r="D2031" s="61">
        <v>40</v>
      </c>
    </row>
    <row r="2032" spans="1:4" x14ac:dyDescent="0.2">
      <c r="A2032" s="61" t="s">
        <v>16</v>
      </c>
      <c r="B2032" s="61" t="s">
        <v>4225</v>
      </c>
      <c r="C2032" s="62" t="s">
        <v>5512</v>
      </c>
      <c r="D2032" s="61">
        <v>40</v>
      </c>
    </row>
    <row r="2033" spans="1:4" x14ac:dyDescent="0.2">
      <c r="A2033" s="62" t="s">
        <v>16</v>
      </c>
      <c r="B2033" s="61" t="s">
        <v>4226</v>
      </c>
      <c r="C2033" s="62" t="s">
        <v>4227</v>
      </c>
      <c r="D2033" s="61">
        <v>40</v>
      </c>
    </row>
    <row r="2034" spans="1:4" x14ac:dyDescent="0.2">
      <c r="A2034" s="61" t="s">
        <v>16</v>
      </c>
      <c r="B2034" s="61" t="s">
        <v>4228</v>
      </c>
      <c r="C2034" s="62" t="s">
        <v>4229</v>
      </c>
      <c r="D2034" s="61">
        <v>40</v>
      </c>
    </row>
    <row r="2035" spans="1:4" x14ac:dyDescent="0.2">
      <c r="A2035" s="62" t="s">
        <v>16</v>
      </c>
      <c r="B2035" s="61" t="s">
        <v>4230</v>
      </c>
      <c r="C2035" s="62" t="s">
        <v>4231</v>
      </c>
      <c r="D2035" s="61">
        <v>40</v>
      </c>
    </row>
    <row r="2036" spans="1:4" x14ac:dyDescent="0.2">
      <c r="A2036" s="61" t="s">
        <v>16</v>
      </c>
      <c r="B2036" s="61" t="s">
        <v>4232</v>
      </c>
      <c r="C2036" s="62" t="s">
        <v>4233</v>
      </c>
      <c r="D2036" s="61">
        <v>40</v>
      </c>
    </row>
    <row r="2037" spans="1:4" x14ac:dyDescent="0.2">
      <c r="A2037" s="62" t="s">
        <v>16</v>
      </c>
      <c r="B2037" s="61" t="s">
        <v>635</v>
      </c>
      <c r="C2037" s="62" t="s">
        <v>636</v>
      </c>
      <c r="D2037" s="61">
        <v>40</v>
      </c>
    </row>
    <row r="2038" spans="1:4" x14ac:dyDescent="0.2">
      <c r="A2038" s="61" t="s">
        <v>16</v>
      </c>
      <c r="B2038" s="61" t="s">
        <v>276</v>
      </c>
      <c r="C2038" s="62" t="s">
        <v>277</v>
      </c>
      <c r="D2038" s="61">
        <v>40</v>
      </c>
    </row>
    <row r="2039" spans="1:4" x14ac:dyDescent="0.2">
      <c r="A2039" s="62" t="s">
        <v>16</v>
      </c>
      <c r="B2039" s="61" t="s">
        <v>583</v>
      </c>
      <c r="C2039" s="62" t="s">
        <v>584</v>
      </c>
      <c r="D2039" s="61">
        <v>40</v>
      </c>
    </row>
    <row r="2040" spans="1:4" x14ac:dyDescent="0.2">
      <c r="A2040" s="61" t="s">
        <v>16</v>
      </c>
      <c r="B2040" s="61" t="s">
        <v>4234</v>
      </c>
      <c r="C2040" s="62" t="s">
        <v>4235</v>
      </c>
      <c r="D2040" s="61">
        <v>40</v>
      </c>
    </row>
    <row r="2041" spans="1:4" x14ac:dyDescent="0.2">
      <c r="A2041" s="62" t="s">
        <v>16</v>
      </c>
      <c r="B2041" s="61" t="s">
        <v>4236</v>
      </c>
      <c r="C2041" s="62" t="s">
        <v>4237</v>
      </c>
      <c r="D2041" s="61">
        <v>40</v>
      </c>
    </row>
    <row r="2042" spans="1:4" x14ac:dyDescent="0.2">
      <c r="A2042" s="61" t="s">
        <v>16</v>
      </c>
      <c r="B2042" s="61" t="s">
        <v>4238</v>
      </c>
      <c r="C2042" s="62" t="s">
        <v>4239</v>
      </c>
      <c r="D2042" s="61">
        <v>40</v>
      </c>
    </row>
    <row r="2043" spans="1:4" x14ac:dyDescent="0.2">
      <c r="A2043" s="62" t="s">
        <v>16</v>
      </c>
      <c r="B2043" s="61" t="s">
        <v>4240</v>
      </c>
      <c r="C2043" s="62" t="s">
        <v>4241</v>
      </c>
      <c r="D2043" s="61">
        <v>40</v>
      </c>
    </row>
    <row r="2044" spans="1:4" x14ac:dyDescent="0.2">
      <c r="A2044" s="61" t="s">
        <v>16</v>
      </c>
      <c r="B2044" s="61" t="s">
        <v>4242</v>
      </c>
      <c r="C2044" s="62" t="s">
        <v>4243</v>
      </c>
      <c r="D2044" s="61">
        <v>40</v>
      </c>
    </row>
    <row r="2045" spans="1:4" x14ac:dyDescent="0.2">
      <c r="A2045" s="61" t="s">
        <v>16</v>
      </c>
      <c r="B2045" s="61" t="s">
        <v>4244</v>
      </c>
      <c r="C2045" s="62" t="s">
        <v>4245</v>
      </c>
      <c r="D2045" s="61">
        <v>40</v>
      </c>
    </row>
    <row r="2046" spans="1:4" x14ac:dyDescent="0.2">
      <c r="A2046" s="62" t="s">
        <v>16</v>
      </c>
      <c r="B2046" s="61" t="s">
        <v>4246</v>
      </c>
      <c r="C2046" s="62" t="s">
        <v>4247</v>
      </c>
      <c r="D2046" s="61">
        <v>40</v>
      </c>
    </row>
    <row r="2047" spans="1:4" x14ac:dyDescent="0.2">
      <c r="A2047" s="61" t="s">
        <v>16</v>
      </c>
      <c r="B2047" s="61" t="s">
        <v>4248</v>
      </c>
      <c r="C2047" s="62" t="s">
        <v>5513</v>
      </c>
      <c r="D2047" s="61">
        <v>40</v>
      </c>
    </row>
    <row r="2048" spans="1:4" x14ac:dyDescent="0.2">
      <c r="A2048" s="62" t="s">
        <v>16</v>
      </c>
      <c r="B2048" s="61" t="s">
        <v>4249</v>
      </c>
      <c r="C2048" s="62" t="s">
        <v>5514</v>
      </c>
      <c r="D2048" s="61">
        <v>40</v>
      </c>
    </row>
    <row r="2049" spans="1:4" x14ac:dyDescent="0.2">
      <c r="A2049" s="61" t="s">
        <v>16</v>
      </c>
      <c r="B2049" s="61" t="s">
        <v>975</v>
      </c>
      <c r="C2049" s="62" t="s">
        <v>4972</v>
      </c>
      <c r="D2049" s="61">
        <v>40</v>
      </c>
    </row>
    <row r="2050" spans="1:4" x14ac:dyDescent="0.2">
      <c r="A2050" s="62" t="s">
        <v>16</v>
      </c>
      <c r="B2050" s="61" t="s">
        <v>4250</v>
      </c>
      <c r="C2050" s="62" t="s">
        <v>4251</v>
      </c>
      <c r="D2050" s="61">
        <v>40</v>
      </c>
    </row>
    <row r="2051" spans="1:4" x14ac:dyDescent="0.2">
      <c r="A2051" s="61" t="s">
        <v>16</v>
      </c>
      <c r="B2051" s="61" t="s">
        <v>205</v>
      </c>
      <c r="C2051" s="62" t="s">
        <v>4252</v>
      </c>
      <c r="D2051" s="61">
        <v>40</v>
      </c>
    </row>
    <row r="2052" spans="1:4" x14ac:dyDescent="0.2">
      <c r="A2052" s="62" t="s">
        <v>16</v>
      </c>
      <c r="B2052" s="61" t="s">
        <v>4253</v>
      </c>
      <c r="C2052" s="62" t="s">
        <v>4254</v>
      </c>
      <c r="D2052" s="61">
        <v>40</v>
      </c>
    </row>
    <row r="2053" spans="1:4" x14ac:dyDescent="0.2">
      <c r="A2053" s="61" t="s">
        <v>16</v>
      </c>
      <c r="B2053" s="61" t="s">
        <v>4255</v>
      </c>
      <c r="C2053" s="62" t="s">
        <v>4256</v>
      </c>
      <c r="D2053" s="61">
        <v>40</v>
      </c>
    </row>
    <row r="2054" spans="1:4" x14ac:dyDescent="0.2">
      <c r="A2054" s="62" t="s">
        <v>16</v>
      </c>
      <c r="B2054" s="61" t="s">
        <v>4257</v>
      </c>
      <c r="C2054" s="62" t="s">
        <v>4258</v>
      </c>
      <c r="D2054" s="61">
        <v>40</v>
      </c>
    </row>
    <row r="2055" spans="1:4" x14ac:dyDescent="0.2">
      <c r="A2055" s="61" t="s">
        <v>16</v>
      </c>
      <c r="B2055" s="61" t="s">
        <v>4259</v>
      </c>
      <c r="C2055" s="62" t="s">
        <v>4881</v>
      </c>
      <c r="D2055" s="61">
        <v>40</v>
      </c>
    </row>
    <row r="2056" spans="1:4" x14ac:dyDescent="0.2">
      <c r="A2056" s="62" t="s">
        <v>16</v>
      </c>
      <c r="B2056" s="61" t="s">
        <v>4260</v>
      </c>
      <c r="C2056" s="62" t="s">
        <v>4261</v>
      </c>
      <c r="D2056" s="61">
        <v>40</v>
      </c>
    </row>
    <row r="2057" spans="1:4" x14ac:dyDescent="0.2">
      <c r="A2057" s="61" t="s">
        <v>16</v>
      </c>
      <c r="B2057" s="61" t="s">
        <v>357</v>
      </c>
      <c r="C2057" s="62" t="s">
        <v>4838</v>
      </c>
      <c r="D2057" s="61">
        <v>40</v>
      </c>
    </row>
    <row r="2058" spans="1:4" x14ac:dyDescent="0.2">
      <c r="A2058" s="62" t="s">
        <v>16</v>
      </c>
      <c r="B2058" s="61" t="s">
        <v>362</v>
      </c>
      <c r="C2058" s="62" t="s">
        <v>4830</v>
      </c>
      <c r="D2058" s="61">
        <v>40</v>
      </c>
    </row>
    <row r="2059" spans="1:4" x14ac:dyDescent="0.2">
      <c r="A2059" s="61" t="s">
        <v>16</v>
      </c>
      <c r="B2059" s="61" t="s">
        <v>4262</v>
      </c>
      <c r="C2059" s="62" t="s">
        <v>4902</v>
      </c>
      <c r="D2059" s="61">
        <v>40</v>
      </c>
    </row>
    <row r="2060" spans="1:4" x14ac:dyDescent="0.2">
      <c r="A2060" s="62" t="s">
        <v>16</v>
      </c>
      <c r="B2060" s="61" t="s">
        <v>4263</v>
      </c>
      <c r="C2060" s="62" t="s">
        <v>4264</v>
      </c>
      <c r="D2060" s="61">
        <v>40</v>
      </c>
    </row>
    <row r="2061" spans="1:4" x14ac:dyDescent="0.2">
      <c r="A2061" s="61" t="s">
        <v>16</v>
      </c>
      <c r="B2061" s="61" t="s">
        <v>4265</v>
      </c>
      <c r="C2061" s="62" t="s">
        <v>4266</v>
      </c>
      <c r="D2061" s="61">
        <v>40</v>
      </c>
    </row>
    <row r="2062" spans="1:4" x14ac:dyDescent="0.2">
      <c r="A2062" s="62" t="s">
        <v>16</v>
      </c>
      <c r="B2062" s="61" t="s">
        <v>4267</v>
      </c>
      <c r="C2062" s="62" t="s">
        <v>4268</v>
      </c>
      <c r="D2062" s="61">
        <v>40</v>
      </c>
    </row>
    <row r="2063" spans="1:4" x14ac:dyDescent="0.2">
      <c r="A2063" s="61" t="s">
        <v>16</v>
      </c>
      <c r="B2063" s="61" t="s">
        <v>4269</v>
      </c>
      <c r="C2063" s="62" t="s">
        <v>4270</v>
      </c>
      <c r="D2063" s="61">
        <v>40</v>
      </c>
    </row>
    <row r="2064" spans="1:4" x14ac:dyDescent="0.2">
      <c r="A2064" s="62" t="s">
        <v>16</v>
      </c>
      <c r="B2064" s="61" t="s">
        <v>892</v>
      </c>
      <c r="C2064" s="62" t="s">
        <v>5515</v>
      </c>
      <c r="D2064" s="61">
        <v>40</v>
      </c>
    </row>
    <row r="2065" spans="1:4" x14ac:dyDescent="0.2">
      <c r="A2065" s="61" t="s">
        <v>16</v>
      </c>
      <c r="B2065" s="61" t="s">
        <v>4271</v>
      </c>
      <c r="C2065" s="62" t="s">
        <v>5516</v>
      </c>
      <c r="D2065" s="61">
        <v>40</v>
      </c>
    </row>
    <row r="2066" spans="1:4" x14ac:dyDescent="0.2">
      <c r="A2066" s="62" t="s">
        <v>16</v>
      </c>
      <c r="B2066" s="61" t="s">
        <v>670</v>
      </c>
      <c r="C2066" s="62" t="s">
        <v>4855</v>
      </c>
      <c r="D2066" s="61">
        <v>40</v>
      </c>
    </row>
    <row r="2067" spans="1:4" x14ac:dyDescent="0.2">
      <c r="A2067" s="61" t="s">
        <v>16</v>
      </c>
      <c r="B2067" s="61" t="s">
        <v>4272</v>
      </c>
      <c r="C2067" s="62" t="s">
        <v>5517</v>
      </c>
      <c r="D2067" s="61">
        <v>40</v>
      </c>
    </row>
    <row r="2068" spans="1:4" x14ac:dyDescent="0.2">
      <c r="A2068" s="62" t="s">
        <v>16</v>
      </c>
      <c r="B2068" s="61" t="s">
        <v>928</v>
      </c>
      <c r="C2068" s="62" t="s">
        <v>4854</v>
      </c>
      <c r="D2068" s="61">
        <v>40</v>
      </c>
    </row>
    <row r="2069" spans="1:4" x14ac:dyDescent="0.2">
      <c r="A2069" s="62" t="s">
        <v>16</v>
      </c>
      <c r="B2069" s="61" t="s">
        <v>927</v>
      </c>
      <c r="C2069" s="62" t="s">
        <v>5518</v>
      </c>
      <c r="D2069" s="61">
        <v>40</v>
      </c>
    </row>
    <row r="2070" spans="1:4" x14ac:dyDescent="0.2">
      <c r="A2070" s="61" t="s">
        <v>16</v>
      </c>
      <c r="B2070" s="61" t="s">
        <v>4273</v>
      </c>
      <c r="C2070" s="62" t="s">
        <v>4274</v>
      </c>
      <c r="D2070" s="61">
        <v>40</v>
      </c>
    </row>
    <row r="2071" spans="1:4" x14ac:dyDescent="0.2">
      <c r="A2071" s="62" t="s">
        <v>16</v>
      </c>
      <c r="B2071" s="61" t="s">
        <v>4275</v>
      </c>
      <c r="C2071" s="62" t="s">
        <v>4276</v>
      </c>
      <c r="D2071" s="61">
        <v>40</v>
      </c>
    </row>
    <row r="2072" spans="1:4" x14ac:dyDescent="0.2">
      <c r="A2072" s="61" t="s">
        <v>16</v>
      </c>
      <c r="B2072" s="61" t="s">
        <v>4277</v>
      </c>
      <c r="C2072" s="62" t="s">
        <v>5519</v>
      </c>
      <c r="D2072" s="61">
        <v>40</v>
      </c>
    </row>
    <row r="2073" spans="1:4" x14ac:dyDescent="0.2">
      <c r="A2073" s="62" t="s">
        <v>16</v>
      </c>
      <c r="B2073" s="61" t="s">
        <v>4278</v>
      </c>
      <c r="C2073" s="62" t="s">
        <v>5520</v>
      </c>
      <c r="D2073" s="61">
        <v>40</v>
      </c>
    </row>
    <row r="2074" spans="1:4" x14ac:dyDescent="0.2">
      <c r="A2074" s="61" t="s">
        <v>16</v>
      </c>
      <c r="B2074" s="61" t="s">
        <v>708</v>
      </c>
      <c r="C2074" s="62" t="s">
        <v>5521</v>
      </c>
      <c r="D2074" s="61">
        <v>40</v>
      </c>
    </row>
    <row r="2075" spans="1:4" x14ac:dyDescent="0.2">
      <c r="A2075" s="62" t="s">
        <v>16</v>
      </c>
      <c r="B2075" s="61" t="s">
        <v>722</v>
      </c>
      <c r="C2075" s="62" t="s">
        <v>5522</v>
      </c>
      <c r="D2075" s="61">
        <v>40</v>
      </c>
    </row>
    <row r="2076" spans="1:4" x14ac:dyDescent="0.2">
      <c r="A2076" s="61" t="s">
        <v>16</v>
      </c>
      <c r="B2076" s="61" t="s">
        <v>941</v>
      </c>
      <c r="C2076" s="62" t="s">
        <v>4784</v>
      </c>
      <c r="D2076" s="61">
        <v>40</v>
      </c>
    </row>
    <row r="2077" spans="1:4" x14ac:dyDescent="0.2">
      <c r="A2077" s="62" t="s">
        <v>16</v>
      </c>
      <c r="B2077" s="61" t="s">
        <v>935</v>
      </c>
      <c r="C2077" s="62" t="s">
        <v>4785</v>
      </c>
      <c r="D2077" s="61">
        <v>40</v>
      </c>
    </row>
    <row r="2078" spans="1:4" x14ac:dyDescent="0.2">
      <c r="A2078" s="62" t="s">
        <v>16</v>
      </c>
      <c r="B2078" s="61" t="s">
        <v>4279</v>
      </c>
      <c r="C2078" s="62" t="s">
        <v>5523</v>
      </c>
      <c r="D2078" s="61">
        <v>40</v>
      </c>
    </row>
    <row r="2079" spans="1:4" x14ac:dyDescent="0.2">
      <c r="A2079" s="61" t="s">
        <v>16</v>
      </c>
      <c r="B2079" s="61" t="s">
        <v>4280</v>
      </c>
      <c r="C2079" s="62" t="s">
        <v>4281</v>
      </c>
      <c r="D2079" s="61">
        <v>40</v>
      </c>
    </row>
    <row r="2080" spans="1:4" x14ac:dyDescent="0.2">
      <c r="A2080" s="62" t="s">
        <v>16</v>
      </c>
      <c r="B2080" s="61" t="s">
        <v>4282</v>
      </c>
      <c r="C2080" s="62" t="s">
        <v>4283</v>
      </c>
      <c r="D2080" s="61">
        <v>40</v>
      </c>
    </row>
    <row r="2081" spans="1:4" x14ac:dyDescent="0.2">
      <c r="A2081" s="61" t="s">
        <v>16</v>
      </c>
      <c r="B2081" s="61" t="s">
        <v>4284</v>
      </c>
      <c r="C2081" s="62" t="s">
        <v>4285</v>
      </c>
      <c r="D2081" s="61">
        <v>40</v>
      </c>
    </row>
    <row r="2082" spans="1:4" x14ac:dyDescent="0.2">
      <c r="A2082" s="61" t="s">
        <v>16</v>
      </c>
      <c r="B2082" s="61" t="s">
        <v>731</v>
      </c>
      <c r="C2082" s="62" t="s">
        <v>5524</v>
      </c>
      <c r="D2082" s="61">
        <v>40</v>
      </c>
    </row>
    <row r="2083" spans="1:4" x14ac:dyDescent="0.2">
      <c r="A2083" s="62" t="s">
        <v>16</v>
      </c>
      <c r="B2083" s="61" t="s">
        <v>730</v>
      </c>
      <c r="C2083" s="62" t="s">
        <v>5525</v>
      </c>
      <c r="D2083" s="61">
        <v>40</v>
      </c>
    </row>
    <row r="2084" spans="1:4" x14ac:dyDescent="0.2">
      <c r="A2084" s="61" t="s">
        <v>16</v>
      </c>
      <c r="B2084" s="61" t="s">
        <v>4287</v>
      </c>
      <c r="C2084" s="62" t="s">
        <v>5526</v>
      </c>
      <c r="D2084" s="61">
        <v>40</v>
      </c>
    </row>
    <row r="2085" spans="1:4" x14ac:dyDescent="0.2">
      <c r="A2085" s="62" t="s">
        <v>16</v>
      </c>
      <c r="B2085" s="61" t="s">
        <v>4288</v>
      </c>
      <c r="C2085" s="62" t="s">
        <v>5527</v>
      </c>
      <c r="D2085" s="61">
        <v>40</v>
      </c>
    </row>
    <row r="2086" spans="1:4" x14ac:dyDescent="0.2">
      <c r="A2086" s="61" t="s">
        <v>16</v>
      </c>
      <c r="B2086" s="61" t="s">
        <v>4289</v>
      </c>
      <c r="C2086" s="62" t="s">
        <v>5528</v>
      </c>
      <c r="D2086" s="61">
        <v>40</v>
      </c>
    </row>
    <row r="2087" spans="1:4" x14ac:dyDescent="0.2">
      <c r="A2087" s="62" t="s">
        <v>16</v>
      </c>
      <c r="B2087" s="61" t="s">
        <v>4290</v>
      </c>
      <c r="C2087" s="62" t="s">
        <v>5529</v>
      </c>
      <c r="D2087" s="61">
        <v>40</v>
      </c>
    </row>
    <row r="2088" spans="1:4" x14ac:dyDescent="0.2">
      <c r="A2088" s="61" t="s">
        <v>16</v>
      </c>
      <c r="B2088" s="61" t="s">
        <v>4291</v>
      </c>
      <c r="C2088" s="62" t="s">
        <v>5530</v>
      </c>
      <c r="D2088" s="61">
        <v>40</v>
      </c>
    </row>
    <row r="2089" spans="1:4" x14ac:dyDescent="0.2">
      <c r="A2089" s="62" t="s">
        <v>16</v>
      </c>
      <c r="B2089" s="61" t="s">
        <v>4292</v>
      </c>
      <c r="C2089" s="62" t="s">
        <v>5529</v>
      </c>
      <c r="D2089" s="61">
        <v>40</v>
      </c>
    </row>
    <row r="2090" spans="1:4" x14ac:dyDescent="0.2">
      <c r="A2090" s="61" t="s">
        <v>16</v>
      </c>
      <c r="B2090" s="61" t="s">
        <v>4293</v>
      </c>
      <c r="C2090" s="62" t="s">
        <v>5531</v>
      </c>
      <c r="D2090" s="61">
        <v>40</v>
      </c>
    </row>
    <row r="2091" spans="1:4" x14ac:dyDescent="0.2">
      <c r="A2091" s="62" t="s">
        <v>16</v>
      </c>
      <c r="B2091" s="61" t="s">
        <v>4294</v>
      </c>
      <c r="C2091" s="62" t="s">
        <v>4295</v>
      </c>
      <c r="D2091" s="61">
        <v>40</v>
      </c>
    </row>
    <row r="2092" spans="1:4" x14ac:dyDescent="0.2">
      <c r="A2092" s="61" t="s">
        <v>16</v>
      </c>
      <c r="B2092" s="61" t="s">
        <v>216</v>
      </c>
      <c r="C2092" s="62" t="s">
        <v>217</v>
      </c>
      <c r="D2092" s="61">
        <v>40</v>
      </c>
    </row>
    <row r="2093" spans="1:4" x14ac:dyDescent="0.2">
      <c r="A2093" s="62" t="s">
        <v>16</v>
      </c>
      <c r="B2093" s="61" t="s">
        <v>212</v>
      </c>
      <c r="C2093" s="62" t="s">
        <v>213</v>
      </c>
      <c r="D2093" s="61">
        <v>40</v>
      </c>
    </row>
    <row r="2094" spans="1:4" x14ac:dyDescent="0.2">
      <c r="A2094" s="61" t="s">
        <v>16</v>
      </c>
      <c r="B2094" s="61" t="s">
        <v>214</v>
      </c>
      <c r="C2094" s="62" t="s">
        <v>215</v>
      </c>
      <c r="D2094" s="61">
        <v>40</v>
      </c>
    </row>
    <row r="2095" spans="1:4" x14ac:dyDescent="0.2">
      <c r="A2095" s="62" t="s">
        <v>16</v>
      </c>
      <c r="B2095" s="61" t="s">
        <v>4296</v>
      </c>
      <c r="C2095" s="62" t="s">
        <v>4297</v>
      </c>
      <c r="D2095" s="61">
        <v>40</v>
      </c>
    </row>
    <row r="2096" spans="1:4" x14ac:dyDescent="0.2">
      <c r="A2096" s="61" t="s">
        <v>16</v>
      </c>
      <c r="B2096" s="61" t="s">
        <v>684</v>
      </c>
      <c r="C2096" s="62" t="s">
        <v>4832</v>
      </c>
      <c r="D2096" s="61">
        <v>40</v>
      </c>
    </row>
    <row r="2097" spans="1:4" x14ac:dyDescent="0.2">
      <c r="A2097" s="62" t="s">
        <v>16</v>
      </c>
      <c r="B2097" s="61" t="s">
        <v>690</v>
      </c>
      <c r="C2097" s="62" t="s">
        <v>691</v>
      </c>
      <c r="D2097" s="61">
        <v>40</v>
      </c>
    </row>
    <row r="2098" spans="1:4" x14ac:dyDescent="0.2">
      <c r="A2098" s="61" t="s">
        <v>16</v>
      </c>
      <c r="B2098" s="61" t="s">
        <v>4298</v>
      </c>
      <c r="C2098" s="62" t="s">
        <v>4299</v>
      </c>
      <c r="D2098" s="61">
        <v>40</v>
      </c>
    </row>
    <row r="2099" spans="1:4" x14ac:dyDescent="0.2">
      <c r="A2099" s="62" t="s">
        <v>16</v>
      </c>
      <c r="B2099" s="61" t="s">
        <v>4300</v>
      </c>
      <c r="C2099" s="62" t="s">
        <v>4301</v>
      </c>
      <c r="D2099" s="61">
        <v>40</v>
      </c>
    </row>
    <row r="2100" spans="1:4" x14ac:dyDescent="0.2">
      <c r="A2100" s="61" t="s">
        <v>16</v>
      </c>
      <c r="B2100" s="61" t="s">
        <v>932</v>
      </c>
      <c r="C2100" s="62" t="s">
        <v>5224</v>
      </c>
      <c r="D2100" s="61">
        <v>40</v>
      </c>
    </row>
    <row r="2101" spans="1:4" x14ac:dyDescent="0.2">
      <c r="A2101" s="62" t="s">
        <v>16</v>
      </c>
      <c r="B2101" s="61" t="s">
        <v>560</v>
      </c>
      <c r="C2101" s="62" t="s">
        <v>4887</v>
      </c>
      <c r="D2101" s="61">
        <v>40</v>
      </c>
    </row>
    <row r="2102" spans="1:4" x14ac:dyDescent="0.2">
      <c r="A2102" s="61" t="s">
        <v>16</v>
      </c>
      <c r="B2102" s="61" t="s">
        <v>460</v>
      </c>
      <c r="C2102" s="62" t="s">
        <v>4889</v>
      </c>
      <c r="D2102" s="61">
        <v>40</v>
      </c>
    </row>
    <row r="2103" spans="1:4" x14ac:dyDescent="0.2">
      <c r="A2103" s="62" t="s">
        <v>16</v>
      </c>
      <c r="B2103" s="61" t="s">
        <v>561</v>
      </c>
      <c r="C2103" s="62" t="s">
        <v>4888</v>
      </c>
      <c r="D2103" s="61">
        <v>40</v>
      </c>
    </row>
    <row r="2104" spans="1:4" x14ac:dyDescent="0.2">
      <c r="A2104" s="61" t="s">
        <v>16</v>
      </c>
      <c r="B2104" s="61" t="s">
        <v>4302</v>
      </c>
      <c r="C2104" s="62" t="s">
        <v>5532</v>
      </c>
      <c r="D2104" s="61">
        <v>40</v>
      </c>
    </row>
    <row r="2105" spans="1:4" x14ac:dyDescent="0.2">
      <c r="A2105" s="62" t="s">
        <v>16</v>
      </c>
      <c r="B2105" s="61" t="s">
        <v>4303</v>
      </c>
      <c r="C2105" s="62" t="s">
        <v>5533</v>
      </c>
      <c r="D2105" s="61">
        <v>40</v>
      </c>
    </row>
    <row r="2106" spans="1:4" x14ac:dyDescent="0.2">
      <c r="A2106" s="61" t="s">
        <v>16</v>
      </c>
      <c r="B2106" s="61" t="s">
        <v>4304</v>
      </c>
      <c r="C2106" s="62" t="s">
        <v>5534</v>
      </c>
      <c r="D2106" s="61">
        <v>40</v>
      </c>
    </row>
    <row r="2107" spans="1:4" x14ac:dyDescent="0.2">
      <c r="A2107" s="62" t="s">
        <v>16</v>
      </c>
      <c r="B2107" s="61" t="s">
        <v>4305</v>
      </c>
      <c r="C2107" s="62" t="s">
        <v>4306</v>
      </c>
      <c r="D2107" s="61">
        <v>40</v>
      </c>
    </row>
    <row r="2108" spans="1:4" x14ac:dyDescent="0.2">
      <c r="A2108" s="61" t="s">
        <v>16</v>
      </c>
      <c r="B2108" s="61" t="s">
        <v>4307</v>
      </c>
      <c r="C2108" s="62" t="s">
        <v>4308</v>
      </c>
      <c r="D2108" s="61">
        <v>40</v>
      </c>
    </row>
    <row r="2109" spans="1:4" x14ac:dyDescent="0.2">
      <c r="A2109" s="62" t="s">
        <v>16</v>
      </c>
      <c r="B2109" s="61" t="s">
        <v>770</v>
      </c>
      <c r="C2109" s="62" t="s">
        <v>5535</v>
      </c>
      <c r="D2109" s="61">
        <v>40</v>
      </c>
    </row>
    <row r="2110" spans="1:4" x14ac:dyDescent="0.2">
      <c r="A2110" s="61" t="s">
        <v>16</v>
      </c>
      <c r="B2110" s="61" t="s">
        <v>4309</v>
      </c>
      <c r="C2110" s="62" t="s">
        <v>5536</v>
      </c>
      <c r="D2110" s="61">
        <v>40</v>
      </c>
    </row>
    <row r="2111" spans="1:4" x14ac:dyDescent="0.2">
      <c r="A2111" s="62" t="s">
        <v>16</v>
      </c>
      <c r="B2111" s="61" t="s">
        <v>4310</v>
      </c>
      <c r="C2111" s="62" t="s">
        <v>4311</v>
      </c>
      <c r="D2111" s="61">
        <v>40</v>
      </c>
    </row>
    <row r="2112" spans="1:4" x14ac:dyDescent="0.2">
      <c r="A2112" s="61" t="s">
        <v>16</v>
      </c>
      <c r="B2112" s="61" t="s">
        <v>937</v>
      </c>
      <c r="C2112" s="62" t="s">
        <v>938</v>
      </c>
      <c r="D2112" s="61">
        <v>40</v>
      </c>
    </row>
    <row r="2113" spans="1:4" x14ac:dyDescent="0.2">
      <c r="A2113" s="62" t="s">
        <v>16</v>
      </c>
      <c r="B2113" s="61" t="s">
        <v>4312</v>
      </c>
      <c r="C2113" s="62" t="s">
        <v>4313</v>
      </c>
      <c r="D2113" s="61">
        <v>40</v>
      </c>
    </row>
    <row r="2114" spans="1:4" x14ac:dyDescent="0.2">
      <c r="A2114" s="61" t="s">
        <v>16</v>
      </c>
      <c r="B2114" s="61" t="s">
        <v>4314</v>
      </c>
      <c r="C2114" s="62" t="s">
        <v>4315</v>
      </c>
      <c r="D2114" s="61">
        <v>40</v>
      </c>
    </row>
    <row r="2115" spans="1:4" x14ac:dyDescent="0.2">
      <c r="A2115" s="62" t="s">
        <v>16</v>
      </c>
      <c r="B2115" s="61" t="s">
        <v>4316</v>
      </c>
      <c r="C2115" s="62" t="s">
        <v>4317</v>
      </c>
      <c r="D2115" s="61">
        <v>40</v>
      </c>
    </row>
    <row r="2116" spans="1:4" x14ac:dyDescent="0.2">
      <c r="A2116" s="61" t="s">
        <v>16</v>
      </c>
      <c r="B2116" s="61" t="s">
        <v>270</v>
      </c>
      <c r="C2116" s="62" t="s">
        <v>440</v>
      </c>
      <c r="D2116" s="61">
        <v>40</v>
      </c>
    </row>
    <row r="2117" spans="1:4" x14ac:dyDescent="0.2">
      <c r="A2117" s="62" t="s">
        <v>16</v>
      </c>
      <c r="B2117" s="61" t="s">
        <v>725</v>
      </c>
      <c r="C2117" s="62" t="s">
        <v>726</v>
      </c>
      <c r="D2117" s="61">
        <v>40</v>
      </c>
    </row>
    <row r="2118" spans="1:4" x14ac:dyDescent="0.2">
      <c r="A2118" s="61" t="s">
        <v>16</v>
      </c>
      <c r="B2118" s="61" t="s">
        <v>4318</v>
      </c>
      <c r="C2118" s="62" t="s">
        <v>5537</v>
      </c>
      <c r="D2118" s="61">
        <v>40</v>
      </c>
    </row>
    <row r="2119" spans="1:4" x14ac:dyDescent="0.2">
      <c r="A2119" s="62" t="s">
        <v>16</v>
      </c>
      <c r="B2119" s="61" t="s">
        <v>4319</v>
      </c>
      <c r="C2119" s="62" t="s">
        <v>5538</v>
      </c>
      <c r="D2119" s="61">
        <v>40</v>
      </c>
    </row>
    <row r="2120" spans="1:4" x14ac:dyDescent="0.2">
      <c r="A2120" s="62" t="s">
        <v>16</v>
      </c>
      <c r="B2120" s="61" t="s">
        <v>872</v>
      </c>
      <c r="C2120" s="62" t="s">
        <v>873</v>
      </c>
      <c r="D2120" s="61">
        <v>40</v>
      </c>
    </row>
    <row r="2121" spans="1:4" x14ac:dyDescent="0.2">
      <c r="A2121" s="61" t="s">
        <v>16</v>
      </c>
      <c r="B2121" s="61" t="s">
        <v>4320</v>
      </c>
      <c r="C2121" s="62" t="s">
        <v>5539</v>
      </c>
      <c r="D2121" s="61">
        <v>40</v>
      </c>
    </row>
    <row r="2122" spans="1:4" x14ac:dyDescent="0.2">
      <c r="A2122" s="62" t="s">
        <v>16</v>
      </c>
      <c r="B2122" s="61" t="s">
        <v>4321</v>
      </c>
      <c r="C2122" s="62" t="s">
        <v>4322</v>
      </c>
      <c r="D2122" s="61">
        <v>40</v>
      </c>
    </row>
    <row r="2123" spans="1:4" x14ac:dyDescent="0.2">
      <c r="A2123" s="61" t="s">
        <v>16</v>
      </c>
      <c r="B2123" s="61" t="s">
        <v>4323</v>
      </c>
      <c r="C2123" s="62" t="s">
        <v>4324</v>
      </c>
      <c r="D2123" s="61">
        <v>40</v>
      </c>
    </row>
    <row r="2124" spans="1:4" x14ac:dyDescent="0.2">
      <c r="A2124" s="62" t="s">
        <v>16</v>
      </c>
      <c r="B2124" s="61" t="s">
        <v>4325</v>
      </c>
      <c r="C2124" s="62" t="s">
        <v>4326</v>
      </c>
      <c r="D2124" s="61">
        <v>40</v>
      </c>
    </row>
    <row r="2125" spans="1:4" x14ac:dyDescent="0.2">
      <c r="A2125" s="61" t="s">
        <v>16</v>
      </c>
      <c r="B2125" s="61" t="s">
        <v>4327</v>
      </c>
      <c r="C2125" s="62" t="s">
        <v>4328</v>
      </c>
      <c r="D2125" s="61">
        <v>40</v>
      </c>
    </row>
    <row r="2126" spans="1:4" x14ac:dyDescent="0.2">
      <c r="A2126" s="62" t="s">
        <v>16</v>
      </c>
      <c r="B2126" s="61" t="s">
        <v>1028</v>
      </c>
      <c r="C2126" s="62" t="s">
        <v>1029</v>
      </c>
      <c r="D2126" s="61">
        <v>40</v>
      </c>
    </row>
    <row r="2127" spans="1:4" x14ac:dyDescent="0.2">
      <c r="A2127" s="61" t="s">
        <v>16</v>
      </c>
      <c r="B2127" s="61" t="s">
        <v>4329</v>
      </c>
      <c r="C2127" s="62" t="s">
        <v>5540</v>
      </c>
      <c r="D2127" s="61">
        <v>40</v>
      </c>
    </row>
    <row r="2128" spans="1:4" x14ac:dyDescent="0.2">
      <c r="A2128" s="62" t="s">
        <v>16</v>
      </c>
      <c r="B2128" s="61" t="s">
        <v>4330</v>
      </c>
      <c r="C2128" s="62" t="s">
        <v>5541</v>
      </c>
      <c r="D2128" s="61">
        <v>40</v>
      </c>
    </row>
    <row r="2129" spans="1:4" x14ac:dyDescent="0.2">
      <c r="A2129" s="61" t="s">
        <v>16</v>
      </c>
      <c r="B2129" s="61" t="s">
        <v>4331</v>
      </c>
      <c r="C2129" s="62" t="s">
        <v>5516</v>
      </c>
      <c r="D2129" s="61">
        <v>40</v>
      </c>
    </row>
    <row r="2130" spans="1:4" x14ac:dyDescent="0.2">
      <c r="A2130" s="62" t="s">
        <v>16</v>
      </c>
      <c r="B2130" s="61" t="s">
        <v>4332</v>
      </c>
      <c r="C2130" s="62" t="s">
        <v>5542</v>
      </c>
      <c r="D2130" s="61">
        <v>40</v>
      </c>
    </row>
    <row r="2131" spans="1:4" x14ac:dyDescent="0.2">
      <c r="A2131" s="61" t="s">
        <v>16</v>
      </c>
      <c r="B2131" s="61" t="s">
        <v>4333</v>
      </c>
      <c r="C2131" s="62" t="s">
        <v>5543</v>
      </c>
      <c r="D2131" s="61">
        <v>40</v>
      </c>
    </row>
    <row r="2132" spans="1:4" x14ac:dyDescent="0.2">
      <c r="A2132" s="62" t="s">
        <v>16</v>
      </c>
      <c r="B2132" s="61" t="s">
        <v>4334</v>
      </c>
      <c r="C2132" s="62" t="s">
        <v>4963</v>
      </c>
      <c r="D2132" s="61">
        <v>40</v>
      </c>
    </row>
    <row r="2133" spans="1:4" x14ac:dyDescent="0.2">
      <c r="A2133" s="61" t="s">
        <v>16</v>
      </c>
      <c r="B2133" s="61" t="s">
        <v>4335</v>
      </c>
      <c r="C2133" s="62" t="s">
        <v>4336</v>
      </c>
      <c r="D2133" s="61">
        <v>40</v>
      </c>
    </row>
    <row r="2134" spans="1:4" x14ac:dyDescent="0.2">
      <c r="A2134" s="61" t="s">
        <v>16</v>
      </c>
      <c r="B2134" s="61" t="s">
        <v>4337</v>
      </c>
      <c r="C2134" s="62" t="s">
        <v>4338</v>
      </c>
      <c r="D2134" s="61">
        <v>40</v>
      </c>
    </row>
    <row r="2135" spans="1:4" x14ac:dyDescent="0.2">
      <c r="A2135" s="62" t="s">
        <v>16</v>
      </c>
      <c r="B2135" s="61" t="s">
        <v>4339</v>
      </c>
      <c r="C2135" s="62" t="s">
        <v>4340</v>
      </c>
      <c r="D2135" s="61">
        <v>40</v>
      </c>
    </row>
    <row r="2136" spans="1:4" x14ac:dyDescent="0.2">
      <c r="A2136" s="61" t="s">
        <v>16</v>
      </c>
      <c r="B2136" s="61" t="s">
        <v>4341</v>
      </c>
      <c r="C2136" s="62" t="s">
        <v>4342</v>
      </c>
      <c r="D2136" s="61">
        <v>40</v>
      </c>
    </row>
    <row r="2137" spans="1:4" x14ac:dyDescent="0.2">
      <c r="A2137" s="62" t="s">
        <v>16</v>
      </c>
      <c r="B2137" s="61" t="s">
        <v>360</v>
      </c>
      <c r="C2137" s="62" t="s">
        <v>361</v>
      </c>
      <c r="D2137" s="61">
        <v>40</v>
      </c>
    </row>
    <row r="2138" spans="1:4" x14ac:dyDescent="0.2">
      <c r="A2138" s="61" t="s">
        <v>16</v>
      </c>
      <c r="B2138" s="61" t="s">
        <v>4343</v>
      </c>
      <c r="C2138" s="62" t="s">
        <v>5544</v>
      </c>
      <c r="D2138" s="61">
        <v>40</v>
      </c>
    </row>
    <row r="2139" spans="1:4" x14ac:dyDescent="0.2">
      <c r="A2139" s="62" t="s">
        <v>16</v>
      </c>
      <c r="B2139" s="61" t="s">
        <v>4344</v>
      </c>
      <c r="C2139" s="62" t="s">
        <v>5545</v>
      </c>
      <c r="D2139" s="61">
        <v>40</v>
      </c>
    </row>
    <row r="2140" spans="1:4" x14ac:dyDescent="0.2">
      <c r="A2140" s="61" t="s">
        <v>16</v>
      </c>
      <c r="B2140" s="61" t="s">
        <v>4345</v>
      </c>
      <c r="C2140" s="62" t="s">
        <v>5546</v>
      </c>
      <c r="D2140" s="61">
        <v>40</v>
      </c>
    </row>
    <row r="2141" spans="1:4" x14ac:dyDescent="0.2">
      <c r="A2141" s="62" t="s">
        <v>16</v>
      </c>
      <c r="B2141" s="61" t="s">
        <v>4346</v>
      </c>
      <c r="C2141" s="62" t="s">
        <v>4970</v>
      </c>
      <c r="D2141" s="61">
        <v>40</v>
      </c>
    </row>
    <row r="2142" spans="1:4" x14ac:dyDescent="0.2">
      <c r="A2142" s="62" t="s">
        <v>16</v>
      </c>
      <c r="B2142" s="61" t="s">
        <v>4347</v>
      </c>
      <c r="C2142" s="62" t="s">
        <v>4348</v>
      </c>
      <c r="D2142" s="61">
        <v>40</v>
      </c>
    </row>
    <row r="2143" spans="1:4" x14ac:dyDescent="0.2">
      <c r="A2143" s="61" t="s">
        <v>16</v>
      </c>
      <c r="B2143" s="61" t="s">
        <v>633</v>
      </c>
      <c r="C2143" s="62" t="s">
        <v>634</v>
      </c>
      <c r="D2143" s="61">
        <v>40</v>
      </c>
    </row>
    <row r="2144" spans="1:4" x14ac:dyDescent="0.2">
      <c r="A2144" s="62" t="s">
        <v>16</v>
      </c>
      <c r="B2144" s="61" t="s">
        <v>723</v>
      </c>
      <c r="C2144" s="62" t="s">
        <v>724</v>
      </c>
      <c r="D2144" s="61">
        <v>40</v>
      </c>
    </row>
    <row r="2145" spans="1:4" x14ac:dyDescent="0.2">
      <c r="A2145" s="62" t="s">
        <v>16</v>
      </c>
      <c r="B2145" s="61" t="s">
        <v>4349</v>
      </c>
      <c r="C2145" s="62" t="s">
        <v>5547</v>
      </c>
      <c r="D2145" s="61">
        <v>40</v>
      </c>
    </row>
    <row r="2146" spans="1:4" x14ac:dyDescent="0.2">
      <c r="A2146" s="61" t="s">
        <v>16</v>
      </c>
      <c r="B2146" s="61" t="s">
        <v>4350</v>
      </c>
      <c r="C2146" s="62" t="s">
        <v>5529</v>
      </c>
      <c r="D2146" s="61">
        <v>40</v>
      </c>
    </row>
    <row r="2147" spans="1:4" x14ac:dyDescent="0.2">
      <c r="A2147" s="62" t="s">
        <v>16</v>
      </c>
      <c r="B2147" s="61" t="s">
        <v>4351</v>
      </c>
      <c r="C2147" s="62" t="s">
        <v>5548</v>
      </c>
      <c r="D2147" s="61">
        <v>40</v>
      </c>
    </row>
    <row r="2148" spans="1:4" x14ac:dyDescent="0.2">
      <c r="A2148" s="61" t="s">
        <v>16</v>
      </c>
      <c r="B2148" s="61" t="s">
        <v>4352</v>
      </c>
      <c r="C2148" s="62" t="s">
        <v>5548</v>
      </c>
      <c r="D2148" s="61">
        <v>40</v>
      </c>
    </row>
    <row r="2149" spans="1:4" x14ac:dyDescent="0.2">
      <c r="A2149" s="62" t="s">
        <v>16</v>
      </c>
      <c r="B2149" s="61" t="s">
        <v>680</v>
      </c>
      <c r="C2149" s="62" t="s">
        <v>681</v>
      </c>
      <c r="D2149" s="61">
        <v>40</v>
      </c>
    </row>
    <row r="2150" spans="1:4" x14ac:dyDescent="0.2">
      <c r="A2150" s="61" t="s">
        <v>16</v>
      </c>
      <c r="B2150" s="61" t="s">
        <v>4353</v>
      </c>
      <c r="C2150" s="62" t="s">
        <v>4354</v>
      </c>
      <c r="D2150" s="61">
        <v>40</v>
      </c>
    </row>
    <row r="2151" spans="1:4" x14ac:dyDescent="0.2">
      <c r="A2151" s="62" t="s">
        <v>16</v>
      </c>
      <c r="B2151" s="61" t="s">
        <v>4355</v>
      </c>
      <c r="C2151" s="62" t="s">
        <v>4356</v>
      </c>
      <c r="D2151" s="61">
        <v>40</v>
      </c>
    </row>
    <row r="2152" spans="1:4" x14ac:dyDescent="0.2">
      <c r="A2152" s="61" t="s">
        <v>16</v>
      </c>
      <c r="B2152" s="61" t="s">
        <v>4357</v>
      </c>
      <c r="C2152" s="62" t="s">
        <v>4358</v>
      </c>
      <c r="D2152" s="61">
        <v>40</v>
      </c>
    </row>
    <row r="2153" spans="1:4" x14ac:dyDescent="0.2">
      <c r="A2153" s="62" t="s">
        <v>16</v>
      </c>
      <c r="B2153" s="61" t="s">
        <v>4359</v>
      </c>
      <c r="C2153" s="62" t="s">
        <v>4360</v>
      </c>
      <c r="D2153" s="61">
        <v>40</v>
      </c>
    </row>
    <row r="2154" spans="1:4" x14ac:dyDescent="0.2">
      <c r="A2154" s="62" t="s">
        <v>16</v>
      </c>
      <c r="B2154" s="61" t="s">
        <v>805</v>
      </c>
      <c r="C2154" s="62" t="s">
        <v>806</v>
      </c>
      <c r="D2154" s="61">
        <v>50</v>
      </c>
    </row>
    <row r="2155" spans="1:4" x14ac:dyDescent="0.2">
      <c r="A2155" s="61" t="s">
        <v>16</v>
      </c>
      <c r="B2155" s="61" t="s">
        <v>793</v>
      </c>
      <c r="C2155" s="62" t="s">
        <v>794</v>
      </c>
      <c r="D2155" s="61">
        <v>50</v>
      </c>
    </row>
    <row r="2156" spans="1:4" x14ac:dyDescent="0.2">
      <c r="A2156" s="61" t="s">
        <v>16</v>
      </c>
      <c r="B2156" s="61" t="s">
        <v>4361</v>
      </c>
      <c r="C2156" s="62" t="s">
        <v>4362</v>
      </c>
      <c r="D2156" s="61">
        <v>40</v>
      </c>
    </row>
    <row r="2157" spans="1:4" x14ac:dyDescent="0.2">
      <c r="A2157" s="62" t="s">
        <v>16</v>
      </c>
      <c r="B2157" s="61" t="s">
        <v>4363</v>
      </c>
      <c r="C2157" s="62" t="s">
        <v>4364</v>
      </c>
      <c r="D2157" s="61">
        <v>40</v>
      </c>
    </row>
    <row r="2158" spans="1:4" x14ac:dyDescent="0.2">
      <c r="A2158" s="61" t="s">
        <v>16</v>
      </c>
      <c r="B2158" s="61" t="s">
        <v>4365</v>
      </c>
      <c r="C2158" s="62" t="s">
        <v>5549</v>
      </c>
      <c r="D2158" s="61">
        <v>40</v>
      </c>
    </row>
    <row r="2159" spans="1:4" x14ac:dyDescent="0.2">
      <c r="A2159" s="62" t="s">
        <v>16</v>
      </c>
      <c r="B2159" s="61" t="s">
        <v>4366</v>
      </c>
      <c r="C2159" s="62" t="s">
        <v>5550</v>
      </c>
      <c r="D2159" s="61">
        <v>40</v>
      </c>
    </row>
    <row r="2160" spans="1:4" x14ac:dyDescent="0.2">
      <c r="A2160" s="61" t="s">
        <v>16</v>
      </c>
      <c r="B2160" s="61" t="s">
        <v>4367</v>
      </c>
      <c r="C2160" s="62" t="s">
        <v>4368</v>
      </c>
      <c r="D2160" s="61">
        <v>40</v>
      </c>
    </row>
    <row r="2161" spans="1:4" x14ac:dyDescent="0.2">
      <c r="A2161" s="62" t="s">
        <v>16</v>
      </c>
      <c r="B2161" s="61" t="s">
        <v>4369</v>
      </c>
      <c r="C2161" s="62" t="s">
        <v>4370</v>
      </c>
      <c r="D2161" s="61">
        <v>40</v>
      </c>
    </row>
    <row r="2162" spans="1:4" x14ac:dyDescent="0.2">
      <c r="A2162" s="61" t="s">
        <v>16</v>
      </c>
      <c r="B2162" s="61" t="s">
        <v>4371</v>
      </c>
      <c r="C2162" s="62" t="s">
        <v>5551</v>
      </c>
      <c r="D2162" s="61">
        <v>40</v>
      </c>
    </row>
    <row r="2163" spans="1:4" x14ac:dyDescent="0.2">
      <c r="A2163" s="62" t="s">
        <v>16</v>
      </c>
      <c r="B2163" s="61" t="s">
        <v>4372</v>
      </c>
      <c r="C2163" s="62" t="s">
        <v>4373</v>
      </c>
      <c r="D2163" s="61">
        <v>40</v>
      </c>
    </row>
    <row r="2164" spans="1:4" x14ac:dyDescent="0.2">
      <c r="A2164" s="61" t="s">
        <v>16</v>
      </c>
      <c r="B2164" s="61" t="s">
        <v>4374</v>
      </c>
      <c r="C2164" s="62" t="s">
        <v>4375</v>
      </c>
      <c r="D2164" s="61">
        <v>40</v>
      </c>
    </row>
    <row r="2165" spans="1:4" x14ac:dyDescent="0.2">
      <c r="A2165" s="62" t="s">
        <v>16</v>
      </c>
      <c r="B2165" s="61" t="s">
        <v>418</v>
      </c>
      <c r="C2165" s="62" t="s">
        <v>419</v>
      </c>
      <c r="D2165" s="61">
        <v>40</v>
      </c>
    </row>
    <row r="2166" spans="1:4" x14ac:dyDescent="0.2">
      <c r="A2166" s="61" t="s">
        <v>16</v>
      </c>
      <c r="B2166" s="61" t="s">
        <v>230</v>
      </c>
      <c r="C2166" s="62" t="s">
        <v>363</v>
      </c>
      <c r="D2166" s="61">
        <v>40</v>
      </c>
    </row>
    <row r="2167" spans="1:4" x14ac:dyDescent="0.2">
      <c r="A2167" s="62" t="s">
        <v>16</v>
      </c>
      <c r="B2167" s="61" t="s">
        <v>4376</v>
      </c>
      <c r="C2167" s="62" t="s">
        <v>4286</v>
      </c>
      <c r="D2167" s="61">
        <v>40</v>
      </c>
    </row>
    <row r="2168" spans="1:4" x14ac:dyDescent="0.2">
      <c r="A2168" s="61" t="s">
        <v>16</v>
      </c>
      <c r="B2168" s="61" t="s">
        <v>456</v>
      </c>
      <c r="C2168" s="62" t="s">
        <v>4756</v>
      </c>
      <c r="D2168" s="61">
        <v>40</v>
      </c>
    </row>
    <row r="2169" spans="1:4" x14ac:dyDescent="0.2">
      <c r="A2169" s="62" t="s">
        <v>16</v>
      </c>
      <c r="B2169" s="61" t="s">
        <v>4377</v>
      </c>
      <c r="C2169" s="62" t="s">
        <v>4378</v>
      </c>
      <c r="D2169" s="61">
        <v>40</v>
      </c>
    </row>
    <row r="2170" spans="1:4" x14ac:dyDescent="0.2">
      <c r="A2170" s="61" t="s">
        <v>16</v>
      </c>
      <c r="B2170" s="61" t="s">
        <v>473</v>
      </c>
      <c r="C2170" s="62" t="s">
        <v>4949</v>
      </c>
      <c r="D2170" s="61">
        <v>40</v>
      </c>
    </row>
    <row r="2171" spans="1:4" x14ac:dyDescent="0.2">
      <c r="A2171" s="62" t="s">
        <v>16</v>
      </c>
      <c r="B2171" s="61" t="s">
        <v>4379</v>
      </c>
      <c r="C2171" s="62" t="s">
        <v>4380</v>
      </c>
      <c r="D2171" s="61">
        <v>40</v>
      </c>
    </row>
    <row r="2172" spans="1:4" x14ac:dyDescent="0.2">
      <c r="A2172" s="61" t="s">
        <v>16</v>
      </c>
      <c r="B2172" s="61" t="s">
        <v>4381</v>
      </c>
      <c r="C2172" s="62" t="s">
        <v>4382</v>
      </c>
      <c r="D2172" s="61">
        <v>40</v>
      </c>
    </row>
    <row r="2173" spans="1:4" x14ac:dyDescent="0.2">
      <c r="A2173" s="62" t="s">
        <v>16</v>
      </c>
      <c r="B2173" s="61" t="s">
        <v>4383</v>
      </c>
      <c r="C2173" s="62" t="s">
        <v>4384</v>
      </c>
      <c r="D2173" s="61">
        <v>40</v>
      </c>
    </row>
    <row r="2174" spans="1:4" x14ac:dyDescent="0.2">
      <c r="A2174" s="61" t="s">
        <v>16</v>
      </c>
      <c r="B2174" s="61" t="s">
        <v>4385</v>
      </c>
      <c r="C2174" s="62" t="s">
        <v>4386</v>
      </c>
      <c r="D2174" s="61">
        <v>40</v>
      </c>
    </row>
    <row r="2175" spans="1:4" x14ac:dyDescent="0.2">
      <c r="A2175" s="62" t="s">
        <v>16</v>
      </c>
      <c r="B2175" s="61" t="s">
        <v>876</v>
      </c>
      <c r="C2175" s="62" t="s">
        <v>5552</v>
      </c>
      <c r="D2175" s="61">
        <v>40</v>
      </c>
    </row>
    <row r="2176" spans="1:4" x14ac:dyDescent="0.2">
      <c r="A2176" s="61" t="s">
        <v>16</v>
      </c>
      <c r="B2176" s="61" t="s">
        <v>4387</v>
      </c>
      <c r="C2176" s="62" t="s">
        <v>4388</v>
      </c>
      <c r="D2176" s="61">
        <v>40</v>
      </c>
    </row>
    <row r="2177" spans="1:4" x14ac:dyDescent="0.2">
      <c r="A2177" s="62" t="s">
        <v>16</v>
      </c>
      <c r="B2177" s="61" t="s">
        <v>4389</v>
      </c>
      <c r="C2177" s="62" t="s">
        <v>4390</v>
      </c>
      <c r="D2177" s="61">
        <v>40</v>
      </c>
    </row>
    <row r="2178" spans="1:4" x14ac:dyDescent="0.2">
      <c r="A2178" s="61" t="s">
        <v>16</v>
      </c>
      <c r="B2178" s="61" t="s">
        <v>4391</v>
      </c>
      <c r="C2178" s="62" t="s">
        <v>5553</v>
      </c>
      <c r="D2178" s="61">
        <v>40</v>
      </c>
    </row>
    <row r="2179" spans="1:4" x14ac:dyDescent="0.2">
      <c r="A2179" s="62" t="s">
        <v>16</v>
      </c>
      <c r="B2179" s="61" t="s">
        <v>4392</v>
      </c>
      <c r="C2179" s="62" t="s">
        <v>5554</v>
      </c>
      <c r="D2179" s="61">
        <v>40</v>
      </c>
    </row>
    <row r="2180" spans="1:4" x14ac:dyDescent="0.2">
      <c r="A2180" s="61" t="s">
        <v>16</v>
      </c>
      <c r="B2180" s="61" t="s">
        <v>4393</v>
      </c>
      <c r="C2180" s="62" t="s">
        <v>5555</v>
      </c>
      <c r="D2180" s="61">
        <v>50</v>
      </c>
    </row>
    <row r="2181" spans="1:4" x14ac:dyDescent="0.2">
      <c r="A2181" s="62" t="s">
        <v>16</v>
      </c>
      <c r="B2181" s="61" t="s">
        <v>4394</v>
      </c>
      <c r="C2181" s="62" t="s">
        <v>5556</v>
      </c>
      <c r="D2181" s="61">
        <v>50</v>
      </c>
    </row>
    <row r="2182" spans="1:4" x14ac:dyDescent="0.2">
      <c r="A2182" s="62" t="s">
        <v>16</v>
      </c>
      <c r="B2182" s="61" t="s">
        <v>322</v>
      </c>
      <c r="C2182" s="62" t="s">
        <v>438</v>
      </c>
      <c r="D2182" s="61">
        <v>40</v>
      </c>
    </row>
    <row r="2183" spans="1:4" x14ac:dyDescent="0.2">
      <c r="A2183" s="61" t="s">
        <v>16</v>
      </c>
      <c r="B2183" s="61" t="s">
        <v>328</v>
      </c>
      <c r="C2183" s="62" t="s">
        <v>539</v>
      </c>
      <c r="D2183" s="61">
        <v>40</v>
      </c>
    </row>
    <row r="2184" spans="1:4" x14ac:dyDescent="0.2">
      <c r="A2184" s="62" t="s">
        <v>16</v>
      </c>
      <c r="B2184" s="61" t="s">
        <v>375</v>
      </c>
      <c r="C2184" s="62" t="s">
        <v>569</v>
      </c>
      <c r="D2184" s="61">
        <v>40</v>
      </c>
    </row>
    <row r="2185" spans="1:4" x14ac:dyDescent="0.2">
      <c r="A2185" s="61" t="s">
        <v>16</v>
      </c>
      <c r="B2185" s="61" t="s">
        <v>4395</v>
      </c>
      <c r="C2185" s="62" t="s">
        <v>4396</v>
      </c>
      <c r="D2185" s="61">
        <v>40</v>
      </c>
    </row>
    <row r="2186" spans="1:4" x14ac:dyDescent="0.2">
      <c r="A2186" s="62" t="s">
        <v>16</v>
      </c>
      <c r="B2186" s="61" t="s">
        <v>4397</v>
      </c>
      <c r="C2186" s="62" t="s">
        <v>4398</v>
      </c>
      <c r="D2186" s="61">
        <v>40</v>
      </c>
    </row>
    <row r="2187" spans="1:4" x14ac:dyDescent="0.2">
      <c r="A2187" s="61" t="s">
        <v>16</v>
      </c>
      <c r="B2187" s="61" t="s">
        <v>4399</v>
      </c>
      <c r="C2187" s="62" t="s">
        <v>4400</v>
      </c>
      <c r="D2187" s="61">
        <v>40</v>
      </c>
    </row>
    <row r="2188" spans="1:4" x14ac:dyDescent="0.2">
      <c r="A2188" s="62" t="s">
        <v>16</v>
      </c>
      <c r="B2188" s="61" t="s">
        <v>4401</v>
      </c>
      <c r="C2188" s="62" t="s">
        <v>5557</v>
      </c>
      <c r="D2188" s="61">
        <v>40</v>
      </c>
    </row>
    <row r="2189" spans="1:4" x14ac:dyDescent="0.2">
      <c r="A2189" s="61" t="s">
        <v>16</v>
      </c>
      <c r="B2189" s="61" t="s">
        <v>4402</v>
      </c>
      <c r="C2189" s="62" t="s">
        <v>5558</v>
      </c>
      <c r="D2189" s="61">
        <v>40</v>
      </c>
    </row>
    <row r="2190" spans="1:4" x14ac:dyDescent="0.2">
      <c r="A2190" s="62" t="s">
        <v>16</v>
      </c>
      <c r="B2190" s="61" t="s">
        <v>4403</v>
      </c>
      <c r="C2190" s="62" t="s">
        <v>5559</v>
      </c>
      <c r="D2190" s="61">
        <v>40</v>
      </c>
    </row>
    <row r="2191" spans="1:4" x14ac:dyDescent="0.2">
      <c r="A2191" s="61" t="s">
        <v>16</v>
      </c>
      <c r="B2191" s="61" t="s">
        <v>4404</v>
      </c>
      <c r="C2191" s="62" t="s">
        <v>5560</v>
      </c>
      <c r="D2191" s="61">
        <v>40</v>
      </c>
    </row>
    <row r="2192" spans="1:4" x14ac:dyDescent="0.2">
      <c r="A2192" s="62" t="s">
        <v>16</v>
      </c>
      <c r="B2192" s="61" t="s">
        <v>4405</v>
      </c>
      <c r="C2192" s="62" t="s">
        <v>5561</v>
      </c>
      <c r="D2192" s="61">
        <v>40</v>
      </c>
    </row>
    <row r="2193" spans="1:4" x14ac:dyDescent="0.2">
      <c r="A2193" s="61" t="s">
        <v>16</v>
      </c>
      <c r="B2193" s="61" t="s">
        <v>4406</v>
      </c>
      <c r="C2193" s="62" t="s">
        <v>5562</v>
      </c>
      <c r="D2193" s="61">
        <v>40</v>
      </c>
    </row>
    <row r="2194" spans="1:4" x14ac:dyDescent="0.2">
      <c r="A2194" s="62" t="s">
        <v>16</v>
      </c>
      <c r="B2194" s="61" t="s">
        <v>4407</v>
      </c>
      <c r="C2194" s="62" t="s">
        <v>5563</v>
      </c>
      <c r="D2194" s="61">
        <v>40</v>
      </c>
    </row>
    <row r="2195" spans="1:4" x14ac:dyDescent="0.2">
      <c r="A2195" s="61" t="s">
        <v>16</v>
      </c>
      <c r="B2195" s="61" t="s">
        <v>4408</v>
      </c>
      <c r="C2195" s="62" t="s">
        <v>5564</v>
      </c>
      <c r="D2195" s="61">
        <v>40</v>
      </c>
    </row>
    <row r="2196" spans="1:4" x14ac:dyDescent="0.2">
      <c r="A2196" s="62" t="s">
        <v>16</v>
      </c>
      <c r="B2196" s="61" t="s">
        <v>4409</v>
      </c>
      <c r="C2196" s="62" t="s">
        <v>4410</v>
      </c>
      <c r="D2196" s="61">
        <v>40</v>
      </c>
    </row>
    <row r="2197" spans="1:4" x14ac:dyDescent="0.2">
      <c r="A2197" s="61" t="s">
        <v>16</v>
      </c>
      <c r="B2197" s="61" t="s">
        <v>4411</v>
      </c>
      <c r="C2197" s="62" t="s">
        <v>4412</v>
      </c>
      <c r="D2197" s="61">
        <v>40</v>
      </c>
    </row>
    <row r="2198" spans="1:4" x14ac:dyDescent="0.2">
      <c r="A2198" s="61" t="s">
        <v>16</v>
      </c>
      <c r="B2198" s="61" t="s">
        <v>4413</v>
      </c>
      <c r="C2198" s="62" t="s">
        <v>4414</v>
      </c>
      <c r="D2198" s="61">
        <v>40</v>
      </c>
    </row>
    <row r="2199" spans="1:4" x14ac:dyDescent="0.2">
      <c r="A2199" s="62" t="s">
        <v>16</v>
      </c>
      <c r="B2199" s="61" t="s">
        <v>403</v>
      </c>
      <c r="C2199" s="62" t="s">
        <v>404</v>
      </c>
      <c r="D2199" s="61">
        <v>40</v>
      </c>
    </row>
    <row r="2200" spans="1:4" x14ac:dyDescent="0.2">
      <c r="A2200" s="61" t="s">
        <v>16</v>
      </c>
      <c r="B2200" s="61" t="s">
        <v>913</v>
      </c>
      <c r="C2200" s="62" t="s">
        <v>914</v>
      </c>
      <c r="D2200" s="61">
        <v>40</v>
      </c>
    </row>
    <row r="2201" spans="1:4" x14ac:dyDescent="0.2">
      <c r="A2201" s="62" t="s">
        <v>16</v>
      </c>
      <c r="B2201" s="61" t="s">
        <v>4415</v>
      </c>
      <c r="C2201" s="62" t="s">
        <v>4416</v>
      </c>
      <c r="D2201" s="61">
        <v>40</v>
      </c>
    </row>
    <row r="2202" spans="1:4" x14ac:dyDescent="0.2">
      <c r="A2202" s="61" t="s">
        <v>16</v>
      </c>
      <c r="B2202" s="61" t="s">
        <v>4417</v>
      </c>
      <c r="C2202" s="62" t="s">
        <v>5565</v>
      </c>
      <c r="D2202" s="61">
        <v>40</v>
      </c>
    </row>
    <row r="2203" spans="1:4" x14ac:dyDescent="0.2">
      <c r="A2203" s="62" t="s">
        <v>16</v>
      </c>
      <c r="B2203" s="61" t="s">
        <v>4418</v>
      </c>
      <c r="C2203" s="62" t="s">
        <v>5566</v>
      </c>
      <c r="D2203" s="61">
        <v>40</v>
      </c>
    </row>
    <row r="2204" spans="1:4" x14ac:dyDescent="0.2">
      <c r="A2204" s="61" t="s">
        <v>16</v>
      </c>
      <c r="B2204" s="61" t="s">
        <v>4419</v>
      </c>
      <c r="C2204" s="62" t="s">
        <v>4420</v>
      </c>
      <c r="D2204" s="61">
        <v>40</v>
      </c>
    </row>
    <row r="2205" spans="1:4" x14ac:dyDescent="0.2">
      <c r="A2205" s="62" t="s">
        <v>16</v>
      </c>
      <c r="B2205" s="61" t="s">
        <v>4421</v>
      </c>
      <c r="C2205" s="62" t="s">
        <v>4422</v>
      </c>
      <c r="D2205" s="61">
        <v>40</v>
      </c>
    </row>
    <row r="2206" spans="1:4" x14ac:dyDescent="0.2">
      <c r="A2206" s="61" t="s">
        <v>16</v>
      </c>
      <c r="B2206" s="61" t="s">
        <v>4423</v>
      </c>
      <c r="C2206" s="62" t="s">
        <v>4424</v>
      </c>
      <c r="D2206" s="61">
        <v>50</v>
      </c>
    </row>
    <row r="2207" spans="1:4" x14ac:dyDescent="0.2">
      <c r="A2207" s="62" t="s">
        <v>16</v>
      </c>
      <c r="B2207" s="61" t="s">
        <v>4425</v>
      </c>
      <c r="C2207" s="62" t="s">
        <v>4426</v>
      </c>
      <c r="D2207" s="61">
        <v>40</v>
      </c>
    </row>
    <row r="2208" spans="1:4" x14ac:dyDescent="0.2">
      <c r="A2208" s="61" t="s">
        <v>16</v>
      </c>
      <c r="B2208" s="61" t="s">
        <v>4427</v>
      </c>
      <c r="C2208" s="62" t="s">
        <v>4428</v>
      </c>
      <c r="D2208" s="61">
        <v>40</v>
      </c>
    </row>
    <row r="2209" spans="1:4" x14ac:dyDescent="0.2">
      <c r="A2209" s="62" t="s">
        <v>16</v>
      </c>
      <c r="B2209" s="61" t="s">
        <v>358</v>
      </c>
      <c r="C2209" s="62" t="s">
        <v>359</v>
      </c>
      <c r="D2209" s="61">
        <v>40</v>
      </c>
    </row>
    <row r="2210" spans="1:4" x14ac:dyDescent="0.2">
      <c r="A2210" s="61" t="s">
        <v>16</v>
      </c>
      <c r="B2210" s="61" t="s">
        <v>699</v>
      </c>
      <c r="C2210" s="62" t="s">
        <v>4806</v>
      </c>
      <c r="D2210" s="61">
        <v>40</v>
      </c>
    </row>
    <row r="2211" spans="1:4" x14ac:dyDescent="0.2">
      <c r="A2211" s="62" t="s">
        <v>16</v>
      </c>
      <c r="B2211" s="61" t="s">
        <v>712</v>
      </c>
      <c r="C2211" s="62" t="s">
        <v>5567</v>
      </c>
      <c r="D2211" s="61">
        <v>40</v>
      </c>
    </row>
    <row r="2212" spans="1:4" x14ac:dyDescent="0.2">
      <c r="A2212" s="61" t="s">
        <v>16</v>
      </c>
      <c r="B2212" s="61" t="s">
        <v>614</v>
      </c>
      <c r="C2212" s="62" t="s">
        <v>5568</v>
      </c>
      <c r="D2212" s="61">
        <v>40</v>
      </c>
    </row>
    <row r="2213" spans="1:4" x14ac:dyDescent="0.2">
      <c r="A2213" s="62" t="s">
        <v>16</v>
      </c>
      <c r="B2213" s="61" t="s">
        <v>983</v>
      </c>
      <c r="C2213" s="62" t="s">
        <v>984</v>
      </c>
      <c r="D2213" s="61">
        <v>40</v>
      </c>
    </row>
    <row r="2214" spans="1:4" x14ac:dyDescent="0.2">
      <c r="A2214" s="61" t="s">
        <v>16</v>
      </c>
      <c r="B2214" s="61" t="s">
        <v>977</v>
      </c>
      <c r="C2214" s="62" t="s">
        <v>978</v>
      </c>
      <c r="D2214" s="61">
        <v>40</v>
      </c>
    </row>
    <row r="2215" spans="1:4" x14ac:dyDescent="0.2">
      <c r="A2215" s="62" t="s">
        <v>16</v>
      </c>
      <c r="B2215" s="61" t="s">
        <v>495</v>
      </c>
      <c r="C2215" s="62" t="s">
        <v>4828</v>
      </c>
      <c r="D2215" s="61">
        <v>40</v>
      </c>
    </row>
    <row r="2216" spans="1:4" x14ac:dyDescent="0.2">
      <c r="A2216" s="61" t="s">
        <v>16</v>
      </c>
      <c r="B2216" s="61" t="s">
        <v>4429</v>
      </c>
      <c r="C2216" s="62" t="s">
        <v>5569</v>
      </c>
      <c r="D2216" s="61">
        <v>40</v>
      </c>
    </row>
    <row r="2217" spans="1:4" x14ac:dyDescent="0.2">
      <c r="A2217" s="62" t="s">
        <v>16</v>
      </c>
      <c r="B2217" s="61" t="s">
        <v>4430</v>
      </c>
      <c r="C2217" s="62" t="s">
        <v>5570</v>
      </c>
      <c r="D2217" s="61">
        <v>40</v>
      </c>
    </row>
    <row r="2218" spans="1:4" x14ac:dyDescent="0.2">
      <c r="A2218" s="61" t="s">
        <v>16</v>
      </c>
      <c r="B2218" s="61" t="s">
        <v>384</v>
      </c>
      <c r="C2218" s="62" t="s">
        <v>5571</v>
      </c>
      <c r="D2218" s="61">
        <v>40</v>
      </c>
    </row>
    <row r="2219" spans="1:4" x14ac:dyDescent="0.2">
      <c r="A2219" s="62" t="s">
        <v>16</v>
      </c>
      <c r="B2219" s="61" t="s">
        <v>428</v>
      </c>
      <c r="C2219" s="62" t="s">
        <v>5572</v>
      </c>
      <c r="D2219" s="61">
        <v>40</v>
      </c>
    </row>
    <row r="2220" spans="1:4" x14ac:dyDescent="0.2">
      <c r="A2220" s="61" t="s">
        <v>16</v>
      </c>
      <c r="B2220" s="61" t="s">
        <v>4431</v>
      </c>
      <c r="C2220" s="62" t="s">
        <v>4432</v>
      </c>
      <c r="D2220" s="61">
        <v>40</v>
      </c>
    </row>
    <row r="2221" spans="1:4" x14ac:dyDescent="0.2">
      <c r="A2221" s="62" t="s">
        <v>16</v>
      </c>
      <c r="B2221" s="61" t="s">
        <v>4433</v>
      </c>
      <c r="C2221" s="62" t="s">
        <v>4434</v>
      </c>
      <c r="D2221" s="61">
        <v>40</v>
      </c>
    </row>
    <row r="2222" spans="1:4" x14ac:dyDescent="0.2">
      <c r="A2222" s="61" t="s">
        <v>16</v>
      </c>
      <c r="B2222" s="61" t="s">
        <v>1014</v>
      </c>
      <c r="C2222" s="62" t="s">
        <v>4794</v>
      </c>
      <c r="D2222" s="61">
        <v>40</v>
      </c>
    </row>
    <row r="2223" spans="1:4" x14ac:dyDescent="0.2">
      <c r="A2223" s="62" t="s">
        <v>16</v>
      </c>
      <c r="B2223" s="61" t="s">
        <v>810</v>
      </c>
      <c r="C2223" s="62" t="s">
        <v>5573</v>
      </c>
      <c r="D2223" s="61">
        <v>40</v>
      </c>
    </row>
    <row r="2224" spans="1:4" x14ac:dyDescent="0.2">
      <c r="A2224" s="61" t="s">
        <v>16</v>
      </c>
      <c r="B2224" s="61" t="s">
        <v>795</v>
      </c>
      <c r="C2224" s="62" t="s">
        <v>5574</v>
      </c>
      <c r="D2224" s="61">
        <v>40</v>
      </c>
    </row>
    <row r="2225" spans="1:4" x14ac:dyDescent="0.2">
      <c r="A2225" s="62" t="s">
        <v>16</v>
      </c>
      <c r="B2225" s="61" t="s">
        <v>796</v>
      </c>
      <c r="C2225" s="62" t="s">
        <v>5575</v>
      </c>
      <c r="D2225" s="61">
        <v>40</v>
      </c>
    </row>
    <row r="2226" spans="1:4" x14ac:dyDescent="0.2">
      <c r="A2226" s="61" t="s">
        <v>16</v>
      </c>
      <c r="B2226" s="61" t="s">
        <v>4435</v>
      </c>
      <c r="C2226" s="62" t="s">
        <v>5576</v>
      </c>
      <c r="D2226" s="61">
        <v>40</v>
      </c>
    </row>
    <row r="2227" spans="1:4" x14ac:dyDescent="0.2">
      <c r="A2227" s="62" t="s">
        <v>16</v>
      </c>
      <c r="B2227" s="61" t="s">
        <v>4436</v>
      </c>
      <c r="C2227" s="62" t="s">
        <v>5577</v>
      </c>
      <c r="D2227" s="61">
        <v>40</v>
      </c>
    </row>
    <row r="2228" spans="1:4" x14ac:dyDescent="0.2">
      <c r="A2228" s="61" t="s">
        <v>16</v>
      </c>
      <c r="B2228" s="61" t="s">
        <v>280</v>
      </c>
      <c r="C2228" s="62" t="s">
        <v>331</v>
      </c>
      <c r="D2228" s="61">
        <v>40</v>
      </c>
    </row>
    <row r="2229" spans="1:4" x14ac:dyDescent="0.2">
      <c r="A2229" s="62" t="s">
        <v>16</v>
      </c>
      <c r="B2229" s="61" t="s">
        <v>234</v>
      </c>
      <c r="C2229" s="62" t="s">
        <v>329</v>
      </c>
      <c r="D2229" s="61">
        <v>40</v>
      </c>
    </row>
    <row r="2230" spans="1:4" x14ac:dyDescent="0.2">
      <c r="A2230" s="61" t="s">
        <v>16</v>
      </c>
      <c r="B2230" s="61" t="s">
        <v>4437</v>
      </c>
      <c r="C2230" s="62" t="s">
        <v>4438</v>
      </c>
      <c r="D2230" s="61">
        <v>40</v>
      </c>
    </row>
    <row r="2231" spans="1:4" x14ac:dyDescent="0.2">
      <c r="A2231" s="62" t="s">
        <v>16</v>
      </c>
      <c r="B2231" s="61" t="s">
        <v>4439</v>
      </c>
      <c r="C2231" s="62" t="s">
        <v>4440</v>
      </c>
      <c r="D2231" s="61">
        <v>40</v>
      </c>
    </row>
    <row r="2232" spans="1:4" x14ac:dyDescent="0.2">
      <c r="A2232" s="61" t="s">
        <v>16</v>
      </c>
      <c r="B2232" s="61" t="s">
        <v>339</v>
      </c>
      <c r="C2232" s="62" t="s">
        <v>340</v>
      </c>
      <c r="D2232" s="61">
        <v>40</v>
      </c>
    </row>
    <row r="2233" spans="1:4" x14ac:dyDescent="0.2">
      <c r="A2233" s="62" t="s">
        <v>16</v>
      </c>
      <c r="B2233" s="61" t="s">
        <v>4441</v>
      </c>
      <c r="C2233" s="62" t="s">
        <v>4442</v>
      </c>
      <c r="D2233" s="61">
        <v>50</v>
      </c>
    </row>
    <row r="2234" spans="1:4" x14ac:dyDescent="0.2">
      <c r="A2234" s="61" t="s">
        <v>16</v>
      </c>
      <c r="B2234" s="61" t="s">
        <v>716</v>
      </c>
      <c r="C2234" s="62" t="s">
        <v>717</v>
      </c>
      <c r="D2234" s="61">
        <v>50</v>
      </c>
    </row>
    <row r="2235" spans="1:4" x14ac:dyDescent="0.2">
      <c r="A2235" s="62" t="s">
        <v>16</v>
      </c>
      <c r="B2235" s="61" t="s">
        <v>451</v>
      </c>
      <c r="C2235" s="62" t="s">
        <v>452</v>
      </c>
      <c r="D2235" s="61">
        <v>50</v>
      </c>
    </row>
    <row r="2236" spans="1:4" x14ac:dyDescent="0.2">
      <c r="A2236" s="61" t="s">
        <v>16</v>
      </c>
      <c r="B2236" s="61" t="s">
        <v>947</v>
      </c>
      <c r="C2236" s="62" t="s">
        <v>948</v>
      </c>
      <c r="D2236" s="61">
        <v>50</v>
      </c>
    </row>
    <row r="2237" spans="1:4" x14ac:dyDescent="0.2">
      <c r="A2237" s="62" t="s">
        <v>16</v>
      </c>
      <c r="B2237" s="61" t="s">
        <v>448</v>
      </c>
      <c r="C2237" s="62" t="s">
        <v>564</v>
      </c>
      <c r="D2237" s="61">
        <v>50</v>
      </c>
    </row>
    <row r="2238" spans="1:4" x14ac:dyDescent="0.2">
      <c r="A2238" s="61" t="s">
        <v>16</v>
      </c>
      <c r="B2238" s="61" t="s">
        <v>4443</v>
      </c>
      <c r="C2238" s="62" t="s">
        <v>4444</v>
      </c>
      <c r="D2238" s="61">
        <v>50</v>
      </c>
    </row>
    <row r="2239" spans="1:4" x14ac:dyDescent="0.2">
      <c r="A2239" s="62" t="s">
        <v>16</v>
      </c>
      <c r="B2239" s="61" t="s">
        <v>949</v>
      </c>
      <c r="C2239" s="62" t="s">
        <v>950</v>
      </c>
      <c r="D2239" s="61">
        <v>50</v>
      </c>
    </row>
    <row r="2240" spans="1:4" x14ac:dyDescent="0.2">
      <c r="A2240" s="61" t="s">
        <v>16</v>
      </c>
      <c r="B2240" s="61" t="s">
        <v>760</v>
      </c>
      <c r="C2240" s="62" t="s">
        <v>761</v>
      </c>
      <c r="D2240" s="61">
        <v>40</v>
      </c>
    </row>
    <row r="2241" spans="1:4" x14ac:dyDescent="0.2">
      <c r="A2241" s="62" t="s">
        <v>16</v>
      </c>
      <c r="B2241" s="61" t="s">
        <v>750</v>
      </c>
      <c r="C2241" s="62" t="s">
        <v>751</v>
      </c>
      <c r="D2241" s="61">
        <v>40</v>
      </c>
    </row>
    <row r="2242" spans="1:4" x14ac:dyDescent="0.2">
      <c r="A2242" s="61" t="s">
        <v>16</v>
      </c>
      <c r="B2242" s="61" t="s">
        <v>4445</v>
      </c>
      <c r="C2242" s="62" t="s">
        <v>4446</v>
      </c>
      <c r="D2242" s="61">
        <v>40</v>
      </c>
    </row>
    <row r="2243" spans="1:4" x14ac:dyDescent="0.2">
      <c r="A2243" s="62" t="s">
        <v>16</v>
      </c>
      <c r="B2243" s="61" t="s">
        <v>4447</v>
      </c>
      <c r="C2243" s="62" t="s">
        <v>4448</v>
      </c>
      <c r="D2243" s="61">
        <v>40</v>
      </c>
    </row>
    <row r="2244" spans="1:4" x14ac:dyDescent="0.2">
      <c r="A2244" s="61" t="s">
        <v>16</v>
      </c>
      <c r="B2244" s="61" t="s">
        <v>999</v>
      </c>
      <c r="C2244" s="62" t="s">
        <v>1000</v>
      </c>
      <c r="D2244" s="61">
        <v>40</v>
      </c>
    </row>
    <row r="2245" spans="1:4" x14ac:dyDescent="0.2">
      <c r="A2245" s="62" t="s">
        <v>16</v>
      </c>
      <c r="B2245" s="61" t="s">
        <v>291</v>
      </c>
      <c r="C2245" s="62" t="s">
        <v>335</v>
      </c>
      <c r="D2245" s="61">
        <v>40</v>
      </c>
    </row>
    <row r="2246" spans="1:4" x14ac:dyDescent="0.2">
      <c r="A2246" s="61" t="s">
        <v>16</v>
      </c>
      <c r="B2246" s="61" t="s">
        <v>353</v>
      </c>
      <c r="C2246" s="62" t="s">
        <v>354</v>
      </c>
      <c r="D2246" s="61">
        <v>40</v>
      </c>
    </row>
    <row r="2247" spans="1:4" x14ac:dyDescent="0.2">
      <c r="A2247" s="62" t="s">
        <v>16</v>
      </c>
      <c r="B2247" s="61" t="s">
        <v>1005</v>
      </c>
      <c r="C2247" s="62" t="s">
        <v>1006</v>
      </c>
      <c r="D2247" s="61">
        <v>40</v>
      </c>
    </row>
    <row r="2248" spans="1:4" x14ac:dyDescent="0.2">
      <c r="A2248" s="61" t="s">
        <v>16</v>
      </c>
      <c r="B2248" s="61" t="s">
        <v>653</v>
      </c>
      <c r="C2248" s="62" t="s">
        <v>654</v>
      </c>
      <c r="D2248" s="61">
        <v>40</v>
      </c>
    </row>
    <row r="2249" spans="1:4" x14ac:dyDescent="0.2">
      <c r="A2249" s="62" t="s">
        <v>16</v>
      </c>
      <c r="B2249" s="61" t="s">
        <v>720</v>
      </c>
      <c r="C2249" s="62" t="s">
        <v>721</v>
      </c>
      <c r="D2249" s="61">
        <v>40</v>
      </c>
    </row>
    <row r="2250" spans="1:4" x14ac:dyDescent="0.2">
      <c r="A2250" s="61" t="s">
        <v>16</v>
      </c>
      <c r="B2250" s="61" t="s">
        <v>4449</v>
      </c>
      <c r="C2250" s="62" t="s">
        <v>4450</v>
      </c>
      <c r="D2250" s="61">
        <v>40</v>
      </c>
    </row>
    <row r="2251" spans="1:4" x14ac:dyDescent="0.2">
      <c r="A2251" s="62" t="s">
        <v>16</v>
      </c>
      <c r="B2251" s="61" t="s">
        <v>4451</v>
      </c>
      <c r="C2251" s="62" t="s">
        <v>4452</v>
      </c>
      <c r="D2251" s="61">
        <v>40</v>
      </c>
    </row>
    <row r="2252" spans="1:4" x14ac:dyDescent="0.2">
      <c r="A2252" s="61" t="s">
        <v>16</v>
      </c>
      <c r="B2252" s="61" t="s">
        <v>4453</v>
      </c>
      <c r="C2252" s="62" t="s">
        <v>4454</v>
      </c>
      <c r="D2252" s="61">
        <v>40</v>
      </c>
    </row>
    <row r="2253" spans="1:4" x14ac:dyDescent="0.2">
      <c r="A2253" s="62" t="s">
        <v>16</v>
      </c>
      <c r="B2253" s="61" t="s">
        <v>4455</v>
      </c>
      <c r="C2253" s="62" t="s">
        <v>4456</v>
      </c>
      <c r="D2253" s="61">
        <v>40</v>
      </c>
    </row>
    <row r="2254" spans="1:4" x14ac:dyDescent="0.2">
      <c r="A2254" s="61" t="s">
        <v>16</v>
      </c>
      <c r="B2254" s="61" t="s">
        <v>857</v>
      </c>
      <c r="C2254" s="62" t="s">
        <v>4825</v>
      </c>
      <c r="D2254" s="61">
        <v>40</v>
      </c>
    </row>
    <row r="2255" spans="1:4" x14ac:dyDescent="0.2">
      <c r="A2255" s="62" t="s">
        <v>16</v>
      </c>
      <c r="B2255" s="61" t="s">
        <v>4457</v>
      </c>
      <c r="C2255" s="62" t="s">
        <v>4458</v>
      </c>
      <c r="D2255" s="61">
        <v>40</v>
      </c>
    </row>
    <row r="2256" spans="1:4" x14ac:dyDescent="0.2">
      <c r="A2256" s="61" t="s">
        <v>16</v>
      </c>
      <c r="B2256" s="61" t="s">
        <v>4459</v>
      </c>
      <c r="C2256" s="62" t="s">
        <v>4460</v>
      </c>
      <c r="D2256" s="61">
        <v>40</v>
      </c>
    </row>
    <row r="2257" spans="1:4" x14ac:dyDescent="0.2">
      <c r="A2257" s="62" t="s">
        <v>16</v>
      </c>
      <c r="B2257" s="61" t="s">
        <v>4461</v>
      </c>
      <c r="C2257" s="62" t="s">
        <v>4462</v>
      </c>
      <c r="D2257" s="61">
        <v>40</v>
      </c>
    </row>
    <row r="2258" spans="1:4" x14ac:dyDescent="0.2">
      <c r="A2258" s="61" t="s">
        <v>16</v>
      </c>
      <c r="B2258" s="61" t="s">
        <v>4463</v>
      </c>
      <c r="C2258" s="62" t="s">
        <v>4464</v>
      </c>
      <c r="D2258" s="61">
        <v>40</v>
      </c>
    </row>
    <row r="2259" spans="1:4" x14ac:dyDescent="0.2">
      <c r="A2259" s="61" t="s">
        <v>16</v>
      </c>
      <c r="B2259" s="61" t="s">
        <v>4465</v>
      </c>
      <c r="C2259" s="62" t="s">
        <v>4466</v>
      </c>
      <c r="D2259" s="61">
        <v>40</v>
      </c>
    </row>
    <row r="2260" spans="1:4" x14ac:dyDescent="0.2">
      <c r="A2260" s="62" t="s">
        <v>16</v>
      </c>
      <c r="B2260" s="61" t="s">
        <v>4467</v>
      </c>
      <c r="C2260" s="62" t="s">
        <v>4468</v>
      </c>
      <c r="D2260" s="61">
        <v>40</v>
      </c>
    </row>
    <row r="2261" spans="1:4" x14ac:dyDescent="0.2">
      <c r="A2261" s="61" t="s">
        <v>16</v>
      </c>
      <c r="B2261" s="61" t="s">
        <v>764</v>
      </c>
      <c r="C2261" s="62" t="s">
        <v>765</v>
      </c>
      <c r="D2261" s="61">
        <v>40</v>
      </c>
    </row>
    <row r="2262" spans="1:4" x14ac:dyDescent="0.2">
      <c r="A2262" s="62" t="s">
        <v>16</v>
      </c>
      <c r="B2262" s="61" t="s">
        <v>262</v>
      </c>
      <c r="C2262" s="62" t="s">
        <v>263</v>
      </c>
      <c r="D2262" s="61">
        <v>40</v>
      </c>
    </row>
    <row r="2263" spans="1:4" x14ac:dyDescent="0.2">
      <c r="A2263" s="61" t="s">
        <v>16</v>
      </c>
      <c r="B2263" s="61" t="s">
        <v>265</v>
      </c>
      <c r="C2263" s="62" t="s">
        <v>266</v>
      </c>
      <c r="D2263" s="61">
        <v>40</v>
      </c>
    </row>
    <row r="2264" spans="1:4" x14ac:dyDescent="0.2">
      <c r="A2264" s="62" t="s">
        <v>16</v>
      </c>
      <c r="B2264" s="61" t="s">
        <v>228</v>
      </c>
      <c r="C2264" s="62" t="s">
        <v>229</v>
      </c>
      <c r="D2264" s="61">
        <v>40</v>
      </c>
    </row>
    <row r="2265" spans="1:4" x14ac:dyDescent="0.2">
      <c r="A2265" s="61" t="s">
        <v>16</v>
      </c>
      <c r="B2265" s="61" t="s">
        <v>4469</v>
      </c>
      <c r="C2265" s="62" t="s">
        <v>4470</v>
      </c>
      <c r="D2265" s="61">
        <v>40</v>
      </c>
    </row>
    <row r="2266" spans="1:4" x14ac:dyDescent="0.2">
      <c r="A2266" s="62" t="s">
        <v>16</v>
      </c>
      <c r="B2266" s="61" t="s">
        <v>504</v>
      </c>
      <c r="C2266" s="62" t="s">
        <v>505</v>
      </c>
      <c r="D2266" s="61">
        <v>40</v>
      </c>
    </row>
    <row r="2267" spans="1:4" x14ac:dyDescent="0.2">
      <c r="A2267" s="61" t="s">
        <v>16</v>
      </c>
      <c r="B2267" s="61" t="s">
        <v>4471</v>
      </c>
      <c r="C2267" s="62" t="s">
        <v>4472</v>
      </c>
      <c r="D2267" s="61">
        <v>40</v>
      </c>
    </row>
    <row r="2268" spans="1:4" x14ac:dyDescent="0.2">
      <c r="A2268" s="62" t="s">
        <v>16</v>
      </c>
      <c r="B2268" s="61" t="s">
        <v>4473</v>
      </c>
      <c r="C2268" s="62" t="s">
        <v>4474</v>
      </c>
      <c r="D2268" s="61">
        <v>40</v>
      </c>
    </row>
    <row r="2269" spans="1:4" x14ac:dyDescent="0.2">
      <c r="A2269" s="61" t="s">
        <v>16</v>
      </c>
      <c r="B2269" s="61" t="s">
        <v>4475</v>
      </c>
      <c r="C2269" s="62" t="s">
        <v>4476</v>
      </c>
      <c r="D2269" s="61">
        <v>40</v>
      </c>
    </row>
    <row r="2270" spans="1:4" x14ac:dyDescent="0.2">
      <c r="A2270" s="62" t="s">
        <v>16</v>
      </c>
      <c r="B2270" s="61" t="s">
        <v>273</v>
      </c>
      <c r="C2270" s="62" t="s">
        <v>274</v>
      </c>
      <c r="D2270" s="61">
        <v>40</v>
      </c>
    </row>
    <row r="2271" spans="1:4" x14ac:dyDescent="0.2">
      <c r="A2271" s="61" t="s">
        <v>16</v>
      </c>
      <c r="B2271" s="61" t="s">
        <v>4477</v>
      </c>
      <c r="C2271" s="62" t="s">
        <v>4478</v>
      </c>
      <c r="D2271" s="61">
        <v>40</v>
      </c>
    </row>
    <row r="2272" spans="1:4" x14ac:dyDescent="0.2">
      <c r="A2272" s="62" t="s">
        <v>16</v>
      </c>
      <c r="B2272" s="61" t="s">
        <v>909</v>
      </c>
      <c r="C2272" s="62" t="s">
        <v>910</v>
      </c>
      <c r="D2272" s="61">
        <v>40</v>
      </c>
    </row>
    <row r="2273" spans="1:4" x14ac:dyDescent="0.2">
      <c r="A2273" s="61" t="s">
        <v>16</v>
      </c>
      <c r="B2273" s="61" t="s">
        <v>289</v>
      </c>
      <c r="C2273" s="62" t="s">
        <v>290</v>
      </c>
      <c r="D2273" s="61">
        <v>40</v>
      </c>
    </row>
    <row r="2274" spans="1:4" x14ac:dyDescent="0.2">
      <c r="A2274" s="62" t="s">
        <v>16</v>
      </c>
      <c r="B2274" s="61" t="s">
        <v>309</v>
      </c>
      <c r="C2274" s="62" t="s">
        <v>310</v>
      </c>
      <c r="D2274" s="61">
        <v>40</v>
      </c>
    </row>
    <row r="2275" spans="1:4" x14ac:dyDescent="0.2">
      <c r="A2275" s="61" t="s">
        <v>16</v>
      </c>
      <c r="B2275" s="61" t="s">
        <v>4479</v>
      </c>
      <c r="C2275" s="62" t="s">
        <v>4480</v>
      </c>
      <c r="D2275" s="61">
        <v>40</v>
      </c>
    </row>
    <row r="2276" spans="1:4" x14ac:dyDescent="0.2">
      <c r="A2276" s="62" t="s">
        <v>16</v>
      </c>
      <c r="B2276" s="61" t="s">
        <v>4481</v>
      </c>
      <c r="C2276" s="62" t="s">
        <v>4482</v>
      </c>
      <c r="D2276" s="61">
        <v>50</v>
      </c>
    </row>
    <row r="2277" spans="1:4" x14ac:dyDescent="0.2">
      <c r="A2277" s="61" t="s">
        <v>16</v>
      </c>
      <c r="B2277" s="61" t="s">
        <v>4483</v>
      </c>
      <c r="C2277" s="62" t="s">
        <v>4484</v>
      </c>
      <c r="D2277" s="61">
        <v>50</v>
      </c>
    </row>
    <row r="2278" spans="1:4" x14ac:dyDescent="0.2">
      <c r="A2278" s="62" t="s">
        <v>16</v>
      </c>
      <c r="B2278" s="61" t="s">
        <v>4485</v>
      </c>
      <c r="C2278" s="62" t="s">
        <v>4853</v>
      </c>
      <c r="D2278" s="61">
        <v>40</v>
      </c>
    </row>
    <row r="2279" spans="1:4" x14ac:dyDescent="0.2">
      <c r="A2279" s="61" t="s">
        <v>16</v>
      </c>
      <c r="B2279" s="61" t="s">
        <v>4486</v>
      </c>
      <c r="C2279" s="62" t="s">
        <v>4852</v>
      </c>
      <c r="D2279" s="61">
        <v>40</v>
      </c>
    </row>
    <row r="2280" spans="1:4" x14ac:dyDescent="0.2">
      <c r="A2280" s="61" t="s">
        <v>16</v>
      </c>
      <c r="B2280" s="61" t="s">
        <v>480</v>
      </c>
      <c r="C2280" s="62" t="s">
        <v>481</v>
      </c>
      <c r="D2280" s="61">
        <v>40</v>
      </c>
    </row>
    <row r="2281" spans="1:4" x14ac:dyDescent="0.2">
      <c r="A2281" s="62" t="s">
        <v>16</v>
      </c>
      <c r="B2281" s="61" t="s">
        <v>493</v>
      </c>
      <c r="C2281" s="62" t="s">
        <v>494</v>
      </c>
      <c r="D2281" s="61">
        <v>40</v>
      </c>
    </row>
    <row r="2282" spans="1:4" x14ac:dyDescent="0.2">
      <c r="A2282" s="61" t="s">
        <v>16</v>
      </c>
      <c r="B2282" s="61" t="s">
        <v>550</v>
      </c>
      <c r="C2282" s="62" t="s">
        <v>551</v>
      </c>
      <c r="D2282" s="61">
        <v>40</v>
      </c>
    </row>
    <row r="2283" spans="1:4" x14ac:dyDescent="0.2">
      <c r="A2283" s="62" t="s">
        <v>16</v>
      </c>
      <c r="B2283" s="61" t="s">
        <v>533</v>
      </c>
      <c r="C2283" s="62" t="s">
        <v>534</v>
      </c>
      <c r="D2283" s="61">
        <v>40</v>
      </c>
    </row>
    <row r="2284" spans="1:4" x14ac:dyDescent="0.2">
      <c r="A2284" s="61" t="s">
        <v>16</v>
      </c>
      <c r="B2284" s="61" t="s">
        <v>537</v>
      </c>
      <c r="C2284" s="62" t="s">
        <v>538</v>
      </c>
      <c r="D2284" s="61">
        <v>40</v>
      </c>
    </row>
    <row r="2285" spans="1:4" x14ac:dyDescent="0.2">
      <c r="A2285" s="62" t="s">
        <v>16</v>
      </c>
      <c r="B2285" s="61" t="s">
        <v>535</v>
      </c>
      <c r="C2285" s="62" t="s">
        <v>536</v>
      </c>
      <c r="D2285" s="61">
        <v>40</v>
      </c>
    </row>
    <row r="2286" spans="1:4" x14ac:dyDescent="0.2">
      <c r="A2286" s="62" t="s">
        <v>16</v>
      </c>
      <c r="B2286" s="61" t="s">
        <v>4487</v>
      </c>
      <c r="C2286" s="62" t="s">
        <v>4488</v>
      </c>
      <c r="D2286" s="61">
        <v>40</v>
      </c>
    </row>
    <row r="2287" spans="1:4" x14ac:dyDescent="0.2">
      <c r="A2287" s="61" t="s">
        <v>16</v>
      </c>
      <c r="B2287" s="61" t="s">
        <v>356</v>
      </c>
      <c r="C2287" s="62" t="s">
        <v>556</v>
      </c>
      <c r="D2287" s="61">
        <v>40</v>
      </c>
    </row>
    <row r="2288" spans="1:4" x14ac:dyDescent="0.2">
      <c r="A2288" s="62" t="s">
        <v>16</v>
      </c>
      <c r="B2288" s="61" t="s">
        <v>4489</v>
      </c>
      <c r="C2288" s="62" t="s">
        <v>4490</v>
      </c>
      <c r="D2288" s="61">
        <v>40</v>
      </c>
    </row>
    <row r="2289" spans="1:4" x14ac:dyDescent="0.2">
      <c r="A2289" s="61" t="s">
        <v>16</v>
      </c>
      <c r="B2289" s="61" t="s">
        <v>367</v>
      </c>
      <c r="C2289" s="62" t="s">
        <v>557</v>
      </c>
      <c r="D2289" s="61">
        <v>40</v>
      </c>
    </row>
    <row r="2290" spans="1:4" x14ac:dyDescent="0.2">
      <c r="A2290" s="62" t="s">
        <v>16</v>
      </c>
      <c r="B2290" s="61" t="s">
        <v>427</v>
      </c>
      <c r="C2290" s="62" t="s">
        <v>546</v>
      </c>
      <c r="D2290" s="61">
        <v>40</v>
      </c>
    </row>
    <row r="2291" spans="1:4" x14ac:dyDescent="0.2">
      <c r="A2291" s="61" t="s">
        <v>16</v>
      </c>
      <c r="B2291" s="61" t="s">
        <v>394</v>
      </c>
      <c r="C2291" s="62" t="s">
        <v>4939</v>
      </c>
      <c r="D2291" s="61">
        <v>40</v>
      </c>
    </row>
    <row r="2292" spans="1:4" x14ac:dyDescent="0.2">
      <c r="A2292" s="61" t="s">
        <v>16</v>
      </c>
      <c r="B2292" s="61" t="s">
        <v>4491</v>
      </c>
      <c r="C2292" s="62" t="s">
        <v>5578</v>
      </c>
      <c r="D2292" s="61">
        <v>40</v>
      </c>
    </row>
    <row r="2293" spans="1:4" x14ac:dyDescent="0.2">
      <c r="A2293" s="61" t="s">
        <v>16</v>
      </c>
      <c r="B2293" s="61" t="s">
        <v>4492</v>
      </c>
      <c r="C2293" s="62" t="s">
        <v>5579</v>
      </c>
      <c r="D2293" s="61">
        <v>40</v>
      </c>
    </row>
    <row r="2294" spans="1:4" x14ac:dyDescent="0.2">
      <c r="A2294" s="61" t="s">
        <v>16</v>
      </c>
      <c r="B2294" s="61" t="s">
        <v>4493</v>
      </c>
      <c r="C2294" s="62" t="s">
        <v>4494</v>
      </c>
      <c r="D2294" s="61">
        <v>40</v>
      </c>
    </row>
    <row r="2295" spans="1:4" x14ac:dyDescent="0.2">
      <c r="A2295" s="62" t="s">
        <v>16</v>
      </c>
      <c r="B2295" s="61" t="s">
        <v>4495</v>
      </c>
      <c r="C2295" s="62" t="s">
        <v>4496</v>
      </c>
      <c r="D2295" s="61">
        <v>40</v>
      </c>
    </row>
    <row r="2296" spans="1:4" x14ac:dyDescent="0.2">
      <c r="A2296" s="61" t="s">
        <v>16</v>
      </c>
      <c r="B2296" s="61" t="s">
        <v>4497</v>
      </c>
      <c r="C2296" s="62" t="s">
        <v>4498</v>
      </c>
      <c r="D2296" s="61">
        <v>40</v>
      </c>
    </row>
    <row r="2297" spans="1:4" x14ac:dyDescent="0.2">
      <c r="A2297" s="62" t="s">
        <v>16</v>
      </c>
      <c r="B2297" s="61" t="s">
        <v>4499</v>
      </c>
      <c r="C2297" s="62" t="s">
        <v>4500</v>
      </c>
      <c r="D2297" s="61">
        <v>40</v>
      </c>
    </row>
    <row r="2298" spans="1:4" x14ac:dyDescent="0.2">
      <c r="A2298" s="61" t="s">
        <v>16</v>
      </c>
      <c r="B2298" s="61" t="s">
        <v>4501</v>
      </c>
      <c r="C2298" s="62" t="s">
        <v>4502</v>
      </c>
      <c r="D2298" s="61">
        <v>40</v>
      </c>
    </row>
    <row r="2299" spans="1:4" x14ac:dyDescent="0.2">
      <c r="A2299" s="62" t="s">
        <v>16</v>
      </c>
      <c r="B2299" s="61" t="s">
        <v>4503</v>
      </c>
      <c r="C2299" s="62" t="s">
        <v>4504</v>
      </c>
      <c r="D2299" s="61">
        <v>40</v>
      </c>
    </row>
    <row r="2300" spans="1:4" x14ac:dyDescent="0.2">
      <c r="A2300" s="61" t="s">
        <v>16</v>
      </c>
      <c r="B2300" s="61" t="s">
        <v>4505</v>
      </c>
      <c r="C2300" s="62" t="s">
        <v>4506</v>
      </c>
      <c r="D2300" s="61">
        <v>40</v>
      </c>
    </row>
    <row r="2301" spans="1:4" x14ac:dyDescent="0.2">
      <c r="A2301" s="62" t="s">
        <v>16</v>
      </c>
      <c r="B2301" s="61" t="s">
        <v>4507</v>
      </c>
      <c r="C2301" s="62" t="s">
        <v>4508</v>
      </c>
      <c r="D2301" s="61">
        <v>40</v>
      </c>
    </row>
    <row r="2302" spans="1:4" x14ac:dyDescent="0.2">
      <c r="A2302" s="62" t="s">
        <v>16</v>
      </c>
      <c r="B2302" s="61" t="s">
        <v>4509</v>
      </c>
      <c r="C2302" s="62" t="s">
        <v>4510</v>
      </c>
      <c r="D2302" s="61">
        <v>40</v>
      </c>
    </row>
    <row r="2303" spans="1:4" x14ac:dyDescent="0.2">
      <c r="A2303" s="61" t="s">
        <v>16</v>
      </c>
      <c r="B2303" s="61" t="s">
        <v>4511</v>
      </c>
      <c r="C2303" s="62" t="s">
        <v>4512</v>
      </c>
      <c r="D2303" s="61">
        <v>40</v>
      </c>
    </row>
    <row r="2304" spans="1:4" x14ac:dyDescent="0.2">
      <c r="A2304" s="62" t="s">
        <v>16</v>
      </c>
      <c r="B2304" s="61" t="s">
        <v>4513</v>
      </c>
      <c r="C2304" s="62" t="s">
        <v>4514</v>
      </c>
      <c r="D2304" s="61">
        <v>40</v>
      </c>
    </row>
    <row r="2305" spans="1:4" x14ac:dyDescent="0.2">
      <c r="A2305" s="61" t="s">
        <v>16</v>
      </c>
      <c r="B2305" s="61" t="s">
        <v>4515</v>
      </c>
      <c r="C2305" s="62" t="s">
        <v>4516</v>
      </c>
      <c r="D2305" s="61">
        <v>40</v>
      </c>
    </row>
    <row r="2306" spans="1:4" x14ac:dyDescent="0.2">
      <c r="A2306" s="62" t="s">
        <v>16</v>
      </c>
      <c r="B2306" s="61" t="s">
        <v>4517</v>
      </c>
      <c r="C2306" s="62" t="s">
        <v>4518</v>
      </c>
      <c r="D2306" s="61">
        <v>40</v>
      </c>
    </row>
    <row r="2307" spans="1:4" x14ac:dyDescent="0.2">
      <c r="A2307" s="61" t="s">
        <v>16</v>
      </c>
      <c r="B2307" s="61" t="s">
        <v>4519</v>
      </c>
      <c r="C2307" s="62" t="s">
        <v>4520</v>
      </c>
      <c r="D2307" s="61">
        <v>40</v>
      </c>
    </row>
    <row r="2308" spans="1:4" x14ac:dyDescent="0.2">
      <c r="A2308" s="62" t="s">
        <v>16</v>
      </c>
      <c r="B2308" s="61" t="s">
        <v>4521</v>
      </c>
      <c r="C2308" s="62" t="s">
        <v>4522</v>
      </c>
      <c r="D2308" s="61">
        <v>40</v>
      </c>
    </row>
    <row r="2309" spans="1:4" x14ac:dyDescent="0.2">
      <c r="A2309" s="61" t="s">
        <v>16</v>
      </c>
      <c r="B2309" s="61" t="s">
        <v>4523</v>
      </c>
      <c r="C2309" s="62" t="s">
        <v>4799</v>
      </c>
      <c r="D2309" s="61">
        <v>40</v>
      </c>
    </row>
    <row r="2310" spans="1:4" x14ac:dyDescent="0.2">
      <c r="A2310" s="62" t="s">
        <v>16</v>
      </c>
      <c r="B2310" s="61" t="s">
        <v>757</v>
      </c>
      <c r="C2310" s="62" t="s">
        <v>4799</v>
      </c>
      <c r="D2310" s="61">
        <v>40</v>
      </c>
    </row>
    <row r="2311" spans="1:4" x14ac:dyDescent="0.2">
      <c r="A2311" s="61" t="s">
        <v>16</v>
      </c>
      <c r="B2311" s="61" t="s">
        <v>4524</v>
      </c>
      <c r="C2311" s="62" t="s">
        <v>4799</v>
      </c>
      <c r="D2311" s="61">
        <v>40</v>
      </c>
    </row>
    <row r="2312" spans="1:4" x14ac:dyDescent="0.2">
      <c r="A2312" s="62" t="s">
        <v>16</v>
      </c>
      <c r="B2312" s="61" t="s">
        <v>4525</v>
      </c>
      <c r="C2312" s="62" t="s">
        <v>4526</v>
      </c>
      <c r="D2312" s="61">
        <v>40</v>
      </c>
    </row>
    <row r="2313" spans="1:4" x14ac:dyDescent="0.2">
      <c r="A2313" s="61" t="s">
        <v>16</v>
      </c>
      <c r="B2313" s="61" t="s">
        <v>4527</v>
      </c>
      <c r="C2313" s="62" t="s">
        <v>4528</v>
      </c>
      <c r="D2313" s="61">
        <v>40</v>
      </c>
    </row>
    <row r="2314" spans="1:4" x14ac:dyDescent="0.2">
      <c r="A2314" s="62" t="s">
        <v>16</v>
      </c>
      <c r="B2314" s="61" t="s">
        <v>4529</v>
      </c>
      <c r="C2314" s="62" t="s">
        <v>4530</v>
      </c>
      <c r="D2314" s="61">
        <v>40</v>
      </c>
    </row>
    <row r="2315" spans="1:4" x14ac:dyDescent="0.2">
      <c r="A2315" s="61" t="s">
        <v>16</v>
      </c>
      <c r="B2315" s="61" t="s">
        <v>4531</v>
      </c>
      <c r="C2315" s="62" t="s">
        <v>4532</v>
      </c>
      <c r="D2315" s="61">
        <v>40</v>
      </c>
    </row>
    <row r="2316" spans="1:4" x14ac:dyDescent="0.2">
      <c r="A2316" s="62" t="s">
        <v>16</v>
      </c>
      <c r="B2316" s="61" t="s">
        <v>756</v>
      </c>
      <c r="C2316" s="62" t="s">
        <v>419</v>
      </c>
      <c r="D2316" s="61">
        <v>40</v>
      </c>
    </row>
    <row r="2317" spans="1:4" x14ac:dyDescent="0.2">
      <c r="A2317" s="61" t="s">
        <v>16</v>
      </c>
      <c r="B2317" s="61" t="s">
        <v>611</v>
      </c>
      <c r="C2317" s="62" t="s">
        <v>612</v>
      </c>
      <c r="D2317" s="61">
        <v>40</v>
      </c>
    </row>
    <row r="2318" spans="1:4" x14ac:dyDescent="0.2">
      <c r="A2318" s="62" t="s">
        <v>16</v>
      </c>
      <c r="B2318" s="61" t="s">
        <v>4533</v>
      </c>
      <c r="C2318" s="62" t="s">
        <v>4534</v>
      </c>
      <c r="D2318" s="61">
        <v>40</v>
      </c>
    </row>
    <row r="2319" spans="1:4" x14ac:dyDescent="0.2">
      <c r="A2319" s="62" t="s">
        <v>16</v>
      </c>
      <c r="B2319" s="61" t="s">
        <v>4535</v>
      </c>
      <c r="C2319" s="62" t="s">
        <v>4536</v>
      </c>
      <c r="D2319" s="61">
        <v>40</v>
      </c>
    </row>
    <row r="2320" spans="1:4" x14ac:dyDescent="0.2">
      <c r="A2320" s="61" t="s">
        <v>16</v>
      </c>
      <c r="B2320" s="61" t="s">
        <v>4537</v>
      </c>
      <c r="C2320" s="62" t="s">
        <v>4538</v>
      </c>
      <c r="D2320" s="61">
        <v>40</v>
      </c>
    </row>
    <row r="2321" spans="1:4" x14ac:dyDescent="0.2">
      <c r="A2321" s="61" t="s">
        <v>16</v>
      </c>
      <c r="B2321" s="61" t="s">
        <v>410</v>
      </c>
      <c r="C2321" s="62" t="s">
        <v>558</v>
      </c>
      <c r="D2321" s="61">
        <v>40</v>
      </c>
    </row>
    <row r="2322" spans="1:4" x14ac:dyDescent="0.2">
      <c r="A2322" s="62" t="s">
        <v>16</v>
      </c>
      <c r="B2322" s="61" t="s">
        <v>411</v>
      </c>
      <c r="C2322" s="62" t="s">
        <v>559</v>
      </c>
      <c r="D2322" s="61">
        <v>40</v>
      </c>
    </row>
    <row r="2323" spans="1:4" x14ac:dyDescent="0.2">
      <c r="A2323" s="62" t="s">
        <v>16</v>
      </c>
      <c r="B2323" s="61" t="s">
        <v>4539</v>
      </c>
      <c r="C2323" s="62" t="s">
        <v>4540</v>
      </c>
      <c r="D2323" s="61">
        <v>40</v>
      </c>
    </row>
    <row r="2324" spans="1:4" x14ac:dyDescent="0.2">
      <c r="A2324" s="61" t="s">
        <v>16</v>
      </c>
      <c r="B2324" s="61" t="s">
        <v>4541</v>
      </c>
      <c r="C2324" s="62" t="s">
        <v>4542</v>
      </c>
      <c r="D2324" s="61">
        <v>40</v>
      </c>
    </row>
    <row r="2325" spans="1:4" x14ac:dyDescent="0.2">
      <c r="A2325" s="62" t="s">
        <v>16</v>
      </c>
      <c r="B2325" s="61" t="s">
        <v>4543</v>
      </c>
      <c r="C2325" s="62" t="s">
        <v>4544</v>
      </c>
      <c r="D2325" s="61">
        <v>40</v>
      </c>
    </row>
    <row r="2326" spans="1:4" x14ac:dyDescent="0.2">
      <c r="A2326" s="61" t="s">
        <v>16</v>
      </c>
      <c r="B2326" s="61" t="s">
        <v>4545</v>
      </c>
      <c r="C2326" s="62" t="s">
        <v>4546</v>
      </c>
      <c r="D2326" s="61">
        <v>40</v>
      </c>
    </row>
    <row r="2327" spans="1:4" x14ac:dyDescent="0.2">
      <c r="A2327" s="62" t="s">
        <v>16</v>
      </c>
      <c r="B2327" s="61" t="s">
        <v>4547</v>
      </c>
      <c r="C2327" s="62" t="s">
        <v>4548</v>
      </c>
      <c r="D2327" s="61">
        <v>40</v>
      </c>
    </row>
    <row r="2328" spans="1:4" x14ac:dyDescent="0.2">
      <c r="A2328" s="61" t="s">
        <v>16</v>
      </c>
      <c r="B2328" s="61" t="s">
        <v>4549</v>
      </c>
      <c r="C2328" s="62" t="s">
        <v>4550</v>
      </c>
      <c r="D2328" s="61">
        <v>40</v>
      </c>
    </row>
    <row r="2329" spans="1:4" x14ac:dyDescent="0.2">
      <c r="A2329" s="62" t="s">
        <v>16</v>
      </c>
      <c r="B2329" s="61" t="s">
        <v>496</v>
      </c>
      <c r="C2329" s="62" t="s">
        <v>497</v>
      </c>
      <c r="D2329" s="61">
        <v>40</v>
      </c>
    </row>
    <row r="2330" spans="1:4" x14ac:dyDescent="0.2">
      <c r="A2330" s="61" t="s">
        <v>16</v>
      </c>
      <c r="B2330" s="61" t="s">
        <v>4551</v>
      </c>
      <c r="C2330" s="62" t="s">
        <v>4552</v>
      </c>
      <c r="D2330" s="61">
        <v>40</v>
      </c>
    </row>
    <row r="2331" spans="1:4" x14ac:dyDescent="0.2">
      <c r="A2331" s="62" t="s">
        <v>16</v>
      </c>
      <c r="B2331" s="61" t="s">
        <v>4553</v>
      </c>
      <c r="C2331" s="62" t="s">
        <v>4554</v>
      </c>
      <c r="D2331" s="61">
        <v>40</v>
      </c>
    </row>
    <row r="2332" spans="1:4" x14ac:dyDescent="0.2">
      <c r="A2332" s="61" t="s">
        <v>16</v>
      </c>
      <c r="B2332" s="61" t="s">
        <v>834</v>
      </c>
      <c r="C2332" s="62" t="s">
        <v>835</v>
      </c>
      <c r="D2332" s="61">
        <v>40</v>
      </c>
    </row>
    <row r="2333" spans="1:4" x14ac:dyDescent="0.2">
      <c r="A2333" s="62" t="s">
        <v>16</v>
      </c>
      <c r="B2333" s="61" t="s">
        <v>4555</v>
      </c>
      <c r="C2333" s="62" t="s">
        <v>4556</v>
      </c>
      <c r="D2333" s="61">
        <v>40</v>
      </c>
    </row>
    <row r="2334" spans="1:4" x14ac:dyDescent="0.2">
      <c r="A2334" s="61" t="s">
        <v>16</v>
      </c>
      <c r="B2334" s="61" t="s">
        <v>4557</v>
      </c>
      <c r="C2334" s="62" t="s">
        <v>4558</v>
      </c>
      <c r="D2334" s="61">
        <v>40</v>
      </c>
    </row>
    <row r="2335" spans="1:4" x14ac:dyDescent="0.2">
      <c r="A2335" s="62" t="s">
        <v>16</v>
      </c>
      <c r="B2335" s="61" t="s">
        <v>4559</v>
      </c>
      <c r="C2335" s="62" t="s">
        <v>4560</v>
      </c>
      <c r="D2335" s="61">
        <v>40</v>
      </c>
    </row>
    <row r="2336" spans="1:4" x14ac:dyDescent="0.2">
      <c r="A2336" s="61" t="s">
        <v>16</v>
      </c>
      <c r="B2336" s="61" t="s">
        <v>4561</v>
      </c>
      <c r="C2336" s="62" t="s">
        <v>4562</v>
      </c>
      <c r="D2336" s="61">
        <v>40</v>
      </c>
    </row>
    <row r="2337" spans="1:4" x14ac:dyDescent="0.2">
      <c r="A2337" s="62" t="s">
        <v>16</v>
      </c>
      <c r="B2337" s="61" t="s">
        <v>655</v>
      </c>
      <c r="C2337" s="62" t="s">
        <v>656</v>
      </c>
      <c r="D2337" s="61">
        <v>40</v>
      </c>
    </row>
    <row r="2338" spans="1:4" x14ac:dyDescent="0.2">
      <c r="A2338" s="61" t="s">
        <v>16</v>
      </c>
      <c r="B2338" s="61" t="s">
        <v>4563</v>
      </c>
      <c r="C2338" s="62" t="s">
        <v>4564</v>
      </c>
      <c r="D2338" s="61">
        <v>40</v>
      </c>
    </row>
    <row r="2339" spans="1:4" x14ac:dyDescent="0.2">
      <c r="A2339" s="62" t="s">
        <v>16</v>
      </c>
      <c r="B2339" s="61" t="s">
        <v>660</v>
      </c>
      <c r="C2339" s="62" t="s">
        <v>661</v>
      </c>
      <c r="D2339" s="61">
        <v>40</v>
      </c>
    </row>
    <row r="2340" spans="1:4" x14ac:dyDescent="0.2">
      <c r="A2340" s="61" t="s">
        <v>16</v>
      </c>
      <c r="B2340" s="61" t="s">
        <v>604</v>
      </c>
      <c r="C2340" s="62" t="s">
        <v>605</v>
      </c>
      <c r="D2340" s="61">
        <v>40</v>
      </c>
    </row>
    <row r="2341" spans="1:4" x14ac:dyDescent="0.2">
      <c r="A2341" s="62" t="s">
        <v>16</v>
      </c>
      <c r="B2341" s="61" t="s">
        <v>4565</v>
      </c>
      <c r="C2341" s="62" t="s">
        <v>4566</v>
      </c>
      <c r="D2341" s="61">
        <v>40</v>
      </c>
    </row>
    <row r="2342" spans="1:4" x14ac:dyDescent="0.2">
      <c r="A2342" s="62" t="s">
        <v>16</v>
      </c>
      <c r="B2342" s="61" t="s">
        <v>4567</v>
      </c>
      <c r="C2342" s="62" t="s">
        <v>4568</v>
      </c>
      <c r="D2342" s="61">
        <v>40</v>
      </c>
    </row>
    <row r="2343" spans="1:4" x14ac:dyDescent="0.2">
      <c r="A2343" s="61" t="s">
        <v>16</v>
      </c>
      <c r="B2343" s="61" t="s">
        <v>637</v>
      </c>
      <c r="C2343" s="62" t="s">
        <v>638</v>
      </c>
      <c r="D2343" s="61">
        <v>40</v>
      </c>
    </row>
    <row r="2344" spans="1:4" x14ac:dyDescent="0.2">
      <c r="A2344" s="62" t="s">
        <v>16</v>
      </c>
      <c r="B2344" s="61" t="s">
        <v>4569</v>
      </c>
      <c r="C2344" s="62" t="s">
        <v>4570</v>
      </c>
      <c r="D2344" s="61">
        <v>40</v>
      </c>
    </row>
    <row r="2345" spans="1:4" x14ac:dyDescent="0.2">
      <c r="A2345" s="61" t="s">
        <v>16</v>
      </c>
      <c r="B2345" s="61" t="s">
        <v>4571</v>
      </c>
      <c r="C2345" s="62" t="s">
        <v>4572</v>
      </c>
      <c r="D2345" s="61">
        <v>40</v>
      </c>
    </row>
    <row r="2346" spans="1:4" x14ac:dyDescent="0.2">
      <c r="A2346" s="62" t="s">
        <v>16</v>
      </c>
      <c r="B2346" s="61" t="s">
        <v>4573</v>
      </c>
      <c r="C2346" s="62" t="s">
        <v>4574</v>
      </c>
      <c r="D2346" s="61">
        <v>40</v>
      </c>
    </row>
    <row r="2347" spans="1:4" x14ac:dyDescent="0.2">
      <c r="A2347" s="61" t="s">
        <v>16</v>
      </c>
      <c r="B2347" s="61" t="s">
        <v>4575</v>
      </c>
      <c r="C2347" s="62" t="s">
        <v>4576</v>
      </c>
      <c r="D2347" s="61">
        <v>40</v>
      </c>
    </row>
    <row r="2348" spans="1:4" x14ac:dyDescent="0.2">
      <c r="A2348" s="62" t="s">
        <v>16</v>
      </c>
      <c r="B2348" s="61" t="s">
        <v>4577</v>
      </c>
      <c r="C2348" s="62" t="s">
        <v>4578</v>
      </c>
      <c r="D2348" s="61">
        <v>40</v>
      </c>
    </row>
    <row r="2349" spans="1:4" x14ac:dyDescent="0.2">
      <c r="A2349" s="61" t="s">
        <v>16</v>
      </c>
      <c r="B2349" s="61" t="s">
        <v>4579</v>
      </c>
      <c r="C2349" s="62" t="s">
        <v>4580</v>
      </c>
      <c r="D2349" s="61">
        <v>40</v>
      </c>
    </row>
    <row r="2350" spans="1:4" x14ac:dyDescent="0.2">
      <c r="A2350" s="62" t="s">
        <v>16</v>
      </c>
      <c r="B2350" s="61" t="s">
        <v>4581</v>
      </c>
      <c r="C2350" s="62" t="s">
        <v>4582</v>
      </c>
      <c r="D2350" s="61">
        <v>40</v>
      </c>
    </row>
    <row r="2351" spans="1:4" x14ac:dyDescent="0.2">
      <c r="A2351" s="61" t="s">
        <v>16</v>
      </c>
      <c r="B2351" s="61" t="s">
        <v>547</v>
      </c>
      <c r="C2351" s="62" t="s">
        <v>548</v>
      </c>
      <c r="D2351" s="61">
        <v>50</v>
      </c>
    </row>
    <row r="2352" spans="1:4" x14ac:dyDescent="0.2">
      <c r="A2352" s="62" t="s">
        <v>16</v>
      </c>
      <c r="B2352" s="61" t="s">
        <v>855</v>
      </c>
      <c r="C2352" s="62" t="s">
        <v>856</v>
      </c>
      <c r="D2352" s="61">
        <v>50</v>
      </c>
    </row>
    <row r="2353" spans="1:4" x14ac:dyDescent="0.2">
      <c r="A2353" s="61" t="s">
        <v>16</v>
      </c>
      <c r="B2353" s="61" t="s">
        <v>617</v>
      </c>
      <c r="C2353" s="62" t="s">
        <v>618</v>
      </c>
      <c r="D2353" s="61">
        <v>50</v>
      </c>
    </row>
    <row r="2354" spans="1:4" x14ac:dyDescent="0.2">
      <c r="A2354" s="62" t="s">
        <v>16</v>
      </c>
      <c r="B2354" s="61" t="s">
        <v>4583</v>
      </c>
      <c r="C2354" s="62" t="s">
        <v>4584</v>
      </c>
      <c r="D2354" s="61">
        <v>50</v>
      </c>
    </row>
    <row r="2355" spans="1:4" x14ac:dyDescent="0.2">
      <c r="A2355" s="61" t="s">
        <v>16</v>
      </c>
      <c r="B2355" s="61" t="s">
        <v>4585</v>
      </c>
      <c r="C2355" s="62" t="s">
        <v>4586</v>
      </c>
      <c r="D2355" s="61">
        <v>50</v>
      </c>
    </row>
    <row r="2356" spans="1:4" x14ac:dyDescent="0.2">
      <c r="A2356" s="62" t="s">
        <v>16</v>
      </c>
      <c r="B2356" s="61" t="s">
        <v>4587</v>
      </c>
      <c r="C2356" s="62" t="s">
        <v>4588</v>
      </c>
      <c r="D2356" s="61">
        <v>50</v>
      </c>
    </row>
    <row r="2357" spans="1:4" x14ac:dyDescent="0.2">
      <c r="A2357" s="61" t="s">
        <v>16</v>
      </c>
      <c r="B2357" s="61" t="s">
        <v>4589</v>
      </c>
      <c r="C2357" s="62" t="s">
        <v>4590</v>
      </c>
      <c r="D2357" s="61">
        <v>50</v>
      </c>
    </row>
    <row r="2358" spans="1:4" x14ac:dyDescent="0.2">
      <c r="A2358" s="62" t="s">
        <v>16</v>
      </c>
      <c r="B2358" s="61" t="s">
        <v>4591</v>
      </c>
      <c r="C2358" s="62" t="s">
        <v>5580</v>
      </c>
      <c r="D2358" s="61">
        <v>40</v>
      </c>
    </row>
    <row r="2359" spans="1:4" x14ac:dyDescent="0.2">
      <c r="A2359" s="61" t="s">
        <v>16</v>
      </c>
      <c r="B2359" s="61" t="s">
        <v>4592</v>
      </c>
      <c r="C2359" s="62" t="s">
        <v>5581</v>
      </c>
      <c r="D2359" s="61">
        <v>40</v>
      </c>
    </row>
    <row r="2360" spans="1:4" x14ac:dyDescent="0.2">
      <c r="A2360" s="62" t="s">
        <v>16</v>
      </c>
      <c r="B2360" s="61" t="s">
        <v>4593</v>
      </c>
      <c r="C2360" s="62" t="s">
        <v>4594</v>
      </c>
      <c r="D2360" s="61">
        <v>50</v>
      </c>
    </row>
    <row r="2361" spans="1:4" x14ac:dyDescent="0.2">
      <c r="A2361" s="61" t="s">
        <v>16</v>
      </c>
      <c r="B2361" s="61" t="s">
        <v>758</v>
      </c>
      <c r="C2361" s="62" t="s">
        <v>759</v>
      </c>
      <c r="D2361" s="61">
        <v>50</v>
      </c>
    </row>
    <row r="2362" spans="1:4" x14ac:dyDescent="0.2">
      <c r="A2362" s="62" t="s">
        <v>16</v>
      </c>
      <c r="B2362" s="61" t="s">
        <v>4595</v>
      </c>
      <c r="C2362" s="62" t="s">
        <v>4596</v>
      </c>
      <c r="D2362" s="61">
        <v>50</v>
      </c>
    </row>
    <row r="2363" spans="1:4" x14ac:dyDescent="0.2">
      <c r="A2363" s="61" t="s">
        <v>16</v>
      </c>
      <c r="B2363" s="61" t="s">
        <v>4597</v>
      </c>
      <c r="C2363" s="62" t="s">
        <v>4598</v>
      </c>
      <c r="D2363" s="61">
        <v>50</v>
      </c>
    </row>
    <row r="2364" spans="1:4" x14ac:dyDescent="0.2">
      <c r="A2364" s="62" t="s">
        <v>16</v>
      </c>
      <c r="B2364" s="61" t="s">
        <v>4599</v>
      </c>
      <c r="C2364" s="62" t="s">
        <v>4600</v>
      </c>
      <c r="D2364" s="61">
        <v>50</v>
      </c>
    </row>
    <row r="2365" spans="1:4" x14ac:dyDescent="0.2">
      <c r="A2365" s="61" t="s">
        <v>16</v>
      </c>
      <c r="B2365" s="61" t="s">
        <v>4601</v>
      </c>
      <c r="C2365" s="62" t="s">
        <v>4602</v>
      </c>
      <c r="D2365" s="61">
        <v>50</v>
      </c>
    </row>
    <row r="2366" spans="1:4" x14ac:dyDescent="0.2">
      <c r="A2366" s="62" t="s">
        <v>16</v>
      </c>
      <c r="B2366" s="61" t="s">
        <v>1009</v>
      </c>
      <c r="C2366" s="62" t="s">
        <v>1010</v>
      </c>
      <c r="D2366" s="61">
        <v>50</v>
      </c>
    </row>
    <row r="2367" spans="1:4" x14ac:dyDescent="0.2">
      <c r="A2367" s="61" t="s">
        <v>16</v>
      </c>
      <c r="B2367" s="61" t="s">
        <v>300</v>
      </c>
      <c r="C2367" s="62" t="s">
        <v>301</v>
      </c>
      <c r="D2367" s="61">
        <v>40</v>
      </c>
    </row>
    <row r="2368" spans="1:4" x14ac:dyDescent="0.2">
      <c r="A2368" s="62" t="s">
        <v>16</v>
      </c>
      <c r="B2368" s="61" t="s">
        <v>285</v>
      </c>
      <c r="C2368" s="62" t="s">
        <v>286</v>
      </c>
      <c r="D2368" s="61">
        <v>40</v>
      </c>
    </row>
    <row r="2369" spans="1:4" x14ac:dyDescent="0.2">
      <c r="A2369" s="61" t="s">
        <v>16</v>
      </c>
      <c r="B2369" s="61" t="s">
        <v>4603</v>
      </c>
      <c r="C2369" s="62" t="s">
        <v>4604</v>
      </c>
      <c r="D2369" s="61">
        <v>40</v>
      </c>
    </row>
    <row r="2370" spans="1:4" x14ac:dyDescent="0.2">
      <c r="A2370" s="62" t="s">
        <v>16</v>
      </c>
      <c r="B2370" s="61" t="s">
        <v>225</v>
      </c>
      <c r="C2370" s="62" t="s">
        <v>324</v>
      </c>
      <c r="D2370" s="61">
        <v>40</v>
      </c>
    </row>
    <row r="2371" spans="1:4" x14ac:dyDescent="0.2">
      <c r="A2371" s="61" t="s">
        <v>16</v>
      </c>
      <c r="B2371" s="61" t="s">
        <v>226</v>
      </c>
      <c r="C2371" s="62" t="s">
        <v>227</v>
      </c>
      <c r="D2371" s="61">
        <v>40</v>
      </c>
    </row>
    <row r="2372" spans="1:4" x14ac:dyDescent="0.2">
      <c r="A2372" s="62" t="s">
        <v>16</v>
      </c>
      <c r="B2372" s="61" t="s">
        <v>257</v>
      </c>
      <c r="C2372" s="62" t="s">
        <v>258</v>
      </c>
      <c r="D2372" s="61">
        <v>40</v>
      </c>
    </row>
    <row r="2373" spans="1:4" x14ac:dyDescent="0.2">
      <c r="A2373" s="62" t="s">
        <v>16</v>
      </c>
      <c r="B2373" s="61" t="s">
        <v>1012</v>
      </c>
      <c r="C2373" s="62" t="s">
        <v>4817</v>
      </c>
      <c r="D2373" s="61">
        <v>40</v>
      </c>
    </row>
    <row r="2374" spans="1:4" x14ac:dyDescent="0.2">
      <c r="A2374" s="61" t="s">
        <v>16</v>
      </c>
      <c r="B2374" s="61" t="s">
        <v>4605</v>
      </c>
      <c r="C2374" s="62" t="s">
        <v>4606</v>
      </c>
      <c r="D2374" s="61">
        <v>40</v>
      </c>
    </row>
    <row r="2375" spans="1:4" x14ac:dyDescent="0.2">
      <c r="A2375" s="62" t="s">
        <v>16</v>
      </c>
      <c r="B2375" s="61" t="s">
        <v>4607</v>
      </c>
      <c r="C2375" s="62" t="s">
        <v>4608</v>
      </c>
      <c r="D2375" s="61">
        <v>40</v>
      </c>
    </row>
    <row r="2376" spans="1:4" x14ac:dyDescent="0.2">
      <c r="A2376" s="61" t="s">
        <v>16</v>
      </c>
      <c r="B2376" s="61" t="s">
        <v>4609</v>
      </c>
      <c r="C2376" s="62" t="s">
        <v>4610</v>
      </c>
      <c r="D2376" s="61">
        <v>40</v>
      </c>
    </row>
    <row r="2377" spans="1:4" x14ac:dyDescent="0.2">
      <c r="A2377" s="62" t="s">
        <v>16</v>
      </c>
      <c r="B2377" s="61" t="s">
        <v>4611</v>
      </c>
      <c r="C2377" s="62" t="s">
        <v>4612</v>
      </c>
      <c r="D2377" s="61">
        <v>40</v>
      </c>
    </row>
    <row r="2378" spans="1:4" x14ac:dyDescent="0.2">
      <c r="A2378" s="61" t="s">
        <v>16</v>
      </c>
      <c r="B2378" s="61" t="s">
        <v>4613</v>
      </c>
      <c r="C2378" s="62" t="s">
        <v>4614</v>
      </c>
      <c r="D2378" s="61">
        <v>50</v>
      </c>
    </row>
    <row r="2379" spans="1:4" x14ac:dyDescent="0.2">
      <c r="A2379" s="62" t="s">
        <v>16</v>
      </c>
      <c r="B2379" s="61" t="s">
        <v>4615</v>
      </c>
      <c r="C2379" s="62" t="s">
        <v>4616</v>
      </c>
      <c r="D2379" s="61">
        <v>50</v>
      </c>
    </row>
    <row r="2380" spans="1:4" x14ac:dyDescent="0.2">
      <c r="A2380" s="61" t="s">
        <v>16</v>
      </c>
      <c r="B2380" s="61" t="s">
        <v>4617</v>
      </c>
      <c r="C2380" s="62" t="s">
        <v>4618</v>
      </c>
      <c r="D2380" s="61">
        <v>50</v>
      </c>
    </row>
    <row r="2381" spans="1:4" x14ac:dyDescent="0.2">
      <c r="A2381" s="62" t="s">
        <v>16</v>
      </c>
      <c r="B2381" s="61" t="s">
        <v>4619</v>
      </c>
      <c r="C2381" s="62" t="s">
        <v>4620</v>
      </c>
      <c r="D2381" s="61">
        <v>50</v>
      </c>
    </row>
    <row r="2382" spans="1:4" x14ac:dyDescent="0.2">
      <c r="A2382" s="61" t="s">
        <v>16</v>
      </c>
      <c r="B2382" s="61" t="s">
        <v>744</v>
      </c>
      <c r="C2382" s="62" t="s">
        <v>745</v>
      </c>
      <c r="D2382" s="61">
        <v>50</v>
      </c>
    </row>
    <row r="2383" spans="1:4" x14ac:dyDescent="0.2">
      <c r="A2383" s="62" t="s">
        <v>16</v>
      </c>
      <c r="B2383" s="61" t="s">
        <v>4621</v>
      </c>
      <c r="C2383" s="62" t="s">
        <v>4622</v>
      </c>
      <c r="D2383" s="61">
        <v>50</v>
      </c>
    </row>
    <row r="2384" spans="1:4" x14ac:dyDescent="0.2">
      <c r="A2384" s="61" t="s">
        <v>16</v>
      </c>
      <c r="B2384" s="61" t="s">
        <v>1007</v>
      </c>
      <c r="C2384" s="62" t="s">
        <v>1008</v>
      </c>
      <c r="D2384" s="61">
        <v>50</v>
      </c>
    </row>
    <row r="2385" spans="1:4" x14ac:dyDescent="0.2">
      <c r="A2385" s="62" t="s">
        <v>16</v>
      </c>
      <c r="B2385" s="61" t="s">
        <v>733</v>
      </c>
      <c r="C2385" s="62" t="s">
        <v>734</v>
      </c>
      <c r="D2385" s="61">
        <v>40</v>
      </c>
    </row>
    <row r="2386" spans="1:4" x14ac:dyDescent="0.2">
      <c r="A2386" s="61" t="s">
        <v>16</v>
      </c>
      <c r="B2386" s="61" t="s">
        <v>447</v>
      </c>
      <c r="C2386" s="62" t="s">
        <v>563</v>
      </c>
      <c r="D2386" s="61">
        <v>40</v>
      </c>
    </row>
    <row r="2387" spans="1:4" x14ac:dyDescent="0.2">
      <c r="A2387" s="62" t="s">
        <v>16</v>
      </c>
      <c r="B2387" s="61" t="s">
        <v>442</v>
      </c>
      <c r="C2387" s="62" t="s">
        <v>549</v>
      </c>
      <c r="D2387" s="61">
        <v>40</v>
      </c>
    </row>
    <row r="2388" spans="1:4" x14ac:dyDescent="0.2">
      <c r="A2388" s="61" t="s">
        <v>16</v>
      </c>
      <c r="B2388" s="61" t="s">
        <v>4623</v>
      </c>
      <c r="C2388" s="62" t="s">
        <v>5582</v>
      </c>
      <c r="D2388" s="61">
        <v>50</v>
      </c>
    </row>
    <row r="2389" spans="1:4" x14ac:dyDescent="0.2">
      <c r="A2389" s="62" t="s">
        <v>16</v>
      </c>
      <c r="B2389" s="61" t="s">
        <v>4624</v>
      </c>
      <c r="C2389" s="62" t="s">
        <v>5583</v>
      </c>
      <c r="D2389" s="61">
        <v>50</v>
      </c>
    </row>
    <row r="2390" spans="1:4" x14ac:dyDescent="0.2">
      <c r="A2390" s="61" t="s">
        <v>16</v>
      </c>
      <c r="B2390" s="61" t="s">
        <v>4625</v>
      </c>
      <c r="C2390" s="62" t="s">
        <v>4626</v>
      </c>
      <c r="D2390" s="61">
        <v>40</v>
      </c>
    </row>
    <row r="2391" spans="1:4" x14ac:dyDescent="0.2">
      <c r="A2391" s="62" t="s">
        <v>16</v>
      </c>
      <c r="B2391" s="61" t="s">
        <v>4627</v>
      </c>
      <c r="C2391" s="62" t="s">
        <v>4628</v>
      </c>
      <c r="D2391" s="61">
        <v>40</v>
      </c>
    </row>
    <row r="2392" spans="1:4" x14ac:dyDescent="0.2">
      <c r="A2392" s="61" t="s">
        <v>16</v>
      </c>
      <c r="B2392" s="61" t="s">
        <v>326</v>
      </c>
      <c r="C2392" s="62" t="s">
        <v>327</v>
      </c>
      <c r="D2392" s="61">
        <v>40</v>
      </c>
    </row>
    <row r="2393" spans="1:4" x14ac:dyDescent="0.2">
      <c r="A2393" s="62" t="s">
        <v>16</v>
      </c>
      <c r="B2393" s="61" t="s">
        <v>4629</v>
      </c>
      <c r="C2393" s="62" t="s">
        <v>5584</v>
      </c>
      <c r="D2393" s="61">
        <v>40</v>
      </c>
    </row>
    <row r="2394" spans="1:4" x14ac:dyDescent="0.2">
      <c r="A2394" s="61" t="s">
        <v>16</v>
      </c>
      <c r="B2394" s="61" t="s">
        <v>4711</v>
      </c>
      <c r="C2394" s="62" t="s">
        <v>5585</v>
      </c>
      <c r="D2394" s="61">
        <v>40</v>
      </c>
    </row>
    <row r="2395" spans="1:4" x14ac:dyDescent="0.2">
      <c r="A2395" s="62" t="s">
        <v>16</v>
      </c>
      <c r="B2395" s="61" t="s">
        <v>338</v>
      </c>
      <c r="C2395" s="62" t="s">
        <v>317</v>
      </c>
      <c r="D2395" s="61">
        <v>40</v>
      </c>
    </row>
    <row r="2396" spans="1:4" x14ac:dyDescent="0.2">
      <c r="A2396" s="61" t="s">
        <v>16</v>
      </c>
      <c r="B2396" s="61" t="s">
        <v>683</v>
      </c>
      <c r="C2396" s="62" t="s">
        <v>317</v>
      </c>
      <c r="D2396" s="61">
        <v>40</v>
      </c>
    </row>
    <row r="2397" spans="1:4" x14ac:dyDescent="0.2">
      <c r="A2397" s="62" t="s">
        <v>16</v>
      </c>
      <c r="B2397" s="61" t="s">
        <v>336</v>
      </c>
      <c r="C2397" s="62" t="s">
        <v>317</v>
      </c>
      <c r="D2397" s="61">
        <v>40</v>
      </c>
    </row>
    <row r="2398" spans="1:4" x14ac:dyDescent="0.2">
      <c r="A2398" s="61" t="s">
        <v>16</v>
      </c>
      <c r="B2398" s="61" t="s">
        <v>682</v>
      </c>
      <c r="C2398" s="62" t="s">
        <v>317</v>
      </c>
      <c r="D2398" s="61">
        <v>40</v>
      </c>
    </row>
    <row r="2399" spans="1:4" x14ac:dyDescent="0.2">
      <c r="A2399" s="62" t="s">
        <v>16</v>
      </c>
      <c r="B2399" s="61" t="s">
        <v>934</v>
      </c>
      <c r="C2399" s="62" t="s">
        <v>317</v>
      </c>
      <c r="D2399" s="61">
        <v>40</v>
      </c>
    </row>
    <row r="2400" spans="1:4" x14ac:dyDescent="0.2">
      <c r="A2400" s="61" t="s">
        <v>16</v>
      </c>
      <c r="B2400" s="61" t="s">
        <v>337</v>
      </c>
      <c r="C2400" s="62" t="s">
        <v>317</v>
      </c>
      <c r="D2400" s="61">
        <v>40</v>
      </c>
    </row>
    <row r="2401" spans="1:4" x14ac:dyDescent="0.2">
      <c r="A2401" s="61" t="s">
        <v>16</v>
      </c>
      <c r="B2401" s="61" t="s">
        <v>479</v>
      </c>
      <c r="C2401" s="62" t="s">
        <v>317</v>
      </c>
      <c r="D2401" s="61">
        <v>40</v>
      </c>
    </row>
    <row r="2402" spans="1:4" x14ac:dyDescent="0.2">
      <c r="A2402" s="62" t="s">
        <v>16</v>
      </c>
      <c r="B2402" s="61" t="s">
        <v>459</v>
      </c>
      <c r="C2402" s="62" t="s">
        <v>317</v>
      </c>
      <c r="D2402" s="61">
        <v>40</v>
      </c>
    </row>
    <row r="2403" spans="1:4" x14ac:dyDescent="0.2">
      <c r="A2403" s="62" t="s">
        <v>16</v>
      </c>
      <c r="B2403" s="61" t="s">
        <v>259</v>
      </c>
      <c r="C2403" s="62" t="s">
        <v>4774</v>
      </c>
      <c r="D2403" s="61">
        <v>40</v>
      </c>
    </row>
    <row r="2404" spans="1:4" x14ac:dyDescent="0.2">
      <c r="A2404" s="62" t="s">
        <v>16</v>
      </c>
      <c r="B2404" s="61" t="s">
        <v>302</v>
      </c>
      <c r="C2404" s="62" t="s">
        <v>334</v>
      </c>
      <c r="D2404" s="61">
        <v>40</v>
      </c>
    </row>
    <row r="2405" spans="1:4" x14ac:dyDescent="0.2">
      <c r="A2405" s="61" t="s">
        <v>16</v>
      </c>
      <c r="B2405" s="61" t="s">
        <v>365</v>
      </c>
      <c r="C2405" s="62" t="s">
        <v>366</v>
      </c>
      <c r="D2405" s="61">
        <v>40</v>
      </c>
    </row>
    <row r="2406" spans="1:4" x14ac:dyDescent="0.2">
      <c r="A2406" s="62" t="s">
        <v>16</v>
      </c>
      <c r="B2406" s="61" t="s">
        <v>299</v>
      </c>
      <c r="C2406" s="62" t="s">
        <v>330</v>
      </c>
      <c r="D2406" s="61">
        <v>40</v>
      </c>
    </row>
    <row r="2407" spans="1:4" x14ac:dyDescent="0.2">
      <c r="A2407" s="62" t="s">
        <v>16</v>
      </c>
      <c r="B2407" s="61" t="s">
        <v>1019</v>
      </c>
      <c r="C2407" s="62" t="s">
        <v>1020</v>
      </c>
      <c r="D2407" s="61">
        <v>40</v>
      </c>
    </row>
    <row r="2408" spans="1:4" x14ac:dyDescent="0.2">
      <c r="A2408" s="61" t="s">
        <v>16</v>
      </c>
      <c r="B2408" s="61" t="s">
        <v>752</v>
      </c>
      <c r="C2408" s="62" t="s">
        <v>753</v>
      </c>
      <c r="D2408" s="61">
        <v>40</v>
      </c>
    </row>
    <row r="2409" spans="1:4" x14ac:dyDescent="0.2">
      <c r="A2409" s="62" t="s">
        <v>16</v>
      </c>
      <c r="B2409" s="61" t="s">
        <v>697</v>
      </c>
      <c r="C2409" s="62" t="s">
        <v>698</v>
      </c>
      <c r="D2409" s="61">
        <v>40</v>
      </c>
    </row>
    <row r="2410" spans="1:4" x14ac:dyDescent="0.2">
      <c r="A2410" s="61" t="s">
        <v>16</v>
      </c>
      <c r="B2410" s="61" t="s">
        <v>4630</v>
      </c>
      <c r="C2410" s="62" t="s">
        <v>4631</v>
      </c>
      <c r="D2410" s="61">
        <v>40</v>
      </c>
    </row>
    <row r="2411" spans="1:4" x14ac:dyDescent="0.2">
      <c r="A2411" s="62" t="s">
        <v>16</v>
      </c>
      <c r="B2411" s="61" t="s">
        <v>4632</v>
      </c>
      <c r="C2411" s="62" t="s">
        <v>4633</v>
      </c>
      <c r="D2411" s="61">
        <v>40</v>
      </c>
    </row>
    <row r="2412" spans="1:4" x14ac:dyDescent="0.2">
      <c r="A2412" s="61" t="s">
        <v>16</v>
      </c>
      <c r="B2412" s="61" t="s">
        <v>4634</v>
      </c>
      <c r="C2412" s="62" t="s">
        <v>4635</v>
      </c>
      <c r="D2412" s="61">
        <v>40</v>
      </c>
    </row>
    <row r="2413" spans="1:4" x14ac:dyDescent="0.2">
      <c r="A2413" s="62" t="s">
        <v>16</v>
      </c>
      <c r="B2413" s="61" t="s">
        <v>4636</v>
      </c>
      <c r="C2413" s="62" t="s">
        <v>4637</v>
      </c>
      <c r="D2413" s="61">
        <v>40</v>
      </c>
    </row>
    <row r="2414" spans="1:4" x14ac:dyDescent="0.2">
      <c r="A2414" s="61" t="s">
        <v>16</v>
      </c>
      <c r="B2414" s="61" t="s">
        <v>4638</v>
      </c>
      <c r="C2414" s="62" t="s">
        <v>4639</v>
      </c>
      <c r="D2414" s="61">
        <v>40</v>
      </c>
    </row>
    <row r="2415" spans="1:4" x14ac:dyDescent="0.2">
      <c r="A2415" s="62" t="s">
        <v>16</v>
      </c>
      <c r="B2415" s="61" t="s">
        <v>685</v>
      </c>
      <c r="C2415" s="62" t="s">
        <v>4814</v>
      </c>
      <c r="D2415" s="61">
        <v>40</v>
      </c>
    </row>
    <row r="2416" spans="1:4" x14ac:dyDescent="0.2">
      <c r="A2416" s="61" t="s">
        <v>16</v>
      </c>
      <c r="B2416" s="61" t="s">
        <v>762</v>
      </c>
      <c r="C2416" s="62" t="s">
        <v>763</v>
      </c>
      <c r="D2416" s="61">
        <v>40</v>
      </c>
    </row>
    <row r="2417" spans="1:4" x14ac:dyDescent="0.2">
      <c r="A2417" s="62" t="s">
        <v>16</v>
      </c>
      <c r="B2417" s="61" t="s">
        <v>4640</v>
      </c>
      <c r="C2417" s="62" t="s">
        <v>4641</v>
      </c>
      <c r="D2417" s="61">
        <v>40</v>
      </c>
    </row>
    <row r="2418" spans="1:4" x14ac:dyDescent="0.2">
      <c r="A2418" s="61" t="s">
        <v>16</v>
      </c>
      <c r="B2418" s="61" t="s">
        <v>4642</v>
      </c>
      <c r="C2418" s="62" t="s">
        <v>4643</v>
      </c>
      <c r="D2418" s="61">
        <v>40</v>
      </c>
    </row>
    <row r="2419" spans="1:4" x14ac:dyDescent="0.2">
      <c r="A2419" s="62" t="s">
        <v>16</v>
      </c>
      <c r="B2419" s="61" t="s">
        <v>420</v>
      </c>
      <c r="C2419" s="62" t="s">
        <v>421</v>
      </c>
      <c r="D2419" s="61">
        <v>40</v>
      </c>
    </row>
    <row r="2420" spans="1:4" x14ac:dyDescent="0.2">
      <c r="A2420" s="61" t="s">
        <v>16</v>
      </c>
      <c r="B2420" s="61" t="s">
        <v>4644</v>
      </c>
      <c r="C2420" s="62" t="s">
        <v>4645</v>
      </c>
      <c r="D2420" s="61">
        <v>40</v>
      </c>
    </row>
    <row r="2421" spans="1:4" x14ac:dyDescent="0.2">
      <c r="A2421" s="62" t="s">
        <v>16</v>
      </c>
      <c r="B2421" s="61" t="s">
        <v>4646</v>
      </c>
      <c r="C2421" s="62" t="s">
        <v>4647</v>
      </c>
      <c r="D2421" s="61">
        <v>40</v>
      </c>
    </row>
    <row r="2422" spans="1:4" x14ac:dyDescent="0.2">
      <c r="A2422" s="61" t="s">
        <v>16</v>
      </c>
      <c r="B2422" s="61" t="s">
        <v>412</v>
      </c>
      <c r="C2422" s="62" t="s">
        <v>413</v>
      </c>
      <c r="D2422" s="61">
        <v>40</v>
      </c>
    </row>
    <row r="2423" spans="1:4" x14ac:dyDescent="0.2">
      <c r="A2423" s="62" t="s">
        <v>16</v>
      </c>
      <c r="B2423" s="61" t="s">
        <v>250</v>
      </c>
      <c r="C2423" s="62" t="s">
        <v>4648</v>
      </c>
      <c r="D2423" s="61">
        <v>40</v>
      </c>
    </row>
    <row r="2424" spans="1:4" x14ac:dyDescent="0.2">
      <c r="A2424" s="61" t="s">
        <v>16</v>
      </c>
      <c r="B2424" s="61" t="s">
        <v>304</v>
      </c>
      <c r="C2424" s="62" t="s">
        <v>305</v>
      </c>
      <c r="D2424" s="61">
        <v>40</v>
      </c>
    </row>
    <row r="2425" spans="1:4" x14ac:dyDescent="0.2">
      <c r="A2425" s="62" t="s">
        <v>16</v>
      </c>
      <c r="B2425" s="61" t="s">
        <v>251</v>
      </c>
      <c r="C2425" s="62" t="s">
        <v>4649</v>
      </c>
      <c r="D2425" s="61">
        <v>40</v>
      </c>
    </row>
    <row r="2426" spans="1:4" x14ac:dyDescent="0.2">
      <c r="A2426" s="61" t="s">
        <v>16</v>
      </c>
      <c r="B2426" s="61" t="s">
        <v>252</v>
      </c>
      <c r="C2426" s="62" t="s">
        <v>4650</v>
      </c>
      <c r="D2426" s="61">
        <v>40</v>
      </c>
    </row>
    <row r="2427" spans="1:4" x14ac:dyDescent="0.2">
      <c r="A2427" s="62" t="s">
        <v>16</v>
      </c>
      <c r="B2427" s="61" t="s">
        <v>1021</v>
      </c>
      <c r="C2427" s="62" t="s">
        <v>1022</v>
      </c>
      <c r="D2427" s="61">
        <v>40</v>
      </c>
    </row>
    <row r="2428" spans="1:4" x14ac:dyDescent="0.2">
      <c r="A2428" s="61" t="s">
        <v>16</v>
      </c>
      <c r="B2428" s="61" t="s">
        <v>819</v>
      </c>
      <c r="C2428" s="62" t="s">
        <v>4981</v>
      </c>
      <c r="D2428" s="61">
        <v>40</v>
      </c>
    </row>
    <row r="2429" spans="1:4" x14ac:dyDescent="0.2">
      <c r="A2429" s="62" t="s">
        <v>16</v>
      </c>
      <c r="B2429" s="61" t="s">
        <v>820</v>
      </c>
      <c r="C2429" s="62" t="s">
        <v>4821</v>
      </c>
      <c r="D2429" s="61">
        <v>40</v>
      </c>
    </row>
    <row r="2430" spans="1:4" x14ac:dyDescent="0.2">
      <c r="A2430" s="61" t="s">
        <v>16</v>
      </c>
      <c r="B2430" s="61" t="s">
        <v>461</v>
      </c>
      <c r="C2430" s="62" t="s">
        <v>462</v>
      </c>
      <c r="D2430" s="61">
        <v>40</v>
      </c>
    </row>
    <row r="2431" spans="1:4" x14ac:dyDescent="0.2">
      <c r="A2431" s="62" t="s">
        <v>16</v>
      </c>
      <c r="B2431" s="61" t="s">
        <v>237</v>
      </c>
      <c r="C2431" s="62" t="s">
        <v>455</v>
      </c>
      <c r="D2431" s="61">
        <v>40</v>
      </c>
    </row>
    <row r="2432" spans="1:4" x14ac:dyDescent="0.2">
      <c r="A2432" s="61" t="s">
        <v>16</v>
      </c>
      <c r="B2432" s="61" t="s">
        <v>245</v>
      </c>
      <c r="C2432" s="62" t="s">
        <v>5586</v>
      </c>
      <c r="D2432" s="61">
        <v>40</v>
      </c>
    </row>
    <row r="2433" spans="1:4" x14ac:dyDescent="0.2">
      <c r="A2433" s="62" t="s">
        <v>16</v>
      </c>
      <c r="B2433" s="61" t="s">
        <v>771</v>
      </c>
      <c r="C2433" s="62" t="s">
        <v>4893</v>
      </c>
      <c r="D2433" s="61">
        <v>40</v>
      </c>
    </row>
    <row r="2434" spans="1:4" x14ac:dyDescent="0.2">
      <c r="A2434" s="61" t="s">
        <v>16</v>
      </c>
      <c r="B2434" s="61" t="s">
        <v>235</v>
      </c>
      <c r="C2434" s="62" t="s">
        <v>5587</v>
      </c>
      <c r="D2434" s="61">
        <v>40</v>
      </c>
    </row>
    <row r="2435" spans="1:4" x14ac:dyDescent="0.2">
      <c r="A2435" s="62" t="s">
        <v>16</v>
      </c>
      <c r="B2435" s="61" t="s">
        <v>4652</v>
      </c>
      <c r="C2435" s="62" t="s">
        <v>4653</v>
      </c>
      <c r="D2435" s="61">
        <v>40</v>
      </c>
    </row>
    <row r="2436" spans="1:4" x14ac:dyDescent="0.2">
      <c r="A2436" s="61" t="s">
        <v>16</v>
      </c>
      <c r="B2436" s="61" t="s">
        <v>231</v>
      </c>
      <c r="C2436" s="62" t="s">
        <v>4651</v>
      </c>
      <c r="D2436" s="61">
        <v>40</v>
      </c>
    </row>
    <row r="2437" spans="1:4" x14ac:dyDescent="0.2">
      <c r="A2437" s="62" t="s">
        <v>16</v>
      </c>
      <c r="B2437" s="61" t="s">
        <v>466</v>
      </c>
      <c r="C2437" s="62" t="s">
        <v>467</v>
      </c>
      <c r="D2437" s="61">
        <v>40</v>
      </c>
    </row>
    <row r="2438" spans="1:4" x14ac:dyDescent="0.2">
      <c r="A2438" s="61" t="s">
        <v>16</v>
      </c>
      <c r="B2438" s="61" t="s">
        <v>468</v>
      </c>
      <c r="C2438" s="62" t="s">
        <v>469</v>
      </c>
      <c r="D2438" s="61">
        <v>40</v>
      </c>
    </row>
    <row r="2439" spans="1:4" x14ac:dyDescent="0.2">
      <c r="A2439" s="62" t="s">
        <v>16</v>
      </c>
      <c r="B2439" s="61" t="s">
        <v>232</v>
      </c>
      <c r="C2439" s="62" t="s">
        <v>5588</v>
      </c>
      <c r="D2439" s="61">
        <v>40</v>
      </c>
    </row>
    <row r="2440" spans="1:4" x14ac:dyDescent="0.2">
      <c r="A2440" s="61" t="s">
        <v>16</v>
      </c>
      <c r="B2440" s="61" t="s">
        <v>240</v>
      </c>
      <c r="C2440" s="62" t="s">
        <v>241</v>
      </c>
      <c r="D2440" s="61">
        <v>40</v>
      </c>
    </row>
    <row r="2441" spans="1:4" x14ac:dyDescent="0.2">
      <c r="A2441" s="62" t="s">
        <v>16</v>
      </c>
      <c r="B2441" s="61" t="s">
        <v>236</v>
      </c>
      <c r="C2441" s="62" t="s">
        <v>298</v>
      </c>
      <c r="D2441" s="61">
        <v>40</v>
      </c>
    </row>
    <row r="2442" spans="1:4" x14ac:dyDescent="0.2">
      <c r="A2442" s="61" t="s">
        <v>16</v>
      </c>
      <c r="B2442" s="61" t="s">
        <v>879</v>
      </c>
      <c r="C2442" s="62" t="s">
        <v>880</v>
      </c>
      <c r="D2442" s="61">
        <v>40</v>
      </c>
    </row>
    <row r="2443" spans="1:4" x14ac:dyDescent="0.2">
      <c r="A2443" s="62" t="s">
        <v>16</v>
      </c>
      <c r="B2443" s="61" t="s">
        <v>233</v>
      </c>
      <c r="C2443" s="62" t="s">
        <v>786</v>
      </c>
      <c r="D2443" s="61">
        <v>40</v>
      </c>
    </row>
    <row r="2444" spans="1:4" x14ac:dyDescent="0.2">
      <c r="A2444" s="62" t="s">
        <v>16</v>
      </c>
      <c r="B2444" s="61" t="s">
        <v>4654</v>
      </c>
      <c r="C2444" s="62" t="s">
        <v>5589</v>
      </c>
      <c r="D2444" s="61">
        <v>40</v>
      </c>
    </row>
    <row r="2445" spans="1:4" x14ac:dyDescent="0.2">
      <c r="A2445" s="61" t="s">
        <v>16</v>
      </c>
      <c r="B2445" s="61" t="s">
        <v>4655</v>
      </c>
      <c r="C2445" s="62" t="s">
        <v>5590</v>
      </c>
      <c r="D2445" s="61">
        <v>40</v>
      </c>
    </row>
    <row r="2446" spans="1:4" x14ac:dyDescent="0.2">
      <c r="A2446" s="61" t="s">
        <v>16</v>
      </c>
      <c r="B2446" s="61" t="s">
        <v>4684</v>
      </c>
      <c r="C2446" s="62" t="s">
        <v>5591</v>
      </c>
      <c r="D2446" s="61">
        <v>40</v>
      </c>
    </row>
    <row r="2447" spans="1:4" x14ac:dyDescent="0.2">
      <c r="A2447" s="62" t="s">
        <v>16</v>
      </c>
      <c r="B2447" s="61" t="s">
        <v>395</v>
      </c>
      <c r="C2447" s="62" t="s">
        <v>396</v>
      </c>
      <c r="D2447" s="61">
        <v>40</v>
      </c>
    </row>
    <row r="2448" spans="1:4" x14ac:dyDescent="0.2">
      <c r="A2448" s="61" t="s">
        <v>16</v>
      </c>
      <c r="B2448" s="61" t="s">
        <v>787</v>
      </c>
      <c r="C2448" s="62" t="s">
        <v>4829</v>
      </c>
      <c r="D2448" s="61">
        <v>40</v>
      </c>
    </row>
    <row r="2449" spans="1:4" x14ac:dyDescent="0.2">
      <c r="A2449" s="62" t="s">
        <v>16</v>
      </c>
      <c r="B2449" s="61" t="s">
        <v>364</v>
      </c>
      <c r="C2449" s="62" t="s">
        <v>4955</v>
      </c>
      <c r="D2449" s="61">
        <v>40</v>
      </c>
    </row>
    <row r="2450" spans="1:4" x14ac:dyDescent="0.2">
      <c r="A2450" s="61" t="s">
        <v>16</v>
      </c>
      <c r="B2450" s="61" t="s">
        <v>373</v>
      </c>
      <c r="C2450" s="62" t="s">
        <v>374</v>
      </c>
      <c r="D2450" s="61">
        <v>40</v>
      </c>
    </row>
    <row r="2451" spans="1:4" x14ac:dyDescent="0.2">
      <c r="A2451" s="62" t="s">
        <v>16</v>
      </c>
      <c r="B2451" s="61" t="s">
        <v>382</v>
      </c>
      <c r="C2451" s="62" t="s">
        <v>383</v>
      </c>
      <c r="D2451" s="61">
        <v>40</v>
      </c>
    </row>
    <row r="2452" spans="1:4" x14ac:dyDescent="0.2">
      <c r="A2452" s="61" t="s">
        <v>16</v>
      </c>
      <c r="B2452" s="61" t="s">
        <v>390</v>
      </c>
      <c r="C2452" s="62" t="s">
        <v>391</v>
      </c>
      <c r="D2452" s="61">
        <v>40</v>
      </c>
    </row>
    <row r="2453" spans="1:4" x14ac:dyDescent="0.2">
      <c r="A2453" s="62" t="s">
        <v>16</v>
      </c>
      <c r="B2453" s="61" t="s">
        <v>4674</v>
      </c>
      <c r="C2453" s="62" t="s">
        <v>5592</v>
      </c>
      <c r="D2453" s="61">
        <v>40</v>
      </c>
    </row>
    <row r="2454" spans="1:4" x14ac:dyDescent="0.2">
      <c r="A2454" s="61" t="s">
        <v>16</v>
      </c>
      <c r="B2454" s="61" t="s">
        <v>4673</v>
      </c>
      <c r="C2454" s="62" t="s">
        <v>5593</v>
      </c>
      <c r="D2454" s="61">
        <v>40</v>
      </c>
    </row>
    <row r="2455" spans="1:4" x14ac:dyDescent="0.2">
      <c r="A2455" s="62" t="s">
        <v>16</v>
      </c>
      <c r="B2455" s="61" t="s">
        <v>542</v>
      </c>
      <c r="C2455" s="62" t="s">
        <v>543</v>
      </c>
      <c r="D2455" s="61">
        <v>40</v>
      </c>
    </row>
    <row r="2456" spans="1:4" x14ac:dyDescent="0.2">
      <c r="A2456" s="61" t="s">
        <v>16</v>
      </c>
      <c r="B2456" s="61" t="s">
        <v>544</v>
      </c>
      <c r="C2456" s="62" t="s">
        <v>545</v>
      </c>
      <c r="D2456" s="61">
        <v>40</v>
      </c>
    </row>
    <row r="2457" spans="1:4" x14ac:dyDescent="0.2">
      <c r="A2457" s="62" t="s">
        <v>16</v>
      </c>
      <c r="B2457" s="61" t="s">
        <v>554</v>
      </c>
      <c r="C2457" s="62" t="s">
        <v>555</v>
      </c>
      <c r="D2457" s="61">
        <v>40</v>
      </c>
    </row>
    <row r="2458" spans="1:4" x14ac:dyDescent="0.2">
      <c r="A2458" s="61" t="s">
        <v>16</v>
      </c>
      <c r="B2458" s="61" t="s">
        <v>4663</v>
      </c>
      <c r="C2458" s="62" t="s">
        <v>4664</v>
      </c>
      <c r="D2458" s="61">
        <v>40</v>
      </c>
    </row>
    <row r="2459" spans="1:4" x14ac:dyDescent="0.2">
      <c r="A2459" s="62" t="s">
        <v>16</v>
      </c>
      <c r="B2459" s="61" t="s">
        <v>4665</v>
      </c>
      <c r="C2459" s="62" t="s">
        <v>4666</v>
      </c>
      <c r="D2459" s="61">
        <v>40</v>
      </c>
    </row>
    <row r="2460" spans="1:4" x14ac:dyDescent="0.2">
      <c r="A2460" s="61" t="s">
        <v>16</v>
      </c>
      <c r="B2460" s="61" t="s">
        <v>4669</v>
      </c>
      <c r="C2460" s="62" t="s">
        <v>4670</v>
      </c>
      <c r="D2460" s="61">
        <v>40</v>
      </c>
    </row>
    <row r="2461" spans="1:4" x14ac:dyDescent="0.2">
      <c r="A2461" s="62" t="s">
        <v>16</v>
      </c>
      <c r="B2461" s="61" t="s">
        <v>4661</v>
      </c>
      <c r="C2461" s="62" t="s">
        <v>4662</v>
      </c>
      <c r="D2461" s="61">
        <v>40</v>
      </c>
    </row>
    <row r="2462" spans="1:4" x14ac:dyDescent="0.2">
      <c r="A2462" s="61" t="s">
        <v>16</v>
      </c>
      <c r="B2462" s="61" t="s">
        <v>4675</v>
      </c>
      <c r="C2462" s="62" t="s">
        <v>5594</v>
      </c>
      <c r="D2462" s="61">
        <v>40</v>
      </c>
    </row>
    <row r="2463" spans="1:4" x14ac:dyDescent="0.2">
      <c r="A2463" s="62" t="s">
        <v>16</v>
      </c>
      <c r="B2463" s="61" t="s">
        <v>4658</v>
      </c>
      <c r="C2463" s="62" t="s">
        <v>5595</v>
      </c>
      <c r="D2463" s="61">
        <v>40</v>
      </c>
    </row>
    <row r="2464" spans="1:4" x14ac:dyDescent="0.2">
      <c r="A2464" s="61" t="s">
        <v>16</v>
      </c>
      <c r="B2464" s="61" t="s">
        <v>4676</v>
      </c>
      <c r="C2464" s="62" t="s">
        <v>5596</v>
      </c>
      <c r="D2464" s="61">
        <v>40</v>
      </c>
    </row>
    <row r="2465" spans="1:4" x14ac:dyDescent="0.2">
      <c r="A2465" s="62" t="s">
        <v>16</v>
      </c>
      <c r="B2465" s="61" t="s">
        <v>4677</v>
      </c>
      <c r="C2465" s="62" t="s">
        <v>5597</v>
      </c>
      <c r="D2465" s="61">
        <v>40</v>
      </c>
    </row>
    <row r="2466" spans="1:4" x14ac:dyDescent="0.2">
      <c r="A2466" s="61" t="s">
        <v>16</v>
      </c>
      <c r="B2466" s="61" t="s">
        <v>4671</v>
      </c>
      <c r="C2466" s="62" t="s">
        <v>5598</v>
      </c>
      <c r="D2466" s="61">
        <v>40</v>
      </c>
    </row>
    <row r="2467" spans="1:4" x14ac:dyDescent="0.2">
      <c r="A2467" s="62" t="s">
        <v>16</v>
      </c>
      <c r="B2467" s="61" t="s">
        <v>4672</v>
      </c>
      <c r="C2467" s="62" t="s">
        <v>5599</v>
      </c>
      <c r="D2467" s="61">
        <v>40</v>
      </c>
    </row>
    <row r="2468" spans="1:4" x14ac:dyDescent="0.2">
      <c r="A2468" s="61" t="s">
        <v>16</v>
      </c>
      <c r="B2468" s="61" t="s">
        <v>4667</v>
      </c>
      <c r="C2468" s="62" t="s">
        <v>4668</v>
      </c>
      <c r="D2468" s="61">
        <v>40</v>
      </c>
    </row>
    <row r="2469" spans="1:4" x14ac:dyDescent="0.2">
      <c r="A2469" s="62" t="s">
        <v>16</v>
      </c>
      <c r="B2469" s="61" t="s">
        <v>370</v>
      </c>
      <c r="C2469" s="62" t="s">
        <v>4800</v>
      </c>
      <c r="D2469" s="61">
        <v>40</v>
      </c>
    </row>
    <row r="2470" spans="1:4" x14ac:dyDescent="0.2">
      <c r="A2470" s="61" t="s">
        <v>16</v>
      </c>
      <c r="B2470" s="61" t="s">
        <v>369</v>
      </c>
      <c r="C2470" s="62" t="s">
        <v>4790</v>
      </c>
      <c r="D2470" s="61">
        <v>40</v>
      </c>
    </row>
    <row r="2471" spans="1:4" x14ac:dyDescent="0.2">
      <c r="A2471" s="62" t="s">
        <v>16</v>
      </c>
      <c r="B2471" s="61" t="s">
        <v>385</v>
      </c>
      <c r="C2471" s="62" t="s">
        <v>4835</v>
      </c>
      <c r="D2471" s="61">
        <v>40</v>
      </c>
    </row>
    <row r="2472" spans="1:4" x14ac:dyDescent="0.2">
      <c r="A2472" s="62" t="s">
        <v>16</v>
      </c>
      <c r="B2472" s="61" t="s">
        <v>4678</v>
      </c>
      <c r="C2472" s="62" t="s">
        <v>4679</v>
      </c>
      <c r="D2472" s="61">
        <v>40</v>
      </c>
    </row>
    <row r="2473" spans="1:4" x14ac:dyDescent="0.2">
      <c r="A2473" s="61" t="s">
        <v>16</v>
      </c>
      <c r="B2473" s="61" t="s">
        <v>710</v>
      </c>
      <c r="C2473" s="62" t="s">
        <v>711</v>
      </c>
      <c r="D2473" s="61">
        <v>40</v>
      </c>
    </row>
    <row r="2474" spans="1:4" x14ac:dyDescent="0.2">
      <c r="A2474" s="62" t="s">
        <v>16</v>
      </c>
      <c r="B2474" s="61" t="s">
        <v>540</v>
      </c>
      <c r="C2474" s="62" t="s">
        <v>541</v>
      </c>
      <c r="D2474" s="61">
        <v>40</v>
      </c>
    </row>
    <row r="2475" spans="1:4" x14ac:dyDescent="0.2">
      <c r="A2475" s="61" t="s">
        <v>16</v>
      </c>
      <c r="B2475" s="61" t="s">
        <v>4682</v>
      </c>
      <c r="C2475" s="62" t="s">
        <v>4683</v>
      </c>
      <c r="D2475" s="61">
        <v>40</v>
      </c>
    </row>
    <row r="2476" spans="1:4" x14ac:dyDescent="0.2">
      <c r="A2476" s="62" t="s">
        <v>16</v>
      </c>
      <c r="B2476" s="61" t="s">
        <v>4656</v>
      </c>
      <c r="C2476" s="62" t="s">
        <v>4657</v>
      </c>
      <c r="D2476" s="61">
        <v>40</v>
      </c>
    </row>
    <row r="2477" spans="1:4" x14ac:dyDescent="0.2">
      <c r="A2477" s="61" t="s">
        <v>16</v>
      </c>
      <c r="B2477" s="61" t="s">
        <v>4659</v>
      </c>
      <c r="C2477" s="62" t="s">
        <v>4660</v>
      </c>
      <c r="D2477" s="61">
        <v>40</v>
      </c>
    </row>
    <row r="2478" spans="1:4" x14ac:dyDescent="0.2">
      <c r="A2478" s="61" t="s">
        <v>16</v>
      </c>
      <c r="B2478" s="61" t="s">
        <v>4680</v>
      </c>
      <c r="C2478" s="62" t="s">
        <v>4681</v>
      </c>
      <c r="D2478" s="61">
        <v>40</v>
      </c>
    </row>
    <row r="2479" spans="1:4" x14ac:dyDescent="0.2">
      <c r="A2479" s="61" t="s">
        <v>16</v>
      </c>
      <c r="B2479" s="61" t="s">
        <v>377</v>
      </c>
      <c r="C2479" s="62" t="s">
        <v>571</v>
      </c>
      <c r="D2479" s="61">
        <v>40</v>
      </c>
    </row>
    <row r="2480" spans="1:4" x14ac:dyDescent="0.2">
      <c r="A2480" s="62" t="s">
        <v>16</v>
      </c>
      <c r="B2480" s="61" t="s">
        <v>376</v>
      </c>
      <c r="C2480" s="62" t="s">
        <v>572</v>
      </c>
      <c r="D2480" s="61">
        <v>40</v>
      </c>
    </row>
    <row r="2481" spans="1:4" x14ac:dyDescent="0.2">
      <c r="A2481" s="61" t="s">
        <v>16</v>
      </c>
      <c r="B2481" s="61" t="s">
        <v>874</v>
      </c>
      <c r="C2481" s="62" t="s">
        <v>875</v>
      </c>
      <c r="D2481" s="61">
        <v>40</v>
      </c>
    </row>
    <row r="2482" spans="1:4" x14ac:dyDescent="0.2">
      <c r="A2482" s="62" t="s">
        <v>16</v>
      </c>
      <c r="B2482" s="61" t="s">
        <v>388</v>
      </c>
      <c r="C2482" s="62" t="s">
        <v>389</v>
      </c>
      <c r="D2482" s="61">
        <v>40</v>
      </c>
    </row>
    <row r="2483" spans="1:4" x14ac:dyDescent="0.2">
      <c r="A2483" s="61" t="s">
        <v>16</v>
      </c>
      <c r="B2483" s="61" t="s">
        <v>386</v>
      </c>
      <c r="C2483" s="62" t="s">
        <v>387</v>
      </c>
      <c r="D2483" s="61">
        <v>40</v>
      </c>
    </row>
    <row r="2484" spans="1:4" x14ac:dyDescent="0.2">
      <c r="A2484" s="61" t="s">
        <v>16</v>
      </c>
      <c r="B2484" s="61" t="s">
        <v>589</v>
      </c>
      <c r="C2484" s="62" t="s">
        <v>590</v>
      </c>
      <c r="D2484" s="61">
        <v>40</v>
      </c>
    </row>
    <row r="2485" spans="1:4" x14ac:dyDescent="0.2">
      <c r="A2485" s="62" t="s">
        <v>16</v>
      </c>
      <c r="B2485" s="61" t="s">
        <v>587</v>
      </c>
      <c r="C2485" s="62" t="s">
        <v>588</v>
      </c>
      <c r="D2485" s="61">
        <v>40</v>
      </c>
    </row>
    <row r="2486" spans="1:4" x14ac:dyDescent="0.2">
      <c r="A2486" s="61" t="s">
        <v>16</v>
      </c>
      <c r="B2486" s="61" t="s">
        <v>942</v>
      </c>
      <c r="C2486" s="62" t="s">
        <v>4816</v>
      </c>
      <c r="D2486" s="61">
        <v>40</v>
      </c>
    </row>
    <row r="2487" spans="1:4" x14ac:dyDescent="0.2">
      <c r="A2487" s="62" t="s">
        <v>16</v>
      </c>
      <c r="B2487" s="61" t="s">
        <v>967</v>
      </c>
      <c r="C2487" s="62" t="s">
        <v>968</v>
      </c>
      <c r="D2487" s="61">
        <v>40</v>
      </c>
    </row>
    <row r="2488" spans="1:4" x14ac:dyDescent="0.2">
      <c r="A2488" s="61" t="s">
        <v>16</v>
      </c>
      <c r="B2488" s="61" t="s">
        <v>579</v>
      </c>
      <c r="C2488" s="62" t="s">
        <v>580</v>
      </c>
      <c r="D2488" s="61">
        <v>40</v>
      </c>
    </row>
    <row r="2489" spans="1:4" x14ac:dyDescent="0.2">
      <c r="A2489" s="62" t="s">
        <v>16</v>
      </c>
      <c r="B2489" s="61" t="s">
        <v>639</v>
      </c>
      <c r="C2489" s="62" t="s">
        <v>640</v>
      </c>
      <c r="D2489" s="61">
        <v>40</v>
      </c>
    </row>
    <row r="2490" spans="1:4" x14ac:dyDescent="0.2">
      <c r="A2490" s="62" t="s">
        <v>16</v>
      </c>
      <c r="B2490" s="61" t="s">
        <v>952</v>
      </c>
      <c r="C2490" s="62" t="s">
        <v>562</v>
      </c>
      <c r="D2490" s="61">
        <v>40</v>
      </c>
    </row>
    <row r="2491" spans="1:4" x14ac:dyDescent="0.2">
      <c r="A2491" s="62" t="s">
        <v>16</v>
      </c>
      <c r="B2491" s="61" t="s">
        <v>585</v>
      </c>
      <c r="C2491" s="62" t="s">
        <v>586</v>
      </c>
      <c r="D2491" s="61">
        <v>40</v>
      </c>
    </row>
    <row r="2492" spans="1:4" x14ac:dyDescent="0.2">
      <c r="A2492" s="61" t="s">
        <v>16</v>
      </c>
      <c r="B2492" s="61" t="s">
        <v>597</v>
      </c>
      <c r="C2492" s="62" t="s">
        <v>598</v>
      </c>
      <c r="D2492" s="61">
        <v>40</v>
      </c>
    </row>
    <row r="2493" spans="1:4" x14ac:dyDescent="0.2">
      <c r="A2493" s="61" t="s">
        <v>16</v>
      </c>
      <c r="B2493" s="61" t="s">
        <v>624</v>
      </c>
      <c r="C2493" s="62" t="s">
        <v>625</v>
      </c>
      <c r="D2493" s="61">
        <v>40</v>
      </c>
    </row>
    <row r="2494" spans="1:4" x14ac:dyDescent="0.2">
      <c r="A2494" s="61" t="s">
        <v>16</v>
      </c>
      <c r="B2494" s="61" t="s">
        <v>606</v>
      </c>
      <c r="C2494" s="62" t="s">
        <v>607</v>
      </c>
      <c r="D2494" s="61">
        <v>40</v>
      </c>
    </row>
    <row r="2495" spans="1:4" x14ac:dyDescent="0.2">
      <c r="A2495" s="62" t="s">
        <v>16</v>
      </c>
      <c r="B2495" s="61" t="s">
        <v>997</v>
      </c>
      <c r="C2495" s="62" t="s">
        <v>998</v>
      </c>
      <c r="D2495" s="61">
        <v>40</v>
      </c>
    </row>
    <row r="2496" spans="1:4" x14ac:dyDescent="0.2">
      <c r="A2496" s="61" t="s">
        <v>16</v>
      </c>
      <c r="B2496" s="61" t="s">
        <v>986</v>
      </c>
      <c r="C2496" s="62" t="s">
        <v>987</v>
      </c>
      <c r="D2496" s="61">
        <v>40</v>
      </c>
    </row>
    <row r="2497" spans="1:4" x14ac:dyDescent="0.2">
      <c r="A2497" s="62" t="s">
        <v>16</v>
      </c>
      <c r="B2497" s="61" t="s">
        <v>972</v>
      </c>
      <c r="C2497" s="62" t="s">
        <v>973</v>
      </c>
      <c r="D2497" s="61">
        <v>40</v>
      </c>
    </row>
    <row r="2498" spans="1:4" x14ac:dyDescent="0.2">
      <c r="A2498" s="61" t="s">
        <v>16</v>
      </c>
      <c r="B2498" s="61" t="s">
        <v>832</v>
      </c>
      <c r="C2498" s="62" t="s">
        <v>833</v>
      </c>
      <c r="D2498" s="61">
        <v>40</v>
      </c>
    </row>
    <row r="2499" spans="1:4" x14ac:dyDescent="0.2">
      <c r="A2499" s="62" t="s">
        <v>16</v>
      </c>
      <c r="B2499" s="61" t="s">
        <v>628</v>
      </c>
      <c r="C2499" s="62" t="s">
        <v>629</v>
      </c>
      <c r="D2499" s="61">
        <v>40</v>
      </c>
    </row>
    <row r="2500" spans="1:4" x14ac:dyDescent="0.2">
      <c r="A2500" s="61" t="s">
        <v>16</v>
      </c>
      <c r="B2500" s="61" t="s">
        <v>609</v>
      </c>
      <c r="C2500" s="62" t="s">
        <v>610</v>
      </c>
      <c r="D2500" s="61">
        <v>40</v>
      </c>
    </row>
    <row r="2501" spans="1:4" x14ac:dyDescent="0.2">
      <c r="A2501" s="62" t="s">
        <v>16</v>
      </c>
      <c r="B2501" s="61" t="s">
        <v>814</v>
      </c>
      <c r="C2501" s="62" t="s">
        <v>815</v>
      </c>
      <c r="D2501" s="61">
        <v>40</v>
      </c>
    </row>
    <row r="2502" spans="1:4" x14ac:dyDescent="0.2">
      <c r="A2502" s="61" t="s">
        <v>16</v>
      </c>
      <c r="B2502" s="61" t="s">
        <v>808</v>
      </c>
      <c r="C2502" s="62" t="s">
        <v>809</v>
      </c>
      <c r="D2502" s="61">
        <v>40</v>
      </c>
    </row>
    <row r="2503" spans="1:4" x14ac:dyDescent="0.2">
      <c r="A2503" s="62" t="s">
        <v>16</v>
      </c>
      <c r="B2503" s="61" t="s">
        <v>896</v>
      </c>
      <c r="C2503" s="62" t="s">
        <v>897</v>
      </c>
      <c r="D2503" s="61">
        <v>40</v>
      </c>
    </row>
    <row r="2504" spans="1:4" x14ac:dyDescent="0.2">
      <c r="A2504" s="61" t="s">
        <v>16</v>
      </c>
      <c r="B2504" s="61" t="s">
        <v>980</v>
      </c>
      <c r="C2504" s="62" t="s">
        <v>981</v>
      </c>
      <c r="D2504" s="61">
        <v>40</v>
      </c>
    </row>
    <row r="2505" spans="1:4" x14ac:dyDescent="0.2">
      <c r="A2505" s="62" t="s">
        <v>16</v>
      </c>
      <c r="B2505" s="61" t="s">
        <v>4685</v>
      </c>
      <c r="C2505" s="62" t="s">
        <v>4686</v>
      </c>
      <c r="D2505" s="61">
        <v>40</v>
      </c>
    </row>
    <row r="2506" spans="1:4" x14ac:dyDescent="0.2">
      <c r="A2506" s="61" t="s">
        <v>16</v>
      </c>
      <c r="B2506" s="61" t="s">
        <v>674</v>
      </c>
      <c r="C2506" s="62" t="s">
        <v>675</v>
      </c>
      <c r="D2506" s="61">
        <v>40</v>
      </c>
    </row>
    <row r="2507" spans="1:4" x14ac:dyDescent="0.2">
      <c r="A2507" s="62" t="s">
        <v>16</v>
      </c>
      <c r="B2507" s="61" t="s">
        <v>672</v>
      </c>
      <c r="C2507" s="62" t="s">
        <v>673</v>
      </c>
      <c r="D2507" s="61">
        <v>40</v>
      </c>
    </row>
    <row r="2508" spans="1:4" x14ac:dyDescent="0.2">
      <c r="A2508" s="62" t="s">
        <v>16</v>
      </c>
      <c r="B2508" s="61" t="s">
        <v>621</v>
      </c>
      <c r="C2508" s="62" t="s">
        <v>622</v>
      </c>
      <c r="D2508" s="61">
        <v>40</v>
      </c>
    </row>
    <row r="2509" spans="1:4" x14ac:dyDescent="0.2">
      <c r="A2509" s="61" t="s">
        <v>16</v>
      </c>
      <c r="B2509" s="61" t="s">
        <v>600</v>
      </c>
      <c r="C2509" s="62" t="s">
        <v>601</v>
      </c>
      <c r="D2509" s="61">
        <v>40</v>
      </c>
    </row>
    <row r="2510" spans="1:4" x14ac:dyDescent="0.2">
      <c r="A2510" s="62" t="s">
        <v>16</v>
      </c>
      <c r="B2510" s="61" t="s">
        <v>4703</v>
      </c>
      <c r="C2510" s="62" t="s">
        <v>4704</v>
      </c>
      <c r="D2510" s="61">
        <v>40</v>
      </c>
    </row>
    <row r="2511" spans="1:4" x14ac:dyDescent="0.2">
      <c r="A2511" s="61" t="s">
        <v>16</v>
      </c>
      <c r="B2511" s="61" t="s">
        <v>4699</v>
      </c>
      <c r="C2511" s="62" t="s">
        <v>4700</v>
      </c>
      <c r="D2511" s="61">
        <v>40</v>
      </c>
    </row>
    <row r="2512" spans="1:4" x14ac:dyDescent="0.2">
      <c r="A2512" s="62" t="s">
        <v>16</v>
      </c>
      <c r="B2512" s="61" t="s">
        <v>4705</v>
      </c>
      <c r="C2512" s="62" t="s">
        <v>4706</v>
      </c>
      <c r="D2512" s="61">
        <v>40</v>
      </c>
    </row>
    <row r="2513" spans="1:4" x14ac:dyDescent="0.2">
      <c r="A2513" s="61" t="s">
        <v>16</v>
      </c>
      <c r="B2513" s="61" t="s">
        <v>4687</v>
      </c>
      <c r="C2513" s="62" t="s">
        <v>4688</v>
      </c>
      <c r="D2513" s="61">
        <v>40</v>
      </c>
    </row>
    <row r="2514" spans="1:4" x14ac:dyDescent="0.2">
      <c r="A2514" s="62" t="s">
        <v>16</v>
      </c>
      <c r="B2514" s="61" t="s">
        <v>4689</v>
      </c>
      <c r="C2514" s="62" t="s">
        <v>4690</v>
      </c>
      <c r="D2514" s="61">
        <v>40</v>
      </c>
    </row>
    <row r="2515" spans="1:4" x14ac:dyDescent="0.2">
      <c r="A2515" s="61" t="s">
        <v>16</v>
      </c>
      <c r="B2515" s="61" t="s">
        <v>4691</v>
      </c>
      <c r="C2515" s="62" t="s">
        <v>4692</v>
      </c>
      <c r="D2515" s="61">
        <v>40</v>
      </c>
    </row>
    <row r="2516" spans="1:4" x14ac:dyDescent="0.2">
      <c r="A2516" s="62" t="s">
        <v>16</v>
      </c>
      <c r="B2516" s="61" t="s">
        <v>864</v>
      </c>
      <c r="C2516" s="62" t="s">
        <v>865</v>
      </c>
      <c r="D2516" s="61">
        <v>40</v>
      </c>
    </row>
    <row r="2517" spans="1:4" x14ac:dyDescent="0.2">
      <c r="A2517" s="61" t="s">
        <v>16</v>
      </c>
      <c r="B2517" s="61" t="s">
        <v>886</v>
      </c>
      <c r="C2517" s="62" t="s">
        <v>887</v>
      </c>
      <c r="D2517" s="61">
        <v>40</v>
      </c>
    </row>
    <row r="2518" spans="1:4" x14ac:dyDescent="0.2">
      <c r="A2518" s="62" t="s">
        <v>16</v>
      </c>
      <c r="B2518" s="61" t="s">
        <v>816</v>
      </c>
      <c r="C2518" s="62" t="s">
        <v>817</v>
      </c>
      <c r="D2518" s="61">
        <v>40</v>
      </c>
    </row>
    <row r="2519" spans="1:4" x14ac:dyDescent="0.2">
      <c r="A2519" s="61" t="s">
        <v>16</v>
      </c>
      <c r="B2519" s="61" t="s">
        <v>371</v>
      </c>
      <c r="C2519" s="62" t="s">
        <v>372</v>
      </c>
      <c r="D2519" s="61">
        <v>40</v>
      </c>
    </row>
    <row r="2520" spans="1:4" x14ac:dyDescent="0.2">
      <c r="A2520" s="62" t="s">
        <v>16</v>
      </c>
      <c r="B2520" s="61" t="s">
        <v>645</v>
      </c>
      <c r="C2520" s="62" t="s">
        <v>646</v>
      </c>
      <c r="D2520" s="61">
        <v>40</v>
      </c>
    </row>
    <row r="2521" spans="1:4" x14ac:dyDescent="0.2">
      <c r="A2521" s="61" t="s">
        <v>16</v>
      </c>
      <c r="B2521" s="61" t="s">
        <v>4709</v>
      </c>
      <c r="C2521" s="62" t="s">
        <v>4710</v>
      </c>
      <c r="D2521" s="61">
        <v>40</v>
      </c>
    </row>
    <row r="2522" spans="1:4" x14ac:dyDescent="0.2">
      <c r="A2522" s="62" t="s">
        <v>16</v>
      </c>
      <c r="B2522" s="61" t="s">
        <v>4693</v>
      </c>
      <c r="C2522" s="62" t="s">
        <v>4694</v>
      </c>
      <c r="D2522" s="61">
        <v>40</v>
      </c>
    </row>
    <row r="2523" spans="1:4" x14ac:dyDescent="0.2">
      <c r="A2523" s="61" t="s">
        <v>16</v>
      </c>
      <c r="B2523" s="61" t="s">
        <v>528</v>
      </c>
      <c r="C2523" s="62" t="s">
        <v>962</v>
      </c>
      <c r="D2523" s="61">
        <v>40</v>
      </c>
    </row>
    <row r="2524" spans="1:4" x14ac:dyDescent="0.2">
      <c r="A2524" s="62" t="s">
        <v>16</v>
      </c>
      <c r="B2524" s="61" t="s">
        <v>532</v>
      </c>
      <c r="C2524" s="62" t="s">
        <v>894</v>
      </c>
      <c r="D2524" s="61">
        <v>40</v>
      </c>
    </row>
    <row r="2525" spans="1:4" x14ac:dyDescent="0.2">
      <c r="A2525" s="61" t="s">
        <v>16</v>
      </c>
      <c r="B2525" s="61" t="s">
        <v>529</v>
      </c>
      <c r="C2525" s="62" t="s">
        <v>789</v>
      </c>
      <c r="D2525" s="61">
        <v>40</v>
      </c>
    </row>
    <row r="2526" spans="1:4" x14ac:dyDescent="0.2">
      <c r="A2526" s="62" t="s">
        <v>16</v>
      </c>
      <c r="B2526" s="61" t="s">
        <v>516</v>
      </c>
      <c r="C2526" s="62" t="s">
        <v>823</v>
      </c>
      <c r="D2526" s="61">
        <v>40</v>
      </c>
    </row>
    <row r="2527" spans="1:4" x14ac:dyDescent="0.2">
      <c r="A2527" s="61" t="s">
        <v>16</v>
      </c>
      <c r="B2527" s="61" t="s">
        <v>511</v>
      </c>
      <c r="C2527" s="62" t="s">
        <v>512</v>
      </c>
      <c r="D2527" s="61">
        <v>40</v>
      </c>
    </row>
    <row r="2528" spans="1:4" x14ac:dyDescent="0.2">
      <c r="A2528" s="62" t="s">
        <v>16</v>
      </c>
      <c r="B2528" s="61" t="s">
        <v>850</v>
      </c>
      <c r="C2528" s="62" t="s">
        <v>851</v>
      </c>
      <c r="D2528" s="61">
        <v>40</v>
      </c>
    </row>
    <row r="2529" spans="1:4" x14ac:dyDescent="0.2">
      <c r="A2529" s="61" t="s">
        <v>16</v>
      </c>
      <c r="B2529" s="61" t="s">
        <v>508</v>
      </c>
      <c r="C2529" s="62" t="s">
        <v>509</v>
      </c>
      <c r="D2529" s="61">
        <v>40</v>
      </c>
    </row>
    <row r="2530" spans="1:4" x14ac:dyDescent="0.2">
      <c r="A2530" s="62" t="s">
        <v>16</v>
      </c>
      <c r="B2530" s="61" t="s">
        <v>898</v>
      </c>
      <c r="C2530" s="62" t="s">
        <v>899</v>
      </c>
      <c r="D2530" s="61">
        <v>40</v>
      </c>
    </row>
    <row r="2531" spans="1:4" x14ac:dyDescent="0.2">
      <c r="A2531" s="61" t="s">
        <v>16</v>
      </c>
      <c r="B2531" s="61" t="s">
        <v>911</v>
      </c>
      <c r="C2531" s="62" t="s">
        <v>912</v>
      </c>
      <c r="D2531" s="61">
        <v>40</v>
      </c>
    </row>
    <row r="2532" spans="1:4" x14ac:dyDescent="0.2">
      <c r="A2532" s="62" t="s">
        <v>16</v>
      </c>
      <c r="B2532" s="61" t="s">
        <v>401</v>
      </c>
      <c r="C2532" s="62" t="s">
        <v>402</v>
      </c>
      <c r="D2532" s="61">
        <v>40</v>
      </c>
    </row>
    <row r="2533" spans="1:4" x14ac:dyDescent="0.2">
      <c r="A2533" s="61" t="s">
        <v>16</v>
      </c>
      <c r="B2533" s="61" t="s">
        <v>399</v>
      </c>
      <c r="C2533" s="62" t="s">
        <v>400</v>
      </c>
      <c r="D2533" s="61">
        <v>40</v>
      </c>
    </row>
    <row r="2534" spans="1:4" x14ac:dyDescent="0.2">
      <c r="A2534" s="62" t="s">
        <v>16</v>
      </c>
      <c r="B2534" s="61" t="s">
        <v>522</v>
      </c>
      <c r="C2534" s="62" t="s">
        <v>971</v>
      </c>
      <c r="D2534" s="61">
        <v>50</v>
      </c>
    </row>
    <row r="2535" spans="1:4" x14ac:dyDescent="0.2">
      <c r="A2535" s="61" t="s">
        <v>16</v>
      </c>
      <c r="B2535" s="61" t="s">
        <v>520</v>
      </c>
      <c r="C2535" s="62" t="s">
        <v>990</v>
      </c>
      <c r="D2535" s="61">
        <v>50</v>
      </c>
    </row>
    <row r="2536" spans="1:4" x14ac:dyDescent="0.2">
      <c r="A2536" s="62" t="s">
        <v>16</v>
      </c>
      <c r="B2536" s="61" t="s">
        <v>524</v>
      </c>
      <c r="C2536" s="62" t="s">
        <v>918</v>
      </c>
      <c r="D2536" s="61">
        <v>40</v>
      </c>
    </row>
    <row r="2537" spans="1:4" x14ac:dyDescent="0.2">
      <c r="A2537" s="61" t="s">
        <v>16</v>
      </c>
      <c r="B2537" s="61" t="s">
        <v>954</v>
      </c>
      <c r="C2537" s="62" t="s">
        <v>955</v>
      </c>
      <c r="D2537" s="61">
        <v>40</v>
      </c>
    </row>
    <row r="2538" spans="1:4" x14ac:dyDescent="0.2">
      <c r="A2538" s="62" t="s">
        <v>16</v>
      </c>
      <c r="B2538" s="61" t="s">
        <v>4716</v>
      </c>
      <c r="C2538" s="62" t="s">
        <v>4717</v>
      </c>
      <c r="D2538" s="61">
        <v>40</v>
      </c>
    </row>
    <row r="2539" spans="1:4" x14ac:dyDescent="0.2">
      <c r="A2539" s="61" t="s">
        <v>16</v>
      </c>
      <c r="B2539" s="61" t="s">
        <v>4718</v>
      </c>
      <c r="C2539" s="62" t="s">
        <v>4719</v>
      </c>
      <c r="D2539" s="61">
        <v>40</v>
      </c>
    </row>
    <row r="2540" spans="1:4" x14ac:dyDescent="0.2">
      <c r="A2540" s="61" t="s">
        <v>16</v>
      </c>
      <c r="B2540" s="61" t="s">
        <v>517</v>
      </c>
      <c r="C2540" s="62" t="s">
        <v>1025</v>
      </c>
      <c r="D2540" s="61">
        <v>40</v>
      </c>
    </row>
    <row r="2541" spans="1:4" x14ac:dyDescent="0.2">
      <c r="A2541" s="62" t="s">
        <v>16</v>
      </c>
      <c r="B2541" s="61" t="s">
        <v>531</v>
      </c>
      <c r="C2541" s="62" t="s">
        <v>961</v>
      </c>
      <c r="D2541" s="61">
        <v>40</v>
      </c>
    </row>
    <row r="2542" spans="1:4" x14ac:dyDescent="0.2">
      <c r="A2542" s="61" t="s">
        <v>16</v>
      </c>
      <c r="B2542" s="61" t="s">
        <v>506</v>
      </c>
      <c r="C2542" s="62" t="s">
        <v>507</v>
      </c>
      <c r="D2542" s="61">
        <v>40</v>
      </c>
    </row>
    <row r="2543" spans="1:4" x14ac:dyDescent="0.2">
      <c r="A2543" s="62" t="s">
        <v>16</v>
      </c>
      <c r="B2543" s="61" t="s">
        <v>519</v>
      </c>
      <c r="C2543" s="62" t="s">
        <v>788</v>
      </c>
      <c r="D2543" s="61">
        <v>40</v>
      </c>
    </row>
    <row r="2544" spans="1:4" x14ac:dyDescent="0.2">
      <c r="A2544" s="61" t="s">
        <v>16</v>
      </c>
      <c r="B2544" s="61" t="s">
        <v>883</v>
      </c>
      <c r="C2544" s="62" t="s">
        <v>884</v>
      </c>
      <c r="D2544" s="61">
        <v>40</v>
      </c>
    </row>
    <row r="2545" spans="1:4" x14ac:dyDescent="0.2">
      <c r="A2545" s="62" t="s">
        <v>16</v>
      </c>
      <c r="B2545" s="61" t="s">
        <v>4697</v>
      </c>
      <c r="C2545" s="62" t="s">
        <v>4698</v>
      </c>
      <c r="D2545" s="61">
        <v>40</v>
      </c>
    </row>
    <row r="2546" spans="1:4" x14ac:dyDescent="0.2">
      <c r="A2546" s="61" t="s">
        <v>16</v>
      </c>
      <c r="B2546" s="61" t="s">
        <v>4695</v>
      </c>
      <c r="C2546" s="62" t="s">
        <v>4696</v>
      </c>
      <c r="D2546" s="61">
        <v>40</v>
      </c>
    </row>
    <row r="2547" spans="1:4" x14ac:dyDescent="0.2">
      <c r="A2547" s="61" t="s">
        <v>16</v>
      </c>
      <c r="B2547" s="61" t="s">
        <v>4707</v>
      </c>
      <c r="C2547" s="62" t="s">
        <v>4708</v>
      </c>
      <c r="D2547" s="61">
        <v>40</v>
      </c>
    </row>
    <row r="2548" spans="1:4" x14ac:dyDescent="0.2">
      <c r="A2548" s="62" t="s">
        <v>16</v>
      </c>
      <c r="B2548" s="61" t="s">
        <v>527</v>
      </c>
      <c r="C2548" s="62" t="s">
        <v>881</v>
      </c>
      <c r="D2548" s="61">
        <v>40</v>
      </c>
    </row>
    <row r="2549" spans="1:4" x14ac:dyDescent="0.2">
      <c r="A2549" s="61" t="s">
        <v>16</v>
      </c>
      <c r="B2549" s="61" t="s">
        <v>514</v>
      </c>
      <c r="C2549" s="62" t="s">
        <v>848</v>
      </c>
      <c r="D2549" s="61">
        <v>40</v>
      </c>
    </row>
    <row r="2550" spans="1:4" x14ac:dyDescent="0.2">
      <c r="A2550" s="62" t="s">
        <v>16</v>
      </c>
      <c r="B2550" s="61" t="s">
        <v>4701</v>
      </c>
      <c r="C2550" s="62" t="s">
        <v>4702</v>
      </c>
      <c r="D2550" s="61">
        <v>40</v>
      </c>
    </row>
    <row r="2551" spans="1:4" x14ac:dyDescent="0.2">
      <c r="A2551" s="61" t="s">
        <v>16</v>
      </c>
      <c r="B2551" s="61" t="s">
        <v>530</v>
      </c>
      <c r="C2551" s="62" t="s">
        <v>924</v>
      </c>
      <c r="D2551" s="61">
        <v>40</v>
      </c>
    </row>
    <row r="2552" spans="1:4" x14ac:dyDescent="0.2">
      <c r="A2552" s="61" t="s">
        <v>16</v>
      </c>
      <c r="B2552" s="61" t="s">
        <v>525</v>
      </c>
      <c r="C2552" s="62" t="s">
        <v>923</v>
      </c>
      <c r="D2552" s="61">
        <v>40</v>
      </c>
    </row>
    <row r="2553" spans="1:4" x14ac:dyDescent="0.2">
      <c r="A2553" s="61" t="s">
        <v>16</v>
      </c>
      <c r="B2553" s="61" t="s">
        <v>521</v>
      </c>
      <c r="C2553" s="62" t="s">
        <v>895</v>
      </c>
      <c r="D2553" s="61">
        <v>40</v>
      </c>
    </row>
    <row r="2554" spans="1:4" x14ac:dyDescent="0.2">
      <c r="A2554" s="62" t="s">
        <v>16</v>
      </c>
      <c r="B2554" s="61" t="s">
        <v>510</v>
      </c>
      <c r="C2554" s="62" t="s">
        <v>849</v>
      </c>
      <c r="D2554" s="61">
        <v>40</v>
      </c>
    </row>
    <row r="2555" spans="1:4" x14ac:dyDescent="0.2">
      <c r="A2555" s="61" t="s">
        <v>16</v>
      </c>
      <c r="B2555" s="61" t="s">
        <v>959</v>
      </c>
      <c r="C2555" s="62" t="s">
        <v>960</v>
      </c>
      <c r="D2555" s="61">
        <v>40</v>
      </c>
    </row>
    <row r="2556" spans="1:4" x14ac:dyDescent="0.2">
      <c r="A2556" s="62" t="s">
        <v>16</v>
      </c>
      <c r="B2556" s="61" t="s">
        <v>515</v>
      </c>
      <c r="C2556" s="62" t="s">
        <v>885</v>
      </c>
      <c r="D2556" s="61">
        <v>40</v>
      </c>
    </row>
    <row r="2557" spans="1:4" x14ac:dyDescent="0.2">
      <c r="A2557" s="61" t="s">
        <v>16</v>
      </c>
      <c r="B2557" s="61" t="s">
        <v>4720</v>
      </c>
      <c r="C2557" s="62" t="s">
        <v>4721</v>
      </c>
      <c r="D2557" s="61">
        <v>40</v>
      </c>
    </row>
    <row r="2558" spans="1:4" x14ac:dyDescent="0.2">
      <c r="A2558" s="62" t="s">
        <v>16</v>
      </c>
      <c r="B2558" s="61" t="s">
        <v>4722</v>
      </c>
      <c r="C2558" s="62" t="s">
        <v>4723</v>
      </c>
      <c r="D2558" s="61">
        <v>40</v>
      </c>
    </row>
    <row r="2559" spans="1:4" x14ac:dyDescent="0.2">
      <c r="A2559" s="61" t="s">
        <v>16</v>
      </c>
      <c r="B2559" s="61" t="s">
        <v>523</v>
      </c>
      <c r="C2559" s="62" t="s">
        <v>974</v>
      </c>
      <c r="D2559" s="61">
        <v>40</v>
      </c>
    </row>
    <row r="2560" spans="1:4" x14ac:dyDescent="0.2">
      <c r="A2560" s="62" t="s">
        <v>16</v>
      </c>
      <c r="B2560" s="61" t="s">
        <v>526</v>
      </c>
      <c r="C2560" s="62" t="s">
        <v>926</v>
      </c>
      <c r="D2560" s="61">
        <v>40</v>
      </c>
    </row>
    <row r="2561" spans="1:4" x14ac:dyDescent="0.2">
      <c r="A2561" s="61" t="s">
        <v>16</v>
      </c>
      <c r="B2561" s="61" t="s">
        <v>518</v>
      </c>
      <c r="C2561" s="62" t="s">
        <v>925</v>
      </c>
      <c r="D2561" s="61">
        <v>40</v>
      </c>
    </row>
    <row r="2562" spans="1:4" x14ac:dyDescent="0.2">
      <c r="A2562" s="62" t="s">
        <v>16</v>
      </c>
      <c r="B2562" s="61" t="s">
        <v>777</v>
      </c>
      <c r="C2562" s="62" t="s">
        <v>778</v>
      </c>
      <c r="D2562" s="61">
        <v>40</v>
      </c>
    </row>
    <row r="2563" spans="1:4" x14ac:dyDescent="0.2">
      <c r="A2563" s="61" t="s">
        <v>16</v>
      </c>
      <c r="B2563" s="61" t="s">
        <v>826</v>
      </c>
      <c r="C2563" s="62" t="s">
        <v>827</v>
      </c>
      <c r="D2563" s="61">
        <v>40</v>
      </c>
    </row>
    <row r="2564" spans="1:4" x14ac:dyDescent="0.2">
      <c r="A2564" s="62" t="s">
        <v>16</v>
      </c>
      <c r="B2564" s="61" t="s">
        <v>513</v>
      </c>
      <c r="C2564" s="62" t="s">
        <v>852</v>
      </c>
      <c r="D2564" s="61">
        <v>40</v>
      </c>
    </row>
    <row r="2565" spans="1:4" x14ac:dyDescent="0.2">
      <c r="A2565" s="61" t="s">
        <v>16</v>
      </c>
      <c r="B2565" s="61" t="s">
        <v>576</v>
      </c>
      <c r="C2565" s="62" t="s">
        <v>891</v>
      </c>
      <c r="D2565" s="61">
        <v>40</v>
      </c>
    </row>
    <row r="2566" spans="1:4" x14ac:dyDescent="0.2">
      <c r="A2566" s="62" t="s">
        <v>16</v>
      </c>
      <c r="B2566" s="61" t="s">
        <v>4712</v>
      </c>
      <c r="C2566" s="62" t="s">
        <v>4713</v>
      </c>
      <c r="D2566" s="61">
        <v>40</v>
      </c>
    </row>
    <row r="2567" spans="1:4" x14ac:dyDescent="0.2">
      <c r="A2567" s="61" t="s">
        <v>16</v>
      </c>
      <c r="B2567" s="61" t="s">
        <v>4714</v>
      </c>
      <c r="C2567" s="62" t="s">
        <v>4715</v>
      </c>
      <c r="D2567" s="61">
        <v>40</v>
      </c>
    </row>
    <row r="2568" spans="1:4" x14ac:dyDescent="0.2">
      <c r="A2568" s="62" t="s">
        <v>16</v>
      </c>
      <c r="B2568" s="61" t="s">
        <v>4724</v>
      </c>
      <c r="C2568" s="62" t="s">
        <v>4725</v>
      </c>
      <c r="D2568" s="61">
        <v>40</v>
      </c>
    </row>
    <row r="2569" spans="1:4" x14ac:dyDescent="0.2">
      <c r="A2569" s="61" t="s">
        <v>16</v>
      </c>
      <c r="B2569" s="61" t="s">
        <v>4726</v>
      </c>
      <c r="C2569" s="62" t="s">
        <v>4727</v>
      </c>
      <c r="D2569" s="61">
        <v>40</v>
      </c>
    </row>
    <row r="2570" spans="1:4" x14ac:dyDescent="0.2">
      <c r="A2570" s="62" t="s">
        <v>16</v>
      </c>
      <c r="B2570" s="61" t="s">
        <v>4728</v>
      </c>
      <c r="C2570" s="62" t="s">
        <v>981</v>
      </c>
      <c r="D2570" s="61">
        <v>40</v>
      </c>
    </row>
    <row r="2571" spans="1:4" x14ac:dyDescent="0.2">
      <c r="A2571" s="61" t="s">
        <v>16</v>
      </c>
      <c r="B2571" s="61" t="s">
        <v>4729</v>
      </c>
      <c r="C2571" s="62" t="s">
        <v>4730</v>
      </c>
      <c r="D2571" s="61">
        <v>40</v>
      </c>
    </row>
    <row r="2572" spans="1:4" x14ac:dyDescent="0.2">
      <c r="A2572" s="62" t="s">
        <v>16</v>
      </c>
      <c r="B2572" s="61" t="s">
        <v>4733</v>
      </c>
      <c r="C2572" s="62" t="s">
        <v>4734</v>
      </c>
      <c r="D2572" s="61">
        <v>40</v>
      </c>
    </row>
    <row r="2573" spans="1:4" x14ac:dyDescent="0.2">
      <c r="A2573" s="61" t="s">
        <v>16</v>
      </c>
      <c r="B2573" s="61" t="s">
        <v>4735</v>
      </c>
      <c r="C2573" s="62" t="s">
        <v>4736</v>
      </c>
      <c r="D2573" s="61">
        <v>40</v>
      </c>
    </row>
    <row r="2574" spans="1:4" x14ac:dyDescent="0.2">
      <c r="A2574" s="61" t="s">
        <v>16</v>
      </c>
      <c r="B2574" s="61" t="s">
        <v>4737</v>
      </c>
      <c r="C2574" s="62" t="s">
        <v>4731</v>
      </c>
      <c r="D2574" s="61">
        <v>40</v>
      </c>
    </row>
    <row r="2575" spans="1:4" x14ac:dyDescent="0.2">
      <c r="A2575" s="62" t="s">
        <v>16</v>
      </c>
      <c r="B2575" s="61" t="s">
        <v>4738</v>
      </c>
      <c r="C2575" s="62" t="s">
        <v>4732</v>
      </c>
      <c r="D2575" s="61">
        <v>40</v>
      </c>
    </row>
    <row r="2576" spans="1:4" x14ac:dyDescent="0.2">
      <c r="A2576" s="61" t="s">
        <v>16</v>
      </c>
      <c r="B2576" s="61" t="s">
        <v>4739</v>
      </c>
      <c r="C2576" s="62" t="s">
        <v>4740</v>
      </c>
      <c r="D2576" s="61">
        <v>40</v>
      </c>
    </row>
    <row r="2577" spans="1:4" x14ac:dyDescent="0.2">
      <c r="A2577" s="62" t="s">
        <v>16</v>
      </c>
      <c r="B2577" s="61" t="s">
        <v>4741</v>
      </c>
      <c r="C2577" s="62" t="s">
        <v>4742</v>
      </c>
      <c r="D2577" s="61">
        <v>40</v>
      </c>
    </row>
    <row r="2578" spans="1:4" x14ac:dyDescent="0.2">
      <c r="A2578" s="61" t="s">
        <v>16</v>
      </c>
      <c r="B2578" s="61" t="s">
        <v>4743</v>
      </c>
      <c r="C2578" s="62" t="s">
        <v>4744</v>
      </c>
      <c r="D2578" s="61">
        <v>40</v>
      </c>
    </row>
    <row r="2579" spans="1:4" x14ac:dyDescent="0.2">
      <c r="A2579" s="62" t="s">
        <v>16</v>
      </c>
      <c r="B2579" s="61" t="s">
        <v>4998</v>
      </c>
      <c r="C2579" s="62" t="s">
        <v>4999</v>
      </c>
      <c r="D2579" s="61">
        <v>40</v>
      </c>
    </row>
    <row r="2580" spans="1:4" x14ac:dyDescent="0.2">
      <c r="A2580" s="61" t="s">
        <v>16</v>
      </c>
      <c r="B2580" s="61" t="s">
        <v>5002</v>
      </c>
      <c r="C2580" s="62" t="s">
        <v>5003</v>
      </c>
      <c r="D2580" s="61">
        <v>40</v>
      </c>
    </row>
    <row r="2581" spans="1:4" x14ac:dyDescent="0.2">
      <c r="A2581" s="62" t="s">
        <v>16</v>
      </c>
      <c r="B2581" s="61" t="s">
        <v>4996</v>
      </c>
      <c r="C2581" s="62" t="s">
        <v>4997</v>
      </c>
      <c r="D2581" s="61">
        <v>40</v>
      </c>
    </row>
    <row r="2582" spans="1:4" x14ac:dyDescent="0.2">
      <c r="A2582" s="61" t="s">
        <v>16</v>
      </c>
      <c r="B2582" s="61" t="s">
        <v>4964</v>
      </c>
      <c r="C2582" s="62" t="s">
        <v>4965</v>
      </c>
      <c r="D2582" s="61">
        <v>40</v>
      </c>
    </row>
    <row r="2583" spans="1:4" x14ac:dyDescent="0.2">
      <c r="A2583" s="62" t="s">
        <v>16</v>
      </c>
      <c r="B2583" s="61" t="s">
        <v>4988</v>
      </c>
      <c r="C2583" s="62" t="s">
        <v>4989</v>
      </c>
      <c r="D2583" s="61">
        <v>40</v>
      </c>
    </row>
    <row r="2584" spans="1:4" x14ac:dyDescent="0.2">
      <c r="A2584" s="61" t="s">
        <v>16</v>
      </c>
      <c r="B2584" s="61" t="s">
        <v>5004</v>
      </c>
      <c r="C2584" s="62" t="s">
        <v>5005</v>
      </c>
      <c r="D2584" s="61">
        <v>40</v>
      </c>
    </row>
    <row r="2585" spans="1:4" x14ac:dyDescent="0.2">
      <c r="A2585" s="62" t="s">
        <v>16</v>
      </c>
      <c r="B2585" s="61" t="s">
        <v>5006</v>
      </c>
      <c r="C2585" s="62" t="s">
        <v>5007</v>
      </c>
      <c r="D2585" s="61">
        <v>40</v>
      </c>
    </row>
    <row r="2586" spans="1:4" x14ac:dyDescent="0.2">
      <c r="A2586" s="61" t="s">
        <v>16</v>
      </c>
      <c r="B2586" s="61" t="s">
        <v>5008</v>
      </c>
      <c r="C2586" s="62" t="s">
        <v>5009</v>
      </c>
      <c r="D2586" s="61">
        <v>40</v>
      </c>
    </row>
    <row r="2587" spans="1:4" x14ac:dyDescent="0.2">
      <c r="A2587" s="62" t="s">
        <v>16</v>
      </c>
      <c r="B2587" s="61" t="s">
        <v>5010</v>
      </c>
      <c r="C2587" s="62" t="s">
        <v>5011</v>
      </c>
      <c r="D2587" s="61">
        <v>50</v>
      </c>
    </row>
    <row r="2588" spans="1:4" x14ac:dyDescent="0.2">
      <c r="A2588" s="61" t="s">
        <v>16</v>
      </c>
      <c r="B2588" s="61" t="s">
        <v>5012</v>
      </c>
      <c r="C2588" s="62" t="s">
        <v>5013</v>
      </c>
      <c r="D2588" s="61">
        <v>50</v>
      </c>
    </row>
    <row r="2589" spans="1:4" x14ac:dyDescent="0.2">
      <c r="A2589" s="62" t="s">
        <v>16</v>
      </c>
      <c r="B2589" s="61" t="s">
        <v>5014</v>
      </c>
      <c r="C2589" s="62" t="s">
        <v>5015</v>
      </c>
      <c r="D2589" s="61">
        <v>50</v>
      </c>
    </row>
    <row r="2590" spans="1:4" x14ac:dyDescent="0.2">
      <c r="A2590" s="61" t="s">
        <v>16</v>
      </c>
      <c r="B2590" s="61" t="s">
        <v>5016</v>
      </c>
      <c r="C2590" s="62" t="s">
        <v>5017</v>
      </c>
      <c r="D2590" s="61">
        <v>50</v>
      </c>
    </row>
    <row r="2591" spans="1:4" x14ac:dyDescent="0.2">
      <c r="A2591" s="62" t="s">
        <v>16</v>
      </c>
      <c r="B2591" s="61" t="s">
        <v>5018</v>
      </c>
      <c r="C2591" s="62" t="s">
        <v>5019</v>
      </c>
      <c r="D2591" s="61">
        <v>50</v>
      </c>
    </row>
    <row r="2592" spans="1:4" x14ac:dyDescent="0.2">
      <c r="A2592" s="61" t="s">
        <v>16</v>
      </c>
      <c r="B2592" s="61" t="s">
        <v>5020</v>
      </c>
      <c r="C2592" s="62" t="s">
        <v>5021</v>
      </c>
      <c r="D2592" s="61">
        <v>50</v>
      </c>
    </row>
    <row r="2593" spans="1:4" x14ac:dyDescent="0.2">
      <c r="A2593" s="62" t="s">
        <v>16</v>
      </c>
      <c r="B2593" s="61" t="s">
        <v>5022</v>
      </c>
      <c r="C2593" s="62" t="s">
        <v>5023</v>
      </c>
      <c r="D2593" s="61">
        <v>50</v>
      </c>
    </row>
    <row r="2594" spans="1:4" x14ac:dyDescent="0.2">
      <c r="A2594" s="61" t="s">
        <v>16</v>
      </c>
      <c r="B2594" s="61" t="s">
        <v>5024</v>
      </c>
      <c r="C2594" s="62" t="s">
        <v>5025</v>
      </c>
      <c r="D2594" s="61">
        <v>40</v>
      </c>
    </row>
    <row r="2595" spans="1:4" x14ac:dyDescent="0.2">
      <c r="A2595" s="62" t="s">
        <v>16</v>
      </c>
      <c r="B2595" s="61" t="s">
        <v>5026</v>
      </c>
      <c r="C2595" s="62" t="s">
        <v>5027</v>
      </c>
      <c r="D2595" s="61">
        <v>40</v>
      </c>
    </row>
    <row r="2596" spans="1:4" x14ac:dyDescent="0.2">
      <c r="A2596" s="61" t="s">
        <v>16</v>
      </c>
      <c r="B2596" s="61" t="s">
        <v>4929</v>
      </c>
      <c r="C2596" s="62" t="s">
        <v>4930</v>
      </c>
      <c r="D2596" s="61">
        <v>40</v>
      </c>
    </row>
    <row r="2597" spans="1:4" x14ac:dyDescent="0.2">
      <c r="A2597" s="62" t="s">
        <v>16</v>
      </c>
      <c r="B2597" s="61" t="s">
        <v>4923</v>
      </c>
      <c r="C2597" s="62" t="s">
        <v>4924</v>
      </c>
      <c r="D2597" s="61">
        <v>40</v>
      </c>
    </row>
    <row r="2598" spans="1:4" x14ac:dyDescent="0.2">
      <c r="A2598" s="61" t="s">
        <v>16</v>
      </c>
      <c r="B2598" s="61" t="s">
        <v>5028</v>
      </c>
      <c r="C2598" s="62" t="s">
        <v>5029</v>
      </c>
      <c r="D2598" s="61">
        <v>40</v>
      </c>
    </row>
    <row r="2599" spans="1:4" x14ac:dyDescent="0.2">
      <c r="A2599" s="62" t="s">
        <v>16</v>
      </c>
      <c r="B2599" s="61" t="s">
        <v>5030</v>
      </c>
      <c r="C2599" s="62" t="s">
        <v>5031</v>
      </c>
      <c r="D2599" s="61">
        <v>40</v>
      </c>
    </row>
    <row r="2600" spans="1:4" x14ac:dyDescent="0.2">
      <c r="A2600" s="61" t="s">
        <v>16</v>
      </c>
      <c r="B2600" s="61" t="s">
        <v>5032</v>
      </c>
      <c r="C2600" s="62" t="s">
        <v>5033</v>
      </c>
      <c r="D2600" s="61">
        <v>40</v>
      </c>
    </row>
    <row r="2601" spans="1:4" x14ac:dyDescent="0.2">
      <c r="A2601" s="62" t="s">
        <v>16</v>
      </c>
      <c r="B2601" s="61" t="s">
        <v>5034</v>
      </c>
      <c r="C2601" s="62" t="s">
        <v>5035</v>
      </c>
      <c r="D2601" s="61">
        <v>40</v>
      </c>
    </row>
    <row r="2602" spans="1:4" x14ac:dyDescent="0.2">
      <c r="A2602" s="61" t="s">
        <v>16</v>
      </c>
      <c r="B2602" s="61" t="s">
        <v>5036</v>
      </c>
      <c r="C2602" s="62" t="s">
        <v>5037</v>
      </c>
      <c r="D2602" s="61">
        <v>40</v>
      </c>
    </row>
    <row r="2603" spans="1:4" x14ac:dyDescent="0.2">
      <c r="A2603" s="62" t="s">
        <v>16</v>
      </c>
      <c r="B2603" s="61" t="s">
        <v>5038</v>
      </c>
      <c r="C2603" s="62" t="s">
        <v>5039</v>
      </c>
      <c r="D2603" s="61">
        <v>40</v>
      </c>
    </row>
    <row r="2604" spans="1:4" x14ac:dyDescent="0.2">
      <c r="A2604" s="61" t="s">
        <v>16</v>
      </c>
      <c r="B2604" s="61" t="s">
        <v>5040</v>
      </c>
      <c r="C2604" s="62" t="s">
        <v>5041</v>
      </c>
      <c r="D2604" s="61">
        <v>40</v>
      </c>
    </row>
    <row r="2605" spans="1:4" x14ac:dyDescent="0.2">
      <c r="A2605" s="62" t="s">
        <v>16</v>
      </c>
      <c r="B2605" s="61" t="s">
        <v>5042</v>
      </c>
      <c r="C2605" s="62" t="s">
        <v>5043</v>
      </c>
      <c r="D2605" s="61">
        <v>40</v>
      </c>
    </row>
    <row r="2606" spans="1:4" x14ac:dyDescent="0.2">
      <c r="A2606" s="61" t="s">
        <v>16</v>
      </c>
      <c r="B2606" s="61" t="s">
        <v>5044</v>
      </c>
      <c r="C2606" s="62" t="s">
        <v>5045</v>
      </c>
      <c r="D2606" s="61">
        <v>50</v>
      </c>
    </row>
    <row r="2607" spans="1:4" x14ac:dyDescent="0.2">
      <c r="A2607" s="62" t="s">
        <v>16</v>
      </c>
      <c r="B2607" s="61" t="s">
        <v>5046</v>
      </c>
      <c r="C2607" s="62" t="s">
        <v>5047</v>
      </c>
      <c r="D2607" s="61">
        <v>50</v>
      </c>
    </row>
    <row r="2608" spans="1:4" x14ac:dyDescent="0.2">
      <c r="A2608" s="61" t="s">
        <v>16</v>
      </c>
      <c r="B2608" s="61" t="s">
        <v>5048</v>
      </c>
      <c r="C2608" s="62" t="s">
        <v>5049</v>
      </c>
      <c r="D2608" s="61">
        <v>50</v>
      </c>
    </row>
    <row r="2609" spans="1:4" x14ac:dyDescent="0.2">
      <c r="A2609" s="62" t="s">
        <v>16</v>
      </c>
      <c r="B2609" s="61" t="s">
        <v>5050</v>
      </c>
      <c r="C2609" s="62" t="s">
        <v>5051</v>
      </c>
      <c r="D2609" s="61">
        <v>50</v>
      </c>
    </row>
    <row r="2610" spans="1:4" x14ac:dyDescent="0.2">
      <c r="A2610" s="61" t="s">
        <v>16</v>
      </c>
      <c r="B2610" s="61" t="s">
        <v>5052</v>
      </c>
      <c r="C2610" s="62" t="s">
        <v>5053</v>
      </c>
      <c r="D2610" s="61">
        <v>50</v>
      </c>
    </row>
    <row r="2611" spans="1:4" x14ac:dyDescent="0.2">
      <c r="A2611" s="62" t="s">
        <v>16</v>
      </c>
      <c r="B2611" s="61" t="s">
        <v>5054</v>
      </c>
      <c r="C2611" s="62" t="s">
        <v>5055</v>
      </c>
      <c r="D2611" s="61">
        <v>50</v>
      </c>
    </row>
    <row r="2612" spans="1:4" x14ac:dyDescent="0.2">
      <c r="A2612" s="61" t="s">
        <v>16</v>
      </c>
      <c r="B2612" s="61" t="s">
        <v>5056</v>
      </c>
      <c r="C2612" s="62" t="s">
        <v>5057</v>
      </c>
      <c r="D2612" s="61">
        <v>50</v>
      </c>
    </row>
    <row r="2613" spans="1:4" x14ac:dyDescent="0.2">
      <c r="A2613" s="62" t="s">
        <v>16</v>
      </c>
      <c r="B2613" s="61" t="s">
        <v>4918</v>
      </c>
      <c r="C2613" s="62" t="s">
        <v>4806</v>
      </c>
      <c r="D2613" s="61">
        <v>40</v>
      </c>
    </row>
    <row r="2614" spans="1:4" x14ac:dyDescent="0.2">
      <c r="A2614" s="61" t="s">
        <v>16</v>
      </c>
      <c r="B2614" s="61" t="s">
        <v>4921</v>
      </c>
      <c r="C2614" s="62" t="s">
        <v>4922</v>
      </c>
      <c r="D2614" s="61">
        <v>40</v>
      </c>
    </row>
    <row r="2615" spans="1:4" x14ac:dyDescent="0.2">
      <c r="A2615" s="62" t="s">
        <v>16</v>
      </c>
      <c r="B2615" s="61" t="s">
        <v>4919</v>
      </c>
      <c r="C2615" s="62" t="s">
        <v>4920</v>
      </c>
      <c r="D2615" s="61">
        <v>40</v>
      </c>
    </row>
    <row r="2616" spans="1:4" x14ac:dyDescent="0.2">
      <c r="A2616" s="61" t="s">
        <v>16</v>
      </c>
      <c r="B2616" s="61" t="s">
        <v>4823</v>
      </c>
      <c r="C2616" s="62" t="s">
        <v>4824</v>
      </c>
      <c r="D2616" s="61">
        <v>40</v>
      </c>
    </row>
    <row r="2617" spans="1:4" x14ac:dyDescent="0.2">
      <c r="A2617" s="62" t="s">
        <v>16</v>
      </c>
      <c r="B2617" s="61" t="s">
        <v>5058</v>
      </c>
      <c r="C2617" s="62" t="s">
        <v>5059</v>
      </c>
      <c r="D2617" s="61">
        <v>40</v>
      </c>
    </row>
    <row r="2618" spans="1:4" x14ac:dyDescent="0.2">
      <c r="A2618" s="61" t="s">
        <v>16</v>
      </c>
      <c r="B2618" s="61" t="s">
        <v>5060</v>
      </c>
      <c r="C2618" s="62" t="s">
        <v>5061</v>
      </c>
      <c r="D2618" s="61">
        <v>40</v>
      </c>
    </row>
    <row r="2619" spans="1:4" x14ac:dyDescent="0.2">
      <c r="A2619" s="62" t="s">
        <v>16</v>
      </c>
      <c r="B2619" s="61" t="s">
        <v>5062</v>
      </c>
      <c r="C2619" s="62" t="s">
        <v>5063</v>
      </c>
      <c r="D2619" s="61">
        <v>40</v>
      </c>
    </row>
    <row r="2620" spans="1:4" x14ac:dyDescent="0.2">
      <c r="A2620" s="61" t="s">
        <v>16</v>
      </c>
      <c r="B2620" s="61" t="s">
        <v>5064</v>
      </c>
      <c r="C2620" s="62" t="s">
        <v>5065</v>
      </c>
      <c r="D2620" s="61">
        <v>40</v>
      </c>
    </row>
    <row r="2621" spans="1:4" x14ac:dyDescent="0.2">
      <c r="A2621" s="62" t="s">
        <v>16</v>
      </c>
      <c r="B2621" s="61" t="s">
        <v>5066</v>
      </c>
      <c r="C2621" s="62" t="s">
        <v>5067</v>
      </c>
      <c r="D2621" s="61">
        <v>50</v>
      </c>
    </row>
    <row r="2622" spans="1:4" x14ac:dyDescent="0.2">
      <c r="A2622" s="61" t="s">
        <v>16</v>
      </c>
      <c r="B2622" s="61" t="s">
        <v>5068</v>
      </c>
      <c r="C2622" s="62" t="s">
        <v>5069</v>
      </c>
      <c r="D2622" s="61">
        <v>50</v>
      </c>
    </row>
    <row r="2623" spans="1:4" x14ac:dyDescent="0.2">
      <c r="A2623" s="62" t="s">
        <v>16</v>
      </c>
      <c r="B2623" s="61" t="s">
        <v>5070</v>
      </c>
      <c r="C2623" s="62" t="s">
        <v>5071</v>
      </c>
      <c r="D2623" s="61">
        <v>50</v>
      </c>
    </row>
    <row r="2624" spans="1:4" x14ac:dyDescent="0.2">
      <c r="A2624" s="61" t="s">
        <v>16</v>
      </c>
      <c r="B2624" s="61" t="s">
        <v>5072</v>
      </c>
      <c r="C2624" s="62" t="s">
        <v>5073</v>
      </c>
      <c r="D2624" s="61">
        <v>50</v>
      </c>
    </row>
    <row r="2625" spans="1:4" x14ac:dyDescent="0.2">
      <c r="A2625" s="62" t="s">
        <v>16</v>
      </c>
      <c r="B2625" s="61" t="s">
        <v>4927</v>
      </c>
      <c r="C2625" s="62" t="s">
        <v>4928</v>
      </c>
      <c r="D2625" s="61">
        <v>50</v>
      </c>
    </row>
    <row r="2626" spans="1:4" x14ac:dyDescent="0.2">
      <c r="A2626" s="61" t="s">
        <v>16</v>
      </c>
      <c r="B2626" s="61" t="s">
        <v>5074</v>
      </c>
      <c r="C2626" s="62" t="s">
        <v>5075</v>
      </c>
      <c r="D2626" s="61">
        <v>50</v>
      </c>
    </row>
    <row r="2627" spans="1:4" x14ac:dyDescent="0.2">
      <c r="A2627" s="62" t="s">
        <v>16</v>
      </c>
      <c r="B2627" s="61" t="s">
        <v>5076</v>
      </c>
      <c r="C2627" s="62" t="s">
        <v>5077</v>
      </c>
      <c r="D2627" s="61">
        <v>50</v>
      </c>
    </row>
    <row r="2628" spans="1:4" x14ac:dyDescent="0.2">
      <c r="A2628" s="61" t="s">
        <v>16</v>
      </c>
      <c r="B2628" s="61" t="s">
        <v>5078</v>
      </c>
      <c r="C2628" s="62" t="s">
        <v>5079</v>
      </c>
      <c r="D2628" s="61">
        <v>40</v>
      </c>
    </row>
    <row r="2629" spans="1:4" x14ac:dyDescent="0.2">
      <c r="A2629" s="62" t="s">
        <v>16</v>
      </c>
      <c r="B2629" s="61" t="s">
        <v>5080</v>
      </c>
      <c r="C2629" s="62" t="s">
        <v>5081</v>
      </c>
      <c r="D2629" s="61">
        <v>50</v>
      </c>
    </row>
    <row r="2630" spans="1:4" x14ac:dyDescent="0.2">
      <c r="A2630" s="61" t="s">
        <v>16</v>
      </c>
      <c r="B2630" s="61" t="s">
        <v>5082</v>
      </c>
      <c r="C2630" s="62" t="s">
        <v>5083</v>
      </c>
      <c r="D2630" s="61">
        <v>50</v>
      </c>
    </row>
    <row r="2631" spans="1:4" x14ac:dyDescent="0.2">
      <c r="A2631" s="62" t="s">
        <v>16</v>
      </c>
      <c r="B2631" s="61" t="s">
        <v>5084</v>
      </c>
      <c r="C2631" s="62" t="s">
        <v>5085</v>
      </c>
      <c r="D2631" s="61">
        <v>50</v>
      </c>
    </row>
    <row r="2632" spans="1:4" x14ac:dyDescent="0.2">
      <c r="A2632" s="61" t="s">
        <v>16</v>
      </c>
      <c r="B2632" s="61" t="s">
        <v>4931</v>
      </c>
      <c r="C2632" s="62" t="s">
        <v>4932</v>
      </c>
      <c r="D2632" s="61">
        <v>50</v>
      </c>
    </row>
    <row r="2633" spans="1:4" x14ac:dyDescent="0.2">
      <c r="A2633" s="62" t="s">
        <v>16</v>
      </c>
      <c r="B2633" s="61" t="s">
        <v>5086</v>
      </c>
      <c r="C2633" s="62" t="s">
        <v>5087</v>
      </c>
      <c r="D2633" s="61">
        <v>50</v>
      </c>
    </row>
    <row r="2634" spans="1:4" x14ac:dyDescent="0.2">
      <c r="A2634" s="61" t="s">
        <v>16</v>
      </c>
      <c r="B2634" s="61" t="s">
        <v>5088</v>
      </c>
      <c r="C2634" s="62" t="s">
        <v>5089</v>
      </c>
      <c r="D2634" s="61">
        <v>50</v>
      </c>
    </row>
    <row r="2635" spans="1:4" x14ac:dyDescent="0.2">
      <c r="A2635" s="62" t="s">
        <v>16</v>
      </c>
      <c r="B2635" s="61" t="s">
        <v>5090</v>
      </c>
      <c r="C2635" s="62" t="s">
        <v>5091</v>
      </c>
      <c r="D2635" s="61">
        <v>50</v>
      </c>
    </row>
    <row r="2636" spans="1:4" x14ac:dyDescent="0.2">
      <c r="A2636" s="61" t="s">
        <v>16</v>
      </c>
      <c r="B2636" s="61" t="s">
        <v>5092</v>
      </c>
      <c r="C2636" s="62" t="s">
        <v>5093</v>
      </c>
      <c r="D2636" s="61">
        <v>40</v>
      </c>
    </row>
    <row r="2637" spans="1:4" x14ac:dyDescent="0.2">
      <c r="A2637" s="62" t="s">
        <v>16</v>
      </c>
      <c r="B2637" s="61" t="s">
        <v>5094</v>
      </c>
      <c r="C2637" s="62" t="s">
        <v>5095</v>
      </c>
      <c r="D2637" s="61">
        <v>40</v>
      </c>
    </row>
    <row r="2638" spans="1:4" x14ac:dyDescent="0.2">
      <c r="A2638" s="61" t="s">
        <v>16</v>
      </c>
      <c r="B2638" s="61" t="s">
        <v>5096</v>
      </c>
      <c r="C2638" s="62" t="s">
        <v>5097</v>
      </c>
      <c r="D2638" s="61">
        <v>40</v>
      </c>
    </row>
    <row r="2639" spans="1:4" x14ac:dyDescent="0.2">
      <c r="A2639" s="62" t="s">
        <v>16</v>
      </c>
      <c r="B2639" s="61" t="s">
        <v>4966</v>
      </c>
      <c r="C2639" s="62" t="s">
        <v>4967</v>
      </c>
      <c r="D2639" s="61">
        <v>40</v>
      </c>
    </row>
    <row r="2640" spans="1:4" x14ac:dyDescent="0.2">
      <c r="A2640" s="61" t="s">
        <v>16</v>
      </c>
      <c r="B2640" s="61" t="s">
        <v>4935</v>
      </c>
      <c r="C2640" s="62" t="s">
        <v>4936</v>
      </c>
      <c r="D2640" s="61">
        <v>40</v>
      </c>
    </row>
    <row r="2641" spans="1:4" x14ac:dyDescent="0.2">
      <c r="A2641" s="62" t="s">
        <v>16</v>
      </c>
      <c r="B2641" s="61" t="s">
        <v>4826</v>
      </c>
      <c r="C2641" s="62" t="s">
        <v>4827</v>
      </c>
      <c r="D2641" s="61">
        <v>40</v>
      </c>
    </row>
    <row r="2642" spans="1:4" x14ac:dyDescent="0.2">
      <c r="A2642" s="61" t="s">
        <v>16</v>
      </c>
      <c r="B2642" s="61" t="s">
        <v>5098</v>
      </c>
      <c r="C2642" s="62" t="s">
        <v>5099</v>
      </c>
      <c r="D2642" s="61">
        <v>40</v>
      </c>
    </row>
    <row r="2643" spans="1:4" x14ac:dyDescent="0.2">
      <c r="A2643" s="62" t="s">
        <v>16</v>
      </c>
      <c r="B2643" s="61" t="s">
        <v>4992</v>
      </c>
      <c r="C2643" s="62" t="s">
        <v>4993</v>
      </c>
      <c r="D2643" s="61">
        <v>40</v>
      </c>
    </row>
    <row r="2644" spans="1:4" x14ac:dyDescent="0.2">
      <c r="A2644" s="61" t="s">
        <v>16</v>
      </c>
      <c r="B2644" s="61" t="s">
        <v>5100</v>
      </c>
      <c r="C2644" s="62" t="s">
        <v>5101</v>
      </c>
      <c r="D2644" s="61">
        <v>40</v>
      </c>
    </row>
    <row r="2645" spans="1:4" x14ac:dyDescent="0.2">
      <c r="A2645" s="62" t="s">
        <v>16</v>
      </c>
      <c r="B2645" s="61" t="s">
        <v>5102</v>
      </c>
      <c r="C2645" s="62" t="s">
        <v>5103</v>
      </c>
      <c r="D2645" s="61">
        <v>40</v>
      </c>
    </row>
    <row r="2646" spans="1:4" x14ac:dyDescent="0.2">
      <c r="A2646" s="62" t="s">
        <v>16</v>
      </c>
      <c r="B2646" s="61" t="s">
        <v>5104</v>
      </c>
      <c r="C2646" s="62" t="s">
        <v>5105</v>
      </c>
      <c r="D2646" s="61">
        <v>40</v>
      </c>
    </row>
    <row r="2647" spans="1:4" x14ac:dyDescent="0.2">
      <c r="A2647" s="61" t="s">
        <v>16</v>
      </c>
      <c r="B2647" s="61" t="s">
        <v>5106</v>
      </c>
      <c r="C2647" s="62" t="s">
        <v>4963</v>
      </c>
      <c r="D2647" s="61">
        <v>40</v>
      </c>
    </row>
    <row r="2648" spans="1:4" x14ac:dyDescent="0.2">
      <c r="A2648" s="62" t="s">
        <v>16</v>
      </c>
      <c r="B2648" s="61" t="s">
        <v>5107</v>
      </c>
      <c r="C2648" s="62" t="s">
        <v>5108</v>
      </c>
      <c r="D2648" s="61">
        <v>40</v>
      </c>
    </row>
    <row r="2649" spans="1:4" x14ac:dyDescent="0.2">
      <c r="A2649" s="62" t="s">
        <v>16</v>
      </c>
      <c r="B2649" s="61" t="s">
        <v>5109</v>
      </c>
      <c r="C2649" s="62" t="s">
        <v>5110</v>
      </c>
      <c r="D2649" s="61">
        <v>40</v>
      </c>
    </row>
    <row r="2650" spans="1:4" x14ac:dyDescent="0.2">
      <c r="A2650" s="61" t="s">
        <v>16</v>
      </c>
      <c r="B2650" s="61" t="s">
        <v>5111</v>
      </c>
      <c r="C2650" s="62" t="s">
        <v>5112</v>
      </c>
      <c r="D2650" s="61">
        <v>40</v>
      </c>
    </row>
    <row r="2651" spans="1:4" x14ac:dyDescent="0.2">
      <c r="A2651" s="62" t="s">
        <v>16</v>
      </c>
      <c r="B2651" s="61" t="s">
        <v>5113</v>
      </c>
      <c r="C2651" s="62" t="s">
        <v>5114</v>
      </c>
      <c r="D2651" s="61">
        <v>40</v>
      </c>
    </row>
    <row r="2652" spans="1:4" x14ac:dyDescent="0.2">
      <c r="A2652" s="61" t="s">
        <v>16</v>
      </c>
      <c r="B2652" s="61" t="s">
        <v>5115</v>
      </c>
      <c r="C2652" s="62" t="s">
        <v>5116</v>
      </c>
      <c r="D2652" s="61">
        <v>40</v>
      </c>
    </row>
    <row r="2653" spans="1:4" x14ac:dyDescent="0.2">
      <c r="A2653" s="62" t="s">
        <v>16</v>
      </c>
      <c r="B2653" s="61" t="s">
        <v>5117</v>
      </c>
      <c r="C2653" s="62" t="s">
        <v>5118</v>
      </c>
      <c r="D2653" s="61">
        <v>40</v>
      </c>
    </row>
    <row r="2654" spans="1:4" x14ac:dyDescent="0.2">
      <c r="A2654" s="61" t="s">
        <v>16</v>
      </c>
      <c r="B2654" s="61" t="s">
        <v>5119</v>
      </c>
      <c r="C2654" s="62" t="s">
        <v>5120</v>
      </c>
      <c r="D2654" s="61">
        <v>40</v>
      </c>
    </row>
    <row r="2655" spans="1:4" x14ac:dyDescent="0.2">
      <c r="A2655" s="62" t="s">
        <v>16</v>
      </c>
      <c r="B2655" s="61" t="s">
        <v>5121</v>
      </c>
      <c r="C2655" s="62" t="s">
        <v>5122</v>
      </c>
      <c r="D2655" s="61">
        <v>40</v>
      </c>
    </row>
    <row r="2656" spans="1:4" x14ac:dyDescent="0.2">
      <c r="A2656" s="61" t="s">
        <v>16</v>
      </c>
      <c r="B2656" s="61" t="s">
        <v>5123</v>
      </c>
      <c r="C2656" s="62" t="s">
        <v>5124</v>
      </c>
      <c r="D2656" s="61">
        <v>40</v>
      </c>
    </row>
    <row r="2657" spans="1:4" x14ac:dyDescent="0.2">
      <c r="A2657" s="62" t="s">
        <v>16</v>
      </c>
      <c r="B2657" s="61" t="s">
        <v>5125</v>
      </c>
      <c r="C2657" s="62" t="s">
        <v>5126</v>
      </c>
      <c r="D2657" s="61">
        <v>40</v>
      </c>
    </row>
    <row r="2658" spans="1:4" x14ac:dyDescent="0.2">
      <c r="A2658" s="61" t="s">
        <v>16</v>
      </c>
      <c r="B2658" s="61" t="s">
        <v>5127</v>
      </c>
      <c r="C2658" s="62" t="s">
        <v>5128</v>
      </c>
      <c r="D2658" s="61">
        <v>40</v>
      </c>
    </row>
    <row r="2659" spans="1:4" x14ac:dyDescent="0.2">
      <c r="A2659" s="62" t="s">
        <v>16</v>
      </c>
      <c r="B2659" s="61" t="s">
        <v>5129</v>
      </c>
      <c r="C2659" s="62" t="s">
        <v>5130</v>
      </c>
      <c r="D2659" s="61">
        <v>40</v>
      </c>
    </row>
    <row r="2660" spans="1:4" x14ac:dyDescent="0.2">
      <c r="A2660" s="61" t="s">
        <v>16</v>
      </c>
      <c r="B2660" s="61" t="s">
        <v>5131</v>
      </c>
      <c r="C2660" s="62" t="s">
        <v>5132</v>
      </c>
      <c r="D2660" s="61">
        <v>40</v>
      </c>
    </row>
    <row r="2661" spans="1:4" x14ac:dyDescent="0.2">
      <c r="A2661" s="62" t="s">
        <v>16</v>
      </c>
      <c r="B2661" s="61" t="s">
        <v>5133</v>
      </c>
      <c r="C2661" s="62" t="s">
        <v>4832</v>
      </c>
      <c r="D2661" s="61">
        <v>40</v>
      </c>
    </row>
    <row r="2662" spans="1:4" x14ac:dyDescent="0.2">
      <c r="A2662" s="61" t="s">
        <v>16</v>
      </c>
      <c r="B2662" s="61" t="s">
        <v>5134</v>
      </c>
      <c r="C2662" s="62" t="s">
        <v>5135</v>
      </c>
      <c r="D2662" s="61">
        <v>40</v>
      </c>
    </row>
    <row r="2663" spans="1:4" x14ac:dyDescent="0.2">
      <c r="A2663" s="61" t="s">
        <v>16</v>
      </c>
      <c r="B2663" s="61" t="s">
        <v>5136</v>
      </c>
      <c r="C2663" s="62" t="s">
        <v>5137</v>
      </c>
      <c r="D2663" s="61">
        <v>40</v>
      </c>
    </row>
    <row r="2664" spans="1:4" x14ac:dyDescent="0.2">
      <c r="A2664" s="62" t="s">
        <v>16</v>
      </c>
      <c r="B2664" s="61" t="s">
        <v>5138</v>
      </c>
      <c r="C2664" s="62" t="s">
        <v>5139</v>
      </c>
      <c r="D2664" s="61">
        <v>40</v>
      </c>
    </row>
    <row r="2665" spans="1:4" x14ac:dyDescent="0.2">
      <c r="A2665" s="61" t="s">
        <v>16</v>
      </c>
      <c r="B2665" s="61" t="s">
        <v>5140</v>
      </c>
      <c r="C2665" s="62" t="s">
        <v>5141</v>
      </c>
      <c r="D2665" s="61">
        <v>40</v>
      </c>
    </row>
    <row r="2666" spans="1:4" x14ac:dyDescent="0.2">
      <c r="A2666" s="62" t="s">
        <v>16</v>
      </c>
      <c r="B2666" s="61" t="s">
        <v>5142</v>
      </c>
      <c r="C2666" s="62" t="s">
        <v>5143</v>
      </c>
      <c r="D2666" s="61">
        <v>40</v>
      </c>
    </row>
    <row r="2667" spans="1:4" x14ac:dyDescent="0.2">
      <c r="A2667" s="61" t="s">
        <v>16</v>
      </c>
      <c r="B2667" s="61" t="s">
        <v>5144</v>
      </c>
      <c r="C2667" s="62" t="s">
        <v>5145</v>
      </c>
      <c r="D2667" s="61">
        <v>40</v>
      </c>
    </row>
    <row r="2668" spans="1:4" x14ac:dyDescent="0.2">
      <c r="A2668" s="61" t="s">
        <v>16</v>
      </c>
      <c r="B2668" s="61" t="s">
        <v>5146</v>
      </c>
      <c r="C2668" s="62" t="s">
        <v>5147</v>
      </c>
      <c r="D2668" s="61">
        <v>40</v>
      </c>
    </row>
    <row r="2669" spans="1:4" x14ac:dyDescent="0.2">
      <c r="A2669" s="62" t="s">
        <v>16</v>
      </c>
      <c r="B2669" s="61" t="s">
        <v>5148</v>
      </c>
      <c r="C2669" s="62" t="s">
        <v>5149</v>
      </c>
      <c r="D2669" s="61">
        <v>40</v>
      </c>
    </row>
    <row r="2670" spans="1:4" x14ac:dyDescent="0.2">
      <c r="A2670" s="61" t="s">
        <v>16</v>
      </c>
      <c r="B2670" s="61" t="s">
        <v>5150</v>
      </c>
      <c r="C2670" s="62" t="s">
        <v>5151</v>
      </c>
      <c r="D2670" s="61">
        <v>40</v>
      </c>
    </row>
    <row r="2671" spans="1:4" x14ac:dyDescent="0.2">
      <c r="A2671" s="62" t="s">
        <v>16</v>
      </c>
      <c r="B2671" s="61" t="s">
        <v>5152</v>
      </c>
      <c r="C2671" s="62" t="s">
        <v>5153</v>
      </c>
      <c r="D2671" s="61">
        <v>40</v>
      </c>
    </row>
    <row r="2672" spans="1:4" x14ac:dyDescent="0.2">
      <c r="A2672" s="61" t="s">
        <v>16</v>
      </c>
      <c r="B2672" s="61" t="s">
        <v>5154</v>
      </c>
      <c r="C2672" s="62" t="s">
        <v>5155</v>
      </c>
      <c r="D2672" s="61">
        <v>40</v>
      </c>
    </row>
    <row r="2673" spans="1:4" x14ac:dyDescent="0.2">
      <c r="A2673" s="62" t="s">
        <v>16</v>
      </c>
      <c r="B2673" s="61" t="s">
        <v>5156</v>
      </c>
      <c r="C2673" s="62" t="s">
        <v>5157</v>
      </c>
      <c r="D2673" s="61">
        <v>40</v>
      </c>
    </row>
    <row r="2674" spans="1:4" x14ac:dyDescent="0.2">
      <c r="A2674" s="61" t="s">
        <v>16</v>
      </c>
      <c r="B2674" s="61" t="s">
        <v>5158</v>
      </c>
      <c r="C2674" s="62" t="s">
        <v>5159</v>
      </c>
      <c r="D2674" s="61">
        <v>40</v>
      </c>
    </row>
    <row r="2675" spans="1:4" x14ac:dyDescent="0.2">
      <c r="A2675" s="62" t="s">
        <v>16</v>
      </c>
      <c r="B2675" s="61" t="s">
        <v>5160</v>
      </c>
      <c r="C2675" s="62" t="s">
        <v>5161</v>
      </c>
      <c r="D2675" s="61">
        <v>40</v>
      </c>
    </row>
    <row r="2676" spans="1:4" x14ac:dyDescent="0.2">
      <c r="A2676" s="61" t="s">
        <v>16</v>
      </c>
      <c r="B2676" s="61" t="s">
        <v>5162</v>
      </c>
      <c r="C2676" s="62" t="s">
        <v>5163</v>
      </c>
      <c r="D2676" s="61">
        <v>50</v>
      </c>
    </row>
    <row r="2677" spans="1:4" x14ac:dyDescent="0.2">
      <c r="A2677" s="62" t="s">
        <v>16</v>
      </c>
      <c r="B2677" s="61" t="s">
        <v>5164</v>
      </c>
      <c r="C2677" s="62" t="s">
        <v>5165</v>
      </c>
      <c r="D2677" s="61">
        <v>50</v>
      </c>
    </row>
    <row r="2678" spans="1:4" x14ac:dyDescent="0.2">
      <c r="A2678" s="61" t="s">
        <v>16</v>
      </c>
      <c r="B2678" s="61" t="s">
        <v>5166</v>
      </c>
      <c r="C2678" s="62" t="s">
        <v>5167</v>
      </c>
      <c r="D2678" s="61">
        <v>50</v>
      </c>
    </row>
    <row r="2679" spans="1:4" x14ac:dyDescent="0.2">
      <c r="A2679" s="62" t="s">
        <v>16</v>
      </c>
      <c r="B2679" s="61" t="s">
        <v>5168</v>
      </c>
      <c r="C2679" s="62" t="s">
        <v>5169</v>
      </c>
      <c r="D2679" s="61">
        <v>50</v>
      </c>
    </row>
    <row r="2680" spans="1:4" x14ac:dyDescent="0.2">
      <c r="A2680" s="61" t="s">
        <v>16</v>
      </c>
      <c r="B2680" s="61" t="s">
        <v>5170</v>
      </c>
      <c r="C2680" s="62" t="s">
        <v>5171</v>
      </c>
      <c r="D2680" s="61">
        <v>50</v>
      </c>
    </row>
    <row r="2681" spans="1:4" x14ac:dyDescent="0.2">
      <c r="A2681" s="62" t="s">
        <v>16</v>
      </c>
      <c r="B2681" s="61" t="s">
        <v>5172</v>
      </c>
      <c r="C2681" s="62" t="s">
        <v>5173</v>
      </c>
      <c r="D2681" s="61">
        <v>50</v>
      </c>
    </row>
    <row r="2682" spans="1:4" x14ac:dyDescent="0.2">
      <c r="A2682" s="61" t="s">
        <v>16</v>
      </c>
      <c r="B2682" s="61" t="s">
        <v>5174</v>
      </c>
      <c r="C2682" s="62" t="s">
        <v>5175</v>
      </c>
      <c r="D2682" s="61">
        <v>50</v>
      </c>
    </row>
    <row r="2683" spans="1:4" x14ac:dyDescent="0.2">
      <c r="A2683" s="62" t="s">
        <v>16</v>
      </c>
      <c r="B2683" s="61" t="s">
        <v>5176</v>
      </c>
      <c r="C2683" s="62" t="s">
        <v>5177</v>
      </c>
      <c r="D2683" s="61">
        <v>40</v>
      </c>
    </row>
    <row r="2684" spans="1:4" x14ac:dyDescent="0.2">
      <c r="A2684" s="61" t="s">
        <v>16</v>
      </c>
      <c r="B2684" s="61" t="s">
        <v>5178</v>
      </c>
      <c r="C2684" s="62" t="s">
        <v>5179</v>
      </c>
      <c r="D2684" s="61">
        <v>40</v>
      </c>
    </row>
    <row r="2685" spans="1:4" x14ac:dyDescent="0.2">
      <c r="A2685" s="62" t="s">
        <v>16</v>
      </c>
      <c r="B2685" s="61" t="s">
        <v>5180</v>
      </c>
      <c r="C2685" s="62" t="s">
        <v>4631</v>
      </c>
      <c r="D2685" s="61">
        <v>40</v>
      </c>
    </row>
    <row r="2686" spans="1:4" x14ac:dyDescent="0.2">
      <c r="A2686" s="61" t="s">
        <v>16</v>
      </c>
      <c r="B2686" s="61" t="s">
        <v>5181</v>
      </c>
      <c r="C2686" s="62" t="s">
        <v>5182</v>
      </c>
      <c r="D2686" s="61">
        <v>40</v>
      </c>
    </row>
    <row r="2687" spans="1:4" x14ac:dyDescent="0.2">
      <c r="A2687" s="62" t="s">
        <v>16</v>
      </c>
      <c r="B2687" s="61" t="s">
        <v>5183</v>
      </c>
      <c r="C2687" s="62" t="s">
        <v>5184</v>
      </c>
      <c r="D2687" s="61">
        <v>40</v>
      </c>
    </row>
    <row r="2688" spans="1:4" x14ac:dyDescent="0.2">
      <c r="A2688" s="61" t="s">
        <v>16</v>
      </c>
      <c r="B2688" s="61" t="s">
        <v>5185</v>
      </c>
      <c r="C2688" s="62" t="s">
        <v>5186</v>
      </c>
      <c r="D2688" s="61">
        <v>40</v>
      </c>
    </row>
    <row r="2689" spans="1:4" x14ac:dyDescent="0.2">
      <c r="A2689" s="62" t="s">
        <v>16</v>
      </c>
      <c r="B2689" s="61" t="s">
        <v>5187</v>
      </c>
      <c r="C2689" s="62" t="s">
        <v>5188</v>
      </c>
      <c r="D2689" s="61">
        <v>50</v>
      </c>
    </row>
    <row r="2690" spans="1:4" x14ac:dyDescent="0.2">
      <c r="A2690" s="61" t="s">
        <v>16</v>
      </c>
      <c r="B2690" s="61" t="s">
        <v>5189</v>
      </c>
      <c r="C2690" s="62" t="s">
        <v>5190</v>
      </c>
      <c r="D2690" s="61">
        <v>50</v>
      </c>
    </row>
    <row r="2691" spans="1:4" x14ac:dyDescent="0.2">
      <c r="A2691" s="62" t="s">
        <v>16</v>
      </c>
      <c r="B2691" s="61" t="s">
        <v>5191</v>
      </c>
      <c r="C2691" s="62" t="s">
        <v>5192</v>
      </c>
      <c r="D2691" s="61">
        <v>50</v>
      </c>
    </row>
    <row r="2692" spans="1:4" x14ac:dyDescent="0.2">
      <c r="A2692" s="61" t="s">
        <v>16</v>
      </c>
      <c r="B2692" s="61" t="s">
        <v>5193</v>
      </c>
      <c r="C2692" s="62" t="s">
        <v>5194</v>
      </c>
      <c r="D2692" s="61">
        <v>50</v>
      </c>
    </row>
    <row r="2693" spans="1:4" x14ac:dyDescent="0.2">
      <c r="A2693" s="62" t="s">
        <v>16</v>
      </c>
      <c r="B2693" s="61" t="s">
        <v>5195</v>
      </c>
      <c r="C2693" s="62" t="s">
        <v>5196</v>
      </c>
      <c r="D2693" s="61">
        <v>50</v>
      </c>
    </row>
    <row r="2694" spans="1:4" x14ac:dyDescent="0.2">
      <c r="A2694" s="61" t="s">
        <v>16</v>
      </c>
      <c r="B2694" s="61" t="s">
        <v>5197</v>
      </c>
      <c r="C2694" s="62" t="s">
        <v>5198</v>
      </c>
      <c r="D2694" s="61">
        <v>50</v>
      </c>
    </row>
    <row r="2695" spans="1:4" x14ac:dyDescent="0.2">
      <c r="A2695" s="62" t="s">
        <v>16</v>
      </c>
      <c r="B2695" s="61" t="s">
        <v>5199</v>
      </c>
      <c r="C2695" s="62" t="s">
        <v>5200</v>
      </c>
      <c r="D2695" s="61">
        <v>50</v>
      </c>
    </row>
    <row r="2696" spans="1:4" x14ac:dyDescent="0.2">
      <c r="A2696" s="61" t="s">
        <v>16</v>
      </c>
      <c r="B2696" s="61" t="s">
        <v>4956</v>
      </c>
      <c r="C2696" s="62" t="s">
        <v>4957</v>
      </c>
      <c r="D2696" s="61">
        <v>40</v>
      </c>
    </row>
    <row r="2697" spans="1:4" x14ac:dyDescent="0.2">
      <c r="A2697" s="62" t="s">
        <v>16</v>
      </c>
      <c r="B2697" s="61" t="s">
        <v>4945</v>
      </c>
      <c r="C2697" s="62" t="s">
        <v>4946</v>
      </c>
      <c r="D2697" s="61">
        <v>40</v>
      </c>
    </row>
    <row r="2698" spans="1:4" x14ac:dyDescent="0.2">
      <c r="A2698" s="61" t="s">
        <v>16</v>
      </c>
      <c r="B2698" s="61" t="s">
        <v>4857</v>
      </c>
      <c r="C2698" s="62" t="s">
        <v>4858</v>
      </c>
      <c r="D2698" s="61">
        <v>40</v>
      </c>
    </row>
    <row r="2699" spans="1:4" x14ac:dyDescent="0.2">
      <c r="A2699" s="62" t="s">
        <v>16</v>
      </c>
      <c r="B2699" s="61" t="s">
        <v>4803</v>
      </c>
      <c r="C2699" s="62" t="s">
        <v>4820</v>
      </c>
      <c r="D2699" s="61">
        <v>40</v>
      </c>
    </row>
    <row r="2700" spans="1:4" x14ac:dyDescent="0.2">
      <c r="A2700" s="61" t="s">
        <v>16</v>
      </c>
      <c r="B2700" s="61" t="s">
        <v>4804</v>
      </c>
      <c r="C2700" s="62" t="s">
        <v>4818</v>
      </c>
      <c r="D2700" s="61">
        <v>40</v>
      </c>
    </row>
    <row r="2701" spans="1:4" x14ac:dyDescent="0.2">
      <c r="A2701" s="62" t="s">
        <v>16</v>
      </c>
      <c r="B2701" s="61" t="s">
        <v>5201</v>
      </c>
      <c r="C2701" s="62" t="s">
        <v>5202</v>
      </c>
      <c r="D2701" s="61">
        <v>50</v>
      </c>
    </row>
    <row r="2702" spans="1:4" x14ac:dyDescent="0.2">
      <c r="A2702" s="61" t="s">
        <v>16</v>
      </c>
      <c r="B2702" s="61" t="s">
        <v>5203</v>
      </c>
      <c r="C2702" s="62" t="s">
        <v>5204</v>
      </c>
      <c r="D2702" s="61">
        <v>50</v>
      </c>
    </row>
    <row r="2703" spans="1:4" x14ac:dyDescent="0.2">
      <c r="A2703" s="62" t="s">
        <v>16</v>
      </c>
      <c r="B2703" s="61" t="s">
        <v>5205</v>
      </c>
      <c r="C2703" s="62" t="s">
        <v>5206</v>
      </c>
      <c r="D2703" s="61">
        <v>50</v>
      </c>
    </row>
    <row r="2704" spans="1:4" x14ac:dyDescent="0.2">
      <c r="A2704" s="61" t="s">
        <v>16</v>
      </c>
      <c r="B2704" s="61" t="s">
        <v>5207</v>
      </c>
      <c r="C2704" s="62" t="s">
        <v>5208</v>
      </c>
      <c r="D2704" s="61">
        <v>50</v>
      </c>
    </row>
    <row r="2705" spans="1:4" x14ac:dyDescent="0.2">
      <c r="A2705" s="62" t="s">
        <v>16</v>
      </c>
      <c r="B2705" s="61" t="s">
        <v>4877</v>
      </c>
      <c r="C2705" s="62" t="s">
        <v>4878</v>
      </c>
      <c r="D2705" s="61">
        <v>50</v>
      </c>
    </row>
    <row r="2706" spans="1:4" x14ac:dyDescent="0.2">
      <c r="A2706" s="61" t="s">
        <v>16</v>
      </c>
      <c r="B2706" s="61" t="s">
        <v>4978</v>
      </c>
      <c r="C2706" s="62" t="s">
        <v>4979</v>
      </c>
      <c r="D2706" s="61">
        <v>50</v>
      </c>
    </row>
    <row r="2707" spans="1:4" x14ac:dyDescent="0.2">
      <c r="A2707" s="62" t="s">
        <v>16</v>
      </c>
      <c r="B2707" s="61" t="s">
        <v>5209</v>
      </c>
      <c r="C2707" s="62" t="s">
        <v>5211</v>
      </c>
      <c r="D2707" s="61">
        <v>50</v>
      </c>
    </row>
    <row r="2708" spans="1:4" x14ac:dyDescent="0.2">
      <c r="A2708" s="61" t="s">
        <v>16</v>
      </c>
      <c r="B2708" s="61" t="s">
        <v>5210</v>
      </c>
      <c r="C2708" s="62" t="s">
        <v>4731</v>
      </c>
      <c r="D2708" s="61">
        <v>40</v>
      </c>
    </row>
    <row r="2709" spans="1:4" x14ac:dyDescent="0.2">
      <c r="A2709" s="62" t="s">
        <v>16</v>
      </c>
      <c r="B2709" s="61" t="s">
        <v>4991</v>
      </c>
      <c r="C2709" s="62" t="s">
        <v>4732</v>
      </c>
      <c r="D2709" s="61">
        <v>40</v>
      </c>
    </row>
    <row r="2710" spans="1:4" x14ac:dyDescent="0.2">
      <c r="A2710" s="61" t="s">
        <v>16</v>
      </c>
      <c r="B2710" s="61" t="s">
        <v>5212</v>
      </c>
      <c r="C2710" s="62" t="s">
        <v>4731</v>
      </c>
      <c r="D2710" s="61">
        <v>40</v>
      </c>
    </row>
    <row r="2711" spans="1:4" x14ac:dyDescent="0.2">
      <c r="A2711" s="62" t="s">
        <v>16</v>
      </c>
      <c r="B2711" s="61" t="s">
        <v>5213</v>
      </c>
      <c r="C2711" s="62" t="s">
        <v>4732</v>
      </c>
      <c r="D2711" s="61">
        <v>40</v>
      </c>
    </row>
    <row r="2712" spans="1:4" x14ac:dyDescent="0.2">
      <c r="A2712" s="61" t="s">
        <v>16</v>
      </c>
      <c r="B2712" s="61" t="s">
        <v>5214</v>
      </c>
      <c r="C2712" s="62" t="s">
        <v>4731</v>
      </c>
      <c r="D2712" s="61">
        <v>40</v>
      </c>
    </row>
    <row r="2713" spans="1:4" x14ac:dyDescent="0.2">
      <c r="A2713" s="62" t="s">
        <v>16</v>
      </c>
      <c r="B2713" s="61" t="s">
        <v>5215</v>
      </c>
      <c r="C2713" s="62" t="s">
        <v>4732</v>
      </c>
      <c r="D2713" s="61">
        <v>40</v>
      </c>
    </row>
    <row r="2714" spans="1:4" x14ac:dyDescent="0.2">
      <c r="A2714" s="61" t="s">
        <v>16</v>
      </c>
      <c r="B2714" s="61" t="s">
        <v>4808</v>
      </c>
      <c r="C2714" s="62" t="s">
        <v>4819</v>
      </c>
      <c r="D2714" s="61">
        <v>40</v>
      </c>
    </row>
    <row r="2715" spans="1:4" x14ac:dyDescent="0.2">
      <c r="A2715" s="62" t="s">
        <v>16</v>
      </c>
      <c r="B2715" s="61" t="s">
        <v>4950</v>
      </c>
      <c r="C2715" s="62" t="s">
        <v>4951</v>
      </c>
      <c r="D2715" s="61">
        <v>40</v>
      </c>
    </row>
    <row r="2716" spans="1:4" x14ac:dyDescent="0.2">
      <c r="A2716" s="61" t="s">
        <v>16</v>
      </c>
      <c r="B2716" s="61" t="s">
        <v>4842</v>
      </c>
      <c r="C2716" s="62" t="s">
        <v>4843</v>
      </c>
      <c r="D2716" s="61">
        <v>40</v>
      </c>
    </row>
    <row r="2717" spans="1:4" x14ac:dyDescent="0.2">
      <c r="A2717" s="62" t="s">
        <v>16</v>
      </c>
      <c r="B2717" s="61" t="s">
        <v>4947</v>
      </c>
      <c r="C2717" s="62" t="s">
        <v>4948</v>
      </c>
      <c r="D2717" s="61">
        <v>40</v>
      </c>
    </row>
  </sheetData>
  <phoneticPr fontId="6" type="noConversion"/>
  <pageMargins left="0.7" right="0.7" top="0.75" bottom="0.75" header="0.3" footer="0.3"/>
  <pageSetup paperSize="9" orientation="portrait" horizontalDpi="1200" verticalDpi="1200" r:id="rId1"/>
  <headerFooter>
    <oddFooter>&amp;C&amp;1#&amp;"Calibri"&amp;12&amp;K000000Classification: Pandora Internal</oddFooter>
  </headerFooter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B3DFA1-70A1-49D7-8E4D-3B619F6E0F92}">
  <sheetPr codeName="Sheet14">
    <tabColor rgb="FF00B0F0"/>
  </sheetPr>
  <dimension ref="A1:F13"/>
  <sheetViews>
    <sheetView showGridLines="0" workbookViewId="0">
      <selection activeCell="B8" sqref="B8"/>
    </sheetView>
  </sheetViews>
  <sheetFormatPr defaultRowHeight="14.25" x14ac:dyDescent="0.2"/>
  <cols>
    <col min="1" max="1" width="10.75" bestFit="1" customWidth="1"/>
    <col min="2" max="2" width="13.25" bestFit="1" customWidth="1"/>
  </cols>
  <sheetData>
    <row r="1" spans="1:6" ht="30" x14ac:dyDescent="0.4">
      <c r="A1" s="1" t="s">
        <v>189</v>
      </c>
    </row>
    <row r="6" spans="1:6" x14ac:dyDescent="0.2">
      <c r="A6" t="s">
        <v>200</v>
      </c>
      <c r="B6" t="s">
        <v>201</v>
      </c>
      <c r="E6" s="64" t="s">
        <v>5638</v>
      </c>
    </row>
    <row r="7" spans="1:6" x14ac:dyDescent="0.2">
      <c r="A7" s="50">
        <v>44918</v>
      </c>
      <c r="B7">
        <v>94</v>
      </c>
      <c r="D7">
        <f>8.5*2</f>
        <v>17</v>
      </c>
      <c r="E7" s="64">
        <v>5</v>
      </c>
      <c r="F7">
        <v>17</v>
      </c>
    </row>
    <row r="8" spans="1:6" x14ac:dyDescent="0.2">
      <c r="D8">
        <f>8*2</f>
        <v>16</v>
      </c>
    </row>
    <row r="9" spans="1:6" x14ac:dyDescent="0.2">
      <c r="D9">
        <f>8.5*2</f>
        <v>17</v>
      </c>
      <c r="F9">
        <v>21</v>
      </c>
    </row>
    <row r="10" spans="1:6" x14ac:dyDescent="0.2">
      <c r="D10">
        <f>8.5*2</f>
        <v>17</v>
      </c>
      <c r="F10">
        <v>21</v>
      </c>
    </row>
    <row r="11" spans="1:6" x14ac:dyDescent="0.2">
      <c r="D11">
        <f>8.5*2</f>
        <v>17</v>
      </c>
      <c r="F11">
        <v>21</v>
      </c>
    </row>
    <row r="12" spans="1:6" x14ac:dyDescent="0.2">
      <c r="D12">
        <f>8.5*2</f>
        <v>17</v>
      </c>
      <c r="F12">
        <v>17</v>
      </c>
    </row>
    <row r="13" spans="1:6" x14ac:dyDescent="0.2">
      <c r="F13">
        <f>SUM(F7:F12)</f>
        <v>97</v>
      </c>
    </row>
  </sheetData>
  <pageMargins left="0.7" right="0.7" top="0.75" bottom="0.75" header="0.3" footer="0.3"/>
  <pageSetup orientation="portrait" r:id="rId1"/>
  <headerFooter>
    <oddFooter>&amp;C&amp;1#&amp;"Calibri"&amp;12&amp;K000000Classification: Pandora Internal</oddFooter>
  </headerFooter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042C1-CE73-42BC-B697-AC867BB09C8F}">
  <sheetPr codeName="Sheet4">
    <tabColor rgb="FF00B0F0"/>
  </sheetPr>
  <dimension ref="A1:X33"/>
  <sheetViews>
    <sheetView showGridLines="0" topLeftCell="A5" zoomScale="90" zoomScaleNormal="90" workbookViewId="0">
      <selection activeCell="S16" sqref="S16"/>
    </sheetView>
  </sheetViews>
  <sheetFormatPr defaultRowHeight="14.25" x14ac:dyDescent="0.2"/>
  <cols>
    <col min="17" max="18" width="11.375" bestFit="1" customWidth="1"/>
    <col min="19" max="19" width="28.25" bestFit="1" customWidth="1"/>
    <col min="20" max="20" width="17.75" bestFit="1" customWidth="1"/>
    <col min="21" max="21" width="12.875" bestFit="1" customWidth="1"/>
    <col min="22" max="22" width="13" bestFit="1" customWidth="1"/>
    <col min="23" max="36" width="12.25" bestFit="1" customWidth="1"/>
    <col min="37" max="37" width="12.125" bestFit="1" customWidth="1"/>
  </cols>
  <sheetData>
    <row r="1" spans="1:24" ht="30" x14ac:dyDescent="0.4">
      <c r="A1" s="1" t="s">
        <v>124</v>
      </c>
    </row>
    <row r="4" spans="1:24" x14ac:dyDescent="0.2">
      <c r="A4" t="s">
        <v>136</v>
      </c>
      <c r="D4">
        <f>COUNTIF(ActiveWaxCells[Utilization],"&gt;1")</f>
        <v>19</v>
      </c>
      <c r="E4" s="28" t="str">
        <f>"("&amp;TEXT((D4/COUNT(ActiveWaxCells[Utilization])),"0%")&amp;")"</f>
        <v>(100%)</v>
      </c>
    </row>
    <row r="7" spans="1:24" x14ac:dyDescent="0.2">
      <c r="Q7" t="s">
        <v>11</v>
      </c>
      <c r="R7" t="s">
        <v>19</v>
      </c>
      <c r="S7" t="s">
        <v>22</v>
      </c>
      <c r="T7" t="s">
        <v>73</v>
      </c>
      <c r="U7" t="s">
        <v>77</v>
      </c>
      <c r="V7" t="s">
        <v>129</v>
      </c>
    </row>
    <row r="8" spans="1:24" x14ac:dyDescent="0.2">
      <c r="Q8" t="s">
        <v>16</v>
      </c>
      <c r="R8" t="s">
        <v>84</v>
      </c>
      <c r="S8" s="16">
        <v>94</v>
      </c>
      <c r="T8">
        <v>94.897727804341486</v>
      </c>
      <c r="U8" s="27">
        <f>ActiveWaxCells[[#This Row],[Consumed Hour]]/ActiveWaxCells[[#This Row],[Total Hours/Week per cell]]</f>
        <v>1.0095502957908669</v>
      </c>
      <c r="V8" s="16">
        <f>ActiveWaxCells[[#This Row],[Total Hours/Week per cell]]-ActiveWaxCells[[#This Row],[Consumed Hour]]</f>
        <v>-0.89772780434148558</v>
      </c>
      <c r="W8" s="19"/>
      <c r="X8" s="19">
        <f>ActiveWaxCells[[#This Row],[Utilization]]-100%</f>
        <v>9.5502957908668584E-3</v>
      </c>
    </row>
    <row r="9" spans="1:24" x14ac:dyDescent="0.2">
      <c r="Q9" t="s">
        <v>16</v>
      </c>
      <c r="R9" t="s">
        <v>87</v>
      </c>
      <c r="S9" s="16">
        <v>94</v>
      </c>
      <c r="T9">
        <v>94.746972773857493</v>
      </c>
      <c r="U9" s="27">
        <f>ActiveWaxCells[[#This Row],[Consumed Hour]]/ActiveWaxCells[[#This Row],[Total Hours/Week per cell]]</f>
        <v>1.0079465188708243</v>
      </c>
      <c r="V9" s="16">
        <f>ActiveWaxCells[[#This Row],[Total Hours/Week per cell]]-ActiveWaxCells[[#This Row],[Consumed Hour]]</f>
        <v>-0.74697277385749317</v>
      </c>
      <c r="X9" s="19">
        <f>ActiveWaxCells[[#This Row],[Utilization]]-100%</f>
        <v>7.9465188708243151E-3</v>
      </c>
    </row>
    <row r="10" spans="1:24" x14ac:dyDescent="0.2">
      <c r="Q10" t="s">
        <v>16</v>
      </c>
      <c r="R10" t="s">
        <v>88</v>
      </c>
      <c r="S10" s="16">
        <v>94</v>
      </c>
      <c r="T10">
        <v>100.79369569794839</v>
      </c>
      <c r="U10" s="27">
        <f>ActiveWaxCells[[#This Row],[Consumed Hour]]/ActiveWaxCells[[#This Row],[Total Hours/Week per cell]]</f>
        <v>1.0722733584888127</v>
      </c>
      <c r="V10" s="16">
        <f>ActiveWaxCells[[#This Row],[Total Hours/Week per cell]]-ActiveWaxCells[[#This Row],[Consumed Hour]]</f>
        <v>-6.7936956979483938</v>
      </c>
      <c r="X10" s="19">
        <f>ActiveWaxCells[[#This Row],[Utilization]]-100%</f>
        <v>7.2273358488812667E-2</v>
      </c>
    </row>
    <row r="11" spans="1:24" x14ac:dyDescent="0.2">
      <c r="Q11" t="s">
        <v>16</v>
      </c>
      <c r="R11" t="s">
        <v>89</v>
      </c>
      <c r="S11" s="16">
        <v>94</v>
      </c>
      <c r="T11">
        <v>94.459450537432772</v>
      </c>
      <c r="U11" s="27">
        <f>ActiveWaxCells[[#This Row],[Consumed Hour]]/ActiveWaxCells[[#This Row],[Total Hours/Week per cell]]</f>
        <v>1.0048877716748168</v>
      </c>
      <c r="V11" s="16">
        <f>ActiveWaxCells[[#This Row],[Total Hours/Week per cell]]-ActiveWaxCells[[#This Row],[Consumed Hour]]</f>
        <v>-0.45945053743277242</v>
      </c>
      <c r="X11" s="19">
        <f>ActiveWaxCells[[#This Row],[Utilization]]-100%</f>
        <v>4.8877716748167988E-3</v>
      </c>
    </row>
    <row r="12" spans="1:24" x14ac:dyDescent="0.2">
      <c r="Q12" t="s">
        <v>16</v>
      </c>
      <c r="R12" t="s">
        <v>90</v>
      </c>
      <c r="S12" s="16">
        <v>94</v>
      </c>
      <c r="T12">
        <v>94.335663115990187</v>
      </c>
      <c r="U12" s="27">
        <f>ActiveWaxCells[[#This Row],[Consumed Hour]]/ActiveWaxCells[[#This Row],[Total Hours/Week per cell]]</f>
        <v>1.0035708842126616</v>
      </c>
      <c r="V12" s="16">
        <f>ActiveWaxCells[[#This Row],[Total Hours/Week per cell]]-ActiveWaxCells[[#This Row],[Consumed Hour]]</f>
        <v>-0.33566311599018661</v>
      </c>
      <c r="X12" s="19">
        <f>ActiveWaxCells[[#This Row],[Utilization]]-100%</f>
        <v>3.5708842126616069E-3</v>
      </c>
    </row>
    <row r="13" spans="1:24" x14ac:dyDescent="0.2">
      <c r="Q13" t="s">
        <v>16</v>
      </c>
      <c r="R13" t="s">
        <v>91</v>
      </c>
      <c r="S13" s="16">
        <v>94</v>
      </c>
      <c r="T13">
        <v>101.49942062101383</v>
      </c>
      <c r="U13" s="27">
        <f>ActiveWaxCells[[#This Row],[Consumed Hour]]/ActiveWaxCells[[#This Row],[Total Hours/Week per cell]]</f>
        <v>1.0797810704363173</v>
      </c>
      <c r="V13" s="16">
        <f>ActiveWaxCells[[#This Row],[Total Hours/Week per cell]]-ActiveWaxCells[[#This Row],[Consumed Hour]]</f>
        <v>-7.4994206210138259</v>
      </c>
      <c r="X13" s="19">
        <f>ActiveWaxCells[[#This Row],[Utilization]]-100%</f>
        <v>7.9781070436317325E-2</v>
      </c>
    </row>
    <row r="14" spans="1:24" x14ac:dyDescent="0.2">
      <c r="Q14" t="s">
        <v>16</v>
      </c>
      <c r="R14" t="s">
        <v>92</v>
      </c>
      <c r="S14" s="16">
        <v>94</v>
      </c>
      <c r="T14">
        <v>94.658484177076531</v>
      </c>
      <c r="U14" s="27">
        <f>ActiveWaxCells[[#This Row],[Consumed Hour]]/ActiveWaxCells[[#This Row],[Total Hours/Week per cell]]</f>
        <v>1.0070051508199631</v>
      </c>
      <c r="V14" s="16">
        <f>ActiveWaxCells[[#This Row],[Total Hours/Week per cell]]-ActiveWaxCells[[#This Row],[Consumed Hour]]</f>
        <v>-0.65848417707653084</v>
      </c>
      <c r="X14" s="19">
        <f>ActiveWaxCells[[#This Row],[Utilization]]-100%</f>
        <v>7.005150819963113E-3</v>
      </c>
    </row>
    <row r="15" spans="1:24" x14ac:dyDescent="0.2">
      <c r="Q15" t="s">
        <v>16</v>
      </c>
      <c r="R15" t="s">
        <v>93</v>
      </c>
      <c r="S15" s="16">
        <v>94</v>
      </c>
      <c r="T15">
        <v>94.743546458938297</v>
      </c>
      <c r="U15" s="27">
        <f>ActiveWaxCells[[#This Row],[Consumed Hour]]/ActiveWaxCells[[#This Row],[Total Hours/Week per cell]]</f>
        <v>1.0079100687121096</v>
      </c>
      <c r="V15" s="16">
        <f>ActiveWaxCells[[#This Row],[Total Hours/Week per cell]]-ActiveWaxCells[[#This Row],[Consumed Hour]]</f>
        <v>-0.74354645893829741</v>
      </c>
      <c r="X15" s="19">
        <f>ActiveWaxCells[[#This Row],[Utilization]]-100%</f>
        <v>7.9100687121096414E-3</v>
      </c>
    </row>
    <row r="16" spans="1:24" x14ac:dyDescent="0.2">
      <c r="Q16" t="s">
        <v>16</v>
      </c>
      <c r="R16" t="s">
        <v>94</v>
      </c>
      <c r="S16" s="16">
        <v>94</v>
      </c>
      <c r="T16">
        <v>95.889210593624583</v>
      </c>
      <c r="U16" s="27">
        <f>ActiveWaxCells[[#This Row],[Consumed Hour]]/ActiveWaxCells[[#This Row],[Total Hours/Week per cell]]</f>
        <v>1.0200979850385594</v>
      </c>
      <c r="V16" s="16">
        <f>ActiveWaxCells[[#This Row],[Total Hours/Week per cell]]-ActiveWaxCells[[#This Row],[Consumed Hour]]</f>
        <v>-1.8892105936245827</v>
      </c>
      <c r="X16" s="19">
        <f>ActiveWaxCells[[#This Row],[Utilization]]-100%</f>
        <v>2.0097985038559418E-2</v>
      </c>
    </row>
    <row r="17" spans="17:24" x14ac:dyDescent="0.2">
      <c r="Q17" t="s">
        <v>16</v>
      </c>
      <c r="R17" t="s">
        <v>95</v>
      </c>
      <c r="S17" s="16">
        <v>94</v>
      </c>
      <c r="T17">
        <v>101.10106001634345</v>
      </c>
      <c r="U17" s="27">
        <f>ActiveWaxCells[[#This Row],[Consumed Hour]]/ActiveWaxCells[[#This Row],[Total Hours/Week per cell]]</f>
        <v>1.0755431916632283</v>
      </c>
      <c r="V17" s="16">
        <f>ActiveWaxCells[[#This Row],[Total Hours/Week per cell]]-ActiveWaxCells[[#This Row],[Consumed Hour]]</f>
        <v>-7.1010600163434532</v>
      </c>
      <c r="X17" s="19">
        <f>ActiveWaxCells[[#This Row],[Utilization]]-100%</f>
        <v>7.5543191663228315E-2</v>
      </c>
    </row>
    <row r="18" spans="17:24" x14ac:dyDescent="0.2">
      <c r="Q18" t="s">
        <v>16</v>
      </c>
      <c r="R18" t="s">
        <v>96</v>
      </c>
      <c r="S18" s="16">
        <v>94</v>
      </c>
      <c r="T18">
        <v>98.110625166284805</v>
      </c>
      <c r="U18" s="27">
        <f>ActiveWaxCells[[#This Row],[Consumed Hour]]/ActiveWaxCells[[#This Row],[Total Hours/Week per cell]]</f>
        <v>1.0437300549604767</v>
      </c>
      <c r="V18" s="16">
        <f>ActiveWaxCells[[#This Row],[Total Hours/Week per cell]]-ActiveWaxCells[[#This Row],[Consumed Hour]]</f>
        <v>-4.1106251662848052</v>
      </c>
      <c r="X18" s="19">
        <f>ActiveWaxCells[[#This Row],[Utilization]]-100%</f>
        <v>4.3730054960476661E-2</v>
      </c>
    </row>
    <row r="19" spans="17:24" x14ac:dyDescent="0.2">
      <c r="Q19" t="s">
        <v>16</v>
      </c>
      <c r="R19" t="s">
        <v>97</v>
      </c>
      <c r="S19" s="16">
        <v>94</v>
      </c>
      <c r="T19">
        <v>100.91085613481268</v>
      </c>
      <c r="U19" s="27">
        <f>ActiveWaxCells[[#This Row],[Consumed Hour]]/ActiveWaxCells[[#This Row],[Total Hours/Week per cell]]</f>
        <v>1.0735197461150285</v>
      </c>
      <c r="V19" s="16">
        <f>ActiveWaxCells[[#This Row],[Total Hours/Week per cell]]-ActiveWaxCells[[#This Row],[Consumed Hour]]</f>
        <v>-6.9108561348126756</v>
      </c>
      <c r="X19" s="19">
        <f>ActiveWaxCells[[#This Row],[Utilization]]-100%</f>
        <v>7.3519746115028539E-2</v>
      </c>
    </row>
    <row r="20" spans="17:24" x14ac:dyDescent="0.2">
      <c r="Q20" t="s">
        <v>16</v>
      </c>
      <c r="R20" t="s">
        <v>98</v>
      </c>
      <c r="S20" s="16">
        <v>94</v>
      </c>
      <c r="T20">
        <v>100.56533186149406</v>
      </c>
      <c r="U20" s="27">
        <f>ActiveWaxCells[[#This Row],[Consumed Hour]]/ActiveWaxCells[[#This Row],[Total Hours/Week per cell]]</f>
        <v>1.069843955973341</v>
      </c>
      <c r="V20" s="16">
        <f>ActiveWaxCells[[#This Row],[Total Hours/Week per cell]]-ActiveWaxCells[[#This Row],[Consumed Hour]]</f>
        <v>-6.5653318614940588</v>
      </c>
      <c r="X20" s="19">
        <f>ActiveWaxCells[[#This Row],[Utilization]]-100%</f>
        <v>6.9843955973341032E-2</v>
      </c>
    </row>
    <row r="21" spans="17:24" x14ac:dyDescent="0.2">
      <c r="Q21" t="s">
        <v>16</v>
      </c>
      <c r="R21" t="s">
        <v>99</v>
      </c>
      <c r="S21" s="16">
        <v>94</v>
      </c>
      <c r="T21">
        <v>100.01816769551435</v>
      </c>
      <c r="U21" s="27">
        <f>ActiveWaxCells[[#This Row],[Consumed Hour]]/ActiveWaxCells[[#This Row],[Total Hours/Week per cell]]</f>
        <v>1.0640230605905783</v>
      </c>
      <c r="V21" s="16">
        <f>ActiveWaxCells[[#This Row],[Total Hours/Week per cell]]-ActiveWaxCells[[#This Row],[Consumed Hour]]</f>
        <v>-6.0181676955143502</v>
      </c>
      <c r="X21" s="19">
        <f>ActiveWaxCells[[#This Row],[Utilization]]-100%</f>
        <v>6.4023060590578273E-2</v>
      </c>
    </row>
    <row r="22" spans="17:24" x14ac:dyDescent="0.2">
      <c r="Q22" t="s">
        <v>16</v>
      </c>
      <c r="R22" t="s">
        <v>100</v>
      </c>
      <c r="S22" s="16">
        <v>94</v>
      </c>
      <c r="T22">
        <v>94.385123521924797</v>
      </c>
      <c r="U22" s="27">
        <f>ActiveWaxCells[[#This Row],[Consumed Hour]]/ActiveWaxCells[[#This Row],[Total Hours/Week per cell]]</f>
        <v>1.0040970587438809</v>
      </c>
      <c r="V22" s="16">
        <f>ActiveWaxCells[[#This Row],[Total Hours/Week per cell]]-ActiveWaxCells[[#This Row],[Consumed Hour]]</f>
        <v>-0.38512352192479682</v>
      </c>
      <c r="X22" s="19">
        <f>ActiveWaxCells[[#This Row],[Utilization]]-100%</f>
        <v>4.0970587438808881E-3</v>
      </c>
    </row>
    <row r="23" spans="17:24" x14ac:dyDescent="0.2">
      <c r="Q23" t="s">
        <v>16</v>
      </c>
      <c r="R23" t="s">
        <v>101</v>
      </c>
      <c r="S23" s="16">
        <v>94</v>
      </c>
      <c r="T23">
        <v>98.118371437767848</v>
      </c>
      <c r="U23" s="27">
        <f>ActiveWaxCells[[#This Row],[Consumed Hour]]/ActiveWaxCells[[#This Row],[Total Hours/Week per cell]]</f>
        <v>1.0438124621039133</v>
      </c>
      <c r="V23" s="16">
        <f>ActiveWaxCells[[#This Row],[Total Hours/Week per cell]]-ActiveWaxCells[[#This Row],[Consumed Hour]]</f>
        <v>-4.1183714377678484</v>
      </c>
      <c r="X23" s="19">
        <f>ActiveWaxCells[[#This Row],[Utilization]]-100%</f>
        <v>4.3812462103913319E-2</v>
      </c>
    </row>
    <row r="24" spans="17:24" x14ac:dyDescent="0.2">
      <c r="Q24" t="s">
        <v>16</v>
      </c>
      <c r="R24" t="s">
        <v>103</v>
      </c>
      <c r="S24" s="16">
        <v>94</v>
      </c>
      <c r="T24">
        <v>98.384951050314712</v>
      </c>
      <c r="U24" s="27">
        <f>ActiveWaxCells[[#This Row],[Consumed Hour]]/ActiveWaxCells[[#This Row],[Total Hours/Week per cell]]</f>
        <v>1.04664841542888</v>
      </c>
      <c r="V24" s="16">
        <f>ActiveWaxCells[[#This Row],[Total Hours/Week per cell]]-ActiveWaxCells[[#This Row],[Consumed Hour]]</f>
        <v>-4.3849510503147116</v>
      </c>
      <c r="X24" s="19">
        <f>ActiveWaxCells[[#This Row],[Utilization]]-100%</f>
        <v>4.6648415428879986E-2</v>
      </c>
    </row>
    <row r="25" spans="17:24" x14ac:dyDescent="0.2">
      <c r="Q25" t="s">
        <v>16</v>
      </c>
      <c r="R25" t="s">
        <v>104</v>
      </c>
      <c r="S25" s="16">
        <v>94</v>
      </c>
      <c r="T25">
        <v>97.995789058809223</v>
      </c>
      <c r="U25" s="27">
        <f>ActiveWaxCells[[#This Row],[Consumed Hour]]/ActiveWaxCells[[#This Row],[Total Hours/Week per cell]]</f>
        <v>1.0425083942426514</v>
      </c>
      <c r="V25" s="16">
        <f>ActiveWaxCells[[#This Row],[Total Hours/Week per cell]]-ActiveWaxCells[[#This Row],[Consumed Hour]]</f>
        <v>-3.9957890588092226</v>
      </c>
      <c r="X25" s="19">
        <f>ActiveWaxCells[[#This Row],[Utilization]]-100%</f>
        <v>4.2508394242651404E-2</v>
      </c>
    </row>
    <row r="26" spans="17:24" x14ac:dyDescent="0.2">
      <c r="Q26" t="s">
        <v>16</v>
      </c>
      <c r="R26" t="s">
        <v>105</v>
      </c>
      <c r="S26" s="16">
        <v>94</v>
      </c>
      <c r="T26">
        <v>95.386722018228269</v>
      </c>
      <c r="U26" s="27">
        <f>ActiveWaxCells[[#This Row],[Consumed Hour]]/ActiveWaxCells[[#This Row],[Total Hours/Week per cell]]</f>
        <v>1.0147523618960455</v>
      </c>
      <c r="V26" s="16">
        <f>ActiveWaxCells[[#This Row],[Total Hours/Week per cell]]-ActiveWaxCells[[#This Row],[Consumed Hour]]</f>
        <v>-1.3867220182282693</v>
      </c>
      <c r="X26" s="19">
        <f>ActiveWaxCells[[#This Row],[Utilization]]-100%</f>
        <v>1.4752361896045452E-2</v>
      </c>
    </row>
    <row r="27" spans="17:24" x14ac:dyDescent="0.2">
      <c r="X27" s="19"/>
    </row>
    <row r="28" spans="17:24" x14ac:dyDescent="0.2">
      <c r="X28" s="19"/>
    </row>
    <row r="29" spans="17:24" x14ac:dyDescent="0.2">
      <c r="X29" s="19"/>
    </row>
    <row r="30" spans="17:24" x14ac:dyDescent="0.2">
      <c r="X30" s="19"/>
    </row>
    <row r="31" spans="17:24" x14ac:dyDescent="0.2">
      <c r="X31" s="19"/>
    </row>
    <row r="32" spans="17:24" x14ac:dyDescent="0.2">
      <c r="X32" s="19"/>
    </row>
    <row r="33" spans="24:24" x14ac:dyDescent="0.2">
      <c r="X33" s="19"/>
    </row>
  </sheetData>
  <pageMargins left="0.7" right="0.7" top="0.75" bottom="0.75" header="0.3" footer="0.3"/>
  <pageSetup paperSize="9" orientation="portrait" horizontalDpi="1200" verticalDpi="1200" r:id="rId1"/>
  <headerFooter>
    <oddFooter>&amp;C&amp;1#&amp;"Calibri"&amp;12&amp;K000000Classification: Pandora Internal</oddFooter>
  </headerFooter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B36CA-121C-4A72-9C1B-DC732CF93070}">
  <sheetPr codeName="Sheet3">
    <tabColor rgb="FF00B0F0"/>
  </sheetPr>
  <dimension ref="A4:N714"/>
  <sheetViews>
    <sheetView showGridLines="0" zoomScale="80" zoomScaleNormal="80" workbookViewId="0">
      <selection activeCell="N22" sqref="N22"/>
    </sheetView>
  </sheetViews>
  <sheetFormatPr defaultRowHeight="14.25" outlineLevelRow="1" x14ac:dyDescent="0.2"/>
  <cols>
    <col min="1" max="1" width="14.125" bestFit="1" customWidth="1"/>
    <col min="2" max="2" width="16.625" bestFit="1" customWidth="1"/>
    <col min="3" max="3" width="17.375" bestFit="1" customWidth="1"/>
    <col min="4" max="4" width="17.375" customWidth="1"/>
    <col min="5" max="5" width="23.875" bestFit="1" customWidth="1"/>
    <col min="6" max="6" width="14.375" customWidth="1"/>
    <col min="7" max="7" width="19.625" customWidth="1"/>
    <col min="8" max="8" width="11.75" bestFit="1" customWidth="1"/>
    <col min="9" max="9" width="24.125" customWidth="1"/>
    <col min="10" max="10" width="17.375" bestFit="1" customWidth="1"/>
    <col min="11" max="11" width="9.375" bestFit="1" customWidth="1"/>
    <col min="12" max="13" width="9.375" customWidth="1"/>
    <col min="14" max="14" width="12" customWidth="1"/>
  </cols>
  <sheetData>
    <row r="4" spans="1:1" x14ac:dyDescent="0.2">
      <c r="A4" s="2" t="s">
        <v>69</v>
      </c>
    </row>
    <row r="5" spans="1:1" outlineLevel="1" x14ac:dyDescent="0.2"/>
    <row r="6" spans="1:1" outlineLevel="1" x14ac:dyDescent="0.2"/>
    <row r="7" spans="1:1" outlineLevel="1" x14ac:dyDescent="0.2"/>
    <row r="8" spans="1:1" outlineLevel="1" x14ac:dyDescent="0.2"/>
    <row r="9" spans="1:1" outlineLevel="1" x14ac:dyDescent="0.2"/>
    <row r="10" spans="1:1" outlineLevel="1" x14ac:dyDescent="0.2"/>
    <row r="11" spans="1:1" outlineLevel="1" x14ac:dyDescent="0.2"/>
    <row r="12" spans="1:1" outlineLevel="1" x14ac:dyDescent="0.2"/>
    <row r="13" spans="1:1" outlineLevel="1" x14ac:dyDescent="0.2"/>
    <row r="14" spans="1:1" outlineLevel="1" x14ac:dyDescent="0.2"/>
    <row r="15" spans="1:1" outlineLevel="1" x14ac:dyDescent="0.2"/>
    <row r="16" spans="1:1" outlineLevel="1" x14ac:dyDescent="0.2"/>
    <row r="17" spans="1:14" outlineLevel="1" x14ac:dyDescent="0.2"/>
    <row r="18" spans="1:14" outlineLevel="1" x14ac:dyDescent="0.2"/>
    <row r="19" spans="1:14" outlineLevel="1" x14ac:dyDescent="0.2"/>
    <row r="20" spans="1:14" outlineLevel="1" x14ac:dyDescent="0.2">
      <c r="A20" t="s">
        <v>26</v>
      </c>
      <c r="B20" t="s">
        <v>47</v>
      </c>
      <c r="C20" t="s">
        <v>48</v>
      </c>
      <c r="D20" t="s">
        <v>134</v>
      </c>
      <c r="E20" t="s">
        <v>52</v>
      </c>
      <c r="I20" t="s">
        <v>75</v>
      </c>
      <c r="J20" s="17">
        <f>SUM(t_config_WaxCell[Total Hours/Week per cell])</f>
        <v>1857.44</v>
      </c>
    </row>
    <row r="21" spans="1:14" outlineLevel="1" x14ac:dyDescent="0.2">
      <c r="A21" t="s">
        <v>16</v>
      </c>
      <c r="B21" t="s">
        <v>49</v>
      </c>
      <c r="C21" s="16">
        <v>1243.7911873763076</v>
      </c>
      <c r="D21" s="23">
        <v>1052805</v>
      </c>
      <c r="E21" s="18">
        <f>ProductionOrdersByCategory[[#This Row],[ProductionHour]]/SUM(ProductionOrdersByCategory[ProductionHour])</f>
        <v>0.67195591645674757</v>
      </c>
      <c r="I21" t="s">
        <v>74</v>
      </c>
      <c r="J21" s="17">
        <f>SUM(ProductionOrdersByItem_Display[ProductionHour])</f>
        <v>1851.0011697417197</v>
      </c>
    </row>
    <row r="22" spans="1:14" outlineLevel="1" x14ac:dyDescent="0.2">
      <c r="A22" t="s">
        <v>16</v>
      </c>
      <c r="B22" t="s">
        <v>50</v>
      </c>
      <c r="C22" s="16">
        <v>497.83200310183372</v>
      </c>
      <c r="D22" s="23">
        <v>358605</v>
      </c>
      <c r="E22" s="18">
        <f>ProductionOrdersByCategory[[#This Row],[ProductionHour]]/SUM(ProductionOrdersByCategory[ProductionHour])</f>
        <v>0.26895283008994503</v>
      </c>
      <c r="I22" t="s">
        <v>76</v>
      </c>
      <c r="J22" s="17">
        <f>J20-J21</f>
        <v>6.4388302582804045</v>
      </c>
    </row>
    <row r="23" spans="1:14" outlineLevel="1" x14ac:dyDescent="0.2">
      <c r="A23" t="s">
        <v>16</v>
      </c>
      <c r="B23" t="s">
        <v>166</v>
      </c>
      <c r="C23" s="16">
        <v>85.705913611458044</v>
      </c>
      <c r="D23" s="23">
        <v>124855</v>
      </c>
      <c r="E23" s="18">
        <f>ProductionOrdersByCategory[[#This Row],[ProductionHour]]/SUM(ProductionOrdersByCategory[ProductionHour])</f>
        <v>4.6302463235837477E-2</v>
      </c>
    </row>
    <row r="24" spans="1:14" outlineLevel="1" x14ac:dyDescent="0.2">
      <c r="A24" t="s">
        <v>16</v>
      </c>
      <c r="B24" t="s">
        <v>773</v>
      </c>
      <c r="C24" s="16">
        <v>21.464694623484316</v>
      </c>
      <c r="D24" s="23">
        <v>29740</v>
      </c>
      <c r="E24" s="18">
        <f>ProductionOrdersByCategory[[#This Row],[ProductionHour]]/SUM(ProductionOrdersByCategory[ProductionHour])</f>
        <v>1.1596262052324596E-2</v>
      </c>
      <c r="I24" t="s">
        <v>78</v>
      </c>
      <c r="J24" s="18">
        <f>J21/J20</f>
        <v>0.99653349219448251</v>
      </c>
    </row>
    <row r="25" spans="1:14" outlineLevel="1" x14ac:dyDescent="0.2">
      <c r="A25" t="s">
        <v>16</v>
      </c>
      <c r="B25" t="s">
        <v>5654</v>
      </c>
      <c r="C25" s="16">
        <v>1.1689347552525635</v>
      </c>
      <c r="D25" s="23">
        <v>700</v>
      </c>
      <c r="E25" s="18">
        <f>ProductionOrdersByCategory[[#This Row],[ProductionHour]]/SUM(ProductionOrdersByCategory[ProductionHour])</f>
        <v>6.3151486577162595E-4</v>
      </c>
      <c r="N25" t="s">
        <v>5938</v>
      </c>
    </row>
    <row r="26" spans="1:14" outlineLevel="1" x14ac:dyDescent="0.2">
      <c r="A26" t="s">
        <v>16</v>
      </c>
      <c r="B26" t="s">
        <v>51</v>
      </c>
      <c r="C26" s="16">
        <v>1.0384362733815098</v>
      </c>
      <c r="D26" s="23">
        <v>580</v>
      </c>
      <c r="E26" s="18">
        <f>ProductionOrdersByCategory[[#This Row],[ProductionHour]]/SUM(ProductionOrdersByCategory[ProductionHour])</f>
        <v>5.6101329937377064E-4</v>
      </c>
    </row>
    <row r="27" spans="1:14" outlineLevel="1" x14ac:dyDescent="0.2">
      <c r="C27" s="16"/>
      <c r="D27" s="23"/>
      <c r="E27" s="18"/>
    </row>
    <row r="28" spans="1:14" outlineLevel="1" x14ac:dyDescent="0.2">
      <c r="C28" s="17"/>
      <c r="D28" s="17"/>
      <c r="E28" s="19"/>
      <c r="I28" t="s">
        <v>208</v>
      </c>
      <c r="J28" s="58">
        <f>SUM(ProductionOrdersByCategory[Quantity])</f>
        <v>1567285</v>
      </c>
    </row>
    <row r="29" spans="1:14" outlineLevel="1" x14ac:dyDescent="0.2">
      <c r="E29" s="19"/>
      <c r="I29" t="s">
        <v>137</v>
      </c>
      <c r="J29" s="26">
        <f>SUM(ProductionOrdersByItem_Plastic[QtySched])</f>
        <v>511920</v>
      </c>
      <c r="K29" s="17"/>
    </row>
    <row r="30" spans="1:14" outlineLevel="1" x14ac:dyDescent="0.2">
      <c r="E30" s="19"/>
      <c r="I30" t="s">
        <v>138</v>
      </c>
      <c r="J30" s="26">
        <f>SUM(ProductionOrdersByCategory[Quantity])+r_TotalPlasticQuantity</f>
        <v>2079205</v>
      </c>
      <c r="K30" s="17"/>
    </row>
    <row r="31" spans="1:14" outlineLevel="1" x14ac:dyDescent="0.2">
      <c r="C31" s="17"/>
      <c r="D31" s="17"/>
      <c r="E31" s="19"/>
    </row>
    <row r="32" spans="1:14" outlineLevel="1" x14ac:dyDescent="0.2">
      <c r="A32" s="24" t="s">
        <v>165</v>
      </c>
      <c r="B32" s="24"/>
      <c r="C32" s="24"/>
      <c r="D32" s="47">
        <f>r_TotalFEQuantity/r_Consumption</f>
        <v>1123.2867023472074</v>
      </c>
    </row>
    <row r="33" spans="1:14" outlineLevel="1" x14ac:dyDescent="0.2">
      <c r="A33" s="24" t="s">
        <v>131</v>
      </c>
      <c r="B33" s="24"/>
      <c r="C33" s="24"/>
      <c r="D33" s="48">
        <f>SUM(ProductionOrdersByCategory[ProductionHour])</f>
        <v>1851.0011697417176</v>
      </c>
    </row>
    <row r="34" spans="1:14" s="24" customFormat="1" x14ac:dyDescent="0.2"/>
    <row r="37" spans="1:14" x14ac:dyDescent="0.2">
      <c r="A37" s="2" t="s">
        <v>70</v>
      </c>
      <c r="K37" s="26">
        <f>COUNTBLANK(ProductionOrdersByItem_Display[RMRequired])+COUNTIFS(ProductionOrdersByItem_Display[RMRequired],"=0")</f>
        <v>0</v>
      </c>
      <c r="L37" s="28" t="s">
        <v>79</v>
      </c>
      <c r="M37" s="27">
        <f>MAX(ProductionOrdersByItem_Display[Utilization])</f>
        <v>3.9331612734191529E-2</v>
      </c>
    </row>
    <row r="39" spans="1:14" s="25" customFormat="1" ht="57" x14ac:dyDescent="0.2">
      <c r="A39" s="25" t="s">
        <v>26</v>
      </c>
      <c r="B39" s="25" t="s">
        <v>28</v>
      </c>
      <c r="C39" s="25" t="s">
        <v>61</v>
      </c>
      <c r="D39" s="25" t="s">
        <v>27</v>
      </c>
      <c r="E39" s="25" t="s">
        <v>62</v>
      </c>
      <c r="F39" s="25" t="s">
        <v>47</v>
      </c>
      <c r="G39" s="25" t="s">
        <v>63</v>
      </c>
      <c r="H39" s="25" t="s">
        <v>64</v>
      </c>
      <c r="I39" s="25" t="s">
        <v>48</v>
      </c>
      <c r="J39" s="25" t="s">
        <v>65</v>
      </c>
      <c r="K39" s="25" t="s">
        <v>66</v>
      </c>
      <c r="L39" s="25" t="s">
        <v>67</v>
      </c>
      <c r="M39" s="25" t="s">
        <v>77</v>
      </c>
      <c r="N39" s="25" t="s">
        <v>186</v>
      </c>
    </row>
    <row r="40" spans="1:14" x14ac:dyDescent="0.2">
      <c r="A40" t="s">
        <v>16</v>
      </c>
      <c r="B40" t="s">
        <v>5615</v>
      </c>
      <c r="C40" t="s">
        <v>258</v>
      </c>
      <c r="D40" t="s">
        <v>4782</v>
      </c>
      <c r="E40" t="s">
        <v>68</v>
      </c>
      <c r="F40" t="s">
        <v>49</v>
      </c>
      <c r="G40">
        <v>29200</v>
      </c>
      <c r="H40" s="22">
        <v>1.3264903298453039E-3</v>
      </c>
      <c r="I40" s="16">
        <v>38.733517631482876</v>
      </c>
      <c r="J40" s="56" t="s">
        <v>5945</v>
      </c>
      <c r="K40" s="56" t="s">
        <v>5600</v>
      </c>
      <c r="L40">
        <v>40</v>
      </c>
      <c r="M40" s="31">
        <f>ProductionOrdersByItem_Display[[#This Row],[ProductionHour]]/r_TotalProductionHour</f>
        <v>2.0925712130634481E-2</v>
      </c>
      <c r="N40" s="26">
        <f>ProductionOrdersByItem_Display[[#This Row],[RMQty]]-ProductionOrdersByItem_Display[[#This Row],[RMRequired]]</f>
        <v>1572</v>
      </c>
    </row>
    <row r="41" spans="1:14" hidden="1" x14ac:dyDescent="0.2">
      <c r="A41" t="s">
        <v>16</v>
      </c>
      <c r="B41" t="s">
        <v>779</v>
      </c>
      <c r="C41" t="s">
        <v>4749</v>
      </c>
      <c r="D41" t="s">
        <v>4750</v>
      </c>
      <c r="E41" t="s">
        <v>68</v>
      </c>
      <c r="F41" t="s">
        <v>49</v>
      </c>
      <c r="G41">
        <v>11600</v>
      </c>
      <c r="H41" s="22">
        <v>1.1008710246258383E-3</v>
      </c>
      <c r="I41" s="16">
        <v>12.770103885659724</v>
      </c>
      <c r="J41" s="56" t="s">
        <v>5946</v>
      </c>
      <c r="K41" s="56" t="s">
        <v>5600</v>
      </c>
      <c r="L41">
        <v>34</v>
      </c>
      <c r="M41" s="31">
        <f>ProductionOrdersByItem_Display[[#This Row],[ProductionHour]]/r_TotalProductionHour</f>
        <v>6.8990252920486383E-3</v>
      </c>
      <c r="N41" s="26">
        <f>ProductionOrdersByItem_Display[[#This Row],[RMQty]]-ProductionOrdersByItem_Display[[#This Row],[RMRequired]]</f>
        <v>1321</v>
      </c>
    </row>
    <row r="42" spans="1:14" hidden="1" x14ac:dyDescent="0.2">
      <c r="A42" t="s">
        <v>16</v>
      </c>
      <c r="B42" t="s">
        <v>542</v>
      </c>
      <c r="C42" t="s">
        <v>543</v>
      </c>
      <c r="D42" t="s">
        <v>4748</v>
      </c>
      <c r="E42" t="s">
        <v>68</v>
      </c>
      <c r="F42" t="s">
        <v>49</v>
      </c>
      <c r="G42">
        <v>5700</v>
      </c>
      <c r="H42" s="22">
        <v>2.5844646065959851E-3</v>
      </c>
      <c r="I42" s="16">
        <v>14.731448257597116</v>
      </c>
      <c r="J42" s="56" t="s">
        <v>5947</v>
      </c>
      <c r="K42" s="56" t="s">
        <v>5600</v>
      </c>
      <c r="L42">
        <v>30</v>
      </c>
      <c r="M42" s="31">
        <f>ProductionOrdersByItem_Display[[#This Row],[ProductionHour]]/r_TotalProductionHour</f>
        <v>7.9586380054274576E-3</v>
      </c>
      <c r="N42" s="26">
        <f>ProductionOrdersByItem_Display[[#This Row],[RMQty]]-ProductionOrdersByItem_Display[[#This Row],[RMRequired]]</f>
        <v>1197</v>
      </c>
    </row>
    <row r="43" spans="1:14" hidden="1" x14ac:dyDescent="0.2">
      <c r="A43" t="s">
        <v>16</v>
      </c>
      <c r="B43" t="s">
        <v>577</v>
      </c>
      <c r="C43" t="s">
        <v>578</v>
      </c>
      <c r="D43" t="s">
        <v>4745</v>
      </c>
      <c r="E43" t="s">
        <v>68</v>
      </c>
      <c r="F43" t="s">
        <v>49</v>
      </c>
      <c r="G43">
        <v>1350</v>
      </c>
      <c r="H43" s="22">
        <v>1.6603669195118433E-3</v>
      </c>
      <c r="I43" s="16">
        <v>2.2414953413409884</v>
      </c>
      <c r="J43" s="56" t="s">
        <v>5948</v>
      </c>
      <c r="K43" s="56" t="s">
        <v>5600</v>
      </c>
      <c r="L43">
        <v>30</v>
      </c>
      <c r="M43" s="31">
        <f>ProductionOrdersByItem_Display[[#This Row],[ProductionHour]]/r_TotalProductionHour</f>
        <v>1.2109637627369836E-3</v>
      </c>
      <c r="N43" s="26">
        <f>ProductionOrdersByItem_Display[[#This Row],[RMQty]]-ProductionOrdersByItem_Display[[#This Row],[RMRequired]]</f>
        <v>1180</v>
      </c>
    </row>
    <row r="44" spans="1:14" hidden="1" x14ac:dyDescent="0.2">
      <c r="A44" t="s">
        <v>16</v>
      </c>
      <c r="B44" t="s">
        <v>2726</v>
      </c>
      <c r="C44" t="s">
        <v>4905</v>
      </c>
      <c r="D44" t="s">
        <v>4748</v>
      </c>
      <c r="E44" t="s">
        <v>68</v>
      </c>
      <c r="F44" t="s">
        <v>49</v>
      </c>
      <c r="G44">
        <v>740</v>
      </c>
      <c r="H44" s="22">
        <v>6.7201289301272056E-4</v>
      </c>
      <c r="I44" s="16">
        <v>0.49728954082941323</v>
      </c>
      <c r="J44" s="56" t="s">
        <v>5729</v>
      </c>
      <c r="K44" s="56" t="s">
        <v>5600</v>
      </c>
      <c r="L44">
        <v>28</v>
      </c>
      <c r="M44" s="31">
        <f>ProductionOrdersByItem_Display[[#This Row],[ProductionHour]]/r_TotalProductionHour</f>
        <v>2.686597658383994E-4</v>
      </c>
      <c r="N44" s="26">
        <f>ProductionOrdersByItem_Display[[#This Row],[RMQty]]-ProductionOrdersByItem_Display[[#This Row],[RMRequired]]</f>
        <v>1114</v>
      </c>
    </row>
    <row r="45" spans="1:14" hidden="1" x14ac:dyDescent="0.2">
      <c r="A45" t="s">
        <v>16</v>
      </c>
      <c r="B45" t="s">
        <v>2727</v>
      </c>
      <c r="C45" t="s">
        <v>4906</v>
      </c>
      <c r="D45" t="s">
        <v>4746</v>
      </c>
      <c r="E45" t="s">
        <v>68</v>
      </c>
      <c r="F45" t="s">
        <v>49</v>
      </c>
      <c r="G45">
        <v>740</v>
      </c>
      <c r="H45" s="22">
        <v>7.4691051470828309E-4</v>
      </c>
      <c r="I45" s="16">
        <v>0.55271378088412948</v>
      </c>
      <c r="J45" s="56" t="s">
        <v>5810</v>
      </c>
      <c r="K45" s="56" t="s">
        <v>5600</v>
      </c>
      <c r="L45">
        <v>25</v>
      </c>
      <c r="M45" s="31">
        <f>ProductionOrdersByItem_Display[[#This Row],[ProductionHour]]/r_TotalProductionHour</f>
        <v>2.9860261026266844E-4</v>
      </c>
      <c r="N45" s="26">
        <f>ProductionOrdersByItem_Display[[#This Row],[RMQty]]-ProductionOrdersByItem_Display[[#This Row],[RMRequired]]</f>
        <v>971</v>
      </c>
    </row>
    <row r="46" spans="1:14" hidden="1" x14ac:dyDescent="0.2">
      <c r="A46" t="s">
        <v>16</v>
      </c>
      <c r="B46" t="s">
        <v>1600</v>
      </c>
      <c r="C46" t="s">
        <v>4980</v>
      </c>
      <c r="D46" t="s">
        <v>4764</v>
      </c>
      <c r="E46" t="s">
        <v>68</v>
      </c>
      <c r="F46" t="s">
        <v>49</v>
      </c>
      <c r="G46">
        <v>6960</v>
      </c>
      <c r="H46" s="22">
        <v>2.3571089581409665E-4</v>
      </c>
      <c r="I46" s="16">
        <v>1.6405478348661127</v>
      </c>
      <c r="J46" s="56" t="s">
        <v>5789</v>
      </c>
      <c r="K46" s="56" t="s">
        <v>5600</v>
      </c>
      <c r="L46">
        <v>24</v>
      </c>
      <c r="M46" s="31">
        <f>ProductionOrdersByItem_Display[[#This Row],[ProductionHour]]/r_TotalProductionHour</f>
        <v>8.8630297035146069E-4</v>
      </c>
      <c r="N46" s="26">
        <f>ProductionOrdersByItem_Display[[#This Row],[RMQty]]-ProductionOrdersByItem_Display[[#This Row],[RMRequired]]</f>
        <v>941</v>
      </c>
    </row>
    <row r="47" spans="1:14" hidden="1" x14ac:dyDescent="0.2">
      <c r="A47" t="s">
        <v>16</v>
      </c>
      <c r="B47" t="s">
        <v>5040</v>
      </c>
      <c r="C47" t="s">
        <v>5041</v>
      </c>
      <c r="D47" t="s">
        <v>4777</v>
      </c>
      <c r="E47" t="s">
        <v>68</v>
      </c>
      <c r="F47" t="s">
        <v>49</v>
      </c>
      <c r="G47">
        <v>700</v>
      </c>
      <c r="H47" s="22">
        <v>3.450925893280369E-3</v>
      </c>
      <c r="I47" s="16">
        <v>2.4156481252962583</v>
      </c>
      <c r="J47" s="56" t="s">
        <v>5882</v>
      </c>
      <c r="K47" s="56" t="s">
        <v>5600</v>
      </c>
      <c r="L47">
        <v>23</v>
      </c>
      <c r="M47" s="31">
        <f>ProductionOrdersByItem_Display[[#This Row],[ProductionHour]]/r_TotalProductionHour</f>
        <v>1.3050494860753273E-3</v>
      </c>
      <c r="N47" s="26">
        <f>ProductionOrdersByItem_Display[[#This Row],[RMQty]]-ProductionOrdersByItem_Display[[#This Row],[RMRequired]]</f>
        <v>890</v>
      </c>
    </row>
    <row r="48" spans="1:14" hidden="1" x14ac:dyDescent="0.2">
      <c r="A48" t="s">
        <v>16</v>
      </c>
      <c r="B48" t="s">
        <v>780</v>
      </c>
      <c r="C48" t="s">
        <v>781</v>
      </c>
      <c r="D48" t="s">
        <v>4747</v>
      </c>
      <c r="E48" t="s">
        <v>68</v>
      </c>
      <c r="F48" t="s">
        <v>49</v>
      </c>
      <c r="G48">
        <v>2200</v>
      </c>
      <c r="H48" s="22">
        <v>1.2539582466921371E-3</v>
      </c>
      <c r="I48" s="16">
        <v>2.7587081427227016</v>
      </c>
      <c r="J48" s="56" t="s">
        <v>5773</v>
      </c>
      <c r="K48" s="56" t="s">
        <v>5600</v>
      </c>
      <c r="L48">
        <v>23</v>
      </c>
      <c r="M48" s="31">
        <f>ProductionOrdersByItem_Display[[#This Row],[ProductionHour]]/r_TotalProductionHour</f>
        <v>1.4903870336870951E-3</v>
      </c>
      <c r="N48" s="26">
        <f>ProductionOrdersByItem_Display[[#This Row],[RMQty]]-ProductionOrdersByItem_Display[[#This Row],[RMRequired]]</f>
        <v>905</v>
      </c>
    </row>
    <row r="49" spans="1:14" hidden="1" x14ac:dyDescent="0.2">
      <c r="A49" t="s">
        <v>16</v>
      </c>
      <c r="B49" t="s">
        <v>5117</v>
      </c>
      <c r="C49" t="s">
        <v>5118</v>
      </c>
      <c r="D49" t="s">
        <v>4775</v>
      </c>
      <c r="E49" t="s">
        <v>68</v>
      </c>
      <c r="F49" t="s">
        <v>49</v>
      </c>
      <c r="G49">
        <v>4620</v>
      </c>
      <c r="H49" s="22">
        <v>2.3128258275233967E-3</v>
      </c>
      <c r="I49" s="16">
        <v>10.685255323158092</v>
      </c>
      <c r="J49" s="56" t="s">
        <v>5949</v>
      </c>
      <c r="K49" s="56" t="s">
        <v>5600</v>
      </c>
      <c r="L49">
        <v>23</v>
      </c>
      <c r="M49" s="31">
        <f>ProductionOrdersByItem_Display[[#This Row],[ProductionHour]]/r_TotalProductionHour</f>
        <v>5.7726896653712417E-3</v>
      </c>
      <c r="N49" s="26">
        <f>ProductionOrdersByItem_Display[[#This Row],[RMQty]]-ProductionOrdersByItem_Display[[#This Row],[RMRequired]]</f>
        <v>910</v>
      </c>
    </row>
    <row r="50" spans="1:14" hidden="1" x14ac:dyDescent="0.2">
      <c r="A50" t="s">
        <v>16</v>
      </c>
      <c r="B50" t="s">
        <v>304</v>
      </c>
      <c r="C50" t="s">
        <v>305</v>
      </c>
      <c r="D50" t="s">
        <v>4748</v>
      </c>
      <c r="E50" t="s">
        <v>68</v>
      </c>
      <c r="F50" t="s">
        <v>49</v>
      </c>
      <c r="G50">
        <v>3445</v>
      </c>
      <c r="H50" s="22">
        <v>1.8261382360924734E-3</v>
      </c>
      <c r="I50" s="16">
        <v>6.2910462233385713</v>
      </c>
      <c r="J50" s="56" t="s">
        <v>5811</v>
      </c>
      <c r="K50" s="56" t="s">
        <v>5600</v>
      </c>
      <c r="L50">
        <v>22</v>
      </c>
      <c r="M50" s="31">
        <f>ProductionOrdersByItem_Display[[#This Row],[ProductionHour]]/r_TotalProductionHour</f>
        <v>3.3987262278264269E-3</v>
      </c>
      <c r="N50" s="26">
        <f>ProductionOrdersByItem_Display[[#This Row],[RMQty]]-ProductionOrdersByItem_Display[[#This Row],[RMRequired]]</f>
        <v>847</v>
      </c>
    </row>
    <row r="51" spans="1:14" hidden="1" x14ac:dyDescent="0.2">
      <c r="A51" t="s">
        <v>16</v>
      </c>
      <c r="B51" t="s">
        <v>5042</v>
      </c>
      <c r="C51" t="s">
        <v>5043</v>
      </c>
      <c r="D51" t="s">
        <v>4779</v>
      </c>
      <c r="E51" t="s">
        <v>68</v>
      </c>
      <c r="F51" t="s">
        <v>49</v>
      </c>
      <c r="G51">
        <v>700</v>
      </c>
      <c r="H51" s="22">
        <v>1.5217995619814656E-3</v>
      </c>
      <c r="I51" s="16">
        <v>1.065259693387026</v>
      </c>
      <c r="J51" s="56" t="s">
        <v>5883</v>
      </c>
      <c r="K51" s="56" t="s">
        <v>5600</v>
      </c>
      <c r="L51">
        <v>21</v>
      </c>
      <c r="M51" s="31">
        <f>ProductionOrdersByItem_Display[[#This Row],[ProductionHour]]/r_TotalProductionHour</f>
        <v>5.7550460302284337E-4</v>
      </c>
      <c r="N51" s="26">
        <f>ProductionOrdersByItem_Display[[#This Row],[RMQty]]-ProductionOrdersByItem_Display[[#This Row],[RMRequired]]</f>
        <v>805</v>
      </c>
    </row>
    <row r="52" spans="1:14" hidden="1" x14ac:dyDescent="0.2">
      <c r="A52" t="s">
        <v>16</v>
      </c>
      <c r="B52" t="s">
        <v>782</v>
      </c>
      <c r="C52" t="s">
        <v>783</v>
      </c>
      <c r="D52" t="s">
        <v>4746</v>
      </c>
      <c r="E52" t="s">
        <v>68</v>
      </c>
      <c r="F52" t="s">
        <v>49</v>
      </c>
      <c r="G52">
        <v>2300</v>
      </c>
      <c r="H52" s="22">
        <v>1.253056769002787E-3</v>
      </c>
      <c r="I52" s="16">
        <v>2.8820305687064103</v>
      </c>
      <c r="J52" s="56" t="s">
        <v>5774</v>
      </c>
      <c r="K52" s="56" t="s">
        <v>5600</v>
      </c>
      <c r="L52">
        <v>21</v>
      </c>
      <c r="M52" s="31">
        <f>ProductionOrdersByItem_Display[[#This Row],[ProductionHour]]/r_TotalProductionHour</f>
        <v>1.5570117490031402E-3</v>
      </c>
      <c r="N52" s="26">
        <f>ProductionOrdersByItem_Display[[#This Row],[RMQty]]-ProductionOrdersByItem_Display[[#This Row],[RMRequired]]</f>
        <v>830</v>
      </c>
    </row>
    <row r="53" spans="1:14" hidden="1" x14ac:dyDescent="0.2">
      <c r="A53" t="s">
        <v>16</v>
      </c>
      <c r="B53" t="s">
        <v>583</v>
      </c>
      <c r="C53" t="s">
        <v>584</v>
      </c>
      <c r="D53" t="s">
        <v>4748</v>
      </c>
      <c r="E53" t="s">
        <v>68</v>
      </c>
      <c r="F53" t="s">
        <v>49</v>
      </c>
      <c r="G53">
        <v>4800</v>
      </c>
      <c r="H53" s="22">
        <v>4.5167984199049319E-4</v>
      </c>
      <c r="I53" s="16">
        <v>2.1680632415543672</v>
      </c>
      <c r="J53" s="56" t="s">
        <v>5950</v>
      </c>
      <c r="K53" s="56" t="s">
        <v>5600</v>
      </c>
      <c r="L53">
        <v>20</v>
      </c>
      <c r="M53" s="31">
        <f>ProductionOrdersByItem_Display[[#This Row],[ProductionHour]]/r_TotalProductionHour</f>
        <v>1.1712922049946038E-3</v>
      </c>
      <c r="N53" s="26">
        <f>ProductionOrdersByItem_Display[[#This Row],[RMQty]]-ProductionOrdersByItem_Display[[#This Row],[RMRequired]]</f>
        <v>793</v>
      </c>
    </row>
    <row r="54" spans="1:14" hidden="1" x14ac:dyDescent="0.2">
      <c r="A54" t="s">
        <v>16</v>
      </c>
      <c r="B54" t="s">
        <v>4312</v>
      </c>
      <c r="C54" t="s">
        <v>4313</v>
      </c>
      <c r="D54" t="s">
        <v>4746</v>
      </c>
      <c r="E54" t="s">
        <v>68</v>
      </c>
      <c r="F54" t="s">
        <v>49</v>
      </c>
      <c r="G54">
        <v>740</v>
      </c>
      <c r="H54" s="22">
        <v>7.7956222728986729E-4</v>
      </c>
      <c r="I54" s="16">
        <v>0.57687604819450178</v>
      </c>
      <c r="J54" s="56" t="s">
        <v>5749</v>
      </c>
      <c r="K54" s="56" t="s">
        <v>5600</v>
      </c>
      <c r="L54">
        <v>18</v>
      </c>
      <c r="M54" s="31">
        <f>ProductionOrdersByItem_Display[[#This Row],[ProductionHour]]/r_TotalProductionHour</f>
        <v>3.1165623103036563E-4</v>
      </c>
      <c r="N54" s="26">
        <f>ProductionOrdersByItem_Display[[#This Row],[RMQty]]-ProductionOrdersByItem_Display[[#This Row],[RMRequired]]</f>
        <v>716</v>
      </c>
    </row>
    <row r="55" spans="1:14" hidden="1" x14ac:dyDescent="0.2">
      <c r="A55" t="s">
        <v>16</v>
      </c>
      <c r="B55" t="s">
        <v>784</v>
      </c>
      <c r="C55" t="s">
        <v>785</v>
      </c>
      <c r="D55" t="s">
        <v>4748</v>
      </c>
      <c r="E55" t="s">
        <v>68</v>
      </c>
      <c r="F55" t="s">
        <v>49</v>
      </c>
      <c r="G55">
        <v>3770</v>
      </c>
      <c r="H55" s="22">
        <v>1.2648720933090564E-3</v>
      </c>
      <c r="I55" s="16">
        <v>4.7685677917751432</v>
      </c>
      <c r="J55" s="56" t="s">
        <v>5951</v>
      </c>
      <c r="K55" s="56" t="s">
        <v>5600</v>
      </c>
      <c r="L55">
        <v>15</v>
      </c>
      <c r="M55" s="31">
        <f>ProductionOrdersByItem_Display[[#This Row],[ProductionHour]]/r_TotalProductionHour</f>
        <v>2.5762100368853539E-3</v>
      </c>
      <c r="N55" s="26">
        <f>ProductionOrdersByItem_Display[[#This Row],[RMQty]]-ProductionOrdersByItem_Display[[#This Row],[RMRequired]]</f>
        <v>578</v>
      </c>
    </row>
    <row r="56" spans="1:14" hidden="1" x14ac:dyDescent="0.2">
      <c r="A56" t="s">
        <v>16</v>
      </c>
      <c r="B56" t="s">
        <v>1091</v>
      </c>
      <c r="C56" t="s">
        <v>4849</v>
      </c>
      <c r="D56" t="s">
        <v>4746</v>
      </c>
      <c r="E56" t="s">
        <v>68</v>
      </c>
      <c r="F56" t="s">
        <v>49</v>
      </c>
      <c r="G56">
        <v>250</v>
      </c>
      <c r="H56" s="22">
        <v>6.5998400075239117E-4</v>
      </c>
      <c r="I56" s="16">
        <v>0.16499600018809779</v>
      </c>
      <c r="J56" s="56" t="s">
        <v>5884</v>
      </c>
      <c r="K56" s="56" t="s">
        <v>5600</v>
      </c>
      <c r="L56">
        <v>15</v>
      </c>
      <c r="M56" s="31">
        <f>ProductionOrdersByItem_Display[[#This Row],[ProductionHour]]/r_TotalProductionHour</f>
        <v>8.9138787638432868E-5</v>
      </c>
      <c r="N56" s="26">
        <f>ProductionOrdersByItem_Display[[#This Row],[RMQty]]-ProductionOrdersByItem_Display[[#This Row],[RMRequired]]</f>
        <v>585</v>
      </c>
    </row>
    <row r="57" spans="1:14" hidden="1" x14ac:dyDescent="0.2">
      <c r="A57" t="s">
        <v>16</v>
      </c>
      <c r="B57" t="s">
        <v>4392</v>
      </c>
      <c r="C57" t="s">
        <v>5554</v>
      </c>
      <c r="D57" t="s">
        <v>4748</v>
      </c>
      <c r="E57" t="s">
        <v>68</v>
      </c>
      <c r="F57" t="s">
        <v>49</v>
      </c>
      <c r="G57">
        <v>27475</v>
      </c>
      <c r="H57" s="22">
        <v>1.347273236086333E-3</v>
      </c>
      <c r="I57" s="16">
        <v>37.016332161472</v>
      </c>
      <c r="J57" s="56" t="s">
        <v>5857</v>
      </c>
      <c r="K57" s="56" t="s">
        <v>5600</v>
      </c>
      <c r="L57">
        <v>14</v>
      </c>
      <c r="M57" s="31">
        <f>ProductionOrdersByItem_Display[[#This Row],[ProductionHour]]/r_TotalProductionHour</f>
        <v>1.999800581792022E-2</v>
      </c>
      <c r="N57" s="26">
        <f>ProductionOrdersByItem_Display[[#This Row],[RMQty]]-ProductionOrdersByItem_Display[[#This Row],[RMRequired]]</f>
        <v>530</v>
      </c>
    </row>
    <row r="58" spans="1:14" hidden="1" x14ac:dyDescent="0.2">
      <c r="A58" t="s">
        <v>16</v>
      </c>
      <c r="B58" t="s">
        <v>4391</v>
      </c>
      <c r="C58" t="s">
        <v>5553</v>
      </c>
      <c r="D58" t="s">
        <v>4745</v>
      </c>
      <c r="E58" t="s">
        <v>68</v>
      </c>
      <c r="F58" t="s">
        <v>49</v>
      </c>
      <c r="G58">
        <v>27375</v>
      </c>
      <c r="H58" s="22">
        <v>2.6594652485412511E-3</v>
      </c>
      <c r="I58" s="16">
        <v>72.802861178816755</v>
      </c>
      <c r="J58" s="56" t="s">
        <v>5952</v>
      </c>
      <c r="K58" s="56" t="s">
        <v>5600</v>
      </c>
      <c r="L58">
        <v>14</v>
      </c>
      <c r="M58" s="31">
        <f>ProductionOrdersByItem_Display[[#This Row],[ProductionHour]]/r_TotalProductionHour</f>
        <v>3.9331612734191529E-2</v>
      </c>
      <c r="N58" s="26">
        <f>ProductionOrdersByItem_Display[[#This Row],[RMQty]]-ProductionOrdersByItem_Display[[#This Row],[RMRequired]]</f>
        <v>529</v>
      </c>
    </row>
    <row r="59" spans="1:14" hidden="1" x14ac:dyDescent="0.2">
      <c r="A59" t="s">
        <v>16</v>
      </c>
      <c r="B59" t="s">
        <v>596</v>
      </c>
      <c r="C59" t="s">
        <v>4941</v>
      </c>
      <c r="D59" t="s">
        <v>4754</v>
      </c>
      <c r="E59" t="s">
        <v>68</v>
      </c>
      <c r="F59" t="s">
        <v>49</v>
      </c>
      <c r="G59">
        <v>2250</v>
      </c>
      <c r="H59" s="22">
        <v>1.1698308408665448E-3</v>
      </c>
      <c r="I59" s="16">
        <v>2.6321193919497259</v>
      </c>
      <c r="J59" s="56" t="s">
        <v>5707</v>
      </c>
      <c r="K59" s="56" t="s">
        <v>5600</v>
      </c>
      <c r="L59">
        <v>14</v>
      </c>
      <c r="M59" s="31">
        <f>ProductionOrdersByItem_Display[[#This Row],[ProductionHour]]/r_TotalProductionHour</f>
        <v>1.4219976923715305E-3</v>
      </c>
      <c r="N59" s="26">
        <f>ProductionOrdersByItem_Display[[#This Row],[RMQty]]-ProductionOrdersByItem_Display[[#This Row],[RMRequired]]</f>
        <v>542</v>
      </c>
    </row>
    <row r="60" spans="1:14" hidden="1" x14ac:dyDescent="0.2">
      <c r="A60" t="s">
        <v>16</v>
      </c>
      <c r="B60" t="s">
        <v>790</v>
      </c>
      <c r="C60" t="s">
        <v>791</v>
      </c>
      <c r="D60" t="s">
        <v>4748</v>
      </c>
      <c r="E60" t="s">
        <v>68</v>
      </c>
      <c r="F60" t="s">
        <v>49</v>
      </c>
      <c r="G60">
        <v>11400</v>
      </c>
      <c r="H60" s="22">
        <v>3.6068253069843531E-4</v>
      </c>
      <c r="I60" s="16">
        <v>4.1117808499621624</v>
      </c>
      <c r="J60" s="56" t="s">
        <v>5676</v>
      </c>
      <c r="K60" s="56" t="s">
        <v>5600</v>
      </c>
      <c r="L60">
        <v>13</v>
      </c>
      <c r="M60" s="31">
        <f>ProductionOrdersByItem_Display[[#This Row],[ProductionHour]]/r_TotalProductionHour</f>
        <v>2.2213820915823117E-3</v>
      </c>
      <c r="N60" s="26">
        <f>ProductionOrdersByItem_Display[[#This Row],[RMQty]]-ProductionOrdersByItem_Display[[#This Row],[RMRequired]]</f>
        <v>485</v>
      </c>
    </row>
    <row r="61" spans="1:14" hidden="1" x14ac:dyDescent="0.2">
      <c r="A61" t="s">
        <v>16</v>
      </c>
      <c r="B61" t="s">
        <v>268</v>
      </c>
      <c r="C61" t="s">
        <v>4915</v>
      </c>
      <c r="D61" t="s">
        <v>5639</v>
      </c>
      <c r="E61" t="s">
        <v>68</v>
      </c>
      <c r="F61" t="s">
        <v>49</v>
      </c>
      <c r="G61">
        <v>9300</v>
      </c>
      <c r="H61" s="22">
        <v>3.7191378789209545E-4</v>
      </c>
      <c r="I61" s="16">
        <v>3.4587982273964877</v>
      </c>
      <c r="J61" s="56" t="s">
        <v>5885</v>
      </c>
      <c r="K61" s="56" t="s">
        <v>5600</v>
      </c>
      <c r="L61">
        <v>13</v>
      </c>
      <c r="M61" s="31">
        <f>ProductionOrdersByItem_Display[[#This Row],[ProductionHour]]/r_TotalProductionHour</f>
        <v>1.8686094228017784E-3</v>
      </c>
      <c r="N61" s="26">
        <f>ProductionOrdersByItem_Display[[#This Row],[RMQty]]-ProductionOrdersByItem_Display[[#This Row],[RMRequired]]</f>
        <v>482</v>
      </c>
    </row>
    <row r="62" spans="1:14" hidden="1" x14ac:dyDescent="0.2">
      <c r="A62" t="s">
        <v>16</v>
      </c>
      <c r="B62" t="s">
        <v>3506</v>
      </c>
      <c r="C62" t="s">
        <v>3507</v>
      </c>
      <c r="D62" t="s">
        <v>4746</v>
      </c>
      <c r="E62" t="s">
        <v>68</v>
      </c>
      <c r="F62" t="s">
        <v>49</v>
      </c>
      <c r="G62">
        <v>3600</v>
      </c>
      <c r="H62" s="22">
        <v>1.26086608827628E-3</v>
      </c>
      <c r="I62" s="16">
        <v>4.5391179177946075</v>
      </c>
      <c r="J62" s="56" t="s">
        <v>5953</v>
      </c>
      <c r="K62" s="56" t="s">
        <v>5600</v>
      </c>
      <c r="L62">
        <v>12</v>
      </c>
      <c r="M62" s="31">
        <f>ProductionOrdersByItem_Display[[#This Row],[ProductionHour]]/r_TotalProductionHour</f>
        <v>2.4522501616938367E-3</v>
      </c>
      <c r="N62" s="26">
        <f>ProductionOrdersByItem_Display[[#This Row],[RMQty]]-ProductionOrdersByItem_Display[[#This Row],[RMRequired]]</f>
        <v>477</v>
      </c>
    </row>
    <row r="63" spans="1:14" hidden="1" x14ac:dyDescent="0.2">
      <c r="A63" t="s">
        <v>16</v>
      </c>
      <c r="B63" t="s">
        <v>5181</v>
      </c>
      <c r="C63" t="s">
        <v>5182</v>
      </c>
      <c r="D63" t="s">
        <v>4780</v>
      </c>
      <c r="E63" t="s">
        <v>68</v>
      </c>
      <c r="F63" t="s">
        <v>49</v>
      </c>
      <c r="G63">
        <v>4500</v>
      </c>
      <c r="H63" s="22">
        <v>8.8763473958896623E-4</v>
      </c>
      <c r="I63" s="16">
        <v>3.994356328150348</v>
      </c>
      <c r="J63" s="56" t="s">
        <v>5954</v>
      </c>
      <c r="K63" s="56" t="s">
        <v>5600</v>
      </c>
      <c r="L63">
        <v>12</v>
      </c>
      <c r="M63" s="31">
        <f>ProductionOrdersByItem_Display[[#This Row],[ProductionHour]]/r_TotalProductionHour</f>
        <v>2.1579437082191078E-3</v>
      </c>
      <c r="N63" s="26">
        <f>ProductionOrdersByItem_Display[[#This Row],[RMQty]]-ProductionOrdersByItem_Display[[#This Row],[RMRequired]]</f>
        <v>474</v>
      </c>
    </row>
    <row r="64" spans="1:14" hidden="1" x14ac:dyDescent="0.2">
      <c r="A64" t="s">
        <v>16</v>
      </c>
      <c r="B64" t="s">
        <v>477</v>
      </c>
      <c r="C64" t="s">
        <v>478</v>
      </c>
      <c r="D64" t="s">
        <v>4753</v>
      </c>
      <c r="E64" t="s">
        <v>68</v>
      </c>
      <c r="F64" t="s">
        <v>49</v>
      </c>
      <c r="G64">
        <v>14200</v>
      </c>
      <c r="H64" s="22">
        <v>7.6067354349432822E-4</v>
      </c>
      <c r="I64" s="16">
        <v>10.80156431761946</v>
      </c>
      <c r="J64" s="56" t="s">
        <v>5955</v>
      </c>
      <c r="K64" s="56" t="s">
        <v>5600</v>
      </c>
      <c r="L64">
        <v>12</v>
      </c>
      <c r="M64" s="31">
        <f>ProductionOrdersByItem_Display[[#This Row],[ProductionHour]]/r_TotalProductionHour</f>
        <v>5.8355253871215399E-3</v>
      </c>
      <c r="N64" s="26">
        <f>ProductionOrdersByItem_Display[[#This Row],[RMQty]]-ProductionOrdersByItem_Display[[#This Row],[RMRequired]]</f>
        <v>462</v>
      </c>
    </row>
    <row r="65" spans="1:14" hidden="1" x14ac:dyDescent="0.2">
      <c r="A65" t="s">
        <v>16</v>
      </c>
      <c r="B65" t="s">
        <v>426</v>
      </c>
      <c r="C65" t="s">
        <v>5267</v>
      </c>
      <c r="D65" t="s">
        <v>4755</v>
      </c>
      <c r="E65" t="s">
        <v>68</v>
      </c>
      <c r="F65" t="s">
        <v>49</v>
      </c>
      <c r="G65">
        <v>875</v>
      </c>
      <c r="H65" s="22">
        <v>9.9312214722603099E-4</v>
      </c>
      <c r="I65" s="16">
        <v>0.86898187882277711</v>
      </c>
      <c r="J65" s="56" t="s">
        <v>5956</v>
      </c>
      <c r="K65" s="56" t="s">
        <v>5600</v>
      </c>
      <c r="L65">
        <v>11</v>
      </c>
      <c r="M65" s="31">
        <f>ProductionOrdersByItem_Display[[#This Row],[ProductionHour]]/r_TotalProductionHour</f>
        <v>4.6946587232250743E-4</v>
      </c>
      <c r="N65" s="26">
        <f>ProductionOrdersByItem_Display[[#This Row],[RMQty]]-ProductionOrdersByItem_Display[[#This Row],[RMRequired]]</f>
        <v>401</v>
      </c>
    </row>
    <row r="66" spans="1:14" hidden="1" x14ac:dyDescent="0.2">
      <c r="A66" t="s">
        <v>16</v>
      </c>
      <c r="B66" t="s">
        <v>795</v>
      </c>
      <c r="C66" t="s">
        <v>5574</v>
      </c>
      <c r="D66" t="s">
        <v>5692</v>
      </c>
      <c r="E66" t="s">
        <v>68</v>
      </c>
      <c r="F66" t="s">
        <v>49</v>
      </c>
      <c r="G66">
        <v>2700</v>
      </c>
      <c r="H66" s="22">
        <v>1.229312921142406E-3</v>
      </c>
      <c r="I66" s="16">
        <v>3.3191448870844962</v>
      </c>
      <c r="J66" s="56" t="s">
        <v>5841</v>
      </c>
      <c r="K66" s="56" t="s">
        <v>5600</v>
      </c>
      <c r="L66">
        <v>11</v>
      </c>
      <c r="M66" s="31">
        <f>ProductionOrdersByItem_Display[[#This Row],[ProductionHour]]/r_TotalProductionHour</f>
        <v>1.7931619608579925E-3</v>
      </c>
      <c r="N66" s="26">
        <f>ProductionOrdersByItem_Display[[#This Row],[RMQty]]-ProductionOrdersByItem_Display[[#This Row],[RMRequired]]</f>
        <v>421</v>
      </c>
    </row>
    <row r="67" spans="1:14" hidden="1" x14ac:dyDescent="0.2">
      <c r="A67" t="s">
        <v>16</v>
      </c>
      <c r="B67" t="s">
        <v>226</v>
      </c>
      <c r="C67" t="s">
        <v>227</v>
      </c>
      <c r="D67" t="s">
        <v>4755</v>
      </c>
      <c r="E67" t="s">
        <v>68</v>
      </c>
      <c r="F67" t="s">
        <v>49</v>
      </c>
      <c r="G67">
        <v>900</v>
      </c>
      <c r="H67" s="22">
        <v>1.3532200534136329E-3</v>
      </c>
      <c r="I67" s="16">
        <v>1.2178980480722696</v>
      </c>
      <c r="J67" s="56" t="s">
        <v>5886</v>
      </c>
      <c r="K67" s="56" t="s">
        <v>5600</v>
      </c>
      <c r="L67">
        <v>11</v>
      </c>
      <c r="M67" s="31">
        <f>ProductionOrdersByItem_Display[[#This Row],[ProductionHour]]/r_TotalProductionHour</f>
        <v>6.5796719525693819E-4</v>
      </c>
      <c r="N67" s="26">
        <f>ProductionOrdersByItem_Display[[#This Row],[RMQty]]-ProductionOrdersByItem_Display[[#This Row],[RMRequired]]</f>
        <v>408</v>
      </c>
    </row>
    <row r="68" spans="1:14" hidden="1" x14ac:dyDescent="0.2">
      <c r="A68" t="s">
        <v>16</v>
      </c>
      <c r="B68" t="s">
        <v>466</v>
      </c>
      <c r="C68" t="s">
        <v>467</v>
      </c>
      <c r="D68" t="s">
        <v>4746</v>
      </c>
      <c r="E68" t="s">
        <v>68</v>
      </c>
      <c r="F68" t="s">
        <v>49</v>
      </c>
      <c r="G68">
        <v>1080</v>
      </c>
      <c r="H68" s="22">
        <v>1.3197338766941433E-3</v>
      </c>
      <c r="I68" s="16">
        <v>1.4253125868296748</v>
      </c>
      <c r="J68" s="56" t="s">
        <v>5957</v>
      </c>
      <c r="K68" s="56" t="s">
        <v>5600</v>
      </c>
      <c r="L68">
        <v>11</v>
      </c>
      <c r="M68" s="31">
        <f>ProductionOrdersByItem_Display[[#This Row],[ProductionHour]]/r_TotalProductionHour</f>
        <v>7.7002252085478582E-4</v>
      </c>
      <c r="N68" s="26">
        <f>ProductionOrdersByItem_Display[[#This Row],[RMQty]]-ProductionOrdersByItem_Display[[#This Row],[RMRequired]]</f>
        <v>402</v>
      </c>
    </row>
    <row r="69" spans="1:14" hidden="1" x14ac:dyDescent="0.2">
      <c r="A69" t="s">
        <v>16</v>
      </c>
      <c r="B69" t="s">
        <v>5958</v>
      </c>
      <c r="C69" t="s">
        <v>5959</v>
      </c>
      <c r="D69" t="s">
        <v>4777</v>
      </c>
      <c r="E69" t="s">
        <v>68</v>
      </c>
      <c r="F69" t="s">
        <v>49</v>
      </c>
      <c r="G69">
        <v>1300</v>
      </c>
      <c r="H69" s="22">
        <v>1.4321715286596064E-3</v>
      </c>
      <c r="I69" s="16">
        <v>1.8618229872574883</v>
      </c>
      <c r="J69" s="56" t="s">
        <v>5960</v>
      </c>
      <c r="K69" s="56" t="s">
        <v>5600</v>
      </c>
      <c r="L69">
        <v>10</v>
      </c>
      <c r="M69" s="31">
        <f>ProductionOrdersByItem_Display[[#This Row],[ProductionHour]]/r_TotalProductionHour</f>
        <v>1.0058464671404183E-3</v>
      </c>
      <c r="N69" s="26">
        <f>ProductionOrdersByItem_Display[[#This Row],[RMQty]]-ProductionOrdersByItem_Display[[#This Row],[RMRequired]]</f>
        <v>364</v>
      </c>
    </row>
    <row r="70" spans="1:14" hidden="1" x14ac:dyDescent="0.2">
      <c r="A70" t="s">
        <v>16</v>
      </c>
      <c r="B70" t="s">
        <v>808</v>
      </c>
      <c r="C70" t="s">
        <v>809</v>
      </c>
      <c r="D70" t="s">
        <v>4747</v>
      </c>
      <c r="E70" t="s">
        <v>68</v>
      </c>
      <c r="F70" t="s">
        <v>49</v>
      </c>
      <c r="G70">
        <v>1200</v>
      </c>
      <c r="H70" s="22">
        <v>5.6550802702342554E-4</v>
      </c>
      <c r="I70" s="16">
        <v>0.67860963242811068</v>
      </c>
      <c r="J70" s="56" t="s">
        <v>5752</v>
      </c>
      <c r="K70" s="56" t="s">
        <v>5600</v>
      </c>
      <c r="L70">
        <v>10</v>
      </c>
      <c r="M70" s="31">
        <f>ProductionOrdersByItem_Display[[#This Row],[ProductionHour]]/r_TotalProductionHour</f>
        <v>3.6661761403576073E-4</v>
      </c>
      <c r="N70" s="26">
        <f>ProductionOrdersByItem_Display[[#This Row],[RMQty]]-ProductionOrdersByItem_Display[[#This Row],[RMRequired]]</f>
        <v>365</v>
      </c>
    </row>
    <row r="71" spans="1:14" hidden="1" x14ac:dyDescent="0.2">
      <c r="A71" t="s">
        <v>16</v>
      </c>
      <c r="B71" t="s">
        <v>814</v>
      </c>
      <c r="C71" t="s">
        <v>815</v>
      </c>
      <c r="D71" t="s">
        <v>4748</v>
      </c>
      <c r="E71" t="s">
        <v>68</v>
      </c>
      <c r="F71" t="s">
        <v>49</v>
      </c>
      <c r="G71">
        <v>1200</v>
      </c>
      <c r="H71" s="22">
        <v>4.7333332094650255E-4</v>
      </c>
      <c r="I71" s="16">
        <v>0.56799998513580308</v>
      </c>
      <c r="J71" s="56" t="s">
        <v>5682</v>
      </c>
      <c r="K71" s="56" t="s">
        <v>5600</v>
      </c>
      <c r="L71">
        <v>10</v>
      </c>
      <c r="M71" s="31">
        <f>ProductionOrdersByItem_Display[[#This Row],[ProductionHour]]/r_TotalProductionHour</f>
        <v>3.0686095418030443E-4</v>
      </c>
      <c r="N71" s="26">
        <f>ProductionOrdersByItem_Display[[#This Row],[RMQty]]-ProductionOrdersByItem_Display[[#This Row],[RMRequired]]</f>
        <v>367</v>
      </c>
    </row>
    <row r="72" spans="1:14" hidden="1" x14ac:dyDescent="0.2">
      <c r="A72" t="s">
        <v>16</v>
      </c>
      <c r="B72" t="s">
        <v>276</v>
      </c>
      <c r="C72" t="s">
        <v>277</v>
      </c>
      <c r="D72" t="s">
        <v>4748</v>
      </c>
      <c r="E72" t="s">
        <v>68</v>
      </c>
      <c r="F72" t="s">
        <v>49</v>
      </c>
      <c r="G72">
        <v>960</v>
      </c>
      <c r="H72" s="22">
        <v>5.9672537386496274E-4</v>
      </c>
      <c r="I72" s="16">
        <v>0.57285635891036424</v>
      </c>
      <c r="J72" s="56" t="s">
        <v>5961</v>
      </c>
      <c r="K72" s="56" t="s">
        <v>5600</v>
      </c>
      <c r="L72">
        <v>10</v>
      </c>
      <c r="M72" s="31">
        <f>ProductionOrdersByItem_Display[[#This Row],[ProductionHour]]/r_TotalProductionHour</f>
        <v>3.0948460123896016E-4</v>
      </c>
      <c r="N72" s="26">
        <f>ProductionOrdersByItem_Display[[#This Row],[RMQty]]-ProductionOrdersByItem_Display[[#This Row],[RMRequired]]</f>
        <v>368</v>
      </c>
    </row>
    <row r="73" spans="1:14" hidden="1" x14ac:dyDescent="0.2">
      <c r="A73" t="s">
        <v>16</v>
      </c>
      <c r="B73" t="s">
        <v>796</v>
      </c>
      <c r="C73" t="s">
        <v>5575</v>
      </c>
      <c r="D73" t="s">
        <v>4746</v>
      </c>
      <c r="E73" t="s">
        <v>68</v>
      </c>
      <c r="F73" t="s">
        <v>49</v>
      </c>
      <c r="G73">
        <v>3000</v>
      </c>
      <c r="H73" s="22">
        <v>7.5350444685737977E-4</v>
      </c>
      <c r="I73" s="16">
        <v>2.2605133405721394</v>
      </c>
      <c r="J73" s="56" t="s">
        <v>5842</v>
      </c>
      <c r="K73" s="56" t="s">
        <v>5600</v>
      </c>
      <c r="L73">
        <v>10</v>
      </c>
      <c r="M73" s="31">
        <f>ProductionOrdersByItem_Display[[#This Row],[ProductionHour]]/r_TotalProductionHour</f>
        <v>1.2212382020739424E-3</v>
      </c>
      <c r="N73" s="26">
        <f>ProductionOrdersByItem_Display[[#This Row],[RMQty]]-ProductionOrdersByItem_Display[[#This Row],[RMRequired]]</f>
        <v>383</v>
      </c>
    </row>
    <row r="74" spans="1:14" hidden="1" x14ac:dyDescent="0.2">
      <c r="A74" t="s">
        <v>16</v>
      </c>
      <c r="B74" t="s">
        <v>5131</v>
      </c>
      <c r="C74" t="s">
        <v>5132</v>
      </c>
      <c r="D74" t="s">
        <v>4776</v>
      </c>
      <c r="E74" t="s">
        <v>68</v>
      </c>
      <c r="F74" t="s">
        <v>49</v>
      </c>
      <c r="G74">
        <v>13900</v>
      </c>
      <c r="H74" s="22">
        <v>1.3553252796634858E-3</v>
      </c>
      <c r="I74" s="16">
        <v>18.839021387322454</v>
      </c>
      <c r="J74" s="56" t="s">
        <v>5751</v>
      </c>
      <c r="K74" s="56" t="s">
        <v>5600</v>
      </c>
      <c r="L74">
        <v>10</v>
      </c>
      <c r="M74" s="31">
        <f>ProductionOrdersByItem_Display[[#This Row],[ProductionHour]]/r_TotalProductionHour</f>
        <v>1.0177746883839727E-2</v>
      </c>
      <c r="N74" s="26">
        <f>ProductionOrdersByItem_Display[[#This Row],[RMQty]]-ProductionOrdersByItem_Display[[#This Row],[RMRequired]]</f>
        <v>397</v>
      </c>
    </row>
    <row r="75" spans="1:14" hidden="1" x14ac:dyDescent="0.2">
      <c r="A75" t="s">
        <v>16</v>
      </c>
      <c r="B75" t="s">
        <v>5962</v>
      </c>
      <c r="C75" t="s">
        <v>5963</v>
      </c>
      <c r="D75" t="s">
        <v>4775</v>
      </c>
      <c r="E75" t="s">
        <v>68</v>
      </c>
      <c r="F75" t="s">
        <v>49</v>
      </c>
      <c r="G75">
        <v>2320</v>
      </c>
      <c r="H75" s="22">
        <v>1.0925615884184103E-3</v>
      </c>
      <c r="I75" s="16">
        <v>2.5347428851307119</v>
      </c>
      <c r="J75" s="56" t="s">
        <v>5964</v>
      </c>
      <c r="K75" s="56" t="s">
        <v>5600</v>
      </c>
      <c r="L75">
        <v>10</v>
      </c>
      <c r="M75" s="31">
        <f>ProductionOrdersByItem_Display[[#This Row],[ProductionHour]]/r_TotalProductionHour</f>
        <v>1.3693902124785806E-3</v>
      </c>
      <c r="N75" s="26">
        <f>ProductionOrdersByItem_Display[[#This Row],[RMQty]]-ProductionOrdersByItem_Display[[#This Row],[RMRequired]]</f>
        <v>360</v>
      </c>
    </row>
    <row r="76" spans="1:14" hidden="1" x14ac:dyDescent="0.2">
      <c r="A76" t="s">
        <v>16</v>
      </c>
      <c r="B76" t="s">
        <v>1092</v>
      </c>
      <c r="C76" t="s">
        <v>4850</v>
      </c>
      <c r="D76" t="s">
        <v>4755</v>
      </c>
      <c r="E76" t="s">
        <v>68</v>
      </c>
      <c r="F76" t="s">
        <v>49</v>
      </c>
      <c r="G76">
        <v>250</v>
      </c>
      <c r="H76" s="22">
        <v>9.3436147063436241E-4</v>
      </c>
      <c r="I76" s="16">
        <v>0.23359036765859059</v>
      </c>
      <c r="J76" s="56" t="s">
        <v>5782</v>
      </c>
      <c r="K76" s="56" t="s">
        <v>5600</v>
      </c>
      <c r="L76">
        <v>10</v>
      </c>
      <c r="M76" s="31">
        <f>ProductionOrdersByItem_Display[[#This Row],[ProductionHour]]/r_TotalProductionHour</f>
        <v>1.261967693360156E-4</v>
      </c>
      <c r="N76" s="26">
        <f>ProductionOrdersByItem_Display[[#This Row],[RMQty]]-ProductionOrdersByItem_Display[[#This Row],[RMRequired]]</f>
        <v>390</v>
      </c>
    </row>
    <row r="77" spans="1:14" hidden="1" x14ac:dyDescent="0.2">
      <c r="A77" t="s">
        <v>16</v>
      </c>
      <c r="B77" t="s">
        <v>587</v>
      </c>
      <c r="C77" t="s">
        <v>588</v>
      </c>
      <c r="D77" t="s">
        <v>4746</v>
      </c>
      <c r="E77" t="s">
        <v>68</v>
      </c>
      <c r="F77" t="s">
        <v>49</v>
      </c>
      <c r="G77">
        <v>5720</v>
      </c>
      <c r="H77" s="22">
        <v>6.1804302212568158E-4</v>
      </c>
      <c r="I77" s="16">
        <v>3.5352060865588988</v>
      </c>
      <c r="J77" s="56" t="s">
        <v>5791</v>
      </c>
      <c r="K77" s="56" t="s">
        <v>5600</v>
      </c>
      <c r="L77">
        <v>10</v>
      </c>
      <c r="M77" s="31">
        <f>ProductionOrdersByItem_Display[[#This Row],[ProductionHour]]/r_TotalProductionHour</f>
        <v>1.9098886291099369E-3</v>
      </c>
      <c r="N77" s="26">
        <f>ProductionOrdersByItem_Display[[#This Row],[RMQty]]-ProductionOrdersByItem_Display[[#This Row],[RMRequired]]</f>
        <v>382</v>
      </c>
    </row>
    <row r="78" spans="1:14" hidden="1" x14ac:dyDescent="0.2">
      <c r="A78" t="s">
        <v>16</v>
      </c>
      <c r="B78" t="s">
        <v>540</v>
      </c>
      <c r="C78" t="s">
        <v>541</v>
      </c>
      <c r="D78" t="s">
        <v>4750</v>
      </c>
      <c r="E78" t="s">
        <v>68</v>
      </c>
      <c r="F78" t="s">
        <v>49</v>
      </c>
      <c r="G78">
        <v>10440</v>
      </c>
      <c r="H78" s="22">
        <v>2.5569462810782004E-4</v>
      </c>
      <c r="I78" s="16">
        <v>2.6694519174456413</v>
      </c>
      <c r="J78" s="56" t="s">
        <v>5757</v>
      </c>
      <c r="K78" s="56" t="s">
        <v>5600</v>
      </c>
      <c r="L78">
        <v>9</v>
      </c>
      <c r="M78" s="31">
        <f>ProductionOrdersByItem_Display[[#This Row],[ProductionHour]]/r_TotalProductionHour</f>
        <v>1.4421665210606687E-3</v>
      </c>
      <c r="N78" s="26">
        <f>ProductionOrdersByItem_Display[[#This Row],[RMQty]]-ProductionOrdersByItem_Display[[#This Row],[RMRequired]]</f>
        <v>337</v>
      </c>
    </row>
    <row r="79" spans="1:14" hidden="1" x14ac:dyDescent="0.2">
      <c r="A79" t="s">
        <v>16</v>
      </c>
      <c r="B79" t="s">
        <v>5965</v>
      </c>
      <c r="C79" t="s">
        <v>5966</v>
      </c>
      <c r="D79" t="s">
        <v>4777</v>
      </c>
      <c r="E79" t="s">
        <v>68</v>
      </c>
      <c r="F79" t="s">
        <v>49</v>
      </c>
      <c r="G79">
        <v>1200</v>
      </c>
      <c r="H79" s="22">
        <v>1.6302257085324436E-3</v>
      </c>
      <c r="I79" s="16">
        <v>1.9562708502389323</v>
      </c>
      <c r="J79" s="56" t="s">
        <v>5712</v>
      </c>
      <c r="K79" s="56" t="s">
        <v>5600</v>
      </c>
      <c r="L79">
        <v>9</v>
      </c>
      <c r="M79" s="31">
        <f>ProductionOrdersByItem_Display[[#This Row],[ProductionHour]]/r_TotalProductionHour</f>
        <v>1.0568717525510282E-3</v>
      </c>
      <c r="N79" s="26">
        <f>ProductionOrdersByItem_Display[[#This Row],[RMQty]]-ProductionOrdersByItem_Display[[#This Row],[RMRequired]]</f>
        <v>336</v>
      </c>
    </row>
    <row r="80" spans="1:14" hidden="1" x14ac:dyDescent="0.2">
      <c r="A80" t="s">
        <v>16</v>
      </c>
      <c r="B80" t="s">
        <v>1228</v>
      </c>
      <c r="C80" t="s">
        <v>5273</v>
      </c>
      <c r="D80" t="s">
        <v>5790</v>
      </c>
      <c r="E80" t="s">
        <v>68</v>
      </c>
      <c r="F80" t="s">
        <v>49</v>
      </c>
      <c r="G80">
        <v>3200</v>
      </c>
      <c r="H80" s="22">
        <v>6.1908666431978075E-4</v>
      </c>
      <c r="I80" s="16">
        <v>1.9810773258232983</v>
      </c>
      <c r="J80" s="56" t="s">
        <v>5758</v>
      </c>
      <c r="K80" s="56" t="s">
        <v>5600</v>
      </c>
      <c r="L80">
        <v>9</v>
      </c>
      <c r="M80" s="31">
        <f>ProductionOrdersByItem_Display[[#This Row],[ProductionHour]]/r_TotalProductionHour</f>
        <v>1.0702734056617215E-3</v>
      </c>
      <c r="N80" s="26">
        <f>ProductionOrdersByItem_Display[[#This Row],[RMQty]]-ProductionOrdersByItem_Display[[#This Row],[RMRequired]]</f>
        <v>338</v>
      </c>
    </row>
    <row r="81" spans="1:14" hidden="1" x14ac:dyDescent="0.2">
      <c r="A81" t="s">
        <v>16</v>
      </c>
      <c r="B81" t="s">
        <v>5176</v>
      </c>
      <c r="C81" t="s">
        <v>5177</v>
      </c>
      <c r="D81" t="s">
        <v>4952</v>
      </c>
      <c r="E81" t="s">
        <v>68</v>
      </c>
      <c r="F81" t="s">
        <v>49</v>
      </c>
      <c r="G81">
        <v>180</v>
      </c>
      <c r="H81" s="22">
        <v>2.4108330239086526E-3</v>
      </c>
      <c r="I81" s="16">
        <v>0.43394994430355749</v>
      </c>
      <c r="J81" s="56" t="s">
        <v>5887</v>
      </c>
      <c r="K81" s="56" t="s">
        <v>5600</v>
      </c>
      <c r="L81">
        <v>9</v>
      </c>
      <c r="M81" s="31">
        <f>ProductionOrdersByItem_Display[[#This Row],[ProductionHour]]/r_TotalProductionHour</f>
        <v>2.3444066454269684E-4</v>
      </c>
      <c r="N81" s="26">
        <f>ProductionOrdersByItem_Display[[#This Row],[RMQty]]-ProductionOrdersByItem_Display[[#This Row],[RMRequired]]</f>
        <v>321</v>
      </c>
    </row>
    <row r="82" spans="1:14" hidden="1" x14ac:dyDescent="0.2">
      <c r="A82" t="s">
        <v>16</v>
      </c>
      <c r="B82" t="s">
        <v>2537</v>
      </c>
      <c r="C82" t="s">
        <v>5383</v>
      </c>
      <c r="D82" t="s">
        <v>4746</v>
      </c>
      <c r="E82" t="s">
        <v>68</v>
      </c>
      <c r="F82" t="s">
        <v>49</v>
      </c>
      <c r="G82">
        <v>330</v>
      </c>
      <c r="H82" s="22">
        <v>1.194711398970669E-3</v>
      </c>
      <c r="I82" s="16">
        <v>0.39425476166032075</v>
      </c>
      <c r="J82" s="56" t="s">
        <v>5843</v>
      </c>
      <c r="K82" s="56" t="s">
        <v>5600</v>
      </c>
      <c r="L82">
        <v>9</v>
      </c>
      <c r="M82" s="31">
        <f>ProductionOrdersByItem_Display[[#This Row],[ProductionHour]]/r_TotalProductionHour</f>
        <v>2.1299541464651464E-4</v>
      </c>
      <c r="N82" s="26">
        <f>ProductionOrdersByItem_Display[[#This Row],[RMQty]]-ProductionOrdersByItem_Display[[#This Row],[RMRequired]]</f>
        <v>350</v>
      </c>
    </row>
    <row r="83" spans="1:14" hidden="1" x14ac:dyDescent="0.2">
      <c r="A83" t="s">
        <v>16</v>
      </c>
      <c r="B83" t="s">
        <v>5812</v>
      </c>
      <c r="C83" t="s">
        <v>5813</v>
      </c>
      <c r="D83" t="s">
        <v>4777</v>
      </c>
      <c r="E83" t="s">
        <v>68</v>
      </c>
      <c r="F83" t="s">
        <v>49</v>
      </c>
      <c r="G83">
        <v>400</v>
      </c>
      <c r="H83" s="22">
        <v>1.0784049337351216E-3</v>
      </c>
      <c r="I83" s="16">
        <v>0.43136197349404864</v>
      </c>
      <c r="J83" s="56" t="s">
        <v>5888</v>
      </c>
      <c r="K83" s="56" t="s">
        <v>5600</v>
      </c>
      <c r="L83">
        <v>9</v>
      </c>
      <c r="M83" s="31">
        <f>ProductionOrdersByItem_Display[[#This Row],[ProductionHour]]/r_TotalProductionHour</f>
        <v>2.330425180413254E-4</v>
      </c>
      <c r="N83" s="26">
        <f>ProductionOrdersByItem_Display[[#This Row],[RMQty]]-ProductionOrdersByItem_Display[[#This Row],[RMRequired]]</f>
        <v>330</v>
      </c>
    </row>
    <row r="84" spans="1:14" hidden="1" x14ac:dyDescent="0.2">
      <c r="A84" t="s">
        <v>16</v>
      </c>
      <c r="B84" t="s">
        <v>609</v>
      </c>
      <c r="C84" t="s">
        <v>610</v>
      </c>
      <c r="D84" t="s">
        <v>4748</v>
      </c>
      <c r="E84" t="s">
        <v>68</v>
      </c>
      <c r="F84" t="s">
        <v>49</v>
      </c>
      <c r="G84">
        <v>1200</v>
      </c>
      <c r="H84" s="22">
        <v>1.0142730852861967E-3</v>
      </c>
      <c r="I84" s="16">
        <v>1.2171277023434361</v>
      </c>
      <c r="J84" s="56" t="s">
        <v>5712</v>
      </c>
      <c r="K84" s="56" t="s">
        <v>5600</v>
      </c>
      <c r="L84">
        <v>9</v>
      </c>
      <c r="M84" s="31">
        <f>ProductionOrdersByItem_Display[[#This Row],[ProductionHour]]/r_TotalProductionHour</f>
        <v>6.5755101738442987E-4</v>
      </c>
      <c r="N84" s="26">
        <f>ProductionOrdersByItem_Display[[#This Row],[RMQty]]-ProductionOrdersByItem_Display[[#This Row],[RMRequired]]</f>
        <v>336</v>
      </c>
    </row>
    <row r="85" spans="1:14" hidden="1" x14ac:dyDescent="0.2">
      <c r="A85" t="s">
        <v>16</v>
      </c>
      <c r="B85" t="s">
        <v>1229</v>
      </c>
      <c r="C85" t="s">
        <v>5274</v>
      </c>
      <c r="D85" t="s">
        <v>5790</v>
      </c>
      <c r="E85" t="s">
        <v>68</v>
      </c>
      <c r="F85" t="s">
        <v>49</v>
      </c>
      <c r="G85">
        <v>3400</v>
      </c>
      <c r="H85" s="22">
        <v>5.3887999687097664E-4</v>
      </c>
      <c r="I85" s="16">
        <v>1.8321919893613205</v>
      </c>
      <c r="J85" s="56" t="s">
        <v>5967</v>
      </c>
      <c r="K85" s="56" t="s">
        <v>5600</v>
      </c>
      <c r="L85">
        <v>9</v>
      </c>
      <c r="M85" s="31">
        <f>ProductionOrdersByItem_Display[[#This Row],[ProductionHour]]/r_TotalProductionHour</f>
        <v>9.898383746656293E-4</v>
      </c>
      <c r="N85" s="26">
        <f>ProductionOrdersByItem_Display[[#This Row],[RMQty]]-ProductionOrdersByItem_Display[[#This Row],[RMRequired]]</f>
        <v>352</v>
      </c>
    </row>
    <row r="86" spans="1:14" hidden="1" x14ac:dyDescent="0.2">
      <c r="A86" t="s">
        <v>16</v>
      </c>
      <c r="B86" t="s">
        <v>820</v>
      </c>
      <c r="C86" t="s">
        <v>4821</v>
      </c>
      <c r="D86" t="s">
        <v>4748</v>
      </c>
      <c r="E86" t="s">
        <v>68</v>
      </c>
      <c r="F86" t="s">
        <v>49</v>
      </c>
      <c r="G86">
        <v>750</v>
      </c>
      <c r="H86" s="22">
        <v>1.5146531557119211E-3</v>
      </c>
      <c r="I86" s="16">
        <v>1.1359898667839408</v>
      </c>
      <c r="J86" s="56" t="s">
        <v>5844</v>
      </c>
      <c r="K86" s="56" t="s">
        <v>5600</v>
      </c>
      <c r="L86">
        <v>8</v>
      </c>
      <c r="M86" s="31">
        <f>ProductionOrdersByItem_Display[[#This Row],[ProductionHour]]/r_TotalProductionHour</f>
        <v>6.1371644996985764E-4</v>
      </c>
      <c r="N86" s="26">
        <f>ProductionOrdersByItem_Display[[#This Row],[RMQty]]-ProductionOrdersByItem_Display[[#This Row],[RMRequired]]</f>
        <v>299</v>
      </c>
    </row>
    <row r="87" spans="1:14" hidden="1" x14ac:dyDescent="0.2">
      <c r="A87" t="s">
        <v>16</v>
      </c>
      <c r="B87" t="s">
        <v>326</v>
      </c>
      <c r="C87" t="s">
        <v>327</v>
      </c>
      <c r="D87" t="s">
        <v>4746</v>
      </c>
      <c r="E87" t="s">
        <v>68</v>
      </c>
      <c r="F87" t="s">
        <v>49</v>
      </c>
      <c r="G87">
        <v>10875</v>
      </c>
      <c r="H87" s="22">
        <v>1.8987568491368786E-3</v>
      </c>
      <c r="I87" s="16">
        <v>20.648980734363555</v>
      </c>
      <c r="J87" s="56" t="s">
        <v>5968</v>
      </c>
      <c r="K87" s="56" t="s">
        <v>5600</v>
      </c>
      <c r="L87">
        <v>8</v>
      </c>
      <c r="M87" s="31">
        <f>ProductionOrdersByItem_Display[[#This Row],[ProductionHour]]/r_TotalProductionHour</f>
        <v>1.1155574114112983E-2</v>
      </c>
      <c r="N87" s="26">
        <f>ProductionOrdersByItem_Display[[#This Row],[RMQty]]-ProductionOrdersByItem_Display[[#This Row],[RMRequired]]</f>
        <v>293</v>
      </c>
    </row>
    <row r="88" spans="1:14" hidden="1" x14ac:dyDescent="0.2">
      <c r="A88" t="s">
        <v>16</v>
      </c>
      <c r="B88" t="s">
        <v>801</v>
      </c>
      <c r="C88" t="s">
        <v>802</v>
      </c>
      <c r="D88" t="s">
        <v>4746</v>
      </c>
      <c r="E88" t="s">
        <v>68</v>
      </c>
      <c r="F88" t="s">
        <v>49</v>
      </c>
      <c r="G88">
        <v>5250</v>
      </c>
      <c r="H88" s="22">
        <v>8.7985118731447368E-4</v>
      </c>
      <c r="I88" s="16">
        <v>4.6192187334009871</v>
      </c>
      <c r="J88" s="56" t="s">
        <v>5845</v>
      </c>
      <c r="K88" s="56" t="s">
        <v>5600</v>
      </c>
      <c r="L88">
        <v>8</v>
      </c>
      <c r="M88" s="31">
        <f>ProductionOrdersByItem_Display[[#This Row],[ProductionHour]]/r_TotalProductionHour</f>
        <v>2.495524480973471E-3</v>
      </c>
      <c r="N88" s="26">
        <f>ProductionOrdersByItem_Display[[#This Row],[RMQty]]-ProductionOrdersByItem_Display[[#This Row],[RMRequired]]</f>
        <v>295</v>
      </c>
    </row>
    <row r="89" spans="1:14" hidden="1" x14ac:dyDescent="0.2">
      <c r="A89" t="s">
        <v>16</v>
      </c>
      <c r="B89" t="s">
        <v>4565</v>
      </c>
      <c r="C89" t="s">
        <v>4566</v>
      </c>
      <c r="D89" t="s">
        <v>4746</v>
      </c>
      <c r="E89" t="s">
        <v>68</v>
      </c>
      <c r="F89" t="s">
        <v>49</v>
      </c>
      <c r="G89">
        <v>380</v>
      </c>
      <c r="H89" s="22">
        <v>1.5700828192033336E-3</v>
      </c>
      <c r="I89" s="16">
        <v>0.59663147129726679</v>
      </c>
      <c r="J89" s="56" t="s">
        <v>5814</v>
      </c>
      <c r="K89" s="56" t="s">
        <v>5600</v>
      </c>
      <c r="L89">
        <v>8</v>
      </c>
      <c r="M89" s="31">
        <f>ProductionOrdersByItem_Display[[#This Row],[ProductionHour]]/r_TotalProductionHour</f>
        <v>3.2232906226662122E-4</v>
      </c>
      <c r="N89" s="26">
        <f>ProductionOrdersByItem_Display[[#This Row],[RMQty]]-ProductionOrdersByItem_Display[[#This Row],[RMRequired]]</f>
        <v>282</v>
      </c>
    </row>
    <row r="90" spans="1:14" hidden="1" x14ac:dyDescent="0.2">
      <c r="A90" t="s">
        <v>16</v>
      </c>
      <c r="B90" t="s">
        <v>529</v>
      </c>
      <c r="C90" t="s">
        <v>789</v>
      </c>
      <c r="D90" t="s">
        <v>4753</v>
      </c>
      <c r="E90" t="s">
        <v>68</v>
      </c>
      <c r="F90" t="s">
        <v>49</v>
      </c>
      <c r="G90">
        <v>1540</v>
      </c>
      <c r="H90" s="22">
        <v>3.3207856219757761E-3</v>
      </c>
      <c r="I90" s="16">
        <v>5.1140098578426949</v>
      </c>
      <c r="J90" s="56" t="s">
        <v>5893</v>
      </c>
      <c r="K90" s="56" t="s">
        <v>5600</v>
      </c>
      <c r="L90">
        <v>8</v>
      </c>
      <c r="M90" s="31">
        <f>ProductionOrdersByItem_Display[[#This Row],[ProductionHour]]/r_TotalProductionHour</f>
        <v>2.7628344819232535E-3</v>
      </c>
      <c r="N90" s="26">
        <f>ProductionOrdersByItem_Display[[#This Row],[RMQty]]-ProductionOrdersByItem_Display[[#This Row],[RMRequired]]</f>
        <v>290</v>
      </c>
    </row>
    <row r="91" spans="1:14" hidden="1" x14ac:dyDescent="0.2">
      <c r="A91" t="s">
        <v>16</v>
      </c>
      <c r="B91" t="s">
        <v>800</v>
      </c>
      <c r="C91" t="s">
        <v>4937</v>
      </c>
      <c r="D91" t="s">
        <v>4746</v>
      </c>
      <c r="E91" t="s">
        <v>68</v>
      </c>
      <c r="F91" t="s">
        <v>49</v>
      </c>
      <c r="G91">
        <v>4800</v>
      </c>
      <c r="H91" s="22">
        <v>2.7413654812061489E-4</v>
      </c>
      <c r="I91" s="16">
        <v>1.3158554309789514</v>
      </c>
      <c r="J91" s="56" t="s">
        <v>5669</v>
      </c>
      <c r="K91" s="56" t="s">
        <v>5600</v>
      </c>
      <c r="L91">
        <v>8</v>
      </c>
      <c r="M91" s="31">
        <f>ProductionOrdersByItem_Display[[#This Row],[ProductionHour]]/r_TotalProductionHour</f>
        <v>7.1088849239493528E-4</v>
      </c>
      <c r="N91" s="26">
        <f>ProductionOrdersByItem_Display[[#This Row],[RMQty]]-ProductionOrdersByItem_Display[[#This Row],[RMRequired]]</f>
        <v>294</v>
      </c>
    </row>
    <row r="92" spans="1:14" hidden="1" x14ac:dyDescent="0.2">
      <c r="A92" t="s">
        <v>16</v>
      </c>
      <c r="B92" t="s">
        <v>5890</v>
      </c>
      <c r="C92" t="s">
        <v>5891</v>
      </c>
      <c r="D92" t="s">
        <v>4777</v>
      </c>
      <c r="E92" t="s">
        <v>68</v>
      </c>
      <c r="F92" t="s">
        <v>49</v>
      </c>
      <c r="G92">
        <v>660</v>
      </c>
      <c r="H92" s="22">
        <v>2.3661386465358993E-3</v>
      </c>
      <c r="I92" s="16">
        <v>1.5616515067136936</v>
      </c>
      <c r="J92" s="56" t="s">
        <v>5892</v>
      </c>
      <c r="K92" s="56" t="s">
        <v>5600</v>
      </c>
      <c r="L92">
        <v>8</v>
      </c>
      <c r="M92" s="31">
        <f>ProductionOrdersByItem_Display[[#This Row],[ProductionHour]]/r_TotalProductionHour</f>
        <v>8.4367937321811696E-4</v>
      </c>
      <c r="N92" s="26">
        <f>ProductionOrdersByItem_Display[[#This Row],[RMQty]]-ProductionOrdersByItem_Display[[#This Row],[RMRequired]]</f>
        <v>305</v>
      </c>
    </row>
    <row r="93" spans="1:14" hidden="1" x14ac:dyDescent="0.2">
      <c r="A93" t="s">
        <v>16</v>
      </c>
      <c r="B93" t="s">
        <v>2473</v>
      </c>
      <c r="C93" t="s">
        <v>5375</v>
      </c>
      <c r="D93" t="s">
        <v>4750</v>
      </c>
      <c r="E93" t="s">
        <v>68</v>
      </c>
      <c r="F93" t="s">
        <v>49</v>
      </c>
      <c r="G93">
        <v>9450</v>
      </c>
      <c r="H93" s="22">
        <v>1.2780746183120796E-3</v>
      </c>
      <c r="I93" s="16">
        <v>12.077805143049153</v>
      </c>
      <c r="J93" s="56" t="s">
        <v>5969</v>
      </c>
      <c r="K93" s="56" t="s">
        <v>5600</v>
      </c>
      <c r="L93">
        <v>8</v>
      </c>
      <c r="M93" s="31">
        <f>ProductionOrdersByItem_Display[[#This Row],[ProductionHour]]/r_TotalProductionHour</f>
        <v>6.5250121612480932E-3</v>
      </c>
      <c r="N93" s="26">
        <f>ProductionOrdersByItem_Display[[#This Row],[RMQty]]-ProductionOrdersByItem_Display[[#This Row],[RMRequired]]</f>
        <v>303</v>
      </c>
    </row>
    <row r="94" spans="1:14" hidden="1" x14ac:dyDescent="0.2">
      <c r="A94" t="s">
        <v>16</v>
      </c>
      <c r="B94" t="s">
        <v>5815</v>
      </c>
      <c r="C94" t="s">
        <v>5816</v>
      </c>
      <c r="D94" t="s">
        <v>4779</v>
      </c>
      <c r="E94" t="s">
        <v>68</v>
      </c>
      <c r="F94" t="s">
        <v>49</v>
      </c>
      <c r="G94">
        <v>300</v>
      </c>
      <c r="H94" s="22">
        <v>8.5762391524250652E-4</v>
      </c>
      <c r="I94" s="16">
        <v>0.25728717457275196</v>
      </c>
      <c r="J94" s="56" t="s">
        <v>5970</v>
      </c>
      <c r="K94" s="56" t="s">
        <v>5600</v>
      </c>
      <c r="L94">
        <v>8</v>
      </c>
      <c r="M94" s="31">
        <f>ProductionOrdersByItem_Display[[#This Row],[ProductionHour]]/r_TotalProductionHour</f>
        <v>1.389989259750997E-4</v>
      </c>
      <c r="N94" s="26">
        <f>ProductionOrdersByItem_Display[[#This Row],[RMQty]]-ProductionOrdersByItem_Display[[#This Row],[RMRequired]]</f>
        <v>312</v>
      </c>
    </row>
    <row r="95" spans="1:14" hidden="1" x14ac:dyDescent="0.2">
      <c r="A95" t="s">
        <v>16</v>
      </c>
      <c r="B95" t="s">
        <v>3417</v>
      </c>
      <c r="C95" t="s">
        <v>3418</v>
      </c>
      <c r="D95" t="s">
        <v>4745</v>
      </c>
      <c r="E95" t="s">
        <v>68</v>
      </c>
      <c r="F95" t="s">
        <v>49</v>
      </c>
      <c r="G95">
        <v>6960</v>
      </c>
      <c r="H95" s="22">
        <v>1.2777198018738528E-3</v>
      </c>
      <c r="I95" s="16">
        <v>8.8929298210420153</v>
      </c>
      <c r="J95" s="56" t="s">
        <v>5889</v>
      </c>
      <c r="K95" s="56" t="s">
        <v>5600</v>
      </c>
      <c r="L95">
        <v>8</v>
      </c>
      <c r="M95" s="31">
        <f>ProductionOrdersByItem_Display[[#This Row],[ProductionHour]]/r_TotalProductionHour</f>
        <v>4.8043890876000393E-3</v>
      </c>
      <c r="N95" s="26">
        <f>ProductionOrdersByItem_Display[[#This Row],[RMQty]]-ProductionOrdersByItem_Display[[#This Row],[RMRequired]]</f>
        <v>280</v>
      </c>
    </row>
    <row r="96" spans="1:14" hidden="1" x14ac:dyDescent="0.2">
      <c r="A96" t="s">
        <v>16</v>
      </c>
      <c r="B96" t="s">
        <v>4607</v>
      </c>
      <c r="C96" t="s">
        <v>4608</v>
      </c>
      <c r="D96" t="s">
        <v>4748</v>
      </c>
      <c r="E96" t="s">
        <v>68</v>
      </c>
      <c r="F96" t="s">
        <v>49</v>
      </c>
      <c r="G96">
        <v>100</v>
      </c>
      <c r="H96" s="22">
        <v>1.4935339781343994E-3</v>
      </c>
      <c r="I96" s="16">
        <v>0.14935339781343995</v>
      </c>
      <c r="J96" s="56" t="s">
        <v>5889</v>
      </c>
      <c r="K96" s="56" t="s">
        <v>5600</v>
      </c>
      <c r="L96">
        <v>8</v>
      </c>
      <c r="M96" s="31">
        <f>ProductionOrdersByItem_Display[[#This Row],[ProductionHour]]/r_TotalProductionHour</f>
        <v>8.0687900286027485E-5</v>
      </c>
      <c r="N96" s="26">
        <f>ProductionOrdersByItem_Display[[#This Row],[RMQty]]-ProductionOrdersByItem_Display[[#This Row],[RMRequired]]</f>
        <v>280</v>
      </c>
    </row>
    <row r="97" spans="1:14" hidden="1" x14ac:dyDescent="0.2">
      <c r="A97" t="s">
        <v>16</v>
      </c>
      <c r="B97" t="s">
        <v>877</v>
      </c>
      <c r="C97" t="s">
        <v>878</v>
      </c>
      <c r="D97" t="s">
        <v>5822</v>
      </c>
      <c r="E97" t="s">
        <v>68</v>
      </c>
      <c r="F97" t="s">
        <v>49</v>
      </c>
      <c r="G97">
        <v>12000</v>
      </c>
      <c r="H97" s="22">
        <v>1.1847201759603758E-3</v>
      </c>
      <c r="I97" s="16">
        <v>14.216642111524511</v>
      </c>
      <c r="J97" s="56" t="s">
        <v>5814</v>
      </c>
      <c r="K97" s="56" t="s">
        <v>5600</v>
      </c>
      <c r="L97">
        <v>8</v>
      </c>
      <c r="M97" s="31">
        <f>ProductionOrdersByItem_Display[[#This Row],[ProductionHour]]/r_TotalProductionHour</f>
        <v>7.6805149256109076E-3</v>
      </c>
      <c r="N97" s="26">
        <f>ProductionOrdersByItem_Display[[#This Row],[RMQty]]-ProductionOrdersByItem_Display[[#This Row],[RMRequired]]</f>
        <v>282</v>
      </c>
    </row>
    <row r="98" spans="1:14" hidden="1" x14ac:dyDescent="0.2">
      <c r="A98" t="s">
        <v>16</v>
      </c>
      <c r="B98" t="s">
        <v>5895</v>
      </c>
      <c r="C98" t="s">
        <v>5896</v>
      </c>
      <c r="D98" t="s">
        <v>4777</v>
      </c>
      <c r="E98" t="s">
        <v>68</v>
      </c>
      <c r="F98" t="s">
        <v>49</v>
      </c>
      <c r="G98">
        <v>2000</v>
      </c>
      <c r="H98" s="22">
        <v>1.9062359897306612E-3</v>
      </c>
      <c r="I98" s="16">
        <v>3.8124719794613222</v>
      </c>
      <c r="J98" s="56" t="s">
        <v>5897</v>
      </c>
      <c r="K98" s="56" t="s">
        <v>5600</v>
      </c>
      <c r="L98">
        <v>7</v>
      </c>
      <c r="M98" s="31">
        <f>ProductionOrdersByItem_Display[[#This Row],[ProductionHour]]/r_TotalProductionHour</f>
        <v>2.0596810211596472E-3</v>
      </c>
      <c r="N98" s="26">
        <f>ProductionOrdersByItem_Display[[#This Row],[RMQty]]-ProductionOrdersByItem_Display[[#This Row],[RMRequired]]</f>
        <v>272</v>
      </c>
    </row>
    <row r="99" spans="1:14" hidden="1" x14ac:dyDescent="0.2">
      <c r="A99" t="s">
        <v>16</v>
      </c>
      <c r="B99" t="s">
        <v>2905</v>
      </c>
      <c r="C99" t="s">
        <v>2906</v>
      </c>
      <c r="D99" t="s">
        <v>4751</v>
      </c>
      <c r="E99" t="s">
        <v>68</v>
      </c>
      <c r="F99" t="s">
        <v>49</v>
      </c>
      <c r="G99">
        <v>1250</v>
      </c>
      <c r="H99" s="22">
        <v>9.9437262439038454E-4</v>
      </c>
      <c r="I99" s="16">
        <v>1.2429657804879808</v>
      </c>
      <c r="J99" s="56" t="s">
        <v>5817</v>
      </c>
      <c r="K99" s="56" t="s">
        <v>5600</v>
      </c>
      <c r="L99">
        <v>7</v>
      </c>
      <c r="M99" s="31">
        <f>ProductionOrdersByItem_Display[[#This Row],[ProductionHour]]/r_TotalProductionHour</f>
        <v>6.7150999189342486E-4</v>
      </c>
      <c r="N99" s="26">
        <f>ProductionOrdersByItem_Display[[#This Row],[RMQty]]-ProductionOrdersByItem_Display[[#This Row],[RMRequired]]</f>
        <v>268</v>
      </c>
    </row>
    <row r="100" spans="1:14" hidden="1" x14ac:dyDescent="0.2">
      <c r="A100" t="s">
        <v>16</v>
      </c>
      <c r="B100" t="s">
        <v>3514</v>
      </c>
      <c r="C100" t="s">
        <v>3515</v>
      </c>
      <c r="D100" t="s">
        <v>4753</v>
      </c>
      <c r="E100" t="s">
        <v>68</v>
      </c>
      <c r="F100" t="s">
        <v>49</v>
      </c>
      <c r="G100">
        <v>4950</v>
      </c>
      <c r="H100" s="22">
        <v>1.6692133272416536E-3</v>
      </c>
      <c r="I100" s="16">
        <v>8.2626059698461845</v>
      </c>
      <c r="J100" s="56" t="s">
        <v>5971</v>
      </c>
      <c r="K100" s="56" t="s">
        <v>5600</v>
      </c>
      <c r="L100">
        <v>7</v>
      </c>
      <c r="M100" s="31">
        <f>ProductionOrdersByItem_Display[[#This Row],[ProductionHour]]/r_TotalProductionHour</f>
        <v>4.4638577786523604E-3</v>
      </c>
      <c r="N100" s="26">
        <f>ProductionOrdersByItem_Display[[#This Row],[RMQty]]-ProductionOrdersByItem_Display[[#This Row],[RMRequired]]</f>
        <v>270</v>
      </c>
    </row>
    <row r="101" spans="1:14" hidden="1" x14ac:dyDescent="0.2">
      <c r="A101" t="s">
        <v>16</v>
      </c>
      <c r="B101" t="s">
        <v>818</v>
      </c>
      <c r="C101" t="s">
        <v>5417</v>
      </c>
      <c r="D101" t="s">
        <v>4753</v>
      </c>
      <c r="E101" t="s">
        <v>68</v>
      </c>
      <c r="F101" t="s">
        <v>49</v>
      </c>
      <c r="G101">
        <v>3000</v>
      </c>
      <c r="H101" s="22">
        <v>1.2141400492937484E-3</v>
      </c>
      <c r="I101" s="16">
        <v>3.642420147881245</v>
      </c>
      <c r="J101" s="56" t="s">
        <v>5708</v>
      </c>
      <c r="K101" s="56" t="s">
        <v>5600</v>
      </c>
      <c r="L101">
        <v>7</v>
      </c>
      <c r="M101" s="31">
        <f>ProductionOrdersByItem_Display[[#This Row],[ProductionHour]]/r_TotalProductionHour</f>
        <v>1.9678108298491763E-3</v>
      </c>
      <c r="N101" s="26">
        <f>ProductionOrdersByItem_Display[[#This Row],[RMQty]]-ProductionOrdersByItem_Display[[#This Row],[RMRequired]]</f>
        <v>278</v>
      </c>
    </row>
    <row r="102" spans="1:14" hidden="1" x14ac:dyDescent="0.2">
      <c r="A102" t="s">
        <v>16</v>
      </c>
      <c r="B102" t="s">
        <v>2907</v>
      </c>
      <c r="C102" t="s">
        <v>2908</v>
      </c>
      <c r="D102" t="s">
        <v>4751</v>
      </c>
      <c r="E102" t="s">
        <v>68</v>
      </c>
      <c r="F102" t="s">
        <v>49</v>
      </c>
      <c r="G102">
        <v>1200</v>
      </c>
      <c r="H102" s="22">
        <v>1.1682602442902178E-3</v>
      </c>
      <c r="I102" s="16">
        <v>1.4019122931482613</v>
      </c>
      <c r="J102" s="56" t="s">
        <v>5972</v>
      </c>
      <c r="K102" s="56" t="s">
        <v>5600</v>
      </c>
      <c r="L102">
        <v>7</v>
      </c>
      <c r="M102" s="31">
        <f>ProductionOrdersByItem_Display[[#This Row],[ProductionHour]]/r_TotalProductionHour</f>
        <v>7.5738055494793623E-4</v>
      </c>
      <c r="N102" s="26">
        <f>ProductionOrdersByItem_Display[[#This Row],[RMQty]]-ProductionOrdersByItem_Display[[#This Row],[RMRequired]]</f>
        <v>261</v>
      </c>
    </row>
    <row r="103" spans="1:14" hidden="1" x14ac:dyDescent="0.2">
      <c r="A103" t="s">
        <v>16</v>
      </c>
      <c r="B103" t="s">
        <v>425</v>
      </c>
      <c r="C103" t="s">
        <v>5263</v>
      </c>
      <c r="D103" t="s">
        <v>4746</v>
      </c>
      <c r="E103" t="s">
        <v>68</v>
      </c>
      <c r="F103" t="s">
        <v>49</v>
      </c>
      <c r="G103">
        <v>390</v>
      </c>
      <c r="H103" s="22">
        <v>1.2868402856901669E-3</v>
      </c>
      <c r="I103" s="16">
        <v>0.50186771141916509</v>
      </c>
      <c r="J103" s="56" t="s">
        <v>5759</v>
      </c>
      <c r="K103" s="56" t="s">
        <v>5600</v>
      </c>
      <c r="L103">
        <v>7</v>
      </c>
      <c r="M103" s="31">
        <f>ProductionOrdersByItem_Display[[#This Row],[ProductionHour]]/r_TotalProductionHour</f>
        <v>2.7113311413476523E-4</v>
      </c>
      <c r="N103" s="26">
        <f>ProductionOrdersByItem_Display[[#This Row],[RMQty]]-ProductionOrdersByItem_Display[[#This Row],[RMRequired]]</f>
        <v>249</v>
      </c>
    </row>
    <row r="104" spans="1:14" hidden="1" x14ac:dyDescent="0.2">
      <c r="A104" t="s">
        <v>16</v>
      </c>
      <c r="B104" t="s">
        <v>1723</v>
      </c>
      <c r="C104" t="s">
        <v>1724</v>
      </c>
      <c r="D104" t="s">
        <v>4755</v>
      </c>
      <c r="E104" t="s">
        <v>68</v>
      </c>
      <c r="F104" t="s">
        <v>49</v>
      </c>
      <c r="G104">
        <v>250</v>
      </c>
      <c r="H104" s="22">
        <v>6.4333858088767783E-4</v>
      </c>
      <c r="I104" s="16">
        <v>0.16083464522191945</v>
      </c>
      <c r="J104" s="56" t="s">
        <v>5973</v>
      </c>
      <c r="K104" s="56" t="s">
        <v>5600</v>
      </c>
      <c r="L104">
        <v>7</v>
      </c>
      <c r="M104" s="31">
        <f>ProductionOrdersByItem_Display[[#This Row],[ProductionHour]]/r_TotalProductionHour</f>
        <v>8.6890623221141337E-5</v>
      </c>
      <c r="N104" s="26">
        <f>ProductionOrdersByItem_Display[[#This Row],[RMQty]]-ProductionOrdersByItem_Display[[#This Row],[RMRequired]]</f>
        <v>254</v>
      </c>
    </row>
    <row r="105" spans="1:14" hidden="1" x14ac:dyDescent="0.2">
      <c r="A105" t="s">
        <v>16</v>
      </c>
      <c r="B105" t="s">
        <v>4842</v>
      </c>
      <c r="C105" t="s">
        <v>4843</v>
      </c>
      <c r="D105" t="s">
        <v>4775</v>
      </c>
      <c r="E105" t="s">
        <v>68</v>
      </c>
      <c r="F105" t="s">
        <v>49</v>
      </c>
      <c r="G105">
        <v>10730</v>
      </c>
      <c r="H105" s="22">
        <v>2.3647826938338022E-3</v>
      </c>
      <c r="I105" s="16">
        <v>25.374118304836699</v>
      </c>
      <c r="J105" s="56" t="s">
        <v>5973</v>
      </c>
      <c r="K105" s="56" t="s">
        <v>5600</v>
      </c>
      <c r="L105">
        <v>7</v>
      </c>
      <c r="M105" s="31">
        <f>ProductionOrdersByItem_Display[[#This Row],[ProductionHour]]/r_TotalProductionHour</f>
        <v>1.3708321053291023E-2</v>
      </c>
      <c r="N105" s="26">
        <f>ProductionOrdersByItem_Display[[#This Row],[RMQty]]-ProductionOrdersByItem_Display[[#This Row],[RMRequired]]</f>
        <v>254</v>
      </c>
    </row>
    <row r="106" spans="1:14" hidden="1" x14ac:dyDescent="0.2">
      <c r="A106" t="s">
        <v>16</v>
      </c>
      <c r="B106" t="s">
        <v>614</v>
      </c>
      <c r="C106" t="s">
        <v>5568</v>
      </c>
      <c r="D106" t="s">
        <v>4745</v>
      </c>
      <c r="E106" t="s">
        <v>68</v>
      </c>
      <c r="F106" t="s">
        <v>49</v>
      </c>
      <c r="G106">
        <v>150</v>
      </c>
      <c r="H106" s="22">
        <v>8.952346258668609E-4</v>
      </c>
      <c r="I106" s="16">
        <v>0.13428519388002913</v>
      </c>
      <c r="J106" s="56" t="s">
        <v>5730</v>
      </c>
      <c r="K106" s="56" t="s">
        <v>5600</v>
      </c>
      <c r="L106">
        <v>7</v>
      </c>
      <c r="M106" s="31">
        <f>ProductionOrdersByItem_Display[[#This Row],[ProductionHour]]/r_TotalProductionHour</f>
        <v>7.254733064202592E-5</v>
      </c>
      <c r="N106" s="26">
        <f>ProductionOrdersByItem_Display[[#This Row],[RMQty]]-ProductionOrdersByItem_Display[[#This Row],[RMRequired]]</f>
        <v>246</v>
      </c>
    </row>
    <row r="107" spans="1:14" hidden="1" x14ac:dyDescent="0.2">
      <c r="A107" t="s">
        <v>16</v>
      </c>
      <c r="B107" t="s">
        <v>812</v>
      </c>
      <c r="C107" t="s">
        <v>4940</v>
      </c>
      <c r="D107" t="s">
        <v>4748</v>
      </c>
      <c r="E107" t="s">
        <v>68</v>
      </c>
      <c r="F107" t="s">
        <v>49</v>
      </c>
      <c r="G107">
        <v>5220</v>
      </c>
      <c r="H107" s="22">
        <v>5.6047473559842022E-4</v>
      </c>
      <c r="I107" s="16">
        <v>2.9256781198237536</v>
      </c>
      <c r="J107" s="56" t="s">
        <v>5708</v>
      </c>
      <c r="K107" s="56" t="s">
        <v>5600</v>
      </c>
      <c r="L107">
        <v>7</v>
      </c>
      <c r="M107" s="31">
        <f>ProductionOrdersByItem_Display[[#This Row],[ProductionHour]]/r_TotalProductionHour</f>
        <v>1.5805922587461103E-3</v>
      </c>
      <c r="N107" s="26">
        <f>ProductionOrdersByItem_Display[[#This Row],[RMQty]]-ProductionOrdersByItem_Display[[#This Row],[RMRequired]]</f>
        <v>278</v>
      </c>
    </row>
    <row r="108" spans="1:14" hidden="1" x14ac:dyDescent="0.2">
      <c r="A108" t="s">
        <v>16</v>
      </c>
      <c r="B108" t="s">
        <v>5178</v>
      </c>
      <c r="C108" t="s">
        <v>5179</v>
      </c>
      <c r="D108" t="s">
        <v>5709</v>
      </c>
      <c r="E108" t="s">
        <v>68</v>
      </c>
      <c r="F108" t="s">
        <v>49</v>
      </c>
      <c r="G108">
        <v>120</v>
      </c>
      <c r="H108" s="22">
        <v>9.7289803358203194E-4</v>
      </c>
      <c r="I108" s="16">
        <v>0.11674776402984383</v>
      </c>
      <c r="J108" s="56" t="s">
        <v>5846</v>
      </c>
      <c r="K108" s="56" t="s">
        <v>5600</v>
      </c>
      <c r="L108">
        <v>7</v>
      </c>
      <c r="M108" s="31">
        <f>ProductionOrdersByItem_Display[[#This Row],[ProductionHour]]/r_TotalProductionHour</f>
        <v>6.3072766207994575E-5</v>
      </c>
      <c r="N108" s="26">
        <f>ProductionOrdersByItem_Display[[#This Row],[RMQty]]-ProductionOrdersByItem_Display[[#This Row],[RMRequired]]</f>
        <v>275</v>
      </c>
    </row>
    <row r="109" spans="1:14" hidden="1" x14ac:dyDescent="0.2">
      <c r="A109" t="s">
        <v>16</v>
      </c>
      <c r="B109" t="s">
        <v>594</v>
      </c>
      <c r="C109" t="s">
        <v>595</v>
      </c>
      <c r="D109" t="s">
        <v>4750</v>
      </c>
      <c r="E109" t="s">
        <v>68</v>
      </c>
      <c r="F109" t="s">
        <v>49</v>
      </c>
      <c r="G109">
        <v>1200</v>
      </c>
      <c r="H109" s="22">
        <v>1.0826067516208362E-3</v>
      </c>
      <c r="I109" s="16">
        <v>1.2991281019450034</v>
      </c>
      <c r="J109" s="56" t="s">
        <v>5974</v>
      </c>
      <c r="K109" s="56" t="s">
        <v>5600</v>
      </c>
      <c r="L109">
        <v>7</v>
      </c>
      <c r="M109" s="31">
        <f>ProductionOrdersByItem_Display[[#This Row],[ProductionHour]]/r_TotalProductionHour</f>
        <v>7.0185158344674586E-4</v>
      </c>
      <c r="N109" s="26">
        <f>ProductionOrdersByItem_Display[[#This Row],[RMQty]]-ProductionOrdersByItem_Display[[#This Row],[RMRequired]]</f>
        <v>264</v>
      </c>
    </row>
    <row r="110" spans="1:14" hidden="1" x14ac:dyDescent="0.2">
      <c r="A110" t="s">
        <v>16</v>
      </c>
      <c r="B110" t="s">
        <v>660</v>
      </c>
      <c r="C110" t="s">
        <v>661</v>
      </c>
      <c r="D110" t="s">
        <v>5901</v>
      </c>
      <c r="E110" t="s">
        <v>68</v>
      </c>
      <c r="F110" t="s">
        <v>49</v>
      </c>
      <c r="G110">
        <v>380</v>
      </c>
      <c r="H110" s="22">
        <v>1.3289432575034237E-3</v>
      </c>
      <c r="I110" s="16">
        <v>0.50499843785130105</v>
      </c>
      <c r="J110" s="56" t="s">
        <v>5677</v>
      </c>
      <c r="K110" s="56" t="s">
        <v>5600</v>
      </c>
      <c r="L110">
        <v>6</v>
      </c>
      <c r="M110" s="31">
        <f>ProductionOrdersByItem_Display[[#This Row],[ProductionHour]]/r_TotalProductionHour</f>
        <v>2.728244833695955E-4</v>
      </c>
      <c r="N110" s="26">
        <f>ProductionOrdersByItem_Display[[#This Row],[RMQty]]-ProductionOrdersByItem_Display[[#This Row],[RMRequired]]</f>
        <v>235</v>
      </c>
    </row>
    <row r="111" spans="1:14" hidden="1" x14ac:dyDescent="0.2">
      <c r="A111" t="s">
        <v>16</v>
      </c>
      <c r="B111" t="s">
        <v>641</v>
      </c>
      <c r="C111" t="s">
        <v>4942</v>
      </c>
      <c r="D111" t="s">
        <v>4754</v>
      </c>
      <c r="E111" t="s">
        <v>68</v>
      </c>
      <c r="F111" t="s">
        <v>49</v>
      </c>
      <c r="G111">
        <v>2400</v>
      </c>
      <c r="H111" s="22">
        <v>6.2648690475241426E-4</v>
      </c>
      <c r="I111" s="16">
        <v>1.5035685714057943</v>
      </c>
      <c r="J111" s="56" t="s">
        <v>5847</v>
      </c>
      <c r="K111" s="56" t="s">
        <v>5607</v>
      </c>
      <c r="L111">
        <v>6</v>
      </c>
      <c r="M111" s="31">
        <f>ProductionOrdersByItem_Display[[#This Row],[ProductionHour]]/r_TotalProductionHour</f>
        <v>8.1230017354100162E-4</v>
      </c>
      <c r="N111" s="26">
        <f>ProductionOrdersByItem_Display[[#This Row],[RMQty]]-ProductionOrdersByItem_Display[[#This Row],[RMRequired]]</f>
        <v>267</v>
      </c>
    </row>
    <row r="112" spans="1:14" hidden="1" x14ac:dyDescent="0.2">
      <c r="A112" t="s">
        <v>16</v>
      </c>
      <c r="B112" t="s">
        <v>5898</v>
      </c>
      <c r="C112" t="s">
        <v>5899</v>
      </c>
      <c r="D112" t="s">
        <v>4782</v>
      </c>
      <c r="E112" t="s">
        <v>68</v>
      </c>
      <c r="F112" t="s">
        <v>49</v>
      </c>
      <c r="G112">
        <v>975</v>
      </c>
      <c r="H112" s="22">
        <v>1.923146066046302E-3</v>
      </c>
      <c r="I112" s="16">
        <v>1.8750674143951445</v>
      </c>
      <c r="J112" s="56" t="s">
        <v>5625</v>
      </c>
      <c r="K112" s="56" t="s">
        <v>5600</v>
      </c>
      <c r="L112">
        <v>6</v>
      </c>
      <c r="M112" s="31">
        <f>ProductionOrdersByItem_Display[[#This Row],[ProductionHour]]/r_TotalProductionHour</f>
        <v>1.0130017447027248E-3</v>
      </c>
      <c r="N112" s="26">
        <f>ProductionOrdersByItem_Display[[#This Row],[RMQty]]-ProductionOrdersByItem_Display[[#This Row],[RMRequired]]</f>
        <v>205</v>
      </c>
    </row>
    <row r="113" spans="1:14" hidden="1" x14ac:dyDescent="0.2">
      <c r="A113" t="s">
        <v>16</v>
      </c>
      <c r="B113" t="s">
        <v>5129</v>
      </c>
      <c r="C113" t="s">
        <v>5130</v>
      </c>
      <c r="D113" t="s">
        <v>4782</v>
      </c>
      <c r="E113" t="s">
        <v>68</v>
      </c>
      <c r="F113" t="s">
        <v>49</v>
      </c>
      <c r="G113">
        <v>320</v>
      </c>
      <c r="H113" s="22">
        <v>1.8211464371048693E-3</v>
      </c>
      <c r="I113" s="16">
        <v>0.58276685987355814</v>
      </c>
      <c r="J113" s="56" t="s">
        <v>5975</v>
      </c>
      <c r="K113" s="56" t="s">
        <v>5600</v>
      </c>
      <c r="L113">
        <v>6</v>
      </c>
      <c r="M113" s="31">
        <f>ProductionOrdersByItem_Display[[#This Row],[ProductionHour]]/r_TotalProductionHour</f>
        <v>3.148387312769097E-4</v>
      </c>
      <c r="N113" s="26">
        <f>ProductionOrdersByItem_Display[[#This Row],[RMQty]]-ProductionOrdersByItem_Display[[#This Row],[RMRequired]]</f>
        <v>213</v>
      </c>
    </row>
    <row r="114" spans="1:14" hidden="1" x14ac:dyDescent="0.2">
      <c r="A114" t="s">
        <v>16</v>
      </c>
      <c r="B114" t="s">
        <v>832</v>
      </c>
      <c r="C114" t="s">
        <v>833</v>
      </c>
      <c r="D114" t="s">
        <v>4755</v>
      </c>
      <c r="E114" t="s">
        <v>68</v>
      </c>
      <c r="F114" t="s">
        <v>49</v>
      </c>
      <c r="G114">
        <v>440</v>
      </c>
      <c r="H114" s="22">
        <v>1.4369460745248619E-3</v>
      </c>
      <c r="I114" s="16">
        <v>0.63225627279093921</v>
      </c>
      <c r="J114" s="56" t="s">
        <v>5848</v>
      </c>
      <c r="K114" s="56" t="s">
        <v>5600</v>
      </c>
      <c r="L114">
        <v>6</v>
      </c>
      <c r="M114" s="31">
        <f>ProductionOrdersByItem_Display[[#This Row],[ProductionHour]]/r_TotalProductionHour</f>
        <v>3.4157529618371991E-4</v>
      </c>
      <c r="N114" s="26">
        <f>ProductionOrdersByItem_Display[[#This Row],[RMQty]]-ProductionOrdersByItem_Display[[#This Row],[RMRequired]]</f>
        <v>223</v>
      </c>
    </row>
    <row r="115" spans="1:14" hidden="1" x14ac:dyDescent="0.2">
      <c r="A115" t="s">
        <v>16</v>
      </c>
      <c r="B115" t="s">
        <v>4335</v>
      </c>
      <c r="C115" t="s">
        <v>4336</v>
      </c>
      <c r="D115" t="s">
        <v>4750</v>
      </c>
      <c r="E115" t="s">
        <v>68</v>
      </c>
      <c r="F115" t="s">
        <v>49</v>
      </c>
      <c r="G115">
        <v>8520</v>
      </c>
      <c r="H115" s="22">
        <v>2.3146380270485283E-3</v>
      </c>
      <c r="I115" s="16">
        <v>19.72071599045346</v>
      </c>
      <c r="J115" s="56" t="s">
        <v>5739</v>
      </c>
      <c r="K115" s="56" t="s">
        <v>5600</v>
      </c>
      <c r="L115">
        <v>6</v>
      </c>
      <c r="M115" s="31">
        <f>ProductionOrdersByItem_Display[[#This Row],[ProductionHour]]/r_TotalProductionHour</f>
        <v>1.0654080782242413E-2</v>
      </c>
      <c r="N115" s="26">
        <f>ProductionOrdersByItem_Display[[#This Row],[RMQty]]-ProductionOrdersByItem_Display[[#This Row],[RMRequired]]</f>
        <v>210</v>
      </c>
    </row>
    <row r="116" spans="1:14" hidden="1" x14ac:dyDescent="0.2">
      <c r="A116" t="s">
        <v>16</v>
      </c>
      <c r="B116" t="s">
        <v>458</v>
      </c>
      <c r="C116" t="s">
        <v>5220</v>
      </c>
      <c r="D116" t="s">
        <v>4745</v>
      </c>
      <c r="E116" t="s">
        <v>68</v>
      </c>
      <c r="F116" t="s">
        <v>49</v>
      </c>
      <c r="G116">
        <v>560</v>
      </c>
      <c r="H116" s="22">
        <v>2.7592114193432426E-3</v>
      </c>
      <c r="I116" s="16">
        <v>1.5451583948322158</v>
      </c>
      <c r="J116" s="56" t="s">
        <v>5629</v>
      </c>
      <c r="K116" s="56" t="s">
        <v>5600</v>
      </c>
      <c r="L116">
        <v>6</v>
      </c>
      <c r="M116" s="31">
        <f>ProductionOrdersByItem_Display[[#This Row],[ProductionHour]]/r_TotalProductionHour</f>
        <v>8.3476899965861289E-4</v>
      </c>
      <c r="N116" s="26">
        <f>ProductionOrdersByItem_Display[[#This Row],[RMQty]]-ProductionOrdersByItem_Display[[#This Row],[RMRequired]]</f>
        <v>220</v>
      </c>
    </row>
    <row r="117" spans="1:14" hidden="1" x14ac:dyDescent="0.2">
      <c r="A117" t="s">
        <v>16</v>
      </c>
      <c r="B117" t="s">
        <v>4684</v>
      </c>
      <c r="C117" t="s">
        <v>5591</v>
      </c>
      <c r="D117" t="s">
        <v>4746</v>
      </c>
      <c r="E117" t="s">
        <v>68</v>
      </c>
      <c r="F117" t="s">
        <v>49</v>
      </c>
      <c r="G117">
        <v>11500</v>
      </c>
      <c r="H117" s="22">
        <v>1.3207844182533889E-3</v>
      </c>
      <c r="I117" s="16">
        <v>15.189020809913973</v>
      </c>
      <c r="J117" s="56" t="s">
        <v>5902</v>
      </c>
      <c r="K117" s="56" t="s">
        <v>5600</v>
      </c>
      <c r="L117">
        <v>6</v>
      </c>
      <c r="M117" s="31">
        <f>ProductionOrdersByItem_Display[[#This Row],[ProductionHour]]/r_TotalProductionHour</f>
        <v>8.2058407407886169E-3</v>
      </c>
      <c r="N117" s="26">
        <f>ProductionOrdersByItem_Display[[#This Row],[RMQty]]-ProductionOrdersByItem_Display[[#This Row],[RMRequired]]</f>
        <v>226</v>
      </c>
    </row>
    <row r="118" spans="1:14" hidden="1" x14ac:dyDescent="0.2">
      <c r="A118" t="s">
        <v>16</v>
      </c>
      <c r="B118" t="s">
        <v>5119</v>
      </c>
      <c r="C118" t="s">
        <v>5120</v>
      </c>
      <c r="D118" t="s">
        <v>4780</v>
      </c>
      <c r="E118" t="s">
        <v>68</v>
      </c>
      <c r="F118" t="s">
        <v>49</v>
      </c>
      <c r="G118">
        <v>24030</v>
      </c>
      <c r="H118" s="22">
        <v>1.0938264465830331E-3</v>
      </c>
      <c r="I118" s="16">
        <v>26.284649511390285</v>
      </c>
      <c r="J118" s="56" t="s">
        <v>5742</v>
      </c>
      <c r="K118" s="56" t="s">
        <v>5600</v>
      </c>
      <c r="L118">
        <v>6</v>
      </c>
      <c r="M118" s="31">
        <f>ProductionOrdersByItem_Display[[#This Row],[ProductionHour]]/r_TotalProductionHour</f>
        <v>1.4200233874005578E-2</v>
      </c>
      <c r="N118" s="26">
        <f>ProductionOrdersByItem_Display[[#This Row],[RMQty]]-ProductionOrdersByItem_Display[[#This Row],[RMRequired]]</f>
        <v>218</v>
      </c>
    </row>
    <row r="119" spans="1:14" hidden="1" x14ac:dyDescent="0.2">
      <c r="A119" t="s">
        <v>16</v>
      </c>
      <c r="B119" t="s">
        <v>906</v>
      </c>
      <c r="C119" t="s">
        <v>907</v>
      </c>
      <c r="D119" t="s">
        <v>4751</v>
      </c>
      <c r="E119" t="s">
        <v>68</v>
      </c>
      <c r="F119" t="s">
        <v>49</v>
      </c>
      <c r="G119">
        <v>2400</v>
      </c>
      <c r="H119" s="22">
        <v>1.2833344042411788E-3</v>
      </c>
      <c r="I119" s="16">
        <v>3.0800025701788294</v>
      </c>
      <c r="J119" s="56" t="s">
        <v>5711</v>
      </c>
      <c r="K119" s="56" t="s">
        <v>5600</v>
      </c>
      <c r="L119">
        <v>6</v>
      </c>
      <c r="M119" s="31">
        <f>ProductionOrdersByItem_Display[[#This Row],[ProductionHour]]/r_TotalProductionHour</f>
        <v>1.6639657610851768E-3</v>
      </c>
      <c r="N119" s="26">
        <f>ProductionOrdersByItem_Display[[#This Row],[RMQty]]-ProductionOrdersByItem_Display[[#This Row],[RMRequired]]</f>
        <v>208</v>
      </c>
    </row>
    <row r="120" spans="1:14" hidden="1" x14ac:dyDescent="0.2">
      <c r="A120" t="s">
        <v>16</v>
      </c>
      <c r="B120" t="s">
        <v>844</v>
      </c>
      <c r="C120" t="s">
        <v>845</v>
      </c>
      <c r="D120" t="s">
        <v>4753</v>
      </c>
      <c r="E120" t="s">
        <v>68</v>
      </c>
      <c r="F120" t="s">
        <v>49</v>
      </c>
      <c r="G120">
        <v>1200</v>
      </c>
      <c r="H120" s="22">
        <v>1.2581748113706457E-3</v>
      </c>
      <c r="I120" s="16">
        <v>1.5098097736447749</v>
      </c>
      <c r="J120" s="56" t="s">
        <v>5643</v>
      </c>
      <c r="K120" s="56" t="s">
        <v>5600</v>
      </c>
      <c r="L120">
        <v>6</v>
      </c>
      <c r="M120" s="31">
        <f>ProductionOrdersByItem_Display[[#This Row],[ProductionHour]]/r_TotalProductionHour</f>
        <v>8.1567197164734832E-4</v>
      </c>
      <c r="N120" s="26">
        <f>ProductionOrdersByItem_Display[[#This Row],[RMQty]]-ProductionOrdersByItem_Display[[#This Row],[RMRequired]]</f>
        <v>201</v>
      </c>
    </row>
    <row r="121" spans="1:14" hidden="1" x14ac:dyDescent="0.2">
      <c r="A121" t="s">
        <v>16</v>
      </c>
      <c r="B121" t="s">
        <v>4531</v>
      </c>
      <c r="C121" t="s">
        <v>4532</v>
      </c>
      <c r="D121" t="s">
        <v>4748</v>
      </c>
      <c r="E121" t="s">
        <v>68</v>
      </c>
      <c r="F121" t="s">
        <v>49</v>
      </c>
      <c r="G121">
        <v>400</v>
      </c>
      <c r="H121" s="22">
        <v>8.9778696887674644E-4</v>
      </c>
      <c r="I121" s="16">
        <v>0.35911478755069859</v>
      </c>
      <c r="J121" s="56" t="s">
        <v>5711</v>
      </c>
      <c r="K121" s="56" t="s">
        <v>5600</v>
      </c>
      <c r="L121">
        <v>6</v>
      </c>
      <c r="M121" s="31">
        <f>ProductionOrdersByItem_Display[[#This Row],[ProductionHour]]/r_TotalProductionHour</f>
        <v>1.9401110783782391E-4</v>
      </c>
      <c r="N121" s="26">
        <f>ProductionOrdersByItem_Display[[#This Row],[RMQty]]-ProductionOrdersByItem_Display[[#This Row],[RMRequired]]</f>
        <v>208</v>
      </c>
    </row>
    <row r="122" spans="1:14" hidden="1" x14ac:dyDescent="0.2">
      <c r="A122" t="s">
        <v>16</v>
      </c>
      <c r="B122" t="s">
        <v>4563</v>
      </c>
      <c r="C122" t="s">
        <v>4564</v>
      </c>
      <c r="D122" t="s">
        <v>4746</v>
      </c>
      <c r="E122" t="s">
        <v>68</v>
      </c>
      <c r="F122" t="s">
        <v>49</v>
      </c>
      <c r="G122">
        <v>440</v>
      </c>
      <c r="H122" s="22">
        <v>1.244449098787842E-3</v>
      </c>
      <c r="I122" s="16">
        <v>0.5475576034666505</v>
      </c>
      <c r="J122" s="56" t="s">
        <v>5742</v>
      </c>
      <c r="K122" s="56" t="s">
        <v>5600</v>
      </c>
      <c r="L122">
        <v>6</v>
      </c>
      <c r="M122" s="31">
        <f>ProductionOrdersByItem_Display[[#This Row],[ProductionHour]]/r_TotalProductionHour</f>
        <v>2.9581699483369574E-4</v>
      </c>
      <c r="N122" s="26">
        <f>ProductionOrdersByItem_Display[[#This Row],[RMQty]]-ProductionOrdersByItem_Display[[#This Row],[RMRequired]]</f>
        <v>218</v>
      </c>
    </row>
    <row r="123" spans="1:14" hidden="1" x14ac:dyDescent="0.2">
      <c r="A123" t="s">
        <v>16</v>
      </c>
      <c r="B123" t="s">
        <v>898</v>
      </c>
      <c r="C123" t="s">
        <v>899</v>
      </c>
      <c r="D123" t="s">
        <v>4745</v>
      </c>
      <c r="E123" t="s">
        <v>68</v>
      </c>
      <c r="F123" t="s">
        <v>49</v>
      </c>
      <c r="G123">
        <v>10440</v>
      </c>
      <c r="H123" s="22">
        <v>4.1010066309604644E-4</v>
      </c>
      <c r="I123" s="16">
        <v>4.2814509227227244</v>
      </c>
      <c r="J123" s="56" t="s">
        <v>5677</v>
      </c>
      <c r="K123" s="56" t="s">
        <v>5600</v>
      </c>
      <c r="L123">
        <v>6</v>
      </c>
      <c r="M123" s="31">
        <f>ProductionOrdersByItem_Display[[#This Row],[ProductionHour]]/r_TotalProductionHour</f>
        <v>2.3130460383880488E-3</v>
      </c>
      <c r="N123" s="26">
        <f>ProductionOrdersByItem_Display[[#This Row],[RMQty]]-ProductionOrdersByItem_Display[[#This Row],[RMRequired]]</f>
        <v>235</v>
      </c>
    </row>
    <row r="124" spans="1:14" hidden="1" x14ac:dyDescent="0.2">
      <c r="A124" t="s">
        <v>16</v>
      </c>
      <c r="B124" t="s">
        <v>5028</v>
      </c>
      <c r="C124" t="s">
        <v>5029</v>
      </c>
      <c r="D124" t="s">
        <v>4779</v>
      </c>
      <c r="E124" t="s">
        <v>68</v>
      </c>
      <c r="F124" t="s">
        <v>49</v>
      </c>
      <c r="G124">
        <v>170</v>
      </c>
      <c r="H124" s="22">
        <v>8.7187744612307887E-4</v>
      </c>
      <c r="I124" s="16">
        <v>0.1482191658409234</v>
      </c>
      <c r="J124" s="56" t="s">
        <v>5629</v>
      </c>
      <c r="K124" s="56" t="s">
        <v>5600</v>
      </c>
      <c r="L124">
        <v>6</v>
      </c>
      <c r="M124" s="31">
        <f>ProductionOrdersByItem_Display[[#This Row],[ProductionHour]]/r_TotalProductionHour</f>
        <v>8.0075133535223753E-5</v>
      </c>
      <c r="N124" s="26">
        <f>ProductionOrdersByItem_Display[[#This Row],[RMQty]]-ProductionOrdersByItem_Display[[#This Row],[RMRequired]]</f>
        <v>220</v>
      </c>
    </row>
    <row r="125" spans="1:14" hidden="1" x14ac:dyDescent="0.2">
      <c r="A125" t="s">
        <v>16</v>
      </c>
      <c r="B125" t="s">
        <v>604</v>
      </c>
      <c r="C125" t="s">
        <v>605</v>
      </c>
      <c r="D125" t="s">
        <v>4748</v>
      </c>
      <c r="E125" t="s">
        <v>68</v>
      </c>
      <c r="F125" t="s">
        <v>49</v>
      </c>
      <c r="G125">
        <v>360</v>
      </c>
      <c r="H125" s="22">
        <v>2.6800198703975562E-3</v>
      </c>
      <c r="I125" s="16">
        <v>0.96480715334312017</v>
      </c>
      <c r="J125" s="56" t="s">
        <v>5650</v>
      </c>
      <c r="K125" s="56" t="s">
        <v>5600</v>
      </c>
      <c r="L125">
        <v>6</v>
      </c>
      <c r="M125" s="31">
        <f>ProductionOrdersByItem_Display[[#This Row],[ProductionHour]]/r_TotalProductionHour</f>
        <v>5.212353018003474E-4</v>
      </c>
      <c r="N125" s="26">
        <f>ProductionOrdersByItem_Display[[#This Row],[RMQty]]-ProductionOrdersByItem_Display[[#This Row],[RMRequired]]</f>
        <v>239</v>
      </c>
    </row>
    <row r="126" spans="1:14" hidden="1" x14ac:dyDescent="0.2">
      <c r="A126" t="s">
        <v>16</v>
      </c>
      <c r="B126" t="s">
        <v>591</v>
      </c>
      <c r="C126" t="s">
        <v>5276</v>
      </c>
      <c r="D126" t="s">
        <v>4750</v>
      </c>
      <c r="E126" t="s">
        <v>68</v>
      </c>
      <c r="F126" t="s">
        <v>49</v>
      </c>
      <c r="G126">
        <v>6300</v>
      </c>
      <c r="H126" s="22">
        <v>1.2141400492937484E-3</v>
      </c>
      <c r="I126" s="16">
        <v>7.6490823105506145</v>
      </c>
      <c r="J126" s="56" t="s">
        <v>5976</v>
      </c>
      <c r="K126" s="56" t="s">
        <v>5600</v>
      </c>
      <c r="L126">
        <v>5</v>
      </c>
      <c r="M126" s="31">
        <f>ProductionOrdersByItem_Display[[#This Row],[ProductionHour]]/r_TotalProductionHour</f>
        <v>4.1324027426832702E-3</v>
      </c>
      <c r="N126" s="26">
        <f>ProductionOrdersByItem_Display[[#This Row],[RMQty]]-ProductionOrdersByItem_Display[[#This Row],[RMRequired]]</f>
        <v>166</v>
      </c>
    </row>
    <row r="127" spans="1:14" hidden="1" x14ac:dyDescent="0.2">
      <c r="A127" t="s">
        <v>16</v>
      </c>
      <c r="B127" t="s">
        <v>4486</v>
      </c>
      <c r="C127" t="s">
        <v>4852</v>
      </c>
      <c r="D127" t="s">
        <v>4771</v>
      </c>
      <c r="E127" t="s">
        <v>68</v>
      </c>
      <c r="F127" t="s">
        <v>49</v>
      </c>
      <c r="G127">
        <v>5400</v>
      </c>
      <c r="H127" s="22">
        <v>1.1515302534097923E-3</v>
      </c>
      <c r="I127" s="16">
        <v>6.2182633684128783</v>
      </c>
      <c r="J127" s="56" t="s">
        <v>5732</v>
      </c>
      <c r="K127" s="56" t="s">
        <v>5600</v>
      </c>
      <c r="L127">
        <v>5</v>
      </c>
      <c r="M127" s="31">
        <f>ProductionOrdersByItem_Display[[#This Row],[ProductionHour]]/r_TotalProductionHour</f>
        <v>3.3594054234339322E-3</v>
      </c>
      <c r="N127" s="26">
        <f>ProductionOrdersByItem_Display[[#This Row],[RMQty]]-ProductionOrdersByItem_Display[[#This Row],[RMRequired]]</f>
        <v>173</v>
      </c>
    </row>
    <row r="128" spans="1:14" hidden="1" x14ac:dyDescent="0.2">
      <c r="A128" t="s">
        <v>16</v>
      </c>
      <c r="B128" t="s">
        <v>364</v>
      </c>
      <c r="C128" t="s">
        <v>4955</v>
      </c>
      <c r="D128" t="s">
        <v>4746</v>
      </c>
      <c r="E128" t="s">
        <v>68</v>
      </c>
      <c r="F128" t="s">
        <v>49</v>
      </c>
      <c r="G128">
        <v>6080</v>
      </c>
      <c r="H128" s="22">
        <v>1.0401777319344438E-3</v>
      </c>
      <c r="I128" s="16">
        <v>6.3242806101614182</v>
      </c>
      <c r="J128" s="56" t="s">
        <v>5903</v>
      </c>
      <c r="K128" s="56" t="s">
        <v>5600</v>
      </c>
      <c r="L128">
        <v>5</v>
      </c>
      <c r="M128" s="31">
        <f>ProductionOrdersByItem_Display[[#This Row],[ProductionHour]]/r_TotalProductionHour</f>
        <v>3.4166810445851242E-3</v>
      </c>
      <c r="N128" s="26">
        <f>ProductionOrdersByItem_Display[[#This Row],[RMQty]]-ProductionOrdersByItem_Display[[#This Row],[RMRequired]]</f>
        <v>169</v>
      </c>
    </row>
    <row r="129" spans="1:14" hidden="1" x14ac:dyDescent="0.2">
      <c r="A129" t="s">
        <v>16</v>
      </c>
      <c r="B129" t="s">
        <v>4070</v>
      </c>
      <c r="C129" t="s">
        <v>4071</v>
      </c>
      <c r="D129" t="s">
        <v>4771</v>
      </c>
      <c r="E129" t="s">
        <v>68</v>
      </c>
      <c r="F129" t="s">
        <v>49</v>
      </c>
      <c r="G129">
        <v>9300</v>
      </c>
      <c r="H129" s="22">
        <v>9.5580078040298966E-4</v>
      </c>
      <c r="I129" s="16">
        <v>8.8889472577478035</v>
      </c>
      <c r="J129" s="56" t="s">
        <v>5823</v>
      </c>
      <c r="K129" s="56" t="s">
        <v>5600</v>
      </c>
      <c r="L129">
        <v>5</v>
      </c>
      <c r="M129" s="31">
        <f>ProductionOrdersByItem_Display[[#This Row],[ProductionHour]]/r_TotalProductionHour</f>
        <v>4.8022375150568583E-3</v>
      </c>
      <c r="N129" s="26">
        <f>ProductionOrdersByItem_Display[[#This Row],[RMQty]]-ProductionOrdersByItem_Display[[#This Row],[RMRequired]]</f>
        <v>177</v>
      </c>
    </row>
    <row r="130" spans="1:14" hidden="1" x14ac:dyDescent="0.2">
      <c r="A130" t="s">
        <v>16</v>
      </c>
      <c r="B130" t="s">
        <v>666</v>
      </c>
      <c r="C130" t="s">
        <v>667</v>
      </c>
      <c r="D130" t="s">
        <v>4746</v>
      </c>
      <c r="E130" t="s">
        <v>68</v>
      </c>
      <c r="F130" t="s">
        <v>49</v>
      </c>
      <c r="G130">
        <v>3330</v>
      </c>
      <c r="H130" s="22">
        <v>1.2667528751256736E-3</v>
      </c>
      <c r="I130" s="16">
        <v>4.2182870741684928</v>
      </c>
      <c r="J130" s="56" t="s">
        <v>5793</v>
      </c>
      <c r="K130" s="56" t="s">
        <v>5600</v>
      </c>
      <c r="L130">
        <v>5</v>
      </c>
      <c r="M130" s="31">
        <f>ProductionOrdersByItem_Display[[#This Row],[ProductionHour]]/r_TotalProductionHour</f>
        <v>2.2789218846129083E-3</v>
      </c>
      <c r="N130" s="26">
        <f>ProductionOrdersByItem_Display[[#This Row],[RMQty]]-ProductionOrdersByItem_Display[[#This Row],[RMRequired]]</f>
        <v>184</v>
      </c>
    </row>
    <row r="131" spans="1:14" hidden="1" x14ac:dyDescent="0.2">
      <c r="A131" t="s">
        <v>16</v>
      </c>
      <c r="B131" t="s">
        <v>602</v>
      </c>
      <c r="C131" t="s">
        <v>5275</v>
      </c>
      <c r="D131" t="s">
        <v>4746</v>
      </c>
      <c r="E131" t="s">
        <v>68</v>
      </c>
      <c r="F131" t="s">
        <v>49</v>
      </c>
      <c r="G131">
        <v>6480</v>
      </c>
      <c r="H131" s="22">
        <v>1.0029390872924146E-3</v>
      </c>
      <c r="I131" s="16">
        <v>6.4990452856548471</v>
      </c>
      <c r="J131" s="56" t="s">
        <v>5792</v>
      </c>
      <c r="K131" s="56" t="s">
        <v>5600</v>
      </c>
      <c r="L131">
        <v>5</v>
      </c>
      <c r="M131" s="31">
        <f>ProductionOrdersByItem_Display[[#This Row],[ProductionHour]]/r_TotalProductionHour</f>
        <v>3.5110973412089751E-3</v>
      </c>
      <c r="N131" s="26">
        <f>ProductionOrdersByItem_Display[[#This Row],[RMQty]]-ProductionOrdersByItem_Display[[#This Row],[RMRequired]]</f>
        <v>165</v>
      </c>
    </row>
    <row r="132" spans="1:14" hidden="1" x14ac:dyDescent="0.2">
      <c r="A132" t="s">
        <v>16</v>
      </c>
      <c r="B132" t="s">
        <v>589</v>
      </c>
      <c r="C132" t="s">
        <v>590</v>
      </c>
      <c r="D132" t="s">
        <v>4746</v>
      </c>
      <c r="E132" t="s">
        <v>68</v>
      </c>
      <c r="F132" t="s">
        <v>49</v>
      </c>
      <c r="G132">
        <v>5600</v>
      </c>
      <c r="H132" s="22">
        <v>1.9315511373264812E-3</v>
      </c>
      <c r="I132" s="16">
        <v>10.816686369028295</v>
      </c>
      <c r="J132" s="56" t="s">
        <v>5821</v>
      </c>
      <c r="K132" s="56" t="s">
        <v>5600</v>
      </c>
      <c r="L132">
        <v>5</v>
      </c>
      <c r="M132" s="31">
        <f>ProductionOrdersByItem_Display[[#This Row],[ProductionHour]]/r_TotalProductionHour</f>
        <v>5.8436950477657552E-3</v>
      </c>
      <c r="N132" s="26">
        <f>ProductionOrdersByItem_Display[[#This Row],[RMQty]]-ProductionOrdersByItem_Display[[#This Row],[RMRequired]]</f>
        <v>176</v>
      </c>
    </row>
    <row r="133" spans="1:14" hidden="1" x14ac:dyDescent="0.2">
      <c r="A133" t="s">
        <v>16</v>
      </c>
      <c r="B133" t="s">
        <v>668</v>
      </c>
      <c r="C133" t="s">
        <v>5222</v>
      </c>
      <c r="D133" t="s">
        <v>4746</v>
      </c>
      <c r="E133" t="s">
        <v>68</v>
      </c>
      <c r="F133" t="s">
        <v>49</v>
      </c>
      <c r="G133">
        <v>1000</v>
      </c>
      <c r="H133" s="22">
        <v>1.2141400492937484E-3</v>
      </c>
      <c r="I133" s="16">
        <v>1.2141400492937484</v>
      </c>
      <c r="J133" s="56" t="s">
        <v>5626</v>
      </c>
      <c r="K133" s="56" t="s">
        <v>5600</v>
      </c>
      <c r="L133">
        <v>5</v>
      </c>
      <c r="M133" s="31">
        <f>ProductionOrdersByItem_Display[[#This Row],[ProductionHour]]/r_TotalProductionHour</f>
        <v>6.5593694328305874E-4</v>
      </c>
      <c r="N133" s="26">
        <f>ProductionOrdersByItem_Display[[#This Row],[RMQty]]-ProductionOrdersByItem_Display[[#This Row],[RMRequired]]</f>
        <v>172</v>
      </c>
    </row>
    <row r="134" spans="1:14" hidden="1" x14ac:dyDescent="0.2">
      <c r="A134" t="s">
        <v>16</v>
      </c>
      <c r="B134" t="s">
        <v>876</v>
      </c>
      <c r="C134" t="s">
        <v>5552</v>
      </c>
      <c r="D134" t="s">
        <v>4748</v>
      </c>
      <c r="E134" t="s">
        <v>68</v>
      </c>
      <c r="F134" t="s">
        <v>49</v>
      </c>
      <c r="G134">
        <v>320</v>
      </c>
      <c r="H134" s="22">
        <v>1.4931416331363273E-3</v>
      </c>
      <c r="I134" s="16">
        <v>0.47780532260362474</v>
      </c>
      <c r="J134" s="56" t="s">
        <v>5614</v>
      </c>
      <c r="K134" s="56" t="s">
        <v>5600</v>
      </c>
      <c r="L134">
        <v>5</v>
      </c>
      <c r="M134" s="31">
        <f>ProductionOrdersByItem_Display[[#This Row],[ProductionHour]]/r_TotalProductionHour</f>
        <v>2.5813345254141359E-4</v>
      </c>
      <c r="N134" s="26">
        <f>ProductionOrdersByItem_Display[[#This Row],[RMQty]]-ProductionOrdersByItem_Display[[#This Row],[RMRequired]]</f>
        <v>189</v>
      </c>
    </row>
    <row r="135" spans="1:14" hidden="1" x14ac:dyDescent="0.2">
      <c r="A135" t="s">
        <v>16</v>
      </c>
      <c r="B135" t="s">
        <v>2623</v>
      </c>
      <c r="C135" t="s">
        <v>4883</v>
      </c>
      <c r="D135" t="s">
        <v>4748</v>
      </c>
      <c r="E135" t="s">
        <v>68</v>
      </c>
      <c r="F135" t="s">
        <v>49</v>
      </c>
      <c r="G135">
        <v>14140</v>
      </c>
      <c r="H135" s="22">
        <v>5.5862749780012319E-4</v>
      </c>
      <c r="I135" s="16">
        <v>7.8989928188937419</v>
      </c>
      <c r="J135" s="56" t="s">
        <v>5819</v>
      </c>
      <c r="K135" s="56" t="s">
        <v>5607</v>
      </c>
      <c r="L135">
        <v>5</v>
      </c>
      <c r="M135" s="31">
        <f>ProductionOrdersByItem_Display[[#This Row],[ProductionHour]]/r_TotalProductionHour</f>
        <v>4.267416438205677E-3</v>
      </c>
      <c r="N135" s="26">
        <f>ProductionOrdersByItem_Display[[#This Row],[RMQty]]-ProductionOrdersByItem_Display[[#This Row],[RMRequired]]</f>
        <v>234</v>
      </c>
    </row>
    <row r="136" spans="1:14" hidden="1" x14ac:dyDescent="0.2">
      <c r="A136" t="s">
        <v>16</v>
      </c>
      <c r="B136" t="s">
        <v>816</v>
      </c>
      <c r="C136" t="s">
        <v>817</v>
      </c>
      <c r="D136" t="s">
        <v>4748</v>
      </c>
      <c r="E136" t="s">
        <v>68</v>
      </c>
      <c r="F136" t="s">
        <v>49</v>
      </c>
      <c r="G136">
        <v>100</v>
      </c>
      <c r="H136" s="22">
        <v>2.5899759074664015E-3</v>
      </c>
      <c r="I136" s="16">
        <v>0.25899759074664014</v>
      </c>
      <c r="J136" s="56" t="s">
        <v>5732</v>
      </c>
      <c r="K136" s="56" t="s">
        <v>5600</v>
      </c>
      <c r="L136">
        <v>5</v>
      </c>
      <c r="M136" s="31">
        <f>ProductionOrdersByItem_Display[[#This Row],[ProductionHour]]/r_TotalProductionHour</f>
        <v>1.3992297518795183E-4</v>
      </c>
      <c r="N136" s="26">
        <f>ProductionOrdersByItem_Display[[#This Row],[RMQty]]-ProductionOrdersByItem_Display[[#This Row],[RMRequired]]</f>
        <v>173</v>
      </c>
    </row>
    <row r="137" spans="1:14" hidden="1" x14ac:dyDescent="0.2">
      <c r="A137" t="s">
        <v>16</v>
      </c>
      <c r="B137" t="s">
        <v>826</v>
      </c>
      <c r="C137" t="s">
        <v>827</v>
      </c>
      <c r="D137" t="s">
        <v>4748</v>
      </c>
      <c r="E137" t="s">
        <v>68</v>
      </c>
      <c r="F137" t="s">
        <v>49</v>
      </c>
      <c r="G137">
        <v>150</v>
      </c>
      <c r="H137" s="22">
        <v>1.9159583052719077E-3</v>
      </c>
      <c r="I137" s="16">
        <v>0.28739374579078614</v>
      </c>
      <c r="J137" s="56" t="s">
        <v>5977</v>
      </c>
      <c r="K137" s="56" t="s">
        <v>5600</v>
      </c>
      <c r="L137">
        <v>5</v>
      </c>
      <c r="M137" s="31">
        <f>ProductionOrdersByItem_Display[[#This Row],[ProductionHour]]/r_TotalProductionHour</f>
        <v>1.5526394606810978E-4</v>
      </c>
      <c r="N137" s="26">
        <f>ProductionOrdersByItem_Display[[#This Row],[RMQty]]-ProductionOrdersByItem_Display[[#This Row],[RMRequired]]</f>
        <v>185</v>
      </c>
    </row>
    <row r="138" spans="1:14" hidden="1" x14ac:dyDescent="0.2">
      <c r="A138" t="s">
        <v>16</v>
      </c>
      <c r="B138" t="s">
        <v>824</v>
      </c>
      <c r="C138" t="s">
        <v>825</v>
      </c>
      <c r="D138" t="s">
        <v>4748</v>
      </c>
      <c r="E138" t="s">
        <v>68</v>
      </c>
      <c r="F138" t="s">
        <v>49</v>
      </c>
      <c r="G138">
        <v>7800</v>
      </c>
      <c r="H138" s="22">
        <v>1.24660388841458E-3</v>
      </c>
      <c r="I138" s="16">
        <v>9.723510329633724</v>
      </c>
      <c r="J138" s="56" t="s">
        <v>5601</v>
      </c>
      <c r="K138" s="56" t="s">
        <v>5600</v>
      </c>
      <c r="L138">
        <v>5</v>
      </c>
      <c r="M138" s="31">
        <f>ProductionOrdersByItem_Display[[#This Row],[ProductionHour]]/r_TotalProductionHour</f>
        <v>5.2531086898181213E-3</v>
      </c>
      <c r="N138" s="26">
        <f>ProductionOrdersByItem_Display[[#This Row],[RMQty]]-ProductionOrdersByItem_Display[[#This Row],[RMRequired]]</f>
        <v>174</v>
      </c>
    </row>
    <row r="139" spans="1:14" hidden="1" x14ac:dyDescent="0.2">
      <c r="A139" t="s">
        <v>16</v>
      </c>
      <c r="B139" t="s">
        <v>267</v>
      </c>
      <c r="C139" t="s">
        <v>4911</v>
      </c>
      <c r="D139" t="s">
        <v>4748</v>
      </c>
      <c r="E139" t="s">
        <v>68</v>
      </c>
      <c r="F139" t="s">
        <v>49</v>
      </c>
      <c r="G139">
        <v>5600</v>
      </c>
      <c r="H139" s="22">
        <v>1.6839351076940057E-3</v>
      </c>
      <c r="I139" s="16">
        <v>9.4300366030864318</v>
      </c>
      <c r="J139" s="56" t="s">
        <v>5626</v>
      </c>
      <c r="K139" s="56" t="s">
        <v>5600</v>
      </c>
      <c r="L139">
        <v>5</v>
      </c>
      <c r="M139" s="31">
        <f>ProductionOrdersByItem_Display[[#This Row],[ProductionHour]]/r_TotalProductionHour</f>
        <v>5.0945600452550052E-3</v>
      </c>
      <c r="N139" s="26">
        <f>ProductionOrdersByItem_Display[[#This Row],[RMQty]]-ProductionOrdersByItem_Display[[#This Row],[RMRequired]]</f>
        <v>172</v>
      </c>
    </row>
    <row r="140" spans="1:14" hidden="1" x14ac:dyDescent="0.2">
      <c r="A140" t="s">
        <v>16</v>
      </c>
      <c r="B140" t="s">
        <v>212</v>
      </c>
      <c r="C140" t="s">
        <v>213</v>
      </c>
      <c r="D140" t="s">
        <v>4748</v>
      </c>
      <c r="E140" t="s">
        <v>68</v>
      </c>
      <c r="F140" t="s">
        <v>49</v>
      </c>
      <c r="G140">
        <v>1050</v>
      </c>
      <c r="H140" s="22">
        <v>9.5450182978826876E-4</v>
      </c>
      <c r="I140" s="16">
        <v>1.0022269212776822</v>
      </c>
      <c r="J140" s="56" t="s">
        <v>5732</v>
      </c>
      <c r="K140" s="56" t="s">
        <v>5600</v>
      </c>
      <c r="L140">
        <v>5</v>
      </c>
      <c r="M140" s="31">
        <f>ProductionOrdersByItem_Display[[#This Row],[ProductionHour]]/r_TotalProductionHour</f>
        <v>5.4145126305756442E-4</v>
      </c>
      <c r="N140" s="26">
        <f>ProductionOrdersByItem_Display[[#This Row],[RMQty]]-ProductionOrdersByItem_Display[[#This Row],[RMRequired]]</f>
        <v>173</v>
      </c>
    </row>
    <row r="141" spans="1:14" hidden="1" x14ac:dyDescent="0.2">
      <c r="A141" t="s">
        <v>16</v>
      </c>
      <c r="B141" t="s">
        <v>850</v>
      </c>
      <c r="C141" t="s">
        <v>851</v>
      </c>
      <c r="D141" t="s">
        <v>4748</v>
      </c>
      <c r="E141" t="s">
        <v>68</v>
      </c>
      <c r="F141" t="s">
        <v>49</v>
      </c>
      <c r="G141">
        <v>10540</v>
      </c>
      <c r="H141" s="22">
        <v>9.6862669174318692E-4</v>
      </c>
      <c r="I141" s="16">
        <v>10.20932533097319</v>
      </c>
      <c r="J141" s="56" t="s">
        <v>5614</v>
      </c>
      <c r="K141" s="56" t="s">
        <v>5600</v>
      </c>
      <c r="L141">
        <v>5</v>
      </c>
      <c r="M141" s="31">
        <f>ProductionOrdersByItem_Display[[#This Row],[ProductionHour]]/r_TotalProductionHour</f>
        <v>5.5155693566621379E-3</v>
      </c>
      <c r="N141" s="26">
        <f>ProductionOrdersByItem_Display[[#This Row],[RMQty]]-ProductionOrdersByItem_Display[[#This Row],[RMRequired]]</f>
        <v>189</v>
      </c>
    </row>
    <row r="142" spans="1:14" hidden="1" x14ac:dyDescent="0.2">
      <c r="A142" t="s">
        <v>16</v>
      </c>
      <c r="B142" t="s">
        <v>3881</v>
      </c>
      <c r="C142" t="s">
        <v>3882</v>
      </c>
      <c r="D142" t="s">
        <v>4747</v>
      </c>
      <c r="E142" t="s">
        <v>68</v>
      </c>
      <c r="F142" t="s">
        <v>49</v>
      </c>
      <c r="G142">
        <v>2300</v>
      </c>
      <c r="H142" s="22">
        <v>1.2308424697515469E-3</v>
      </c>
      <c r="I142" s="16">
        <v>2.830937680428558</v>
      </c>
      <c r="J142" s="56" t="s">
        <v>5644</v>
      </c>
      <c r="K142" s="56" t="s">
        <v>5600</v>
      </c>
      <c r="L142">
        <v>5</v>
      </c>
      <c r="M142" s="31">
        <f>ProductionOrdersByItem_Display[[#This Row],[ProductionHour]]/r_TotalProductionHour</f>
        <v>1.5294089094625356E-3</v>
      </c>
      <c r="N142" s="26">
        <f>ProductionOrdersByItem_Display[[#This Row],[RMQty]]-ProductionOrdersByItem_Display[[#This Row],[RMRequired]]</f>
        <v>191</v>
      </c>
    </row>
    <row r="143" spans="1:14" hidden="1" x14ac:dyDescent="0.2">
      <c r="A143" t="s">
        <v>16</v>
      </c>
      <c r="B143" t="s">
        <v>2028</v>
      </c>
      <c r="C143" t="s">
        <v>2029</v>
      </c>
      <c r="D143" t="s">
        <v>4750</v>
      </c>
      <c r="E143" t="s">
        <v>68</v>
      </c>
      <c r="F143" t="s">
        <v>49</v>
      </c>
      <c r="G143">
        <v>425</v>
      </c>
      <c r="H143" s="22">
        <v>1.0021758222262657E-3</v>
      </c>
      <c r="I143" s="16">
        <v>0.42592472444616292</v>
      </c>
      <c r="J143" s="56" t="s">
        <v>5626</v>
      </c>
      <c r="K143" s="56" t="s">
        <v>5600</v>
      </c>
      <c r="L143">
        <v>5</v>
      </c>
      <c r="M143" s="31">
        <f>ProductionOrdersByItem_Display[[#This Row],[ProductionHour]]/r_TotalProductionHour</f>
        <v>2.3010505417756975E-4</v>
      </c>
      <c r="N143" s="26">
        <f>ProductionOrdersByItem_Display[[#This Row],[RMQty]]-ProductionOrdersByItem_Display[[#This Row],[RMRequired]]</f>
        <v>172</v>
      </c>
    </row>
    <row r="144" spans="1:14" hidden="1" x14ac:dyDescent="0.2">
      <c r="A144" t="s">
        <v>16</v>
      </c>
      <c r="B144" t="s">
        <v>5795</v>
      </c>
      <c r="C144" t="s">
        <v>5796</v>
      </c>
      <c r="D144" t="s">
        <v>4796</v>
      </c>
      <c r="E144" t="s">
        <v>68</v>
      </c>
      <c r="F144" t="s">
        <v>49</v>
      </c>
      <c r="G144">
        <v>180</v>
      </c>
      <c r="H144" s="22">
        <v>2.2898502123854239E-3</v>
      </c>
      <c r="I144" s="16">
        <v>0.41217303822937629</v>
      </c>
      <c r="J144" s="56" t="s">
        <v>5978</v>
      </c>
      <c r="K144" s="56" t="s">
        <v>5600</v>
      </c>
      <c r="L144">
        <v>5</v>
      </c>
      <c r="M144" s="31">
        <f>ProductionOrdersByItem_Display[[#This Row],[ProductionHour]]/r_TotalProductionHour</f>
        <v>2.226757308245729E-4</v>
      </c>
      <c r="N144" s="26">
        <f>ProductionOrdersByItem_Display[[#This Row],[RMQty]]-ProductionOrdersByItem_Display[[#This Row],[RMRequired]]</f>
        <v>160</v>
      </c>
    </row>
    <row r="145" spans="1:14" hidden="1" x14ac:dyDescent="0.2">
      <c r="A145" t="s">
        <v>16</v>
      </c>
      <c r="B145" t="s">
        <v>430</v>
      </c>
      <c r="C145" t="s">
        <v>5264</v>
      </c>
      <c r="D145" t="s">
        <v>4746</v>
      </c>
      <c r="E145" t="s">
        <v>68</v>
      </c>
      <c r="F145" t="s">
        <v>49</v>
      </c>
      <c r="G145">
        <v>400</v>
      </c>
      <c r="H145" s="22">
        <v>1.1993760836855934E-3</v>
      </c>
      <c r="I145" s="16">
        <v>0.4797504334742374</v>
      </c>
      <c r="J145" s="56" t="s">
        <v>5610</v>
      </c>
      <c r="K145" s="56" t="s">
        <v>5600</v>
      </c>
      <c r="L145">
        <v>5</v>
      </c>
      <c r="M145" s="31">
        <f>ProductionOrdersByItem_Display[[#This Row],[ProductionHour]]/r_TotalProductionHour</f>
        <v>2.5918429513536187E-4</v>
      </c>
      <c r="N145" s="26">
        <f>ProductionOrdersByItem_Display[[#This Row],[RMQty]]-ProductionOrdersByItem_Display[[#This Row],[RMRequired]]</f>
        <v>198</v>
      </c>
    </row>
    <row r="146" spans="1:14" hidden="1" x14ac:dyDescent="0.2">
      <c r="A146" t="s">
        <v>16</v>
      </c>
      <c r="B146" t="s">
        <v>4319</v>
      </c>
      <c r="C146" t="s">
        <v>5538</v>
      </c>
      <c r="D146" t="s">
        <v>4747</v>
      </c>
      <c r="E146" t="s">
        <v>68</v>
      </c>
      <c r="F146" t="s">
        <v>49</v>
      </c>
      <c r="G146">
        <v>130</v>
      </c>
      <c r="H146" s="22">
        <v>7.9334880123743223E-4</v>
      </c>
      <c r="I146" s="16">
        <v>0.10313534416086619</v>
      </c>
      <c r="J146" s="56" t="s">
        <v>5626</v>
      </c>
      <c r="K146" s="56" t="s">
        <v>5600</v>
      </c>
      <c r="L146">
        <v>5</v>
      </c>
      <c r="M146" s="31">
        <f>ProductionOrdersByItem_Display[[#This Row],[ProductionHour]]/r_TotalProductionHour</f>
        <v>5.571868124494883E-5</v>
      </c>
      <c r="N146" s="26">
        <f>ProductionOrdersByItem_Display[[#This Row],[RMQty]]-ProductionOrdersByItem_Display[[#This Row],[RMRequired]]</f>
        <v>172</v>
      </c>
    </row>
    <row r="147" spans="1:14" hidden="1" x14ac:dyDescent="0.2">
      <c r="A147" t="s">
        <v>16</v>
      </c>
      <c r="B147" t="s">
        <v>4318</v>
      </c>
      <c r="C147" t="s">
        <v>5537</v>
      </c>
      <c r="D147" t="s">
        <v>4747</v>
      </c>
      <c r="E147" t="s">
        <v>68</v>
      </c>
      <c r="F147" t="s">
        <v>49</v>
      </c>
      <c r="G147">
        <v>130</v>
      </c>
      <c r="H147" s="22">
        <v>7.9334880123743223E-4</v>
      </c>
      <c r="I147" s="16">
        <v>0.10313534416086619</v>
      </c>
      <c r="J147" s="56" t="s">
        <v>5614</v>
      </c>
      <c r="K147" s="56" t="s">
        <v>5600</v>
      </c>
      <c r="L147">
        <v>5</v>
      </c>
      <c r="M147" s="31">
        <f>ProductionOrdersByItem_Display[[#This Row],[ProductionHour]]/r_TotalProductionHour</f>
        <v>5.571868124494883E-5</v>
      </c>
      <c r="N147" s="26">
        <f>ProductionOrdersByItem_Display[[#This Row],[RMQty]]-ProductionOrdersByItem_Display[[#This Row],[RMRequired]]</f>
        <v>189</v>
      </c>
    </row>
    <row r="148" spans="1:14" hidden="1" x14ac:dyDescent="0.2">
      <c r="A148" t="s">
        <v>16</v>
      </c>
      <c r="B148" t="s">
        <v>1695</v>
      </c>
      <c r="C148" t="s">
        <v>1696</v>
      </c>
      <c r="D148" t="s">
        <v>4746</v>
      </c>
      <c r="E148" t="s">
        <v>68</v>
      </c>
      <c r="F148" t="s">
        <v>49</v>
      </c>
      <c r="G148">
        <v>200</v>
      </c>
      <c r="H148" s="22">
        <v>1.1634648015775102E-3</v>
      </c>
      <c r="I148" s="16">
        <v>0.23269296031550205</v>
      </c>
      <c r="J148" s="56" t="s">
        <v>5979</v>
      </c>
      <c r="K148" s="56" t="s">
        <v>5600</v>
      </c>
      <c r="L148">
        <v>5</v>
      </c>
      <c r="M148" s="31">
        <f>ProductionOrdersByItem_Display[[#This Row],[ProductionHour]]/r_TotalProductionHour</f>
        <v>1.2571194665855951E-4</v>
      </c>
      <c r="N148" s="26">
        <f>ProductionOrdersByItem_Display[[#This Row],[RMQty]]-ProductionOrdersByItem_Display[[#This Row],[RMRequired]]</f>
        <v>171</v>
      </c>
    </row>
    <row r="149" spans="1:14" hidden="1" x14ac:dyDescent="0.2">
      <c r="A149" t="s">
        <v>16</v>
      </c>
      <c r="B149" t="s">
        <v>468</v>
      </c>
      <c r="C149" t="s">
        <v>469</v>
      </c>
      <c r="D149" t="s">
        <v>5980</v>
      </c>
      <c r="E149" t="s">
        <v>68</v>
      </c>
      <c r="F149" t="s">
        <v>49</v>
      </c>
      <c r="G149">
        <v>1080</v>
      </c>
      <c r="H149" s="22">
        <v>1.2043328460340011E-3</v>
      </c>
      <c r="I149" s="16">
        <v>1.3006794737167211</v>
      </c>
      <c r="J149" s="56" t="s">
        <v>5823</v>
      </c>
      <c r="K149" s="56" t="s">
        <v>5600</v>
      </c>
      <c r="L149">
        <v>5</v>
      </c>
      <c r="M149" s="31">
        <f>ProductionOrdersByItem_Display[[#This Row],[ProductionHour]]/r_TotalProductionHour</f>
        <v>7.026897092119145E-4</v>
      </c>
      <c r="N149" s="26">
        <f>ProductionOrdersByItem_Display[[#This Row],[RMQty]]-ProductionOrdersByItem_Display[[#This Row],[RMRequired]]</f>
        <v>177</v>
      </c>
    </row>
    <row r="150" spans="1:14" hidden="1" x14ac:dyDescent="0.2">
      <c r="A150" t="s">
        <v>16</v>
      </c>
      <c r="B150" t="s">
        <v>1494</v>
      </c>
      <c r="C150" t="s">
        <v>5301</v>
      </c>
      <c r="D150" t="s">
        <v>4764</v>
      </c>
      <c r="E150" t="s">
        <v>68</v>
      </c>
      <c r="F150" t="s">
        <v>49</v>
      </c>
      <c r="G150">
        <v>1650</v>
      </c>
      <c r="H150" s="22">
        <v>8.7666510979448817E-4</v>
      </c>
      <c r="I150" s="16">
        <v>1.4464974311609056</v>
      </c>
      <c r="J150" s="56" t="s">
        <v>5614</v>
      </c>
      <c r="K150" s="56" t="s">
        <v>5600</v>
      </c>
      <c r="L150">
        <v>5</v>
      </c>
      <c r="M150" s="31">
        <f>ProductionOrdersByItem_Display[[#This Row],[ProductionHour]]/r_TotalProductionHour</f>
        <v>7.814675942980333E-4</v>
      </c>
      <c r="N150" s="26">
        <f>ProductionOrdersByItem_Display[[#This Row],[RMQty]]-ProductionOrdersByItem_Display[[#This Row],[RMRequired]]</f>
        <v>189</v>
      </c>
    </row>
    <row r="151" spans="1:14" hidden="1" x14ac:dyDescent="0.2">
      <c r="A151" t="s">
        <v>16</v>
      </c>
      <c r="B151" t="s">
        <v>5771</v>
      </c>
      <c r="C151" t="s">
        <v>5787</v>
      </c>
      <c r="D151" t="s">
        <v>4745</v>
      </c>
      <c r="E151" t="s">
        <v>68</v>
      </c>
      <c r="F151" t="s">
        <v>49</v>
      </c>
      <c r="G151">
        <v>16500</v>
      </c>
      <c r="H151" s="22">
        <v>3.6273780297928118E-4</v>
      </c>
      <c r="I151" s="16">
        <v>5.9851737491581396</v>
      </c>
      <c r="J151" s="56" t="s">
        <v>5792</v>
      </c>
      <c r="K151" s="56" t="s">
        <v>5600</v>
      </c>
      <c r="L151">
        <v>5</v>
      </c>
      <c r="M151" s="31">
        <f>ProductionOrdersByItem_Display[[#This Row],[ProductionHour]]/r_TotalProductionHour</f>
        <v>3.2334791825081831E-3</v>
      </c>
      <c r="N151" s="26">
        <f>ProductionOrdersByItem_Display[[#This Row],[RMQty]]-ProductionOrdersByItem_Display[[#This Row],[RMRequired]]</f>
        <v>165</v>
      </c>
    </row>
    <row r="152" spans="1:14" hidden="1" x14ac:dyDescent="0.2">
      <c r="A152" t="s">
        <v>16</v>
      </c>
      <c r="B152" t="s">
        <v>5772</v>
      </c>
      <c r="C152" t="s">
        <v>5788</v>
      </c>
      <c r="D152" t="s">
        <v>4745</v>
      </c>
      <c r="E152" t="s">
        <v>68</v>
      </c>
      <c r="F152" t="s">
        <v>49</v>
      </c>
      <c r="G152">
        <v>16750</v>
      </c>
      <c r="H152" s="22">
        <v>6.3338623233927163E-4</v>
      </c>
      <c r="I152" s="16">
        <v>10.609219391682799</v>
      </c>
      <c r="J152" s="56" t="s">
        <v>5821</v>
      </c>
      <c r="K152" s="56" t="s">
        <v>5600</v>
      </c>
      <c r="L152">
        <v>5</v>
      </c>
      <c r="M152" s="31">
        <f>ProductionOrdersByItem_Display[[#This Row],[ProductionHour]]/r_TotalProductionHour</f>
        <v>5.7316113923165015E-3</v>
      </c>
      <c r="N152" s="26">
        <f>ProductionOrdersByItem_Display[[#This Row],[RMQty]]-ProductionOrdersByItem_Display[[#This Row],[RMRequired]]</f>
        <v>176</v>
      </c>
    </row>
    <row r="153" spans="1:14" hidden="1" x14ac:dyDescent="0.2">
      <c r="A153" t="s">
        <v>16</v>
      </c>
      <c r="B153" t="s">
        <v>864</v>
      </c>
      <c r="C153" t="s">
        <v>865</v>
      </c>
      <c r="D153" t="s">
        <v>5905</v>
      </c>
      <c r="E153" t="s">
        <v>68</v>
      </c>
      <c r="F153" t="s">
        <v>49</v>
      </c>
      <c r="G153">
        <v>750</v>
      </c>
      <c r="H153" s="22">
        <v>1.2141073657927592E-3</v>
      </c>
      <c r="I153" s="16">
        <v>0.91058052434456938</v>
      </c>
      <c r="J153" s="56" t="s">
        <v>5630</v>
      </c>
      <c r="K153" s="56" t="s">
        <v>5600</v>
      </c>
      <c r="L153">
        <v>5</v>
      </c>
      <c r="M153" s="31">
        <f>ProductionOrdersByItem_Display[[#This Row],[ProductionHour]]/r_TotalProductionHour</f>
        <v>4.9193946456102381E-4</v>
      </c>
      <c r="N153" s="26">
        <f>ProductionOrdersByItem_Display[[#This Row],[RMQty]]-ProductionOrdersByItem_Display[[#This Row],[RMRequired]]</f>
        <v>199</v>
      </c>
    </row>
    <row r="154" spans="1:14" hidden="1" x14ac:dyDescent="0.2">
      <c r="A154" t="s">
        <v>16</v>
      </c>
      <c r="B154" t="s">
        <v>645</v>
      </c>
      <c r="C154" t="s">
        <v>646</v>
      </c>
      <c r="D154" t="s">
        <v>4780</v>
      </c>
      <c r="E154" t="s">
        <v>68</v>
      </c>
      <c r="F154" t="s">
        <v>49</v>
      </c>
      <c r="G154">
        <v>200</v>
      </c>
      <c r="H154" s="22">
        <v>9.7289803358203194E-4</v>
      </c>
      <c r="I154" s="16">
        <v>0.19457960671640639</v>
      </c>
      <c r="J154" s="56" t="s">
        <v>5820</v>
      </c>
      <c r="K154" s="56" t="s">
        <v>5600</v>
      </c>
      <c r="L154">
        <v>5</v>
      </c>
      <c r="M154" s="31">
        <f>ProductionOrdersByItem_Display[[#This Row],[ProductionHour]]/r_TotalProductionHour</f>
        <v>1.0512127701332429E-4</v>
      </c>
      <c r="N154" s="26">
        <f>ProductionOrdersByItem_Display[[#This Row],[RMQty]]-ProductionOrdersByItem_Display[[#This Row],[RMRequired]]</f>
        <v>161</v>
      </c>
    </row>
    <row r="155" spans="1:14" hidden="1" x14ac:dyDescent="0.2">
      <c r="A155" t="s">
        <v>16</v>
      </c>
      <c r="B155" t="s">
        <v>797</v>
      </c>
      <c r="C155" t="s">
        <v>798</v>
      </c>
      <c r="D155" t="s">
        <v>4745</v>
      </c>
      <c r="E155" t="s">
        <v>68</v>
      </c>
      <c r="F155" t="s">
        <v>49</v>
      </c>
      <c r="G155">
        <v>2520</v>
      </c>
      <c r="H155" s="22">
        <v>1.6898839970849156E-3</v>
      </c>
      <c r="I155" s="16">
        <v>4.2585076726539874</v>
      </c>
      <c r="J155" s="56" t="s">
        <v>5777</v>
      </c>
      <c r="K155" s="56" t="s">
        <v>5600</v>
      </c>
      <c r="L155">
        <v>5</v>
      </c>
      <c r="M155" s="31">
        <f>ProductionOrdersByItem_Display[[#This Row],[ProductionHour]]/r_TotalProductionHour</f>
        <v>2.3006509894578863E-3</v>
      </c>
      <c r="N155" s="26">
        <f>ProductionOrdersByItem_Display[[#This Row],[RMQty]]-ProductionOrdersByItem_Display[[#This Row],[RMRequired]]</f>
        <v>167</v>
      </c>
    </row>
    <row r="156" spans="1:14" hidden="1" x14ac:dyDescent="0.2">
      <c r="A156" t="s">
        <v>16</v>
      </c>
      <c r="B156" t="s">
        <v>516</v>
      </c>
      <c r="C156" t="s">
        <v>823</v>
      </c>
      <c r="D156" t="s">
        <v>5904</v>
      </c>
      <c r="E156" t="s">
        <v>68</v>
      </c>
      <c r="F156" t="s">
        <v>49</v>
      </c>
      <c r="G156">
        <v>1360</v>
      </c>
      <c r="H156" s="22">
        <v>6.6374706333798504E-4</v>
      </c>
      <c r="I156" s="16">
        <v>0.90269600613965961</v>
      </c>
      <c r="J156" s="56" t="s">
        <v>5732</v>
      </c>
      <c r="K156" s="56" t="s">
        <v>5600</v>
      </c>
      <c r="L156">
        <v>5</v>
      </c>
      <c r="M156" s="31">
        <f>ProductionOrdersByItem_Display[[#This Row],[ProductionHour]]/r_TotalProductionHour</f>
        <v>4.8767986800657653E-4</v>
      </c>
      <c r="N156" s="26">
        <f>ProductionOrdersByItem_Display[[#This Row],[RMQty]]-ProductionOrdersByItem_Display[[#This Row],[RMRequired]]</f>
        <v>173</v>
      </c>
    </row>
    <row r="157" spans="1:14" hidden="1" x14ac:dyDescent="0.2">
      <c r="A157" t="s">
        <v>16</v>
      </c>
      <c r="B157" t="s">
        <v>3667</v>
      </c>
      <c r="C157" t="s">
        <v>5461</v>
      </c>
      <c r="D157" t="s">
        <v>4753</v>
      </c>
      <c r="E157" t="s">
        <v>68</v>
      </c>
      <c r="F157" t="s">
        <v>49</v>
      </c>
      <c r="G157">
        <v>1100</v>
      </c>
      <c r="H157" s="22">
        <v>1.1903920099696494E-3</v>
      </c>
      <c r="I157" s="16">
        <v>1.3094312109666144</v>
      </c>
      <c r="J157" s="56" t="s">
        <v>5610</v>
      </c>
      <c r="K157" s="56" t="s">
        <v>5600</v>
      </c>
      <c r="L157">
        <v>5</v>
      </c>
      <c r="M157" s="31">
        <f>ProductionOrdersByItem_Display[[#This Row],[ProductionHour]]/r_TotalProductionHour</f>
        <v>7.0741781927092357E-4</v>
      </c>
      <c r="N157" s="26">
        <f>ProductionOrdersByItem_Display[[#This Row],[RMQty]]-ProductionOrdersByItem_Display[[#This Row],[RMRequired]]</f>
        <v>198</v>
      </c>
    </row>
    <row r="158" spans="1:14" hidden="1" x14ac:dyDescent="0.2">
      <c r="A158" t="s">
        <v>16</v>
      </c>
      <c r="B158" t="s">
        <v>225</v>
      </c>
      <c r="C158" t="s">
        <v>324</v>
      </c>
      <c r="D158" t="s">
        <v>4752</v>
      </c>
      <c r="E158" t="s">
        <v>68</v>
      </c>
      <c r="F158" t="s">
        <v>49</v>
      </c>
      <c r="G158">
        <v>900</v>
      </c>
      <c r="H158" s="22">
        <v>2.5871280805592617E-3</v>
      </c>
      <c r="I158" s="16">
        <v>2.3284152725033356</v>
      </c>
      <c r="J158" s="56" t="s">
        <v>5760</v>
      </c>
      <c r="K158" s="56" t="s">
        <v>5600</v>
      </c>
      <c r="L158">
        <v>5</v>
      </c>
      <c r="M158" s="31">
        <f>ProductionOrdersByItem_Display[[#This Row],[ProductionHour]]/r_TotalProductionHour</f>
        <v>1.2579220967365648E-3</v>
      </c>
      <c r="N158" s="26">
        <f>ProductionOrdersByItem_Display[[#This Row],[RMQty]]-ProductionOrdersByItem_Display[[#This Row],[RMRequired]]</f>
        <v>180</v>
      </c>
    </row>
    <row r="159" spans="1:14" hidden="1" x14ac:dyDescent="0.2">
      <c r="A159" t="s">
        <v>16</v>
      </c>
      <c r="B159" t="s">
        <v>470</v>
      </c>
      <c r="C159" t="s">
        <v>4757</v>
      </c>
      <c r="D159" t="s">
        <v>4753</v>
      </c>
      <c r="E159" t="s">
        <v>68</v>
      </c>
      <c r="F159" t="s">
        <v>49</v>
      </c>
      <c r="G159">
        <v>1300</v>
      </c>
      <c r="H159" s="22">
        <v>1.060892761019918E-3</v>
      </c>
      <c r="I159" s="16">
        <v>1.3791605893258934</v>
      </c>
      <c r="J159" s="56" t="s">
        <v>5851</v>
      </c>
      <c r="K159" s="56" t="s">
        <v>5600</v>
      </c>
      <c r="L159">
        <v>5</v>
      </c>
      <c r="M159" s="31">
        <f>ProductionOrdersByItem_Display[[#This Row],[ProductionHour]]/r_TotalProductionHour</f>
        <v>7.4508898852740152E-4</v>
      </c>
      <c r="N159" s="26">
        <f>ProductionOrdersByItem_Display[[#This Row],[RMQty]]-ProductionOrdersByItem_Display[[#This Row],[RMRequired]]</f>
        <v>178</v>
      </c>
    </row>
    <row r="160" spans="1:14" hidden="1" x14ac:dyDescent="0.2">
      <c r="A160" t="s">
        <v>16</v>
      </c>
      <c r="B160" t="s">
        <v>2909</v>
      </c>
      <c r="C160" t="s">
        <v>2910</v>
      </c>
      <c r="D160" t="s">
        <v>4753</v>
      </c>
      <c r="E160" t="s">
        <v>68</v>
      </c>
      <c r="F160" t="s">
        <v>49</v>
      </c>
      <c r="G160">
        <v>1200</v>
      </c>
      <c r="H160" s="22">
        <v>1.1995646352188729E-3</v>
      </c>
      <c r="I160" s="16">
        <v>1.4394775622626474</v>
      </c>
      <c r="J160" s="56" t="s">
        <v>5851</v>
      </c>
      <c r="K160" s="56" t="s">
        <v>5600</v>
      </c>
      <c r="L160">
        <v>5</v>
      </c>
      <c r="M160" s="31">
        <f>ProductionOrdersByItem_Display[[#This Row],[ProductionHour]]/r_TotalProductionHour</f>
        <v>7.7767512295170906E-4</v>
      </c>
      <c r="N160" s="26">
        <f>ProductionOrdersByItem_Display[[#This Row],[RMQty]]-ProductionOrdersByItem_Display[[#This Row],[RMRequired]]</f>
        <v>178</v>
      </c>
    </row>
    <row r="161" spans="1:14" hidden="1" x14ac:dyDescent="0.2">
      <c r="A161" t="s">
        <v>16</v>
      </c>
      <c r="B161" t="s">
        <v>357</v>
      </c>
      <c r="C161" t="s">
        <v>4838</v>
      </c>
      <c r="D161" t="s">
        <v>4746</v>
      </c>
      <c r="E161" t="s">
        <v>68</v>
      </c>
      <c r="F161" t="s">
        <v>49</v>
      </c>
      <c r="G161">
        <v>8840</v>
      </c>
      <c r="H161" s="22">
        <v>8.7744373281805135E-4</v>
      </c>
      <c r="I161" s="16">
        <v>7.7566025981115736</v>
      </c>
      <c r="J161" s="56" t="s">
        <v>5776</v>
      </c>
      <c r="K161" s="56" t="s">
        <v>5600</v>
      </c>
      <c r="L161">
        <v>5</v>
      </c>
      <c r="M161" s="31">
        <f>ProductionOrdersByItem_Display[[#This Row],[ProductionHour]]/r_TotalProductionHour</f>
        <v>4.1904903815884152E-3</v>
      </c>
      <c r="N161" s="26">
        <f>ProductionOrdersByItem_Display[[#This Row],[RMQty]]-ProductionOrdersByItem_Display[[#This Row],[RMRequired]]</f>
        <v>181</v>
      </c>
    </row>
    <row r="162" spans="1:14" hidden="1" x14ac:dyDescent="0.2">
      <c r="A162" t="s">
        <v>16</v>
      </c>
      <c r="B162" t="s">
        <v>603</v>
      </c>
      <c r="C162" t="s">
        <v>4909</v>
      </c>
      <c r="D162" t="s">
        <v>4746</v>
      </c>
      <c r="E162" t="s">
        <v>68</v>
      </c>
      <c r="F162" t="s">
        <v>49</v>
      </c>
      <c r="G162">
        <v>10980</v>
      </c>
      <c r="H162" s="22">
        <v>1.2536882274818933E-3</v>
      </c>
      <c r="I162" s="16">
        <v>13.765496737751189</v>
      </c>
      <c r="J162" s="56" t="s">
        <v>5678</v>
      </c>
      <c r="K162" s="56" t="s">
        <v>5600</v>
      </c>
      <c r="L162">
        <v>5</v>
      </c>
      <c r="M162" s="31">
        <f>ProductionOrdersByItem_Display[[#This Row],[ProductionHour]]/r_TotalProductionHour</f>
        <v>7.4367844617148349E-3</v>
      </c>
      <c r="N162" s="26">
        <f>ProductionOrdersByItem_Display[[#This Row],[RMQty]]-ProductionOrdersByItem_Display[[#This Row],[RMRequired]]</f>
        <v>163</v>
      </c>
    </row>
    <row r="163" spans="1:14" hidden="1" x14ac:dyDescent="0.2">
      <c r="A163" t="s">
        <v>16</v>
      </c>
      <c r="B163" t="s">
        <v>900</v>
      </c>
      <c r="C163" t="s">
        <v>901</v>
      </c>
      <c r="D163" t="s">
        <v>5790</v>
      </c>
      <c r="E163" t="s">
        <v>68</v>
      </c>
      <c r="F163" t="s">
        <v>49</v>
      </c>
      <c r="G163">
        <v>5250</v>
      </c>
      <c r="H163" s="22">
        <v>4.4605883707081478E-4</v>
      </c>
      <c r="I163" s="16">
        <v>2.3418088946217774</v>
      </c>
      <c r="J163" s="56" t="s">
        <v>5793</v>
      </c>
      <c r="K163" s="56" t="s">
        <v>5600</v>
      </c>
      <c r="L163">
        <v>5</v>
      </c>
      <c r="M163" s="31">
        <f>ProductionOrdersByItem_Display[[#This Row],[ProductionHour]]/r_TotalProductionHour</f>
        <v>1.2651579766146477E-3</v>
      </c>
      <c r="N163" s="26">
        <f>ProductionOrdersByItem_Display[[#This Row],[RMQty]]-ProductionOrdersByItem_Display[[#This Row],[RMRequired]]</f>
        <v>184</v>
      </c>
    </row>
    <row r="164" spans="1:14" hidden="1" x14ac:dyDescent="0.2">
      <c r="A164" t="s">
        <v>16</v>
      </c>
      <c r="B164" t="s">
        <v>599</v>
      </c>
      <c r="C164" t="s">
        <v>4913</v>
      </c>
      <c r="D164" t="s">
        <v>4746</v>
      </c>
      <c r="E164" t="s">
        <v>68</v>
      </c>
      <c r="F164" t="s">
        <v>49</v>
      </c>
      <c r="G164">
        <v>10980</v>
      </c>
      <c r="H164" s="22">
        <v>1.2001345554690838E-3</v>
      </c>
      <c r="I164" s="16">
        <v>13.17747741905054</v>
      </c>
      <c r="J164" s="56" t="s">
        <v>4807</v>
      </c>
      <c r="K164" s="56" t="s">
        <v>5600</v>
      </c>
      <c r="L164">
        <v>5</v>
      </c>
      <c r="M164" s="31">
        <f>ProductionOrdersByItem_Display[[#This Row],[ProductionHour]]/r_TotalProductionHour</f>
        <v>7.1191080991533243E-3</v>
      </c>
      <c r="N164" s="26">
        <f>ProductionOrdersByItem_Display[[#This Row],[RMQty]]-ProductionOrdersByItem_Display[[#This Row],[RMRequired]]</f>
        <v>182</v>
      </c>
    </row>
    <row r="165" spans="1:14" hidden="1" x14ac:dyDescent="0.2">
      <c r="A165" t="s">
        <v>16</v>
      </c>
      <c r="B165" t="s">
        <v>401</v>
      </c>
      <c r="C165" t="s">
        <v>402</v>
      </c>
      <c r="D165" t="s">
        <v>4747</v>
      </c>
      <c r="E165" t="s">
        <v>68</v>
      </c>
      <c r="F165" t="s">
        <v>49</v>
      </c>
      <c r="G165">
        <v>10530</v>
      </c>
      <c r="H165" s="22">
        <v>1.2043937492364249E-3</v>
      </c>
      <c r="I165" s="16">
        <v>12.682266179459553</v>
      </c>
      <c r="J165" s="56" t="s">
        <v>5860</v>
      </c>
      <c r="K165" s="56" t="s">
        <v>5600</v>
      </c>
      <c r="L165">
        <v>4</v>
      </c>
      <c r="M165" s="31">
        <f>ProductionOrdersByItem_Display[[#This Row],[ProductionHour]]/r_TotalProductionHour</f>
        <v>6.8515711317617342E-3</v>
      </c>
      <c r="N165" s="26">
        <f>ProductionOrdersByItem_Display[[#This Row],[RMQty]]-ProductionOrdersByItem_Display[[#This Row],[RMRequired]]</f>
        <v>142</v>
      </c>
    </row>
    <row r="166" spans="1:14" hidden="1" x14ac:dyDescent="0.2">
      <c r="A166" t="s">
        <v>16</v>
      </c>
      <c r="B166" t="s">
        <v>403</v>
      </c>
      <c r="C166" t="s">
        <v>404</v>
      </c>
      <c r="D166" t="s">
        <v>4752</v>
      </c>
      <c r="E166" t="s">
        <v>68</v>
      </c>
      <c r="F166" t="s">
        <v>49</v>
      </c>
      <c r="G166">
        <v>450</v>
      </c>
      <c r="H166" s="22">
        <v>1.1175382989963023E-3</v>
      </c>
      <c r="I166" s="16">
        <v>0.50289223454833598</v>
      </c>
      <c r="J166" s="56" t="s">
        <v>4851</v>
      </c>
      <c r="K166" s="56" t="s">
        <v>5600</v>
      </c>
      <c r="L166">
        <v>4</v>
      </c>
      <c r="M166" s="31">
        <f>ProductionOrdersByItem_Display[[#This Row],[ProductionHour]]/r_TotalProductionHour</f>
        <v>2.7168661088339984E-4</v>
      </c>
      <c r="N166" s="26">
        <f>ProductionOrdersByItem_Display[[#This Row],[RMQty]]-ProductionOrdersByItem_Display[[#This Row],[RMRequired]]</f>
        <v>154</v>
      </c>
    </row>
    <row r="167" spans="1:14" hidden="1" x14ac:dyDescent="0.2">
      <c r="A167" t="s">
        <v>16</v>
      </c>
      <c r="B167" t="s">
        <v>457</v>
      </c>
      <c r="C167" t="s">
        <v>5280</v>
      </c>
      <c r="D167" t="s">
        <v>4754</v>
      </c>
      <c r="E167" t="s">
        <v>68</v>
      </c>
      <c r="F167" t="s">
        <v>49</v>
      </c>
      <c r="G167">
        <v>36800</v>
      </c>
      <c r="H167" s="22">
        <v>5.6764076997743479E-4</v>
      </c>
      <c r="I167" s="16">
        <v>20.889180335169602</v>
      </c>
      <c r="J167" s="56" t="s">
        <v>5778</v>
      </c>
      <c r="K167" s="56" t="s">
        <v>5607</v>
      </c>
      <c r="L167">
        <v>4</v>
      </c>
      <c r="M167" s="31">
        <f>ProductionOrdersByItem_Display[[#This Row],[ProductionHour]]/r_TotalProductionHour</f>
        <v>1.1285341509581222E-2</v>
      </c>
      <c r="N167" s="26">
        <f>ProductionOrdersByItem_Display[[#This Row],[RMQty]]-ProductionOrdersByItem_Display[[#This Row],[RMRequired]]</f>
        <v>180</v>
      </c>
    </row>
    <row r="168" spans="1:14" hidden="1" x14ac:dyDescent="0.2">
      <c r="A168" t="s">
        <v>16</v>
      </c>
      <c r="B168" t="s">
        <v>626</v>
      </c>
      <c r="C168" t="s">
        <v>627</v>
      </c>
      <c r="D168" t="s">
        <v>4750</v>
      </c>
      <c r="E168" t="s">
        <v>68</v>
      </c>
      <c r="F168" t="s">
        <v>49</v>
      </c>
      <c r="G168">
        <v>100</v>
      </c>
      <c r="H168" s="22">
        <v>1.2302508735600262E-3</v>
      </c>
      <c r="I168" s="16">
        <v>0.12302508735600262</v>
      </c>
      <c r="J168" s="56" t="s">
        <v>5656</v>
      </c>
      <c r="K168" s="56" t="s">
        <v>5600</v>
      </c>
      <c r="L168">
        <v>4</v>
      </c>
      <c r="M168" s="31">
        <f>ProductionOrdersByItem_Display[[#This Row],[ProductionHour]]/r_TotalProductionHour</f>
        <v>6.6464078665692645E-5</v>
      </c>
      <c r="N168" s="26">
        <f>ProductionOrdersByItem_Display[[#This Row],[RMQty]]-ProductionOrdersByItem_Display[[#This Row],[RMRequired]]</f>
        <v>124</v>
      </c>
    </row>
    <row r="169" spans="1:14" hidden="1" x14ac:dyDescent="0.2">
      <c r="A169" t="s">
        <v>16</v>
      </c>
      <c r="B169" t="s">
        <v>3508</v>
      </c>
      <c r="C169" t="s">
        <v>3509</v>
      </c>
      <c r="D169" t="s">
        <v>4751</v>
      </c>
      <c r="E169" t="s">
        <v>68</v>
      </c>
      <c r="F169" t="s">
        <v>49</v>
      </c>
      <c r="G169">
        <v>3600</v>
      </c>
      <c r="H169" s="22">
        <v>1.2720320826833747E-3</v>
      </c>
      <c r="I169" s="16">
        <v>4.5793154976601489</v>
      </c>
      <c r="J169" s="56" t="s">
        <v>5906</v>
      </c>
      <c r="K169" s="56" t="s">
        <v>5600</v>
      </c>
      <c r="L169">
        <v>4</v>
      </c>
      <c r="M169" s="31">
        <f>ProductionOrdersByItem_Display[[#This Row],[ProductionHour]]/r_TotalProductionHour</f>
        <v>2.4739668307714418E-3</v>
      </c>
      <c r="N169" s="26">
        <f>ProductionOrdersByItem_Display[[#This Row],[RMQty]]-ProductionOrdersByItem_Display[[#This Row],[RMRequired]]</f>
        <v>121</v>
      </c>
    </row>
    <row r="170" spans="1:14" hidden="1" x14ac:dyDescent="0.2">
      <c r="A170" t="s">
        <v>16</v>
      </c>
      <c r="B170" t="s">
        <v>231</v>
      </c>
      <c r="C170" t="s">
        <v>4651</v>
      </c>
      <c r="D170" t="s">
        <v>4746</v>
      </c>
      <c r="E170" t="s">
        <v>68</v>
      </c>
      <c r="F170" t="s">
        <v>49</v>
      </c>
      <c r="G170">
        <v>80</v>
      </c>
      <c r="H170" s="22">
        <v>1.6906949808296787E-3</v>
      </c>
      <c r="I170" s="16">
        <v>0.1352555984663743</v>
      </c>
      <c r="J170" s="56" t="s">
        <v>5733</v>
      </c>
      <c r="K170" s="56" t="s">
        <v>5600</v>
      </c>
      <c r="L170">
        <v>4</v>
      </c>
      <c r="M170" s="31">
        <f>ProductionOrdersByItem_Display[[#This Row],[ProductionHour]]/r_TotalProductionHour</f>
        <v>7.3071589946778595E-5</v>
      </c>
      <c r="N170" s="26">
        <f>ProductionOrdersByItem_Display[[#This Row],[RMQty]]-ProductionOrdersByItem_Display[[#This Row],[RMRequired]]</f>
        <v>133</v>
      </c>
    </row>
    <row r="171" spans="1:14" hidden="1" x14ac:dyDescent="0.2">
      <c r="A171" t="s">
        <v>16</v>
      </c>
      <c r="B171" t="s">
        <v>405</v>
      </c>
      <c r="C171" t="s">
        <v>5281</v>
      </c>
      <c r="D171" t="s">
        <v>4754</v>
      </c>
      <c r="E171" t="s">
        <v>68</v>
      </c>
      <c r="F171" t="s">
        <v>49</v>
      </c>
      <c r="G171">
        <v>36960</v>
      </c>
      <c r="H171" s="22">
        <v>8.862677339665009E-4</v>
      </c>
      <c r="I171" s="16">
        <v>32.756455447401876</v>
      </c>
      <c r="J171" s="56" t="s">
        <v>5979</v>
      </c>
      <c r="K171" s="56" t="s">
        <v>5607</v>
      </c>
      <c r="L171">
        <v>4</v>
      </c>
      <c r="M171" s="31">
        <f>ProductionOrdersByItem_Display[[#This Row],[ProductionHour]]/r_TotalProductionHour</f>
        <v>1.7696615206338633E-2</v>
      </c>
      <c r="N171" s="26">
        <f>ProductionOrdersByItem_Display[[#This Row],[RMQty]]-ProductionOrdersByItem_Display[[#This Row],[RMRequired]]</f>
        <v>161</v>
      </c>
    </row>
    <row r="172" spans="1:14" hidden="1" x14ac:dyDescent="0.2">
      <c r="A172" t="s">
        <v>16</v>
      </c>
      <c r="B172" t="s">
        <v>904</v>
      </c>
      <c r="C172" t="s">
        <v>905</v>
      </c>
      <c r="D172" t="s">
        <v>4751</v>
      </c>
      <c r="E172" t="s">
        <v>68</v>
      </c>
      <c r="F172" t="s">
        <v>49</v>
      </c>
      <c r="G172">
        <v>4200</v>
      </c>
      <c r="H172" s="22">
        <v>1.3063227871528739E-3</v>
      </c>
      <c r="I172" s="16">
        <v>5.4865557060420702</v>
      </c>
      <c r="J172" s="56" t="s">
        <v>5740</v>
      </c>
      <c r="K172" s="56" t="s">
        <v>5600</v>
      </c>
      <c r="L172">
        <v>4</v>
      </c>
      <c r="M172" s="31">
        <f>ProductionOrdersByItem_Display[[#This Row],[ProductionHour]]/r_TotalProductionHour</f>
        <v>2.9641016957367163E-3</v>
      </c>
      <c r="N172" s="26">
        <f>ProductionOrdersByItem_Display[[#This Row],[RMQty]]-ProductionOrdersByItem_Display[[#This Row],[RMRequired]]</f>
        <v>128</v>
      </c>
    </row>
    <row r="173" spans="1:14" hidden="1" x14ac:dyDescent="0.2">
      <c r="A173" t="s">
        <v>16</v>
      </c>
      <c r="B173" t="s">
        <v>5909</v>
      </c>
      <c r="C173" t="s">
        <v>5910</v>
      </c>
      <c r="D173" t="s">
        <v>4777</v>
      </c>
      <c r="E173" t="s">
        <v>68</v>
      </c>
      <c r="F173" t="s">
        <v>49</v>
      </c>
      <c r="G173">
        <v>1920</v>
      </c>
      <c r="H173" s="22">
        <v>4.1077279884250383E-3</v>
      </c>
      <c r="I173" s="16">
        <v>7.886837737776073</v>
      </c>
      <c r="J173" s="56" t="s">
        <v>5911</v>
      </c>
      <c r="K173" s="56" t="s">
        <v>5600</v>
      </c>
      <c r="L173">
        <v>4</v>
      </c>
      <c r="M173" s="31">
        <f>ProductionOrdersByItem_Display[[#This Row],[ProductionHour]]/r_TotalProductionHour</f>
        <v>4.2608496778403305E-3</v>
      </c>
      <c r="N173" s="26">
        <f>ProductionOrdersByItem_Display[[#This Row],[RMQty]]-ProductionOrdersByItem_Display[[#This Row],[RMRequired]]</f>
        <v>157</v>
      </c>
    </row>
    <row r="174" spans="1:14" hidden="1" x14ac:dyDescent="0.2">
      <c r="A174" t="s">
        <v>16</v>
      </c>
      <c r="B174" t="s">
        <v>362</v>
      </c>
      <c r="C174" t="s">
        <v>4830</v>
      </c>
      <c r="D174" t="s">
        <v>4745</v>
      </c>
      <c r="E174" t="s">
        <v>68</v>
      </c>
      <c r="F174" t="s">
        <v>49</v>
      </c>
      <c r="G174">
        <v>8540</v>
      </c>
      <c r="H174" s="22">
        <v>1.4709029003182599E-3</v>
      </c>
      <c r="I174" s="16">
        <v>12.561510768717939</v>
      </c>
      <c r="J174" s="56" t="s">
        <v>5794</v>
      </c>
      <c r="K174" s="56" t="s">
        <v>5600</v>
      </c>
      <c r="L174">
        <v>4</v>
      </c>
      <c r="M174" s="31">
        <f>ProductionOrdersByItem_Display[[#This Row],[ProductionHour]]/r_TotalProductionHour</f>
        <v>6.7863332417400519E-3</v>
      </c>
      <c r="N174" s="26">
        <f>ProductionOrdersByItem_Display[[#This Row],[RMQty]]-ProductionOrdersByItem_Display[[#This Row],[RMRequired]]</f>
        <v>134</v>
      </c>
    </row>
    <row r="175" spans="1:14" hidden="1" x14ac:dyDescent="0.2">
      <c r="A175" t="s">
        <v>16</v>
      </c>
      <c r="B175" t="s">
        <v>5840</v>
      </c>
      <c r="C175" t="s">
        <v>5872</v>
      </c>
      <c r="D175" t="s">
        <v>4748</v>
      </c>
      <c r="E175" t="s">
        <v>68</v>
      </c>
      <c r="F175" t="s">
        <v>49</v>
      </c>
      <c r="G175">
        <v>46080</v>
      </c>
      <c r="H175" s="22">
        <v>7.256794057265818E-4</v>
      </c>
      <c r="I175" s="16">
        <v>33.439307015880892</v>
      </c>
      <c r="J175" s="56" t="s">
        <v>5860</v>
      </c>
      <c r="K175" s="56" t="s">
        <v>5600</v>
      </c>
      <c r="L175">
        <v>4</v>
      </c>
      <c r="M175" s="31">
        <f>ProductionOrdersByItem_Display[[#This Row],[ProductionHour]]/r_TotalProductionHour</f>
        <v>1.8065524518575481E-2</v>
      </c>
      <c r="N175" s="26">
        <f>ProductionOrdersByItem_Display[[#This Row],[RMQty]]-ProductionOrdersByItem_Display[[#This Row],[RMRequired]]</f>
        <v>142</v>
      </c>
    </row>
    <row r="176" spans="1:14" hidden="1" x14ac:dyDescent="0.2">
      <c r="A176" t="s">
        <v>16</v>
      </c>
      <c r="B176" t="s">
        <v>600</v>
      </c>
      <c r="C176" t="s">
        <v>601</v>
      </c>
      <c r="D176" t="s">
        <v>4753</v>
      </c>
      <c r="E176" t="s">
        <v>68</v>
      </c>
      <c r="F176" t="s">
        <v>49</v>
      </c>
      <c r="G176">
        <v>180</v>
      </c>
      <c r="H176" s="22">
        <v>3.1110848767861203E-3</v>
      </c>
      <c r="I176" s="16">
        <v>0.55999527782150171</v>
      </c>
      <c r="J176" s="56" t="s">
        <v>5853</v>
      </c>
      <c r="K176" s="56" t="s">
        <v>5600</v>
      </c>
      <c r="L176">
        <v>4</v>
      </c>
      <c r="M176" s="31">
        <f>ProductionOrdersByItem_Display[[#This Row],[ProductionHour]]/r_TotalProductionHour</f>
        <v>3.0253642567910509E-4</v>
      </c>
      <c r="N176" s="26">
        <f>ProductionOrdersByItem_Display[[#This Row],[RMQty]]-ProductionOrdersByItem_Display[[#This Row],[RMRequired]]</f>
        <v>158</v>
      </c>
    </row>
    <row r="177" spans="1:14" hidden="1" x14ac:dyDescent="0.2">
      <c r="A177" t="s">
        <v>16</v>
      </c>
      <c r="B177" t="s">
        <v>5839</v>
      </c>
      <c r="C177" t="s">
        <v>5871</v>
      </c>
      <c r="D177" t="s">
        <v>4748</v>
      </c>
      <c r="E177" t="s">
        <v>68</v>
      </c>
      <c r="F177" t="s">
        <v>49</v>
      </c>
      <c r="G177">
        <v>46500</v>
      </c>
      <c r="H177" s="22">
        <v>5.1369629885639971E-4</v>
      </c>
      <c r="I177" s="16">
        <v>23.886877896822586</v>
      </c>
      <c r="J177" s="56" t="s">
        <v>5922</v>
      </c>
      <c r="K177" s="56" t="s">
        <v>5600</v>
      </c>
      <c r="L177">
        <v>4</v>
      </c>
      <c r="M177" s="31">
        <f>ProductionOrdersByItem_Display[[#This Row],[ProductionHour]]/r_TotalProductionHour</f>
        <v>1.290484214018929E-2</v>
      </c>
      <c r="N177" s="26">
        <f>ProductionOrdersByItem_Display[[#This Row],[RMQty]]-ProductionOrdersByItem_Display[[#This Row],[RMRequired]]</f>
        <v>143</v>
      </c>
    </row>
    <row r="178" spans="1:14" hidden="1" x14ac:dyDescent="0.2">
      <c r="A178" t="s">
        <v>16</v>
      </c>
      <c r="B178" t="s">
        <v>639</v>
      </c>
      <c r="C178" t="s">
        <v>640</v>
      </c>
      <c r="D178" t="s">
        <v>4748</v>
      </c>
      <c r="E178" t="s">
        <v>68</v>
      </c>
      <c r="F178" t="s">
        <v>49</v>
      </c>
      <c r="G178">
        <v>960</v>
      </c>
      <c r="H178" s="22">
        <v>1.3491425774920806E-3</v>
      </c>
      <c r="I178" s="16">
        <v>1.2951768743923975</v>
      </c>
      <c r="J178" s="56" t="s">
        <v>5631</v>
      </c>
      <c r="K178" s="56" t="s">
        <v>5600</v>
      </c>
      <c r="L178">
        <v>4</v>
      </c>
      <c r="M178" s="31">
        <f>ProductionOrdersByItem_Display[[#This Row],[ProductionHour]]/r_TotalProductionHour</f>
        <v>6.9971693998071433E-4</v>
      </c>
      <c r="N178" s="26">
        <f>ProductionOrdersByItem_Display[[#This Row],[RMQty]]-ProductionOrdersByItem_Display[[#This Row],[RMRequired]]</f>
        <v>138</v>
      </c>
    </row>
    <row r="179" spans="1:14" hidden="1" x14ac:dyDescent="0.2">
      <c r="A179" t="s">
        <v>16</v>
      </c>
      <c r="B179" t="s">
        <v>214</v>
      </c>
      <c r="C179" t="s">
        <v>215</v>
      </c>
      <c r="D179" t="s">
        <v>4748</v>
      </c>
      <c r="E179" t="s">
        <v>68</v>
      </c>
      <c r="F179" t="s">
        <v>49</v>
      </c>
      <c r="G179">
        <v>1050</v>
      </c>
      <c r="H179" s="22">
        <v>1.3165768347548909E-3</v>
      </c>
      <c r="I179" s="16">
        <v>1.3824056764926356</v>
      </c>
      <c r="J179" s="56" t="s">
        <v>5854</v>
      </c>
      <c r="K179" s="56" t="s">
        <v>5600</v>
      </c>
      <c r="L179">
        <v>4</v>
      </c>
      <c r="M179" s="31">
        <f>ProductionOrdersByItem_Display[[#This Row],[ProductionHour]]/r_TotalProductionHour</f>
        <v>7.46842140940155E-4</v>
      </c>
      <c r="N179" s="26">
        <f>ProductionOrdersByItem_Display[[#This Row],[RMQty]]-ProductionOrdersByItem_Display[[#This Row],[RMRequired]]</f>
        <v>149</v>
      </c>
    </row>
    <row r="180" spans="1:14" hidden="1" x14ac:dyDescent="0.2">
      <c r="A180" t="s">
        <v>16</v>
      </c>
      <c r="B180" t="s">
        <v>615</v>
      </c>
      <c r="C180" t="s">
        <v>4959</v>
      </c>
      <c r="D180" t="s">
        <v>4751</v>
      </c>
      <c r="E180" t="s">
        <v>68</v>
      </c>
      <c r="F180" t="s">
        <v>49</v>
      </c>
      <c r="G180">
        <v>4400</v>
      </c>
      <c r="H180" s="22">
        <v>1.2141400492937484E-3</v>
      </c>
      <c r="I180" s="16">
        <v>5.3422162168924929</v>
      </c>
      <c r="J180" s="56" t="s">
        <v>5908</v>
      </c>
      <c r="K180" s="56" t="s">
        <v>5600</v>
      </c>
      <c r="L180">
        <v>4</v>
      </c>
      <c r="M180" s="31">
        <f>ProductionOrdersByItem_Display[[#This Row],[ProductionHour]]/r_TotalProductionHour</f>
        <v>2.8861225504454584E-3</v>
      </c>
      <c r="N180" s="26">
        <f>ProductionOrdersByItem_Display[[#This Row],[RMQty]]-ProductionOrdersByItem_Display[[#This Row],[RMRequired]]</f>
        <v>155</v>
      </c>
    </row>
    <row r="181" spans="1:14" hidden="1" x14ac:dyDescent="0.2">
      <c r="A181" t="s">
        <v>16</v>
      </c>
      <c r="B181" t="s">
        <v>3424</v>
      </c>
      <c r="C181" t="s">
        <v>4962</v>
      </c>
      <c r="D181" t="s">
        <v>4745</v>
      </c>
      <c r="E181" t="s">
        <v>68</v>
      </c>
      <c r="F181" t="s">
        <v>49</v>
      </c>
      <c r="G181">
        <v>9460</v>
      </c>
      <c r="H181" s="22">
        <v>1.1841596656746174E-3</v>
      </c>
      <c r="I181" s="16">
        <v>11.20215043728188</v>
      </c>
      <c r="J181" s="56" t="s">
        <v>5976</v>
      </c>
      <c r="K181" s="56" t="s">
        <v>5607</v>
      </c>
      <c r="L181">
        <v>4</v>
      </c>
      <c r="M181" s="31">
        <f>ProductionOrdersByItem_Display[[#This Row],[ProductionHour]]/r_TotalProductionHour</f>
        <v>6.0519413063607032E-3</v>
      </c>
      <c r="N181" s="26">
        <f>ProductionOrdersByItem_Display[[#This Row],[RMQty]]-ProductionOrdersByItem_Display[[#This Row],[RMRequired]]</f>
        <v>156</v>
      </c>
    </row>
    <row r="182" spans="1:14" hidden="1" x14ac:dyDescent="0.2">
      <c r="A182" t="s">
        <v>16</v>
      </c>
      <c r="B182" t="s">
        <v>843</v>
      </c>
      <c r="C182" t="s">
        <v>4762</v>
      </c>
      <c r="D182" t="s">
        <v>4753</v>
      </c>
      <c r="E182" t="s">
        <v>68</v>
      </c>
      <c r="F182" t="s">
        <v>49</v>
      </c>
      <c r="G182">
        <v>100</v>
      </c>
      <c r="H182" s="22">
        <v>1.7026794219582888E-3</v>
      </c>
      <c r="I182" s="16">
        <v>0.17026794219582889</v>
      </c>
      <c r="J182" s="56" t="s">
        <v>5754</v>
      </c>
      <c r="K182" s="56" t="s">
        <v>5600</v>
      </c>
      <c r="L182">
        <v>4</v>
      </c>
      <c r="M182" s="31">
        <f>ProductionOrdersByItem_Display[[#This Row],[ProductionHour]]/r_TotalProductionHour</f>
        <v>9.1986944675776457E-5</v>
      </c>
      <c r="N182" s="26">
        <f>ProductionOrdersByItem_Display[[#This Row],[RMQty]]-ProductionOrdersByItem_Display[[#This Row],[RMRequired]]</f>
        <v>131</v>
      </c>
    </row>
    <row r="183" spans="1:14" hidden="1" x14ac:dyDescent="0.2">
      <c r="A183" t="s">
        <v>16</v>
      </c>
      <c r="B183" t="s">
        <v>841</v>
      </c>
      <c r="C183" t="s">
        <v>842</v>
      </c>
      <c r="D183" t="s">
        <v>4753</v>
      </c>
      <c r="E183" t="s">
        <v>68</v>
      </c>
      <c r="F183" t="s">
        <v>49</v>
      </c>
      <c r="G183">
        <v>500</v>
      </c>
      <c r="H183" s="22">
        <v>1.6589521871820958E-3</v>
      </c>
      <c r="I183" s="16">
        <v>0.8294760935910479</v>
      </c>
      <c r="J183" s="56" t="s">
        <v>5753</v>
      </c>
      <c r="K183" s="56" t="s">
        <v>5600</v>
      </c>
      <c r="L183">
        <v>4</v>
      </c>
      <c r="M183" s="31">
        <f>ProductionOrdersByItem_Display[[#This Row],[ProductionHour]]/r_TotalProductionHour</f>
        <v>4.4812294403184528E-4</v>
      </c>
      <c r="N183" s="26">
        <f>ProductionOrdersByItem_Display[[#This Row],[RMQty]]-ProductionOrdersByItem_Display[[#This Row],[RMRequired]]</f>
        <v>123</v>
      </c>
    </row>
    <row r="184" spans="1:14" hidden="1" x14ac:dyDescent="0.2">
      <c r="A184" t="s">
        <v>16</v>
      </c>
      <c r="B184" t="s">
        <v>5160</v>
      </c>
      <c r="C184" t="s">
        <v>5161</v>
      </c>
      <c r="D184" t="s">
        <v>4777</v>
      </c>
      <c r="E184" t="s">
        <v>68</v>
      </c>
      <c r="F184" t="s">
        <v>49</v>
      </c>
      <c r="G184">
        <v>1600</v>
      </c>
      <c r="H184" s="22">
        <v>1.857473423083449E-3</v>
      </c>
      <c r="I184" s="16">
        <v>2.9719574769335186</v>
      </c>
      <c r="J184" s="56" t="s">
        <v>5608</v>
      </c>
      <c r="K184" s="56" t="s">
        <v>5600</v>
      </c>
      <c r="L184">
        <v>4</v>
      </c>
      <c r="M184" s="31">
        <f>ProductionOrdersByItem_Display[[#This Row],[ProductionHour]]/r_TotalProductionHour</f>
        <v>1.6055945968679293E-3</v>
      </c>
      <c r="N184" s="26">
        <f>ProductionOrdersByItem_Display[[#This Row],[RMQty]]-ProductionOrdersByItem_Display[[#This Row],[RMRequired]]</f>
        <v>129</v>
      </c>
    </row>
    <row r="185" spans="1:14" hidden="1" x14ac:dyDescent="0.2">
      <c r="A185" t="s">
        <v>16</v>
      </c>
      <c r="B185" t="s">
        <v>913</v>
      </c>
      <c r="C185" t="s">
        <v>914</v>
      </c>
      <c r="D185" t="s">
        <v>4753</v>
      </c>
      <c r="E185" t="s">
        <v>68</v>
      </c>
      <c r="F185" t="s">
        <v>49</v>
      </c>
      <c r="G185">
        <v>450</v>
      </c>
      <c r="H185" s="22">
        <v>2.4754837826975536E-3</v>
      </c>
      <c r="I185" s="16">
        <v>1.1139677022138992</v>
      </c>
      <c r="J185" s="56" t="s">
        <v>4769</v>
      </c>
      <c r="K185" s="56" t="s">
        <v>5600</v>
      </c>
      <c r="L185">
        <v>4</v>
      </c>
      <c r="M185" s="31">
        <f>ProductionOrdersByItem_Display[[#This Row],[ProductionHour]]/r_TotalProductionHour</f>
        <v>6.0181901579745543E-4</v>
      </c>
      <c r="N185" s="26">
        <f>ProductionOrdersByItem_Display[[#This Row],[RMQty]]-ProductionOrdersByItem_Display[[#This Row],[RMRequired]]</f>
        <v>130</v>
      </c>
    </row>
    <row r="186" spans="1:14" hidden="1" x14ac:dyDescent="0.2">
      <c r="A186" t="s">
        <v>16</v>
      </c>
      <c r="B186" t="s">
        <v>280</v>
      </c>
      <c r="C186" t="s">
        <v>331</v>
      </c>
      <c r="D186" t="s">
        <v>4753</v>
      </c>
      <c r="E186" t="s">
        <v>68</v>
      </c>
      <c r="F186" t="s">
        <v>49</v>
      </c>
      <c r="G186">
        <v>1350</v>
      </c>
      <c r="H186" s="22">
        <v>9.4304000197114744E-4</v>
      </c>
      <c r="I186" s="16">
        <v>1.273104002661049</v>
      </c>
      <c r="J186" s="56" t="s">
        <v>5701</v>
      </c>
      <c r="K186" s="56" t="s">
        <v>5600</v>
      </c>
      <c r="L186">
        <v>4</v>
      </c>
      <c r="M186" s="31">
        <f>ProductionOrdersByItem_Display[[#This Row],[ProductionHour]]/r_TotalProductionHour</f>
        <v>6.8779211135706279E-4</v>
      </c>
      <c r="N186" s="26">
        <f>ProductionOrdersByItem_Display[[#This Row],[RMQty]]-ProductionOrdersByItem_Display[[#This Row],[RMRequired]]</f>
        <v>141</v>
      </c>
    </row>
    <row r="187" spans="1:14" hidden="1" x14ac:dyDescent="0.2">
      <c r="A187" t="s">
        <v>16</v>
      </c>
      <c r="B187" t="s">
        <v>2032</v>
      </c>
      <c r="C187" t="s">
        <v>2033</v>
      </c>
      <c r="D187" t="s">
        <v>4753</v>
      </c>
      <c r="E187" t="s">
        <v>68</v>
      </c>
      <c r="F187" t="s">
        <v>49</v>
      </c>
      <c r="G187">
        <v>1200</v>
      </c>
      <c r="H187" s="22">
        <v>1.5060042715062272E-3</v>
      </c>
      <c r="I187" s="16">
        <v>1.8072051258074726</v>
      </c>
      <c r="J187" s="56" t="s">
        <v>5906</v>
      </c>
      <c r="K187" s="56" t="s">
        <v>5600</v>
      </c>
      <c r="L187">
        <v>4</v>
      </c>
      <c r="M187" s="31">
        <f>ProductionOrdersByItem_Display[[#This Row],[ProductionHour]]/r_TotalProductionHour</f>
        <v>9.7633926728400927E-4</v>
      </c>
      <c r="N187" s="26">
        <f>ProductionOrdersByItem_Display[[#This Row],[RMQty]]-ProductionOrdersByItem_Display[[#This Row],[RMRequired]]</f>
        <v>121</v>
      </c>
    </row>
    <row r="188" spans="1:14" hidden="1" x14ac:dyDescent="0.2">
      <c r="A188" t="s">
        <v>16</v>
      </c>
      <c r="B188" t="s">
        <v>5849</v>
      </c>
      <c r="C188" t="s">
        <v>5850</v>
      </c>
      <c r="D188" t="s">
        <v>4775</v>
      </c>
      <c r="E188" t="s">
        <v>68</v>
      </c>
      <c r="F188" t="s">
        <v>49</v>
      </c>
      <c r="G188">
        <v>880</v>
      </c>
      <c r="H188" s="22">
        <v>1.990856179665971E-3</v>
      </c>
      <c r="I188" s="16">
        <v>1.7519534381060544</v>
      </c>
      <c r="J188" s="56" t="s">
        <v>5853</v>
      </c>
      <c r="K188" s="56" t="s">
        <v>5600</v>
      </c>
      <c r="L188">
        <v>4</v>
      </c>
      <c r="M188" s="31">
        <f>ProductionOrdersByItem_Display[[#This Row],[ProductionHour]]/r_TotalProductionHour</f>
        <v>9.464896439533401E-4</v>
      </c>
      <c r="N188" s="26">
        <f>ProductionOrdersByItem_Display[[#This Row],[RMQty]]-ProductionOrdersByItem_Display[[#This Row],[RMRequired]]</f>
        <v>158</v>
      </c>
    </row>
    <row r="189" spans="1:14" hidden="1" x14ac:dyDescent="0.2">
      <c r="A189" t="s">
        <v>16</v>
      </c>
      <c r="B189" t="s">
        <v>4436</v>
      </c>
      <c r="C189" t="s">
        <v>5577</v>
      </c>
      <c r="D189" t="s">
        <v>4750</v>
      </c>
      <c r="E189" t="s">
        <v>68</v>
      </c>
      <c r="F189" t="s">
        <v>49</v>
      </c>
      <c r="G189">
        <v>4560</v>
      </c>
      <c r="H189" s="22">
        <v>1.4666268184686964E-3</v>
      </c>
      <c r="I189" s="16">
        <v>6.6878182922172558</v>
      </c>
      <c r="J189" s="56" t="s">
        <v>5907</v>
      </c>
      <c r="K189" s="56" t="s">
        <v>5600</v>
      </c>
      <c r="L189">
        <v>4</v>
      </c>
      <c r="M189" s="31">
        <f>ProductionOrdersByItem_Display[[#This Row],[ProductionHour]]/r_TotalProductionHour</f>
        <v>3.6130816130983058E-3</v>
      </c>
      <c r="N189" s="26">
        <f>ProductionOrdersByItem_Display[[#This Row],[RMQty]]-ProductionOrdersByItem_Display[[#This Row],[RMRequired]]</f>
        <v>139</v>
      </c>
    </row>
    <row r="190" spans="1:14" hidden="1" x14ac:dyDescent="0.2">
      <c r="A190" t="s">
        <v>16</v>
      </c>
      <c r="B190" t="s">
        <v>524</v>
      </c>
      <c r="C190" t="s">
        <v>918</v>
      </c>
      <c r="D190" t="s">
        <v>4746</v>
      </c>
      <c r="E190" t="s">
        <v>68</v>
      </c>
      <c r="F190" t="s">
        <v>49</v>
      </c>
      <c r="G190">
        <v>700</v>
      </c>
      <c r="H190" s="22">
        <v>1.6782290342937662E-3</v>
      </c>
      <c r="I190" s="16">
        <v>1.1747603240056363</v>
      </c>
      <c r="J190" s="56" t="s">
        <v>5754</v>
      </c>
      <c r="K190" s="56" t="s">
        <v>5600</v>
      </c>
      <c r="L190">
        <v>4</v>
      </c>
      <c r="M190" s="31">
        <f>ProductionOrdersByItem_Display[[#This Row],[ProductionHour]]/r_TotalProductionHour</f>
        <v>6.3466211864661242E-4</v>
      </c>
      <c r="N190" s="26">
        <f>ProductionOrdersByItem_Display[[#This Row],[RMQty]]-ProductionOrdersByItem_Display[[#This Row],[RMRequired]]</f>
        <v>131</v>
      </c>
    </row>
    <row r="191" spans="1:14" hidden="1" x14ac:dyDescent="0.2">
      <c r="A191" t="s">
        <v>16</v>
      </c>
      <c r="B191" t="s">
        <v>232</v>
      </c>
      <c r="C191" t="s">
        <v>5588</v>
      </c>
      <c r="D191" t="s">
        <v>4746</v>
      </c>
      <c r="E191" t="s">
        <v>68</v>
      </c>
      <c r="F191" t="s">
        <v>49</v>
      </c>
      <c r="G191">
        <v>450</v>
      </c>
      <c r="H191" s="22">
        <v>2.2656297932388491E-3</v>
      </c>
      <c r="I191" s="16">
        <v>1.0195334069574822</v>
      </c>
      <c r="J191" s="56" t="s">
        <v>5852</v>
      </c>
      <c r="K191" s="56" t="s">
        <v>5600</v>
      </c>
      <c r="L191">
        <v>4</v>
      </c>
      <c r="M191" s="31">
        <f>ProductionOrdersByItem_Display[[#This Row],[ProductionHour]]/r_TotalProductionHour</f>
        <v>5.5080106032550182E-4</v>
      </c>
      <c r="N191" s="26">
        <f>ProductionOrdersByItem_Display[[#This Row],[RMQty]]-ProductionOrdersByItem_Display[[#This Row],[RMRequired]]</f>
        <v>127</v>
      </c>
    </row>
    <row r="192" spans="1:14" hidden="1" x14ac:dyDescent="0.2">
      <c r="A192" t="s">
        <v>16</v>
      </c>
      <c r="B192" t="s">
        <v>473</v>
      </c>
      <c r="C192" t="s">
        <v>4949</v>
      </c>
      <c r="D192" t="s">
        <v>4753</v>
      </c>
      <c r="E192" t="s">
        <v>68</v>
      </c>
      <c r="F192" t="s">
        <v>49</v>
      </c>
      <c r="G192">
        <v>1400</v>
      </c>
      <c r="H192" s="22">
        <v>3.1530289455929035E-3</v>
      </c>
      <c r="I192" s="16">
        <v>4.414240523830065</v>
      </c>
      <c r="J192" s="56" t="s">
        <v>5645</v>
      </c>
      <c r="K192" s="56" t="s">
        <v>5600</v>
      </c>
      <c r="L192">
        <v>4</v>
      </c>
      <c r="M192" s="31">
        <f>ProductionOrdersByItem_Display[[#This Row],[ProductionHour]]/r_TotalProductionHour</f>
        <v>2.3847853777672185E-3</v>
      </c>
      <c r="N192" s="26">
        <f>ProductionOrdersByItem_Display[[#This Row],[RMQty]]-ProductionOrdersByItem_Display[[#This Row],[RMRequired]]</f>
        <v>159</v>
      </c>
    </row>
    <row r="193" spans="1:14" hidden="1" x14ac:dyDescent="0.2">
      <c r="A193" t="s">
        <v>16</v>
      </c>
      <c r="B193" t="s">
        <v>3281</v>
      </c>
      <c r="C193" t="s">
        <v>3282</v>
      </c>
      <c r="D193" t="s">
        <v>5693</v>
      </c>
      <c r="E193" t="s">
        <v>68</v>
      </c>
      <c r="F193" t="s">
        <v>49</v>
      </c>
      <c r="G193">
        <v>13350</v>
      </c>
      <c r="H193" s="22">
        <v>1.5783225594782808E-3</v>
      </c>
      <c r="I193" s="16">
        <v>21.070606169035049</v>
      </c>
      <c r="J193" s="56" t="s">
        <v>5663</v>
      </c>
      <c r="K193" s="56" t="s">
        <v>5600</v>
      </c>
      <c r="L193">
        <v>4</v>
      </c>
      <c r="M193" s="31">
        <f>ProductionOrdersByItem_Display[[#This Row],[ProductionHour]]/r_TotalProductionHour</f>
        <v>1.1383356484844993E-2</v>
      </c>
      <c r="N193" s="26">
        <f>ProductionOrdersByItem_Display[[#This Row],[RMQty]]-ProductionOrdersByItem_Display[[#This Row],[RMRequired]]</f>
        <v>132</v>
      </c>
    </row>
    <row r="194" spans="1:14" hidden="1" x14ac:dyDescent="0.2">
      <c r="A194" t="s">
        <v>16</v>
      </c>
      <c r="B194" t="s">
        <v>4379</v>
      </c>
      <c r="C194" t="s">
        <v>4380</v>
      </c>
      <c r="D194" t="s">
        <v>4746</v>
      </c>
      <c r="E194" t="s">
        <v>68</v>
      </c>
      <c r="F194" t="s">
        <v>49</v>
      </c>
      <c r="G194">
        <v>1400</v>
      </c>
      <c r="H194" s="22">
        <v>1.3449701714649805E-3</v>
      </c>
      <c r="I194" s="16">
        <v>1.8829582400509726</v>
      </c>
      <c r="J194" s="56" t="s">
        <v>4851</v>
      </c>
      <c r="K194" s="56" t="s">
        <v>5600</v>
      </c>
      <c r="L194">
        <v>4</v>
      </c>
      <c r="M194" s="31">
        <f>ProductionOrdersByItem_Display[[#This Row],[ProductionHour]]/r_TotalProductionHour</f>
        <v>1.0172647488460064E-3</v>
      </c>
      <c r="N194" s="26">
        <f>ProductionOrdersByItem_Display[[#This Row],[RMQty]]-ProductionOrdersByItem_Display[[#This Row],[RMRequired]]</f>
        <v>154</v>
      </c>
    </row>
    <row r="195" spans="1:14" hidden="1" x14ac:dyDescent="0.2">
      <c r="A195" t="s">
        <v>16</v>
      </c>
      <c r="B195" t="s">
        <v>365</v>
      </c>
      <c r="C195" t="s">
        <v>366</v>
      </c>
      <c r="D195" t="s">
        <v>4764</v>
      </c>
      <c r="E195" t="s">
        <v>68</v>
      </c>
      <c r="F195" t="s">
        <v>49</v>
      </c>
      <c r="G195">
        <v>600</v>
      </c>
      <c r="H195" s="22">
        <v>1.3337589135828695E-3</v>
      </c>
      <c r="I195" s="16">
        <v>0.80025534814972166</v>
      </c>
      <c r="J195" s="56" t="s">
        <v>5740</v>
      </c>
      <c r="K195" s="56" t="s">
        <v>5600</v>
      </c>
      <c r="L195">
        <v>4</v>
      </c>
      <c r="M195" s="31">
        <f>ProductionOrdersByItem_Display[[#This Row],[ProductionHour]]/r_TotalProductionHour</f>
        <v>4.323364896962148E-4</v>
      </c>
      <c r="N195" s="26">
        <f>ProductionOrdersByItem_Display[[#This Row],[RMQty]]-ProductionOrdersByItem_Display[[#This Row],[RMRequired]]</f>
        <v>128</v>
      </c>
    </row>
    <row r="196" spans="1:14" hidden="1" x14ac:dyDescent="0.2">
      <c r="A196" t="s">
        <v>16</v>
      </c>
      <c r="B196" t="s">
        <v>371</v>
      </c>
      <c r="C196" t="s">
        <v>372</v>
      </c>
      <c r="D196" t="s">
        <v>4775</v>
      </c>
      <c r="E196" t="s">
        <v>68</v>
      </c>
      <c r="F196" t="s">
        <v>49</v>
      </c>
      <c r="G196">
        <v>200</v>
      </c>
      <c r="H196" s="22">
        <v>2.4108330239086526E-3</v>
      </c>
      <c r="I196" s="16">
        <v>0.48216660478173051</v>
      </c>
      <c r="J196" s="56" t="s">
        <v>5824</v>
      </c>
      <c r="K196" s="56" t="s">
        <v>5600</v>
      </c>
      <c r="L196">
        <v>4</v>
      </c>
      <c r="M196" s="31">
        <f>ProductionOrdersByItem_Display[[#This Row],[ProductionHour]]/r_TotalProductionHour</f>
        <v>2.6048962726966317E-4</v>
      </c>
      <c r="N196" s="26">
        <f>ProductionOrdersByItem_Display[[#This Row],[RMQty]]-ProductionOrdersByItem_Display[[#This Row],[RMRequired]]</f>
        <v>152</v>
      </c>
    </row>
    <row r="197" spans="1:14" hidden="1" x14ac:dyDescent="0.2">
      <c r="A197" t="s">
        <v>16</v>
      </c>
      <c r="B197" t="s">
        <v>4485</v>
      </c>
      <c r="C197" t="s">
        <v>4853</v>
      </c>
      <c r="D197" t="s">
        <v>4753</v>
      </c>
      <c r="E197" t="s">
        <v>68</v>
      </c>
      <c r="F197" t="s">
        <v>49</v>
      </c>
      <c r="G197">
        <v>5175</v>
      </c>
      <c r="H197" s="22">
        <v>2.1034417210039668E-3</v>
      </c>
      <c r="I197" s="16">
        <v>10.885310906195528</v>
      </c>
      <c r="J197" s="56" t="s">
        <v>5640</v>
      </c>
      <c r="K197" s="56" t="s">
        <v>5600</v>
      </c>
      <c r="L197">
        <v>4</v>
      </c>
      <c r="M197" s="31">
        <f>ProductionOrdersByItem_Display[[#This Row],[ProductionHour]]/r_TotalProductionHour</f>
        <v>5.8807693285868792E-3</v>
      </c>
      <c r="N197" s="26">
        <f>ProductionOrdersByItem_Display[[#This Row],[RMQty]]-ProductionOrdersByItem_Display[[#This Row],[RMRequired]]</f>
        <v>126</v>
      </c>
    </row>
    <row r="198" spans="1:14" hidden="1" x14ac:dyDescent="0.2">
      <c r="A198" t="s">
        <v>16</v>
      </c>
      <c r="B198" t="s">
        <v>2026</v>
      </c>
      <c r="C198" t="s">
        <v>2027</v>
      </c>
      <c r="D198" t="s">
        <v>4745</v>
      </c>
      <c r="E198" t="s">
        <v>68</v>
      </c>
      <c r="F198" t="s">
        <v>49</v>
      </c>
      <c r="G198">
        <v>760</v>
      </c>
      <c r="H198" s="22">
        <v>1.629802699896158E-3</v>
      </c>
      <c r="I198" s="16">
        <v>1.2386500519210801</v>
      </c>
      <c r="J198" s="56" t="s">
        <v>5603</v>
      </c>
      <c r="K198" s="56" t="s">
        <v>5600</v>
      </c>
      <c r="L198">
        <v>3</v>
      </c>
      <c r="M198" s="31">
        <f>ProductionOrdersByItem_Display[[#This Row],[ProductionHour]]/r_TotalProductionHour</f>
        <v>6.6917842742039821E-4</v>
      </c>
      <c r="N198" s="26">
        <f>ProductionOrdersByItem_Display[[#This Row],[RMQty]]-ProductionOrdersByItem_Display[[#This Row],[RMRequired]]</f>
        <v>91</v>
      </c>
    </row>
    <row r="199" spans="1:14" hidden="1" x14ac:dyDescent="0.2">
      <c r="A199" t="s">
        <v>16</v>
      </c>
      <c r="B199" t="s">
        <v>5008</v>
      </c>
      <c r="C199" t="s">
        <v>5009</v>
      </c>
      <c r="D199" t="s">
        <v>5697</v>
      </c>
      <c r="E199" t="s">
        <v>68</v>
      </c>
      <c r="F199" t="s">
        <v>49</v>
      </c>
      <c r="G199">
        <v>3080</v>
      </c>
      <c r="H199" s="22">
        <v>1.8079476266310006E-3</v>
      </c>
      <c r="I199" s="16">
        <v>5.5684786900234817</v>
      </c>
      <c r="J199" s="56" t="s">
        <v>5648</v>
      </c>
      <c r="K199" s="56" t="s">
        <v>5600</v>
      </c>
      <c r="L199">
        <v>3</v>
      </c>
      <c r="M199" s="31">
        <f>ProductionOrdersByItem_Display[[#This Row],[ProductionHour]]/r_TotalProductionHour</f>
        <v>3.0083604381516888E-3</v>
      </c>
      <c r="N199" s="26">
        <f>ProductionOrdersByItem_Display[[#This Row],[RMQty]]-ProductionOrdersByItem_Display[[#This Row],[RMRequired]]</f>
        <v>86</v>
      </c>
    </row>
    <row r="200" spans="1:14" hidden="1" x14ac:dyDescent="0.2">
      <c r="A200" t="s">
        <v>16</v>
      </c>
      <c r="B200" t="s">
        <v>4433</v>
      </c>
      <c r="C200" t="s">
        <v>4434</v>
      </c>
      <c r="D200" t="s">
        <v>4753</v>
      </c>
      <c r="E200" t="s">
        <v>68</v>
      </c>
      <c r="F200" t="s">
        <v>49</v>
      </c>
      <c r="G200">
        <v>120</v>
      </c>
      <c r="H200" s="22">
        <v>2.5447251140587293E-3</v>
      </c>
      <c r="I200" s="16">
        <v>0.30536701368704749</v>
      </c>
      <c r="J200" s="56" t="s">
        <v>5653</v>
      </c>
      <c r="K200" s="56" t="s">
        <v>5600</v>
      </c>
      <c r="L200">
        <v>3</v>
      </c>
      <c r="M200" s="31">
        <f>ProductionOrdersByItem_Display[[#This Row],[ProductionHour]]/r_TotalProductionHour</f>
        <v>1.6497397121021667E-4</v>
      </c>
      <c r="N200" s="26">
        <f>ProductionOrdersByItem_Display[[#This Row],[RMQty]]-ProductionOrdersByItem_Display[[#This Row],[RMRequired]]</f>
        <v>99</v>
      </c>
    </row>
    <row r="201" spans="1:14" hidden="1" x14ac:dyDescent="0.2">
      <c r="A201" t="s">
        <v>16</v>
      </c>
      <c r="B201" t="s">
        <v>2502</v>
      </c>
      <c r="C201" t="s">
        <v>4809</v>
      </c>
      <c r="D201" t="s">
        <v>4753</v>
      </c>
      <c r="E201" t="s">
        <v>68</v>
      </c>
      <c r="F201" t="s">
        <v>49</v>
      </c>
      <c r="G201">
        <v>160</v>
      </c>
      <c r="H201" s="22">
        <v>1.2141400492937484E-3</v>
      </c>
      <c r="I201" s="16">
        <v>0.19426240788699975</v>
      </c>
      <c r="J201" s="56" t="s">
        <v>5641</v>
      </c>
      <c r="K201" s="56" t="s">
        <v>5600</v>
      </c>
      <c r="L201">
        <v>3</v>
      </c>
      <c r="M201" s="31">
        <f>ProductionOrdersByItem_Display[[#This Row],[ProductionHour]]/r_TotalProductionHour</f>
        <v>1.049499109252894E-4</v>
      </c>
      <c r="N201" s="26">
        <f>ProductionOrdersByItem_Display[[#This Row],[RMQty]]-ProductionOrdersByItem_Display[[#This Row],[RMRequired]]</f>
        <v>100</v>
      </c>
    </row>
    <row r="202" spans="1:14" hidden="1" x14ac:dyDescent="0.2">
      <c r="A202" t="s">
        <v>16</v>
      </c>
      <c r="B202" t="s">
        <v>893</v>
      </c>
      <c r="C202" t="s">
        <v>5346</v>
      </c>
      <c r="D202" t="s">
        <v>4751</v>
      </c>
      <c r="E202" t="s">
        <v>68</v>
      </c>
      <c r="F202" t="s">
        <v>49</v>
      </c>
      <c r="G202">
        <v>11070</v>
      </c>
      <c r="H202" s="22">
        <v>1.4629635078496374E-3</v>
      </c>
      <c r="I202" s="16">
        <v>16.195006031895485</v>
      </c>
      <c r="J202" s="56" t="s">
        <v>4787</v>
      </c>
      <c r="K202" s="56" t="s">
        <v>5600</v>
      </c>
      <c r="L202">
        <v>3</v>
      </c>
      <c r="M202" s="31">
        <f>ProductionOrdersByItem_Display[[#This Row],[ProductionHour]]/r_TotalProductionHour</f>
        <v>8.7493224189346564E-3</v>
      </c>
      <c r="N202" s="26">
        <f>ProductionOrdersByItem_Display[[#This Row],[RMQty]]-ProductionOrdersByItem_Display[[#This Row],[RMRequired]]</f>
        <v>97</v>
      </c>
    </row>
    <row r="203" spans="1:14" hidden="1" x14ac:dyDescent="0.2">
      <c r="A203" t="s">
        <v>16</v>
      </c>
      <c r="B203" t="s">
        <v>2030</v>
      </c>
      <c r="C203" t="s">
        <v>2031</v>
      </c>
      <c r="D203" t="s">
        <v>4771</v>
      </c>
      <c r="E203" t="s">
        <v>68</v>
      </c>
      <c r="F203" t="s">
        <v>49</v>
      </c>
      <c r="G203">
        <v>1440</v>
      </c>
      <c r="H203" s="22">
        <v>1.7026794219582888E-3</v>
      </c>
      <c r="I203" s="16">
        <v>2.4518583676199359</v>
      </c>
      <c r="J203" s="56" t="s">
        <v>5648</v>
      </c>
      <c r="K203" s="56" t="s">
        <v>5600</v>
      </c>
      <c r="L203">
        <v>3</v>
      </c>
      <c r="M203" s="31">
        <f>ProductionOrdersByItem_Display[[#This Row],[ProductionHour]]/r_TotalProductionHour</f>
        <v>1.324612003331181E-3</v>
      </c>
      <c r="N203" s="26">
        <f>ProductionOrdersByItem_Display[[#This Row],[RMQty]]-ProductionOrdersByItem_Display[[#This Row],[RMRequired]]</f>
        <v>86</v>
      </c>
    </row>
    <row r="204" spans="1:14" hidden="1" x14ac:dyDescent="0.2">
      <c r="A204" t="s">
        <v>16</v>
      </c>
      <c r="B204" t="s">
        <v>273</v>
      </c>
      <c r="C204" t="s">
        <v>274</v>
      </c>
      <c r="D204" t="s">
        <v>4771</v>
      </c>
      <c r="E204" t="s">
        <v>68</v>
      </c>
      <c r="F204" t="s">
        <v>49</v>
      </c>
      <c r="G204">
        <v>5850</v>
      </c>
      <c r="H204" s="22">
        <v>2.078534095431192E-3</v>
      </c>
      <c r="I204" s="16">
        <v>12.159424458272474</v>
      </c>
      <c r="J204" s="56" t="s">
        <v>4763</v>
      </c>
      <c r="K204" s="56" t="s">
        <v>5600</v>
      </c>
      <c r="L204">
        <v>3</v>
      </c>
      <c r="M204" s="31">
        <f>ProductionOrdersByItem_Display[[#This Row],[ProductionHour]]/r_TotalProductionHour</f>
        <v>6.5691068471713382E-3</v>
      </c>
      <c r="N204" s="26">
        <f>ProductionOrdersByItem_Display[[#This Row],[RMQty]]-ProductionOrdersByItem_Display[[#This Row],[RMRequired]]</f>
        <v>85</v>
      </c>
    </row>
    <row r="205" spans="1:14" hidden="1" x14ac:dyDescent="0.2">
      <c r="A205" t="s">
        <v>16</v>
      </c>
      <c r="B205" t="s">
        <v>861</v>
      </c>
      <c r="C205" t="s">
        <v>4954</v>
      </c>
      <c r="D205" t="s">
        <v>4750</v>
      </c>
      <c r="E205" t="s">
        <v>68</v>
      </c>
      <c r="F205" t="s">
        <v>49</v>
      </c>
      <c r="G205">
        <v>360</v>
      </c>
      <c r="H205" s="22">
        <v>1.2287145782210606E-3</v>
      </c>
      <c r="I205" s="16">
        <v>0.44233724815958181</v>
      </c>
      <c r="J205" s="56" t="s">
        <v>4759</v>
      </c>
      <c r="K205" s="56" t="s">
        <v>5600</v>
      </c>
      <c r="L205">
        <v>3</v>
      </c>
      <c r="M205" s="31">
        <f>ProductionOrdersByItem_Display[[#This Row],[ProductionHour]]/r_TotalProductionHour</f>
        <v>2.389718901265222E-4</v>
      </c>
      <c r="N205" s="26">
        <f>ProductionOrdersByItem_Display[[#This Row],[RMQty]]-ProductionOrdersByItem_Display[[#This Row],[RMRequired]]</f>
        <v>109</v>
      </c>
    </row>
    <row r="206" spans="1:14" hidden="1" x14ac:dyDescent="0.2">
      <c r="A206" t="s">
        <v>16</v>
      </c>
      <c r="B206" t="s">
        <v>787</v>
      </c>
      <c r="C206" t="s">
        <v>4829</v>
      </c>
      <c r="D206" t="s">
        <v>4748</v>
      </c>
      <c r="E206" t="s">
        <v>68</v>
      </c>
      <c r="F206" t="s">
        <v>49</v>
      </c>
      <c r="G206">
        <v>6060</v>
      </c>
      <c r="H206" s="22">
        <v>1.3772292736426185E-3</v>
      </c>
      <c r="I206" s="16">
        <v>8.3460093982742691</v>
      </c>
      <c r="J206" s="56" t="s">
        <v>5628</v>
      </c>
      <c r="K206" s="56" t="s">
        <v>5600</v>
      </c>
      <c r="L206">
        <v>3</v>
      </c>
      <c r="M206" s="31">
        <f>ProductionOrdersByItem_Display[[#This Row],[ProductionHour]]/r_TotalProductionHour</f>
        <v>4.508916328474737E-3</v>
      </c>
      <c r="N206" s="26">
        <f>ProductionOrdersByItem_Display[[#This Row],[RMQty]]-ProductionOrdersByItem_Display[[#This Row],[RMRequired]]</f>
        <v>82</v>
      </c>
    </row>
    <row r="207" spans="1:14" hidden="1" x14ac:dyDescent="0.2">
      <c r="A207" t="s">
        <v>16</v>
      </c>
      <c r="B207" t="s">
        <v>821</v>
      </c>
      <c r="C207" t="s">
        <v>822</v>
      </c>
      <c r="D207" t="s">
        <v>4748</v>
      </c>
      <c r="E207" t="s">
        <v>68</v>
      </c>
      <c r="F207" t="s">
        <v>49</v>
      </c>
      <c r="G207">
        <v>2250</v>
      </c>
      <c r="H207" s="22">
        <v>1.4880819878290283E-3</v>
      </c>
      <c r="I207" s="16">
        <v>3.3481844726153134</v>
      </c>
      <c r="J207" s="56" t="s">
        <v>5603</v>
      </c>
      <c r="K207" s="56" t="s">
        <v>5600</v>
      </c>
      <c r="L207">
        <v>3</v>
      </c>
      <c r="M207" s="31">
        <f>ProductionOrdersByItem_Display[[#This Row],[ProductionHour]]/r_TotalProductionHour</f>
        <v>1.8088505438829667E-3</v>
      </c>
      <c r="N207" s="26">
        <f>ProductionOrdersByItem_Display[[#This Row],[RMQty]]-ProductionOrdersByItem_Display[[#This Row],[RMRequired]]</f>
        <v>91</v>
      </c>
    </row>
    <row r="208" spans="1:14" hidden="1" x14ac:dyDescent="0.2">
      <c r="A208" t="s">
        <v>16</v>
      </c>
      <c r="B208" t="s">
        <v>633</v>
      </c>
      <c r="C208" t="s">
        <v>634</v>
      </c>
      <c r="D208" t="s">
        <v>4748</v>
      </c>
      <c r="E208" t="s">
        <v>68</v>
      </c>
      <c r="F208" t="s">
        <v>49</v>
      </c>
      <c r="G208">
        <v>1350</v>
      </c>
      <c r="H208" s="22">
        <v>1.2168416958381952E-3</v>
      </c>
      <c r="I208" s="16">
        <v>1.6427362893815636</v>
      </c>
      <c r="J208" s="56" t="s">
        <v>5694</v>
      </c>
      <c r="K208" s="56" t="s">
        <v>5600</v>
      </c>
      <c r="L208">
        <v>3</v>
      </c>
      <c r="M208" s="31">
        <f>ProductionOrdersByItem_Display[[#This Row],[ProductionHour]]/r_TotalProductionHour</f>
        <v>8.8748527890492122E-4</v>
      </c>
      <c r="N208" s="26">
        <f>ProductionOrdersByItem_Display[[#This Row],[RMQty]]-ProductionOrdersByItem_Display[[#This Row],[RMRequired]]</f>
        <v>96</v>
      </c>
    </row>
    <row r="209" spans="1:14" hidden="1" x14ac:dyDescent="0.2">
      <c r="A209" t="s">
        <v>16</v>
      </c>
      <c r="B209" t="s">
        <v>840</v>
      </c>
      <c r="C209" t="s">
        <v>4760</v>
      </c>
      <c r="D209" t="s">
        <v>4753</v>
      </c>
      <c r="E209" t="s">
        <v>68</v>
      </c>
      <c r="F209" t="s">
        <v>49</v>
      </c>
      <c r="G209">
        <v>170</v>
      </c>
      <c r="H209" s="22">
        <v>1.6589521871820958E-3</v>
      </c>
      <c r="I209" s="16">
        <v>0.28202187182095628</v>
      </c>
      <c r="J209" s="56" t="s">
        <v>5785</v>
      </c>
      <c r="K209" s="56" t="s">
        <v>5600</v>
      </c>
      <c r="L209">
        <v>3</v>
      </c>
      <c r="M209" s="31">
        <f>ProductionOrdersByItem_Display[[#This Row],[ProductionHour]]/r_TotalProductionHour</f>
        <v>1.523618009708274E-4</v>
      </c>
      <c r="N209" s="26">
        <f>ProductionOrdersByItem_Display[[#This Row],[RMQty]]-ProductionOrdersByItem_Display[[#This Row],[RMRequired]]</f>
        <v>89</v>
      </c>
    </row>
    <row r="210" spans="1:14" hidden="1" x14ac:dyDescent="0.2">
      <c r="A210" t="s">
        <v>16</v>
      </c>
      <c r="B210" t="s">
        <v>236</v>
      </c>
      <c r="C210" t="s">
        <v>298</v>
      </c>
      <c r="D210" t="s">
        <v>4910</v>
      </c>
      <c r="E210" t="s">
        <v>68</v>
      </c>
      <c r="F210" t="s">
        <v>49</v>
      </c>
      <c r="G210">
        <v>4165</v>
      </c>
      <c r="H210" s="22">
        <v>1.147191792731699E-3</v>
      </c>
      <c r="I210" s="16">
        <v>4.7780538167275264</v>
      </c>
      <c r="J210" s="56" t="s">
        <v>5798</v>
      </c>
      <c r="K210" s="56" t="s">
        <v>5600</v>
      </c>
      <c r="L210">
        <v>3</v>
      </c>
      <c r="M210" s="31">
        <f>ProductionOrdersByItem_Display[[#This Row],[ProductionHour]]/r_TotalProductionHour</f>
        <v>2.5813348445340202E-3</v>
      </c>
      <c r="N210" s="26">
        <f>ProductionOrdersByItem_Display[[#This Row],[RMQty]]-ProductionOrdersByItem_Display[[#This Row],[RMRequired]]</f>
        <v>115</v>
      </c>
    </row>
    <row r="211" spans="1:14" hidden="1" x14ac:dyDescent="0.2">
      <c r="A211" t="s">
        <v>16</v>
      </c>
      <c r="B211" t="s">
        <v>655</v>
      </c>
      <c r="C211" t="s">
        <v>656</v>
      </c>
      <c r="D211" t="s">
        <v>4745</v>
      </c>
      <c r="E211" t="s">
        <v>68</v>
      </c>
      <c r="F211" t="s">
        <v>49</v>
      </c>
      <c r="G211">
        <v>100</v>
      </c>
      <c r="H211" s="22">
        <v>1.9964173790533906E-3</v>
      </c>
      <c r="I211" s="16">
        <v>0.19964173790533907</v>
      </c>
      <c r="J211" s="56" t="s">
        <v>5648</v>
      </c>
      <c r="K211" s="56" t="s">
        <v>5600</v>
      </c>
      <c r="L211">
        <v>3</v>
      </c>
      <c r="M211" s="31">
        <f>ProductionOrdersByItem_Display[[#This Row],[ProductionHour]]/r_TotalProductionHour</f>
        <v>1.0785608413915611E-4</v>
      </c>
      <c r="N211" s="26">
        <f>ProductionOrdersByItem_Display[[#This Row],[RMQty]]-ProductionOrdersByItem_Display[[#This Row],[RMRequired]]</f>
        <v>86</v>
      </c>
    </row>
    <row r="212" spans="1:14" hidden="1" x14ac:dyDescent="0.2">
      <c r="A212" t="s">
        <v>16</v>
      </c>
      <c r="B212" t="s">
        <v>221</v>
      </c>
      <c r="C212" t="s">
        <v>4840</v>
      </c>
      <c r="D212" t="s">
        <v>4750</v>
      </c>
      <c r="E212" t="s">
        <v>68</v>
      </c>
      <c r="F212" t="s">
        <v>49</v>
      </c>
      <c r="G212">
        <v>320</v>
      </c>
      <c r="H212" s="22">
        <v>1.7026794219582888E-3</v>
      </c>
      <c r="I212" s="16">
        <v>0.54485741502665241</v>
      </c>
      <c r="J212" s="56" t="s">
        <v>5825</v>
      </c>
      <c r="K212" s="56" t="s">
        <v>5600</v>
      </c>
      <c r="L212">
        <v>3</v>
      </c>
      <c r="M212" s="31">
        <f>ProductionOrdersByItem_Display[[#This Row],[ProductionHour]]/r_TotalProductionHour</f>
        <v>2.9435822296248467E-4</v>
      </c>
      <c r="N212" s="26">
        <f>ProductionOrdersByItem_Display[[#This Row],[RMQty]]-ProductionOrdersByItem_Display[[#This Row],[RMRequired]]</f>
        <v>113</v>
      </c>
    </row>
    <row r="213" spans="1:14" hidden="1" x14ac:dyDescent="0.2">
      <c r="A213" t="s">
        <v>16</v>
      </c>
      <c r="B213" t="s">
        <v>592</v>
      </c>
      <c r="C213" t="s">
        <v>593</v>
      </c>
      <c r="D213" t="s">
        <v>4750</v>
      </c>
      <c r="E213" t="s">
        <v>68</v>
      </c>
      <c r="F213" t="s">
        <v>49</v>
      </c>
      <c r="G213">
        <v>1200</v>
      </c>
      <c r="H213" s="22">
        <v>1.8201533808958916E-3</v>
      </c>
      <c r="I213" s="16">
        <v>2.1841840570750697</v>
      </c>
      <c r="J213" s="56" t="s">
        <v>4802</v>
      </c>
      <c r="K213" s="56" t="s">
        <v>5600</v>
      </c>
      <c r="L213">
        <v>3</v>
      </c>
      <c r="M213" s="31">
        <f>ProductionOrdersByItem_Display[[#This Row],[ProductionHour]]/r_TotalProductionHour</f>
        <v>1.1800014461254193E-3</v>
      </c>
      <c r="N213" s="26">
        <f>ProductionOrdersByItem_Display[[#This Row],[RMQty]]-ProductionOrdersByItem_Display[[#This Row],[RMRequired]]</f>
        <v>90</v>
      </c>
    </row>
    <row r="214" spans="1:14" hidden="1" x14ac:dyDescent="0.2">
      <c r="A214" t="s">
        <v>16</v>
      </c>
      <c r="B214" t="s">
        <v>917</v>
      </c>
      <c r="C214" t="s">
        <v>4866</v>
      </c>
      <c r="D214" t="s">
        <v>4764</v>
      </c>
      <c r="E214" t="s">
        <v>68</v>
      </c>
      <c r="F214" t="s">
        <v>49</v>
      </c>
      <c r="G214">
        <v>540</v>
      </c>
      <c r="H214" s="22">
        <v>1.1837139529446855E-3</v>
      </c>
      <c r="I214" s="16">
        <v>0.63920553459013019</v>
      </c>
      <c r="J214" s="56" t="s">
        <v>4763</v>
      </c>
      <c r="K214" s="56" t="s">
        <v>5600</v>
      </c>
      <c r="L214">
        <v>3</v>
      </c>
      <c r="M214" s="31">
        <f>ProductionOrdersByItem_Display[[#This Row],[ProductionHour]]/r_TotalProductionHour</f>
        <v>3.4532962217377893E-4</v>
      </c>
      <c r="N214" s="26">
        <f>ProductionOrdersByItem_Display[[#This Row],[RMQty]]-ProductionOrdersByItem_Display[[#This Row],[RMRequired]]</f>
        <v>85</v>
      </c>
    </row>
    <row r="215" spans="1:14" hidden="1" x14ac:dyDescent="0.2">
      <c r="A215" t="s">
        <v>16</v>
      </c>
      <c r="B215" t="s">
        <v>515</v>
      </c>
      <c r="C215" t="s">
        <v>885</v>
      </c>
      <c r="D215" t="s">
        <v>4747</v>
      </c>
      <c r="E215" t="s">
        <v>68</v>
      </c>
      <c r="F215" t="s">
        <v>49</v>
      </c>
      <c r="G215">
        <v>2340</v>
      </c>
      <c r="H215" s="22">
        <v>9.923810935371629E-4</v>
      </c>
      <c r="I215" s="16">
        <v>2.3221717588769613</v>
      </c>
      <c r="J215" s="56" t="s">
        <v>4759</v>
      </c>
      <c r="K215" s="56" t="s">
        <v>5600</v>
      </c>
      <c r="L215">
        <v>3</v>
      </c>
      <c r="M215" s="31">
        <f>ProductionOrdersByItem_Display[[#This Row],[ProductionHour]]/r_TotalProductionHour</f>
        <v>1.2545490499074018E-3</v>
      </c>
      <c r="N215" s="26">
        <f>ProductionOrdersByItem_Display[[#This Row],[RMQty]]-ProductionOrdersByItem_Display[[#This Row],[RMRequired]]</f>
        <v>109</v>
      </c>
    </row>
    <row r="216" spans="1:14" hidden="1" x14ac:dyDescent="0.2">
      <c r="A216" t="s">
        <v>16</v>
      </c>
      <c r="B216" t="s">
        <v>919</v>
      </c>
      <c r="C216" t="s">
        <v>920</v>
      </c>
      <c r="D216" t="s">
        <v>4745</v>
      </c>
      <c r="E216" t="s">
        <v>68</v>
      </c>
      <c r="F216" t="s">
        <v>49</v>
      </c>
      <c r="G216">
        <v>1800</v>
      </c>
      <c r="H216" s="22">
        <v>1.4155169856104436E-3</v>
      </c>
      <c r="I216" s="16">
        <v>2.5479305740987988</v>
      </c>
      <c r="J216" s="56" t="s">
        <v>5603</v>
      </c>
      <c r="K216" s="56" t="s">
        <v>5600</v>
      </c>
      <c r="L216">
        <v>3</v>
      </c>
      <c r="M216" s="31">
        <f>ProductionOrdersByItem_Display[[#This Row],[ProductionHour]]/r_TotalProductionHour</f>
        <v>1.3765148373484433E-3</v>
      </c>
      <c r="N216" s="26">
        <f>ProductionOrdersByItem_Display[[#This Row],[RMQty]]-ProductionOrdersByItem_Display[[#This Row],[RMRequired]]</f>
        <v>91</v>
      </c>
    </row>
    <row r="217" spans="1:14" hidden="1" x14ac:dyDescent="0.2">
      <c r="A217" t="s">
        <v>16</v>
      </c>
      <c r="B217" t="s">
        <v>872</v>
      </c>
      <c r="C217" t="s">
        <v>873</v>
      </c>
      <c r="D217" t="s">
        <v>4755</v>
      </c>
      <c r="E217" t="s">
        <v>68</v>
      </c>
      <c r="F217" t="s">
        <v>49</v>
      </c>
      <c r="G217">
        <v>9760</v>
      </c>
      <c r="H217" s="22">
        <v>8.0244554214916187E-4</v>
      </c>
      <c r="I217" s="16">
        <v>7.8318684913758201</v>
      </c>
      <c r="J217" s="56" t="s">
        <v>5684</v>
      </c>
      <c r="K217" s="56" t="s">
        <v>5600</v>
      </c>
      <c r="L217">
        <v>3</v>
      </c>
      <c r="M217" s="31">
        <f>ProductionOrdersByItem_Display[[#This Row],[ProductionHour]]/r_TotalProductionHour</f>
        <v>4.2311526429065693E-3</v>
      </c>
      <c r="N217" s="26">
        <f>ProductionOrdersByItem_Display[[#This Row],[RMQty]]-ProductionOrdersByItem_Display[[#This Row],[RMRequired]]</f>
        <v>114</v>
      </c>
    </row>
    <row r="218" spans="1:14" hidden="1" x14ac:dyDescent="0.2">
      <c r="A218" t="s">
        <v>16</v>
      </c>
      <c r="B218" t="s">
        <v>635</v>
      </c>
      <c r="C218" t="s">
        <v>636</v>
      </c>
      <c r="D218" t="s">
        <v>4750</v>
      </c>
      <c r="E218" t="s">
        <v>68</v>
      </c>
      <c r="F218" t="s">
        <v>49</v>
      </c>
      <c r="G218">
        <v>1125</v>
      </c>
      <c r="H218" s="22">
        <v>1.6926077158650975E-3</v>
      </c>
      <c r="I218" s="16">
        <v>1.9041836803482346</v>
      </c>
      <c r="J218" s="56" t="s">
        <v>5698</v>
      </c>
      <c r="K218" s="56" t="s">
        <v>5600</v>
      </c>
      <c r="L218">
        <v>3</v>
      </c>
      <c r="M218" s="31">
        <f>ProductionOrdersByItem_Display[[#This Row],[ProductionHour]]/r_TotalProductionHour</f>
        <v>1.0287317541857297E-3</v>
      </c>
      <c r="N218" s="26">
        <f>ProductionOrdersByItem_Display[[#This Row],[RMQty]]-ProductionOrdersByItem_Display[[#This Row],[RMRequired]]</f>
        <v>94</v>
      </c>
    </row>
    <row r="219" spans="1:14" hidden="1" x14ac:dyDescent="0.2">
      <c r="A219" t="s">
        <v>16</v>
      </c>
      <c r="B219" t="s">
        <v>810</v>
      </c>
      <c r="C219" t="s">
        <v>5573</v>
      </c>
      <c r="D219" t="s">
        <v>5693</v>
      </c>
      <c r="E219" t="s">
        <v>68</v>
      </c>
      <c r="F219" t="s">
        <v>49</v>
      </c>
      <c r="G219">
        <v>2600</v>
      </c>
      <c r="H219" s="22">
        <v>2.3863949934658899E-3</v>
      </c>
      <c r="I219" s="16">
        <v>6.2046269830113134</v>
      </c>
      <c r="J219" s="56" t="s">
        <v>5653</v>
      </c>
      <c r="K219" s="56" t="s">
        <v>5600</v>
      </c>
      <c r="L219">
        <v>3</v>
      </c>
      <c r="M219" s="31">
        <f>ProductionOrdersByItem_Display[[#This Row],[ProductionHour]]/r_TotalProductionHour</f>
        <v>3.3520383911356932E-3</v>
      </c>
      <c r="N219" s="26">
        <f>ProductionOrdersByItem_Display[[#This Row],[RMQty]]-ProductionOrdersByItem_Display[[#This Row],[RMRequired]]</f>
        <v>99</v>
      </c>
    </row>
    <row r="220" spans="1:14" hidden="1" x14ac:dyDescent="0.2">
      <c r="A220" t="s">
        <v>16</v>
      </c>
      <c r="B220" t="s">
        <v>308</v>
      </c>
      <c r="C220" t="s">
        <v>4810</v>
      </c>
      <c r="D220" t="s">
        <v>4745</v>
      </c>
      <c r="E220" t="s">
        <v>68</v>
      </c>
      <c r="F220" t="s">
        <v>49</v>
      </c>
      <c r="G220">
        <v>6400</v>
      </c>
      <c r="H220" s="22">
        <v>1.4893222182793384E-3</v>
      </c>
      <c r="I220" s="16">
        <v>9.5316621969877655</v>
      </c>
      <c r="J220" s="56" t="s">
        <v>4787</v>
      </c>
      <c r="K220" s="56" t="s">
        <v>5600</v>
      </c>
      <c r="L220">
        <v>3</v>
      </c>
      <c r="M220" s="31">
        <f>ProductionOrdersByItem_Display[[#This Row],[ProductionHour]]/r_TotalProductionHour</f>
        <v>5.1494630866806964E-3</v>
      </c>
      <c r="N220" s="26">
        <f>ProductionOrdersByItem_Display[[#This Row],[RMQty]]-ProductionOrdersByItem_Display[[#This Row],[RMRequired]]</f>
        <v>97</v>
      </c>
    </row>
    <row r="221" spans="1:14" hidden="1" x14ac:dyDescent="0.2">
      <c r="A221" t="s">
        <v>16</v>
      </c>
      <c r="B221" t="s">
        <v>858</v>
      </c>
      <c r="C221" t="s">
        <v>4768</v>
      </c>
      <c r="D221" t="s">
        <v>4750</v>
      </c>
      <c r="E221" t="s">
        <v>68</v>
      </c>
      <c r="F221" t="s">
        <v>49</v>
      </c>
      <c r="G221">
        <v>5135</v>
      </c>
      <c r="H221" s="22">
        <v>1.9670564650851991E-3</v>
      </c>
      <c r="I221" s="16">
        <v>10.100834948212498</v>
      </c>
      <c r="J221" s="56" t="s">
        <v>5702</v>
      </c>
      <c r="K221" s="56" t="s">
        <v>5600</v>
      </c>
      <c r="L221">
        <v>3</v>
      </c>
      <c r="M221" s="31">
        <f>ProductionOrdersByItem_Display[[#This Row],[ProductionHour]]/r_TotalProductionHour</f>
        <v>5.4569576255977916E-3</v>
      </c>
      <c r="N221" s="26">
        <f>ProductionOrdersByItem_Display[[#This Row],[RMQty]]-ProductionOrdersByItem_Display[[#This Row],[RMRequired]]</f>
        <v>102</v>
      </c>
    </row>
    <row r="222" spans="1:14" hidden="1" x14ac:dyDescent="0.2">
      <c r="A222" t="s">
        <v>16</v>
      </c>
      <c r="B222" t="s">
        <v>862</v>
      </c>
      <c r="C222" t="s">
        <v>863</v>
      </c>
      <c r="D222" t="s">
        <v>4750</v>
      </c>
      <c r="E222" t="s">
        <v>68</v>
      </c>
      <c r="F222" t="s">
        <v>49</v>
      </c>
      <c r="G222">
        <v>1100</v>
      </c>
      <c r="H222" s="22">
        <v>1.6443772288234702E-3</v>
      </c>
      <c r="I222" s="16">
        <v>1.8088149517058172</v>
      </c>
      <c r="J222" s="56" t="s">
        <v>4766</v>
      </c>
      <c r="K222" s="56" t="s">
        <v>5600</v>
      </c>
      <c r="L222">
        <v>3</v>
      </c>
      <c r="M222" s="31">
        <f>ProductionOrdersByItem_Display[[#This Row],[ProductionHour]]/r_TotalProductionHour</f>
        <v>9.7720897278428674E-4</v>
      </c>
      <c r="N222" s="26">
        <f>ProductionOrdersByItem_Display[[#This Row],[RMQty]]-ProductionOrdersByItem_Display[[#This Row],[RMRequired]]</f>
        <v>107</v>
      </c>
    </row>
    <row r="223" spans="1:14" hidden="1" x14ac:dyDescent="0.2">
      <c r="A223" t="s">
        <v>16</v>
      </c>
      <c r="B223" t="s">
        <v>819</v>
      </c>
      <c r="C223" t="s">
        <v>4981</v>
      </c>
      <c r="D223" t="s">
        <v>4748</v>
      </c>
      <c r="E223" t="s">
        <v>68</v>
      </c>
      <c r="F223" t="s">
        <v>49</v>
      </c>
      <c r="G223">
        <v>680</v>
      </c>
      <c r="H223" s="22">
        <v>1.2659851695690683E-3</v>
      </c>
      <c r="I223" s="16">
        <v>0.86086991530696644</v>
      </c>
      <c r="J223" s="56" t="s">
        <v>5702</v>
      </c>
      <c r="K223" s="56" t="s">
        <v>5600</v>
      </c>
      <c r="L223">
        <v>3</v>
      </c>
      <c r="M223" s="31">
        <f>ProductionOrdersByItem_Display[[#This Row],[ProductionHour]]/r_TotalProductionHour</f>
        <v>4.6508339885440987E-4</v>
      </c>
      <c r="N223" s="26">
        <f>ProductionOrdersByItem_Display[[#This Row],[RMQty]]-ProductionOrdersByItem_Display[[#This Row],[RMRequired]]</f>
        <v>102</v>
      </c>
    </row>
    <row r="224" spans="1:14" hidden="1" x14ac:dyDescent="0.2">
      <c r="A224" t="s">
        <v>16</v>
      </c>
      <c r="B224" t="s">
        <v>886</v>
      </c>
      <c r="C224" t="s">
        <v>887</v>
      </c>
      <c r="D224" t="s">
        <v>4764</v>
      </c>
      <c r="E224" t="s">
        <v>68</v>
      </c>
      <c r="F224" t="s">
        <v>49</v>
      </c>
      <c r="G224">
        <v>1080</v>
      </c>
      <c r="H224" s="22">
        <v>1.4387628736316099E-3</v>
      </c>
      <c r="I224" s="16">
        <v>1.5538639035221387</v>
      </c>
      <c r="J224" s="56" t="s">
        <v>4767</v>
      </c>
      <c r="K224" s="56" t="s">
        <v>5600</v>
      </c>
      <c r="L224">
        <v>3</v>
      </c>
      <c r="M224" s="31">
        <f>ProductionOrdersByItem_Display[[#This Row],[ProductionHour]]/r_TotalProductionHour</f>
        <v>8.3947213482256171E-4</v>
      </c>
      <c r="N224" s="26">
        <f>ProductionOrdersByItem_Display[[#This Row],[RMQty]]-ProductionOrdersByItem_Display[[#This Row],[RMRequired]]</f>
        <v>84</v>
      </c>
    </row>
    <row r="225" spans="1:14" hidden="1" x14ac:dyDescent="0.2">
      <c r="A225" t="s">
        <v>16</v>
      </c>
      <c r="B225" t="s">
        <v>3423</v>
      </c>
      <c r="C225" t="s">
        <v>4961</v>
      </c>
      <c r="D225" t="s">
        <v>4745</v>
      </c>
      <c r="E225" t="s">
        <v>68</v>
      </c>
      <c r="F225" t="s">
        <v>49</v>
      </c>
      <c r="G225">
        <v>9500</v>
      </c>
      <c r="H225" s="22">
        <v>1.1841596656746174E-3</v>
      </c>
      <c r="I225" s="16">
        <v>11.249516823908865</v>
      </c>
      <c r="J225" s="56" t="s">
        <v>5754</v>
      </c>
      <c r="K225" s="56" t="s">
        <v>5607</v>
      </c>
      <c r="L225">
        <v>3</v>
      </c>
      <c r="M225" s="31">
        <f>ProductionOrdersByItem_Display[[#This Row],[ProductionHour]]/r_TotalProductionHour</f>
        <v>6.0775309101930948E-3</v>
      </c>
      <c r="N225" s="26">
        <f>ProductionOrdersByItem_Display[[#This Row],[RMQty]]-ProductionOrdersByItem_Display[[#This Row],[RMRequired]]</f>
        <v>121</v>
      </c>
    </row>
    <row r="226" spans="1:14" hidden="1" x14ac:dyDescent="0.2">
      <c r="A226" t="s">
        <v>16</v>
      </c>
      <c r="B226" t="s">
        <v>867</v>
      </c>
      <c r="C226" t="s">
        <v>4839</v>
      </c>
      <c r="D226" t="s">
        <v>4750</v>
      </c>
      <c r="E226" t="s">
        <v>68</v>
      </c>
      <c r="F226" t="s">
        <v>49</v>
      </c>
      <c r="G226">
        <v>2800</v>
      </c>
      <c r="H226" s="22">
        <v>1.6589521871820958E-3</v>
      </c>
      <c r="I226" s="16">
        <v>4.6450661241098681</v>
      </c>
      <c r="J226" s="56" t="s">
        <v>5798</v>
      </c>
      <c r="K226" s="56" t="s">
        <v>5600</v>
      </c>
      <c r="L226">
        <v>3</v>
      </c>
      <c r="M226" s="31">
        <f>ProductionOrdersByItem_Display[[#This Row],[ProductionHour]]/r_TotalProductionHour</f>
        <v>2.5094884865783334E-3</v>
      </c>
      <c r="N226" s="26">
        <f>ProductionOrdersByItem_Display[[#This Row],[RMQty]]-ProductionOrdersByItem_Display[[#This Row],[RMRequired]]</f>
        <v>115</v>
      </c>
    </row>
    <row r="227" spans="1:14" hidden="1" x14ac:dyDescent="0.2">
      <c r="A227" t="s">
        <v>16</v>
      </c>
      <c r="B227" t="s">
        <v>4431</v>
      </c>
      <c r="C227" t="s">
        <v>4432</v>
      </c>
      <c r="D227" t="s">
        <v>4750</v>
      </c>
      <c r="E227" t="s">
        <v>68</v>
      </c>
      <c r="F227" t="s">
        <v>49</v>
      </c>
      <c r="G227">
        <v>250</v>
      </c>
      <c r="H227" s="22">
        <v>2.3311688311688315E-3</v>
      </c>
      <c r="I227" s="16">
        <v>0.58279220779220786</v>
      </c>
      <c r="J227" s="56" t="s">
        <v>4787</v>
      </c>
      <c r="K227" s="56" t="s">
        <v>5600</v>
      </c>
      <c r="L227">
        <v>3</v>
      </c>
      <c r="M227" s="31">
        <f>ProductionOrdersByItem_Display[[#This Row],[ProductionHour]]/r_TotalProductionHour</f>
        <v>3.1485242544364718E-4</v>
      </c>
      <c r="N227" s="26">
        <f>ProductionOrdersByItem_Display[[#This Row],[RMQty]]-ProductionOrdersByItem_Display[[#This Row],[RMRequired]]</f>
        <v>97</v>
      </c>
    </row>
    <row r="228" spans="1:14" hidden="1" x14ac:dyDescent="0.2">
      <c r="A228" t="s">
        <v>16</v>
      </c>
      <c r="B228" t="s">
        <v>3361</v>
      </c>
      <c r="C228" t="s">
        <v>5219</v>
      </c>
      <c r="D228" t="s">
        <v>4770</v>
      </c>
      <c r="E228" t="s">
        <v>68</v>
      </c>
      <c r="F228" t="s">
        <v>49</v>
      </c>
      <c r="G228">
        <v>700</v>
      </c>
      <c r="H228" s="22">
        <v>7.4222985902010793E-4</v>
      </c>
      <c r="I228" s="16">
        <v>0.51956090131407551</v>
      </c>
      <c r="J228" s="56" t="s">
        <v>5797</v>
      </c>
      <c r="K228" s="56" t="s">
        <v>5600</v>
      </c>
      <c r="L228">
        <v>3</v>
      </c>
      <c r="M228" s="31">
        <f>ProductionOrdersByItem_Display[[#This Row],[ProductionHour]]/r_TotalProductionHour</f>
        <v>2.8069182764837113E-4</v>
      </c>
      <c r="N228" s="26">
        <f>ProductionOrdersByItem_Display[[#This Row],[RMQty]]-ProductionOrdersByItem_Display[[#This Row],[RMRequired]]</f>
        <v>111</v>
      </c>
    </row>
    <row r="229" spans="1:14" hidden="1" x14ac:dyDescent="0.2">
      <c r="A229" t="s">
        <v>16</v>
      </c>
      <c r="B229" t="s">
        <v>2069</v>
      </c>
      <c r="C229" t="s">
        <v>2070</v>
      </c>
      <c r="D229" t="s">
        <v>4770</v>
      </c>
      <c r="E229" t="s">
        <v>68</v>
      </c>
      <c r="F229" t="s">
        <v>49</v>
      </c>
      <c r="G229">
        <v>10300</v>
      </c>
      <c r="H229" s="22">
        <v>1.4741695181738151E-3</v>
      </c>
      <c r="I229" s="16">
        <v>15.183946037190296</v>
      </c>
      <c r="J229" s="56" t="s">
        <v>5694</v>
      </c>
      <c r="K229" s="56" t="s">
        <v>5600</v>
      </c>
      <c r="L229">
        <v>3</v>
      </c>
      <c r="M229" s="31">
        <f>ProductionOrdersByItem_Display[[#This Row],[ProductionHour]]/r_TotalProductionHour</f>
        <v>8.2030991040967366E-3</v>
      </c>
      <c r="N229" s="26">
        <f>ProductionOrdersByItem_Display[[#This Row],[RMQty]]-ProductionOrdersByItem_Display[[#This Row],[RMRequired]]</f>
        <v>96</v>
      </c>
    </row>
    <row r="230" spans="1:14" hidden="1" x14ac:dyDescent="0.2">
      <c r="A230" t="s">
        <v>16</v>
      </c>
      <c r="B230" t="s">
        <v>621</v>
      </c>
      <c r="C230" t="s">
        <v>622</v>
      </c>
      <c r="D230" t="s">
        <v>4746</v>
      </c>
      <c r="E230" t="s">
        <v>68</v>
      </c>
      <c r="F230" t="s">
        <v>49</v>
      </c>
      <c r="G230">
        <v>180</v>
      </c>
      <c r="H230" s="22">
        <v>2.5971860709509864E-3</v>
      </c>
      <c r="I230" s="16">
        <v>0.46749349277117758</v>
      </c>
      <c r="J230" s="56" t="s">
        <v>5647</v>
      </c>
      <c r="K230" s="56" t="s">
        <v>5600</v>
      </c>
      <c r="L230">
        <v>3</v>
      </c>
      <c r="M230" s="31">
        <f>ProductionOrdersByItem_Display[[#This Row],[ProductionHour]]/r_TotalProductionHour</f>
        <v>2.525625053151155E-4</v>
      </c>
      <c r="N230" s="26">
        <f>ProductionOrdersByItem_Display[[#This Row],[RMQty]]-ProductionOrdersByItem_Display[[#This Row],[RMRequired]]</f>
        <v>92</v>
      </c>
    </row>
    <row r="231" spans="1:14" hidden="1" x14ac:dyDescent="0.2">
      <c r="A231" t="s">
        <v>16</v>
      </c>
      <c r="B231" t="s">
        <v>431</v>
      </c>
      <c r="C231" t="s">
        <v>5268</v>
      </c>
      <c r="D231" t="s">
        <v>4746</v>
      </c>
      <c r="E231" t="s">
        <v>68</v>
      </c>
      <c r="F231" t="s">
        <v>49</v>
      </c>
      <c r="G231">
        <v>1000</v>
      </c>
      <c r="H231" s="22">
        <v>1.6731152081710381E-3</v>
      </c>
      <c r="I231" s="16">
        <v>1.6731152081710381</v>
      </c>
      <c r="J231" s="56" t="s">
        <v>5735</v>
      </c>
      <c r="K231" s="56" t="s">
        <v>5600</v>
      </c>
      <c r="L231">
        <v>3</v>
      </c>
      <c r="M231" s="31">
        <f>ProductionOrdersByItem_Display[[#This Row],[ProductionHour]]/r_TotalProductionHour</f>
        <v>9.0389743427579726E-4</v>
      </c>
      <c r="N231" s="26">
        <f>ProductionOrdersByItem_Display[[#This Row],[RMQty]]-ProductionOrdersByItem_Display[[#This Row],[RMRequired]]</f>
        <v>106</v>
      </c>
    </row>
    <row r="232" spans="1:14" hidden="1" x14ac:dyDescent="0.2">
      <c r="A232" t="s">
        <v>16</v>
      </c>
      <c r="B232" t="s">
        <v>830</v>
      </c>
      <c r="C232" t="s">
        <v>831</v>
      </c>
      <c r="D232" t="s">
        <v>4753</v>
      </c>
      <c r="E232" t="s">
        <v>68</v>
      </c>
      <c r="F232" t="s">
        <v>49</v>
      </c>
      <c r="G232">
        <v>1750</v>
      </c>
      <c r="H232" s="22">
        <v>1.6664142716879399E-3</v>
      </c>
      <c r="I232" s="16">
        <v>2.9162249754538947</v>
      </c>
      <c r="J232" s="56" t="s">
        <v>5826</v>
      </c>
      <c r="K232" s="56" t="s">
        <v>5600</v>
      </c>
      <c r="L232">
        <v>3</v>
      </c>
      <c r="M232" s="31">
        <f>ProductionOrdersByItem_Display[[#This Row],[ProductionHour]]/r_TotalProductionHour</f>
        <v>1.5754852147720764E-3</v>
      </c>
      <c r="N232" s="26">
        <f>ProductionOrdersByItem_Display[[#This Row],[RMQty]]-ProductionOrdersByItem_Display[[#This Row],[RMRequired]]</f>
        <v>105</v>
      </c>
    </row>
    <row r="233" spans="1:14" hidden="1" x14ac:dyDescent="0.2">
      <c r="A233" t="s">
        <v>16</v>
      </c>
      <c r="B233" t="s">
        <v>663</v>
      </c>
      <c r="C233" t="s">
        <v>5344</v>
      </c>
      <c r="D233" t="s">
        <v>4746</v>
      </c>
      <c r="E233" t="s">
        <v>68</v>
      </c>
      <c r="F233" t="s">
        <v>49</v>
      </c>
      <c r="G233">
        <v>200</v>
      </c>
      <c r="H233" s="22">
        <v>1.098094150766354E-3</v>
      </c>
      <c r="I233" s="16">
        <v>0.2196188301532708</v>
      </c>
      <c r="J233" s="56" t="s">
        <v>4759</v>
      </c>
      <c r="K233" s="56" t="s">
        <v>5600</v>
      </c>
      <c r="L233">
        <v>3</v>
      </c>
      <c r="M233" s="31">
        <f>ProductionOrdersByItem_Display[[#This Row],[ProductionHour]]/r_TotalProductionHour</f>
        <v>1.1864867172607765E-4</v>
      </c>
      <c r="N233" s="26">
        <f>ProductionOrdersByItem_Display[[#This Row],[RMQty]]-ProductionOrdersByItem_Display[[#This Row],[RMRequired]]</f>
        <v>109</v>
      </c>
    </row>
    <row r="234" spans="1:14" hidden="1" x14ac:dyDescent="0.2">
      <c r="A234" t="s">
        <v>16</v>
      </c>
      <c r="B234" t="s">
        <v>2036</v>
      </c>
      <c r="C234" t="s">
        <v>4953</v>
      </c>
      <c r="D234" t="s">
        <v>4753</v>
      </c>
      <c r="E234" t="s">
        <v>68</v>
      </c>
      <c r="F234" t="s">
        <v>49</v>
      </c>
      <c r="G234">
        <v>300</v>
      </c>
      <c r="H234" s="22">
        <v>1.6443772288234702E-3</v>
      </c>
      <c r="I234" s="16">
        <v>0.49331316864704106</v>
      </c>
      <c r="J234" s="56" t="s">
        <v>5670</v>
      </c>
      <c r="K234" s="56" t="s">
        <v>5600</v>
      </c>
      <c r="L234">
        <v>3</v>
      </c>
      <c r="M234" s="31">
        <f>ProductionOrdersByItem_Display[[#This Row],[ProductionHour]]/r_TotalProductionHour</f>
        <v>2.6651153803207824E-4</v>
      </c>
      <c r="N234" s="26">
        <f>ProductionOrdersByItem_Display[[#This Row],[RMQty]]-ProductionOrdersByItem_Display[[#This Row],[RMRequired]]</f>
        <v>93</v>
      </c>
    </row>
    <row r="235" spans="1:14" hidden="1" x14ac:dyDescent="0.2">
      <c r="A235" t="s">
        <v>16</v>
      </c>
      <c r="B235" t="s">
        <v>408</v>
      </c>
      <c r="C235" t="s">
        <v>409</v>
      </c>
      <c r="D235" t="s">
        <v>4746</v>
      </c>
      <c r="E235" t="s">
        <v>68</v>
      </c>
      <c r="F235" t="s">
        <v>49</v>
      </c>
      <c r="G235">
        <v>1620</v>
      </c>
      <c r="H235" s="22">
        <v>1.2574525575686283E-3</v>
      </c>
      <c r="I235" s="16">
        <v>2.0370731432611779</v>
      </c>
      <c r="J235" s="56" t="s">
        <v>5694</v>
      </c>
      <c r="K235" s="56" t="s">
        <v>5600</v>
      </c>
      <c r="L235">
        <v>3</v>
      </c>
      <c r="M235" s="31">
        <f>ProductionOrdersByItem_Display[[#This Row],[ProductionHour]]/r_TotalProductionHour</f>
        <v>1.1005250437229189E-3</v>
      </c>
      <c r="N235" s="26">
        <f>ProductionOrdersByItem_Display[[#This Row],[RMQty]]-ProductionOrdersByItem_Display[[#This Row],[RMRequired]]</f>
        <v>96</v>
      </c>
    </row>
    <row r="236" spans="1:14" hidden="1" x14ac:dyDescent="0.2">
      <c r="A236" t="s">
        <v>16</v>
      </c>
      <c r="B236" t="s">
        <v>889</v>
      </c>
      <c r="C236" t="s">
        <v>5411</v>
      </c>
      <c r="D236" t="s">
        <v>4746</v>
      </c>
      <c r="E236" t="s">
        <v>68</v>
      </c>
      <c r="F236" t="s">
        <v>49</v>
      </c>
      <c r="G236">
        <v>480</v>
      </c>
      <c r="H236" s="22">
        <v>7.0192121490088159E-4</v>
      </c>
      <c r="I236" s="16">
        <v>0.33692218315242317</v>
      </c>
      <c r="J236" s="56" t="s">
        <v>5633</v>
      </c>
      <c r="K236" s="56" t="s">
        <v>5607</v>
      </c>
      <c r="L236">
        <v>3</v>
      </c>
      <c r="M236" s="31">
        <f>ProductionOrdersByItem_Display[[#This Row],[ProductionHour]]/r_TotalProductionHour</f>
        <v>1.8202159385962793E-4</v>
      </c>
      <c r="N236" s="26">
        <f>ProductionOrdersByItem_Display[[#This Row],[RMQty]]-ProductionOrdersByItem_Display[[#This Row],[RMRequired]]</f>
        <v>108</v>
      </c>
    </row>
    <row r="237" spans="1:14" hidden="1" x14ac:dyDescent="0.2">
      <c r="A237" t="s">
        <v>16</v>
      </c>
      <c r="B237" t="s">
        <v>2035</v>
      </c>
      <c r="C237" t="s">
        <v>2034</v>
      </c>
      <c r="D237" t="s">
        <v>4753</v>
      </c>
      <c r="E237" t="s">
        <v>68</v>
      </c>
      <c r="F237" t="s">
        <v>49</v>
      </c>
      <c r="G237">
        <v>12800</v>
      </c>
      <c r="H237" s="22">
        <v>1.441957676671102E-3</v>
      </c>
      <c r="I237" s="16">
        <v>18.457058261390106</v>
      </c>
      <c r="J237" s="56" t="s">
        <v>5698</v>
      </c>
      <c r="K237" s="56" t="s">
        <v>5600</v>
      </c>
      <c r="L237">
        <v>3</v>
      </c>
      <c r="M237" s="31">
        <f>ProductionOrdersByItem_Display[[#This Row],[ProductionHour]]/r_TotalProductionHour</f>
        <v>9.9713920029372762E-3</v>
      </c>
      <c r="N237" s="26">
        <f>ProductionOrdersByItem_Display[[#This Row],[RMQty]]-ProductionOrdersByItem_Display[[#This Row],[RMRequired]]</f>
        <v>94</v>
      </c>
    </row>
    <row r="238" spans="1:14" hidden="1" x14ac:dyDescent="0.2">
      <c r="A238" t="s">
        <v>16</v>
      </c>
      <c r="B238" t="s">
        <v>628</v>
      </c>
      <c r="C238" t="s">
        <v>629</v>
      </c>
      <c r="D238" t="s">
        <v>4746</v>
      </c>
      <c r="E238" t="s">
        <v>68</v>
      </c>
      <c r="F238" t="s">
        <v>49</v>
      </c>
      <c r="G238">
        <v>1400</v>
      </c>
      <c r="H238" s="22">
        <v>1.8704726174464971E-3</v>
      </c>
      <c r="I238" s="16">
        <v>2.6186616644250962</v>
      </c>
      <c r="J238" s="56" t="s">
        <v>5734</v>
      </c>
      <c r="K238" s="56" t="s">
        <v>5600</v>
      </c>
      <c r="L238">
        <v>3</v>
      </c>
      <c r="M238" s="31">
        <f>ProductionOrdersByItem_Display[[#This Row],[ProductionHour]]/r_TotalProductionHour</f>
        <v>1.4147271796648812E-3</v>
      </c>
      <c r="N238" s="26">
        <f>ProductionOrdersByItem_Display[[#This Row],[RMQty]]-ProductionOrdersByItem_Display[[#This Row],[RMRequired]]</f>
        <v>108</v>
      </c>
    </row>
    <row r="239" spans="1:14" hidden="1" x14ac:dyDescent="0.2">
      <c r="A239" t="s">
        <v>16</v>
      </c>
      <c r="B239" t="s">
        <v>2073</v>
      </c>
      <c r="C239" t="s">
        <v>2074</v>
      </c>
      <c r="D239" t="s">
        <v>4753</v>
      </c>
      <c r="E239" t="s">
        <v>68</v>
      </c>
      <c r="F239" t="s">
        <v>49</v>
      </c>
      <c r="G239">
        <v>10400</v>
      </c>
      <c r="H239" s="22">
        <v>6.4942507952310254E-4</v>
      </c>
      <c r="I239" s="16">
        <v>6.7540208270402662</v>
      </c>
      <c r="J239" s="56" t="s">
        <v>5694</v>
      </c>
      <c r="K239" s="56" t="s">
        <v>5600</v>
      </c>
      <c r="L239">
        <v>3</v>
      </c>
      <c r="M239" s="31">
        <f>ProductionOrdersByItem_Display[[#This Row],[ProductionHour]]/r_TotalProductionHour</f>
        <v>3.6488474115781888E-3</v>
      </c>
      <c r="N239" s="26">
        <f>ProductionOrdersByItem_Display[[#This Row],[RMQty]]-ProductionOrdersByItem_Display[[#This Row],[RMRequired]]</f>
        <v>96</v>
      </c>
    </row>
    <row r="240" spans="1:14" hidden="1" x14ac:dyDescent="0.2">
      <c r="A240" t="s">
        <v>16</v>
      </c>
      <c r="B240" t="s">
        <v>659</v>
      </c>
      <c r="C240" t="s">
        <v>5216</v>
      </c>
      <c r="D240" t="s">
        <v>4751</v>
      </c>
      <c r="E240" t="s">
        <v>68</v>
      </c>
      <c r="F240" t="s">
        <v>49</v>
      </c>
      <c r="G240">
        <v>1260</v>
      </c>
      <c r="H240" s="22">
        <v>1.1171695190198417E-3</v>
      </c>
      <c r="I240" s="16">
        <v>1.4076335939650007</v>
      </c>
      <c r="J240" s="56" t="s">
        <v>5665</v>
      </c>
      <c r="K240" s="56" t="s">
        <v>5600</v>
      </c>
      <c r="L240">
        <v>3</v>
      </c>
      <c r="M240" s="31">
        <f>ProductionOrdersByItem_Display[[#This Row],[ProductionHour]]/r_TotalProductionHour</f>
        <v>7.6047147726082589E-4</v>
      </c>
      <c r="N240" s="26">
        <f>ProductionOrdersByItem_Display[[#This Row],[RMQty]]-ProductionOrdersByItem_Display[[#This Row],[RMRequired]]</f>
        <v>98</v>
      </c>
    </row>
    <row r="241" spans="1:14" hidden="1" x14ac:dyDescent="0.2">
      <c r="A241" t="s">
        <v>16</v>
      </c>
      <c r="B241" t="s">
        <v>644</v>
      </c>
      <c r="C241" t="s">
        <v>5418</v>
      </c>
      <c r="D241" t="s">
        <v>4753</v>
      </c>
      <c r="E241" t="s">
        <v>68</v>
      </c>
      <c r="F241" t="s">
        <v>49</v>
      </c>
      <c r="G241">
        <v>2700</v>
      </c>
      <c r="H241" s="22">
        <v>1.1995646352188729E-3</v>
      </c>
      <c r="I241" s="16">
        <v>3.2388245150909567</v>
      </c>
      <c r="J241" s="56" t="s">
        <v>5735</v>
      </c>
      <c r="K241" s="56" t="s">
        <v>5600</v>
      </c>
      <c r="L241">
        <v>3</v>
      </c>
      <c r="M241" s="31">
        <f>ProductionOrdersByItem_Display[[#This Row],[ProductionHour]]/r_TotalProductionHour</f>
        <v>1.7497690266413454E-3</v>
      </c>
      <c r="N241" s="26">
        <f>ProductionOrdersByItem_Display[[#This Row],[RMQty]]-ProductionOrdersByItem_Display[[#This Row],[RMRequired]]</f>
        <v>106</v>
      </c>
    </row>
    <row r="242" spans="1:14" hidden="1" x14ac:dyDescent="0.2">
      <c r="A242" t="s">
        <v>16</v>
      </c>
      <c r="B242" t="s">
        <v>2038</v>
      </c>
      <c r="C242" t="s">
        <v>5347</v>
      </c>
      <c r="D242" t="s">
        <v>4753</v>
      </c>
      <c r="E242" t="s">
        <v>68</v>
      </c>
      <c r="F242" t="s">
        <v>49</v>
      </c>
      <c r="G242">
        <v>5700</v>
      </c>
      <c r="H242" s="22">
        <v>1.3131644261199474E-3</v>
      </c>
      <c r="I242" s="16">
        <v>7.4850372288837006</v>
      </c>
      <c r="J242" s="56" t="s">
        <v>5745</v>
      </c>
      <c r="K242" s="56" t="s">
        <v>5600</v>
      </c>
      <c r="L242">
        <v>3</v>
      </c>
      <c r="M242" s="31">
        <f>ProductionOrdersByItem_Display[[#This Row],[ProductionHour]]/r_TotalProductionHour</f>
        <v>4.0437776870384887E-3</v>
      </c>
      <c r="N242" s="26">
        <f>ProductionOrdersByItem_Display[[#This Row],[RMQty]]-ProductionOrdersByItem_Display[[#This Row],[RMRequired]]</f>
        <v>117</v>
      </c>
    </row>
    <row r="243" spans="1:14" hidden="1" x14ac:dyDescent="0.2">
      <c r="A243" t="s">
        <v>16</v>
      </c>
      <c r="B243" t="s">
        <v>853</v>
      </c>
      <c r="C243" t="s">
        <v>5419</v>
      </c>
      <c r="D243" t="s">
        <v>4753</v>
      </c>
      <c r="E243" t="s">
        <v>68</v>
      </c>
      <c r="F243" t="s">
        <v>49</v>
      </c>
      <c r="G243">
        <v>2880</v>
      </c>
      <c r="H243" s="22">
        <v>1.1995646352188729E-3</v>
      </c>
      <c r="I243" s="16">
        <v>3.454746149430354</v>
      </c>
      <c r="J243" s="56" t="s">
        <v>5833</v>
      </c>
      <c r="K243" s="56" t="s">
        <v>5600</v>
      </c>
      <c r="L243">
        <v>3</v>
      </c>
      <c r="M243" s="31">
        <f>ProductionOrdersByItem_Display[[#This Row],[ProductionHour]]/r_TotalProductionHour</f>
        <v>1.8664202950841016E-3</v>
      </c>
      <c r="N243" s="26">
        <f>ProductionOrdersByItem_Display[[#This Row],[RMQty]]-ProductionOrdersByItem_Display[[#This Row],[RMRequired]]</f>
        <v>110</v>
      </c>
    </row>
    <row r="244" spans="1:14" hidden="1" x14ac:dyDescent="0.2">
      <c r="A244" t="s">
        <v>16</v>
      </c>
      <c r="B244" t="s">
        <v>4652</v>
      </c>
      <c r="C244" t="s">
        <v>4653</v>
      </c>
      <c r="D244" t="s">
        <v>4746</v>
      </c>
      <c r="E244" t="s">
        <v>68</v>
      </c>
      <c r="F244" t="s">
        <v>49</v>
      </c>
      <c r="G244">
        <v>100</v>
      </c>
      <c r="H244" s="22">
        <v>2.0095794287620181E-3</v>
      </c>
      <c r="I244" s="16">
        <v>0.20095794287620181</v>
      </c>
      <c r="J244" s="56" t="s">
        <v>5633</v>
      </c>
      <c r="K244" s="56" t="s">
        <v>5600</v>
      </c>
      <c r="L244">
        <v>3</v>
      </c>
      <c r="M244" s="31">
        <f>ProductionOrdersByItem_Display[[#This Row],[ProductionHour]]/r_TotalProductionHour</f>
        <v>1.0856716146983462E-4</v>
      </c>
      <c r="N244" s="26">
        <f>ProductionOrdersByItem_Display[[#This Row],[RMQty]]-ProductionOrdersByItem_Display[[#This Row],[RMRequired]]</f>
        <v>118</v>
      </c>
    </row>
    <row r="245" spans="1:14" hidden="1" x14ac:dyDescent="0.2">
      <c r="A245" t="s">
        <v>16</v>
      </c>
      <c r="B245" t="s">
        <v>576</v>
      </c>
      <c r="C245" t="s">
        <v>891</v>
      </c>
      <c r="D245" t="s">
        <v>4746</v>
      </c>
      <c r="E245" t="s">
        <v>68</v>
      </c>
      <c r="F245" t="s">
        <v>49</v>
      </c>
      <c r="G245">
        <v>240</v>
      </c>
      <c r="H245" s="22">
        <v>1.5379289959239553E-3</v>
      </c>
      <c r="I245" s="16">
        <v>0.36910295902174928</v>
      </c>
      <c r="J245" s="56" t="s">
        <v>5734</v>
      </c>
      <c r="K245" s="56" t="s">
        <v>5600</v>
      </c>
      <c r="L245">
        <v>3</v>
      </c>
      <c r="M245" s="31">
        <f>ProductionOrdersByItem_Display[[#This Row],[ProductionHour]]/r_TotalProductionHour</f>
        <v>1.994071992257318E-4</v>
      </c>
      <c r="N245" s="26">
        <f>ProductionOrdersByItem_Display[[#This Row],[RMQty]]-ProductionOrdersByItem_Display[[#This Row],[RMRequired]]</f>
        <v>108</v>
      </c>
    </row>
    <row r="246" spans="1:14" hidden="1" x14ac:dyDescent="0.2">
      <c r="A246" t="s">
        <v>16</v>
      </c>
      <c r="B246" t="s">
        <v>908</v>
      </c>
      <c r="C246" t="s">
        <v>4845</v>
      </c>
      <c r="D246" t="s">
        <v>4753</v>
      </c>
      <c r="E246" t="s">
        <v>68</v>
      </c>
      <c r="F246" t="s">
        <v>49</v>
      </c>
      <c r="G246">
        <v>190</v>
      </c>
      <c r="H246" s="22">
        <v>1.0065594351586151E-3</v>
      </c>
      <c r="I246" s="16">
        <v>0.19124629268013685</v>
      </c>
      <c r="J246" s="56" t="s">
        <v>5653</v>
      </c>
      <c r="K246" s="56" t="s">
        <v>5600</v>
      </c>
      <c r="L246">
        <v>3</v>
      </c>
      <c r="M246" s="31">
        <f>ProductionOrdersByItem_Display[[#This Row],[ProductionHour]]/r_TotalProductionHour</f>
        <v>1.0332046019550744E-4</v>
      </c>
      <c r="N246" s="26">
        <f>ProductionOrdersByItem_Display[[#This Row],[RMQty]]-ProductionOrdersByItem_Display[[#This Row],[RMRequired]]</f>
        <v>99</v>
      </c>
    </row>
    <row r="247" spans="1:14" hidden="1" x14ac:dyDescent="0.2">
      <c r="A247" t="s">
        <v>16</v>
      </c>
      <c r="B247" t="s">
        <v>3429</v>
      </c>
      <c r="C247" t="s">
        <v>4944</v>
      </c>
      <c r="D247" t="s">
        <v>4753</v>
      </c>
      <c r="E247" t="s">
        <v>68</v>
      </c>
      <c r="F247" t="s">
        <v>49</v>
      </c>
      <c r="G247">
        <v>935</v>
      </c>
      <c r="H247" s="22">
        <v>1.240134563743398E-3</v>
      </c>
      <c r="I247" s="16">
        <v>1.1595258171000771</v>
      </c>
      <c r="J247" s="56" t="s">
        <v>4766</v>
      </c>
      <c r="K247" s="56" t="s">
        <v>5600</v>
      </c>
      <c r="L247">
        <v>3</v>
      </c>
      <c r="M247" s="31">
        <f>ProductionOrdersByItem_Display[[#This Row],[ProductionHour]]/r_TotalProductionHour</f>
        <v>6.2643170412575878E-4</v>
      </c>
      <c r="N247" s="26">
        <f>ProductionOrdersByItem_Display[[#This Row],[RMQty]]-ProductionOrdersByItem_Display[[#This Row],[RMRequired]]</f>
        <v>107</v>
      </c>
    </row>
    <row r="248" spans="1:14" hidden="1" x14ac:dyDescent="0.2">
      <c r="A248" t="s">
        <v>16</v>
      </c>
      <c r="B248" t="s">
        <v>5981</v>
      </c>
      <c r="C248" t="s">
        <v>5982</v>
      </c>
      <c r="D248" t="s">
        <v>4778</v>
      </c>
      <c r="E248" t="s">
        <v>68</v>
      </c>
      <c r="F248" t="s">
        <v>49</v>
      </c>
      <c r="G248">
        <v>1020</v>
      </c>
      <c r="H248" s="22">
        <v>1.684401412180666E-3</v>
      </c>
      <c r="I248" s="16">
        <v>1.7180894404242792</v>
      </c>
      <c r="J248" s="56" t="s">
        <v>5745</v>
      </c>
      <c r="K248" s="56" t="s">
        <v>5600</v>
      </c>
      <c r="L248">
        <v>3</v>
      </c>
      <c r="M248" s="31">
        <f>ProductionOrdersByItem_Display[[#This Row],[ProductionHour]]/r_TotalProductionHour</f>
        <v>9.2819468107846503E-4</v>
      </c>
      <c r="N248" s="26">
        <f>ProductionOrdersByItem_Display[[#This Row],[RMQty]]-ProductionOrdersByItem_Display[[#This Row],[RMRequired]]</f>
        <v>117</v>
      </c>
    </row>
    <row r="249" spans="1:14" hidden="1" x14ac:dyDescent="0.2">
      <c r="A249" t="s">
        <v>16</v>
      </c>
      <c r="B249" t="s">
        <v>399</v>
      </c>
      <c r="C249" t="s">
        <v>400</v>
      </c>
      <c r="D249" t="s">
        <v>4747</v>
      </c>
      <c r="E249" t="s">
        <v>68</v>
      </c>
      <c r="F249" t="s">
        <v>49</v>
      </c>
      <c r="G249">
        <v>10260</v>
      </c>
      <c r="H249" s="22">
        <v>1.2043937492364249E-3</v>
      </c>
      <c r="I249" s="16">
        <v>12.357079867165719</v>
      </c>
      <c r="J249" s="56" t="s">
        <v>5704</v>
      </c>
      <c r="K249" s="56" t="s">
        <v>5600</v>
      </c>
      <c r="L249">
        <v>2</v>
      </c>
      <c r="M249" s="31">
        <f>ProductionOrdersByItem_Display[[#This Row],[ProductionHour]]/r_TotalProductionHour</f>
        <v>6.6758898206909206E-3</v>
      </c>
      <c r="N249" s="26">
        <f>ProductionOrdersByItem_Display[[#This Row],[RMQty]]-ProductionOrdersByItem_Display[[#This Row],[RMRequired]]</f>
        <v>45</v>
      </c>
    </row>
    <row r="250" spans="1:14" hidden="1" x14ac:dyDescent="0.2">
      <c r="A250" t="s">
        <v>16</v>
      </c>
      <c r="B250" t="s">
        <v>2071</v>
      </c>
      <c r="C250" t="s">
        <v>2072</v>
      </c>
      <c r="D250" t="s">
        <v>4770</v>
      </c>
      <c r="E250" t="s">
        <v>68</v>
      </c>
      <c r="F250" t="s">
        <v>49</v>
      </c>
      <c r="G250">
        <v>10300</v>
      </c>
      <c r="H250" s="22">
        <v>1.6884552324595292E-3</v>
      </c>
      <c r="I250" s="16">
        <v>17.391088894333151</v>
      </c>
      <c r="J250" s="56" t="s">
        <v>5983</v>
      </c>
      <c r="K250" s="56" t="s">
        <v>5600</v>
      </c>
      <c r="L250">
        <v>2</v>
      </c>
      <c r="M250" s="31">
        <f>ProductionOrdersByItem_Display[[#This Row],[ProductionHour]]/r_TotalProductionHour</f>
        <v>9.3955040000108948E-3</v>
      </c>
      <c r="N250" s="26">
        <f>ProductionOrdersByItem_Display[[#This Row],[RMQty]]-ProductionOrdersByItem_Display[[#This Row],[RMRequired]]</f>
        <v>46</v>
      </c>
    </row>
    <row r="251" spans="1:14" hidden="1" x14ac:dyDescent="0.2">
      <c r="A251" t="s">
        <v>16</v>
      </c>
      <c r="B251" t="s">
        <v>4589</v>
      </c>
      <c r="C251" t="s">
        <v>4590</v>
      </c>
      <c r="D251" t="s">
        <v>4750</v>
      </c>
      <c r="E251" t="s">
        <v>68</v>
      </c>
      <c r="F251" t="s">
        <v>49</v>
      </c>
      <c r="G251">
        <v>50</v>
      </c>
      <c r="H251" s="22">
        <v>3.3703487351002988E-3</v>
      </c>
      <c r="I251" s="16">
        <v>0.16851743675501493</v>
      </c>
      <c r="J251" s="56" t="s">
        <v>5685</v>
      </c>
      <c r="K251" s="56" t="s">
        <v>5607</v>
      </c>
      <c r="L251">
        <v>2</v>
      </c>
      <c r="M251" s="31">
        <f>ProductionOrdersByItem_Display[[#This Row],[ProductionHour]]/r_TotalProductionHour</f>
        <v>9.1041237309714547E-5</v>
      </c>
      <c r="N251" s="26">
        <f>ProductionOrdersByItem_Display[[#This Row],[RMQty]]-ProductionOrdersByItem_Display[[#This Row],[RMRequired]]</f>
        <v>73</v>
      </c>
    </row>
    <row r="252" spans="1:14" hidden="1" x14ac:dyDescent="0.2">
      <c r="A252" t="s">
        <v>16</v>
      </c>
      <c r="B252" t="s">
        <v>890</v>
      </c>
      <c r="C252" t="s">
        <v>5412</v>
      </c>
      <c r="D252" t="s">
        <v>4746</v>
      </c>
      <c r="E252" t="s">
        <v>68</v>
      </c>
      <c r="F252" t="s">
        <v>49</v>
      </c>
      <c r="G252">
        <v>500</v>
      </c>
      <c r="H252" s="22">
        <v>5.9959046391798475E-4</v>
      </c>
      <c r="I252" s="16">
        <v>0.29979523195899238</v>
      </c>
      <c r="J252" s="56" t="s">
        <v>4759</v>
      </c>
      <c r="K252" s="56" t="s">
        <v>5607</v>
      </c>
      <c r="L252">
        <v>2</v>
      </c>
      <c r="M252" s="31">
        <f>ProductionOrdersByItem_Display[[#This Row],[ProductionHour]]/r_TotalProductionHour</f>
        <v>1.6196382631180335E-4</v>
      </c>
      <c r="N252" s="26">
        <f>ProductionOrdersByItem_Display[[#This Row],[RMQty]]-ProductionOrdersByItem_Display[[#This Row],[RMRequired]]</f>
        <v>99</v>
      </c>
    </row>
    <row r="253" spans="1:14" hidden="1" x14ac:dyDescent="0.2">
      <c r="A253" t="s">
        <v>16</v>
      </c>
      <c r="B253" t="s">
        <v>554</v>
      </c>
      <c r="C253" t="s">
        <v>555</v>
      </c>
      <c r="D253" t="s">
        <v>4746</v>
      </c>
      <c r="E253" t="s">
        <v>68</v>
      </c>
      <c r="F253" t="s">
        <v>49</v>
      </c>
      <c r="G253">
        <v>770</v>
      </c>
      <c r="H253" s="22">
        <v>2.5973056249982101E-3</v>
      </c>
      <c r="I253" s="16">
        <v>1.9999253312486218</v>
      </c>
      <c r="J253" s="56" t="s">
        <v>4805</v>
      </c>
      <c r="K253" s="56" t="s">
        <v>5600</v>
      </c>
      <c r="L253">
        <v>2</v>
      </c>
      <c r="M253" s="31">
        <f>ProductionOrdersByItem_Display[[#This Row],[ProductionHour]]/r_TotalProductionHour</f>
        <v>1.0804560061556767E-3</v>
      </c>
      <c r="N253" s="26">
        <f>ProductionOrdersByItem_Display[[#This Row],[RMQty]]-ProductionOrdersByItem_Display[[#This Row],[RMRequired]]</f>
        <v>59</v>
      </c>
    </row>
    <row r="254" spans="1:14" hidden="1" x14ac:dyDescent="0.2">
      <c r="A254" t="s">
        <v>16</v>
      </c>
      <c r="B254" t="s">
        <v>299</v>
      </c>
      <c r="C254" t="s">
        <v>330</v>
      </c>
      <c r="D254" t="s">
        <v>4746</v>
      </c>
      <c r="E254" t="s">
        <v>68</v>
      </c>
      <c r="F254" t="s">
        <v>49</v>
      </c>
      <c r="G254">
        <v>480</v>
      </c>
      <c r="H254" s="22">
        <v>1.5128539408078311E-3</v>
      </c>
      <c r="I254" s="16">
        <v>0.72616989158775891</v>
      </c>
      <c r="J254" s="56" t="s">
        <v>4761</v>
      </c>
      <c r="K254" s="56" t="s">
        <v>5600</v>
      </c>
      <c r="L254">
        <v>2</v>
      </c>
      <c r="M254" s="31">
        <f>ProductionOrdersByItem_Display[[#This Row],[ProductionHour]]/r_TotalProductionHour</f>
        <v>3.9231195714970087E-4</v>
      </c>
      <c r="N254" s="26">
        <f>ProductionOrdersByItem_Display[[#This Row],[RMQty]]-ProductionOrdersByItem_Display[[#This Row],[RMRequired]]</f>
        <v>78</v>
      </c>
    </row>
    <row r="255" spans="1:14" hidden="1" x14ac:dyDescent="0.2">
      <c r="A255" t="s">
        <v>16</v>
      </c>
      <c r="B255" t="s">
        <v>657</v>
      </c>
      <c r="C255" t="s">
        <v>658</v>
      </c>
      <c r="D255" t="s">
        <v>4750</v>
      </c>
      <c r="E255" t="s">
        <v>68</v>
      </c>
      <c r="F255" t="s">
        <v>49</v>
      </c>
      <c r="G255">
        <v>400</v>
      </c>
      <c r="H255" s="22">
        <v>1.6589521871820958E-3</v>
      </c>
      <c r="I255" s="16">
        <v>0.66358087487283834</v>
      </c>
      <c r="J255" s="56" t="s">
        <v>5738</v>
      </c>
      <c r="K255" s="56" t="s">
        <v>5600</v>
      </c>
      <c r="L255">
        <v>2</v>
      </c>
      <c r="M255" s="31">
        <f>ProductionOrdersByItem_Display[[#This Row],[ProductionHour]]/r_TotalProductionHour</f>
        <v>3.5849835522547627E-4</v>
      </c>
      <c r="N255" s="26">
        <f>ProductionOrdersByItem_Display[[#This Row],[RMQty]]-ProductionOrdersByItem_Display[[#This Row],[RMRequired]]</f>
        <v>63</v>
      </c>
    </row>
    <row r="256" spans="1:14" hidden="1" x14ac:dyDescent="0.2">
      <c r="A256" t="s">
        <v>16</v>
      </c>
      <c r="B256" t="s">
        <v>4259</v>
      </c>
      <c r="C256" t="s">
        <v>4881</v>
      </c>
      <c r="D256" t="s">
        <v>4746</v>
      </c>
      <c r="E256" t="s">
        <v>68</v>
      </c>
      <c r="F256" t="s">
        <v>49</v>
      </c>
      <c r="G256">
        <v>300</v>
      </c>
      <c r="H256" s="22">
        <v>1.0669274478072603E-3</v>
      </c>
      <c r="I256" s="16">
        <v>0.32007823434217808</v>
      </c>
      <c r="J256" s="56" t="s">
        <v>4805</v>
      </c>
      <c r="K256" s="56" t="s">
        <v>5600</v>
      </c>
      <c r="L256">
        <v>2</v>
      </c>
      <c r="M256" s="31">
        <f>ProductionOrdersByItem_Display[[#This Row],[ProductionHour]]/r_TotalProductionHour</f>
        <v>1.7292168129036931E-4</v>
      </c>
      <c r="N256" s="26">
        <f>ProductionOrdersByItem_Display[[#This Row],[RMQty]]-ProductionOrdersByItem_Display[[#This Row],[RMRequired]]</f>
        <v>59</v>
      </c>
    </row>
    <row r="257" spans="1:14" hidden="1" x14ac:dyDescent="0.2">
      <c r="A257" t="s">
        <v>16</v>
      </c>
      <c r="B257" t="s">
        <v>811</v>
      </c>
      <c r="C257" t="s">
        <v>5460</v>
      </c>
      <c r="D257" t="s">
        <v>4750</v>
      </c>
      <c r="E257" t="s">
        <v>68</v>
      </c>
      <c r="F257" t="s">
        <v>49</v>
      </c>
      <c r="G257">
        <v>1330</v>
      </c>
      <c r="H257" s="22">
        <v>1.2541252842669386E-3</v>
      </c>
      <c r="I257" s="16">
        <v>1.6679866280750284</v>
      </c>
      <c r="J257" s="56" t="s">
        <v>4815</v>
      </c>
      <c r="K257" s="56" t="s">
        <v>5600</v>
      </c>
      <c r="L257">
        <v>2</v>
      </c>
      <c r="M257" s="31">
        <f>ProductionOrdersByItem_Display[[#This Row],[ProductionHour]]/r_TotalProductionHour</f>
        <v>9.0112672824932546E-4</v>
      </c>
      <c r="N257" s="26">
        <f>ProductionOrdersByItem_Display[[#This Row],[RMQty]]-ProductionOrdersByItem_Display[[#This Row],[RMRequired]]</f>
        <v>79</v>
      </c>
    </row>
    <row r="258" spans="1:14" hidden="1" x14ac:dyDescent="0.2">
      <c r="A258" t="s">
        <v>16</v>
      </c>
      <c r="B258" t="s">
        <v>624</v>
      </c>
      <c r="C258" t="s">
        <v>625</v>
      </c>
      <c r="D258" t="s">
        <v>4747</v>
      </c>
      <c r="E258" t="s">
        <v>68</v>
      </c>
      <c r="F258" t="s">
        <v>49</v>
      </c>
      <c r="G258">
        <v>6120</v>
      </c>
      <c r="H258" s="22">
        <v>9.1770496828410229E-4</v>
      </c>
      <c r="I258" s="16">
        <v>5.616354405898706</v>
      </c>
      <c r="J258" s="56" t="s">
        <v>5664</v>
      </c>
      <c r="K258" s="56" t="s">
        <v>5600</v>
      </c>
      <c r="L258">
        <v>2</v>
      </c>
      <c r="M258" s="31">
        <f>ProductionOrdersByItem_Display[[#This Row],[ProductionHour]]/r_TotalProductionHour</f>
        <v>3.0342252061798499E-3</v>
      </c>
      <c r="N258" s="26">
        <f>ProductionOrdersByItem_Display[[#This Row],[RMQty]]-ProductionOrdersByItem_Display[[#This Row],[RMRequired]]</f>
        <v>66</v>
      </c>
    </row>
    <row r="259" spans="1:14" hidden="1" x14ac:dyDescent="0.2">
      <c r="A259" t="s">
        <v>16</v>
      </c>
      <c r="B259" t="s">
        <v>882</v>
      </c>
      <c r="C259" t="s">
        <v>5457</v>
      </c>
      <c r="D259" t="s">
        <v>4753</v>
      </c>
      <c r="E259" t="s">
        <v>68</v>
      </c>
      <c r="F259" t="s">
        <v>49</v>
      </c>
      <c r="G259">
        <v>13250</v>
      </c>
      <c r="H259" s="22">
        <v>1.4214294944674486E-3</v>
      </c>
      <c r="I259" s="16">
        <v>18.833940801693693</v>
      </c>
      <c r="J259" s="56" t="s">
        <v>4761</v>
      </c>
      <c r="K259" s="56" t="s">
        <v>5600</v>
      </c>
      <c r="L259">
        <v>2</v>
      </c>
      <c r="M259" s="31">
        <f>ProductionOrdersByItem_Display[[#This Row],[ProductionHour]]/r_TotalProductionHour</f>
        <v>1.0175002106736495E-2</v>
      </c>
      <c r="N259" s="26">
        <f>ProductionOrdersByItem_Display[[#This Row],[RMQty]]-ProductionOrdersByItem_Display[[#This Row],[RMRequired]]</f>
        <v>78</v>
      </c>
    </row>
    <row r="260" spans="1:14" hidden="1" x14ac:dyDescent="0.2">
      <c r="A260" t="s">
        <v>16</v>
      </c>
      <c r="B260" t="s">
        <v>358</v>
      </c>
      <c r="C260" t="s">
        <v>359</v>
      </c>
      <c r="D260" t="s">
        <v>4750</v>
      </c>
      <c r="E260" t="s">
        <v>68</v>
      </c>
      <c r="F260" t="s">
        <v>49</v>
      </c>
      <c r="G260">
        <v>1680</v>
      </c>
      <c r="H260" s="22">
        <v>3.0705481883005837E-3</v>
      </c>
      <c r="I260" s="16">
        <v>5.1585209563449803</v>
      </c>
      <c r="J260" s="56" t="s">
        <v>5703</v>
      </c>
      <c r="K260" s="56" t="s">
        <v>5600</v>
      </c>
      <c r="L260">
        <v>2</v>
      </c>
      <c r="M260" s="31">
        <f>ProductionOrdersByItem_Display[[#This Row],[ProductionHour]]/r_TotalProductionHour</f>
        <v>2.7868815215631565E-3</v>
      </c>
      <c r="N260" s="26">
        <f>ProductionOrdersByItem_Display[[#This Row],[RMQty]]-ProductionOrdersByItem_Display[[#This Row],[RMRequired]]</f>
        <v>74</v>
      </c>
    </row>
    <row r="261" spans="1:14" hidden="1" x14ac:dyDescent="0.2">
      <c r="A261" t="s">
        <v>16</v>
      </c>
      <c r="B261" t="s">
        <v>5680</v>
      </c>
      <c r="C261" t="s">
        <v>5681</v>
      </c>
      <c r="D261" t="s">
        <v>4775</v>
      </c>
      <c r="E261" t="s">
        <v>68</v>
      </c>
      <c r="F261" t="s">
        <v>49</v>
      </c>
      <c r="G261">
        <v>4560</v>
      </c>
      <c r="H261" s="22">
        <v>2.0163706765916711E-3</v>
      </c>
      <c r="I261" s="16">
        <v>9.194650285258021</v>
      </c>
      <c r="J261" s="56" t="s">
        <v>4805</v>
      </c>
      <c r="K261" s="56" t="s">
        <v>5600</v>
      </c>
      <c r="L261">
        <v>2</v>
      </c>
      <c r="M261" s="31">
        <f>ProductionOrdersByItem_Display[[#This Row],[ProductionHour]]/r_TotalProductionHour</f>
        <v>4.9673930171211132E-3</v>
      </c>
      <c r="N261" s="26">
        <f>ProductionOrdersByItem_Display[[#This Row],[RMQty]]-ProductionOrdersByItem_Display[[#This Row],[RMRequired]]</f>
        <v>59</v>
      </c>
    </row>
    <row r="262" spans="1:14" hidden="1" x14ac:dyDescent="0.2">
      <c r="A262" t="s">
        <v>16</v>
      </c>
      <c r="B262" t="s">
        <v>921</v>
      </c>
      <c r="C262" t="s">
        <v>922</v>
      </c>
      <c r="D262" t="s">
        <v>4745</v>
      </c>
      <c r="E262" t="s">
        <v>68</v>
      </c>
      <c r="F262" t="s">
        <v>49</v>
      </c>
      <c r="G262">
        <v>1080</v>
      </c>
      <c r="H262" s="22">
        <v>1.9871470205272035E-3</v>
      </c>
      <c r="I262" s="16">
        <v>2.1461187821693799</v>
      </c>
      <c r="J262" s="56" t="s">
        <v>5836</v>
      </c>
      <c r="K262" s="56" t="s">
        <v>5600</v>
      </c>
      <c r="L262">
        <v>2</v>
      </c>
      <c r="M262" s="31">
        <f>ProductionOrdersByItem_Display[[#This Row],[ProductionHour]]/r_TotalProductionHour</f>
        <v>1.1594367509064525E-3</v>
      </c>
      <c r="N262" s="26">
        <f>ProductionOrdersByItem_Display[[#This Row],[RMQty]]-ProductionOrdersByItem_Display[[#This Row],[RMRequired]]</f>
        <v>75</v>
      </c>
    </row>
    <row r="263" spans="1:14" hidden="1" x14ac:dyDescent="0.2">
      <c r="A263" t="s">
        <v>16</v>
      </c>
      <c r="B263" t="s">
        <v>838</v>
      </c>
      <c r="C263" t="s">
        <v>4864</v>
      </c>
      <c r="D263" t="s">
        <v>4748</v>
      </c>
      <c r="E263" t="s">
        <v>68</v>
      </c>
      <c r="F263" t="s">
        <v>49</v>
      </c>
      <c r="G263">
        <v>900</v>
      </c>
      <c r="H263" s="22">
        <v>7.8811082786033537E-4</v>
      </c>
      <c r="I263" s="16">
        <v>0.70929974507430182</v>
      </c>
      <c r="J263" s="56" t="s">
        <v>5705</v>
      </c>
      <c r="K263" s="56" t="s">
        <v>5600</v>
      </c>
      <c r="L263">
        <v>2</v>
      </c>
      <c r="M263" s="31">
        <f>ProductionOrdersByItem_Display[[#This Row],[ProductionHour]]/r_TotalProductionHour</f>
        <v>3.8319789131914761E-4</v>
      </c>
      <c r="N263" s="26">
        <f>ProductionOrdersByItem_Display[[#This Row],[RMQty]]-ProductionOrdersByItem_Display[[#This Row],[RMRequired]]</f>
        <v>76</v>
      </c>
    </row>
    <row r="264" spans="1:14" hidden="1" x14ac:dyDescent="0.2">
      <c r="A264" t="s">
        <v>16</v>
      </c>
      <c r="B264" t="s">
        <v>216</v>
      </c>
      <c r="C264" t="s">
        <v>217</v>
      </c>
      <c r="D264" t="s">
        <v>4746</v>
      </c>
      <c r="E264" t="s">
        <v>68</v>
      </c>
      <c r="F264" t="s">
        <v>49</v>
      </c>
      <c r="G264">
        <v>2160</v>
      </c>
      <c r="H264" s="22">
        <v>1.3067729709265018E-3</v>
      </c>
      <c r="I264" s="16">
        <v>2.8226296172012439</v>
      </c>
      <c r="J264" s="56" t="s">
        <v>5604</v>
      </c>
      <c r="K264" s="56" t="s">
        <v>5600</v>
      </c>
      <c r="L264">
        <v>2</v>
      </c>
      <c r="M264" s="31">
        <f>ProductionOrdersByItem_Display[[#This Row],[ProductionHour]]/r_TotalProductionHour</f>
        <v>1.5249204934835909E-3</v>
      </c>
      <c r="N264" s="26">
        <f>ProductionOrdersByItem_Display[[#This Row],[RMQty]]-ProductionOrdersByItem_Display[[#This Row],[RMRequired]]</f>
        <v>77</v>
      </c>
    </row>
    <row r="265" spans="1:14" hidden="1" x14ac:dyDescent="0.2">
      <c r="A265" t="s">
        <v>16</v>
      </c>
      <c r="B265" t="s">
        <v>360</v>
      </c>
      <c r="C265" t="s">
        <v>361</v>
      </c>
      <c r="D265" t="s">
        <v>4748</v>
      </c>
      <c r="E265" t="s">
        <v>68</v>
      </c>
      <c r="F265" t="s">
        <v>49</v>
      </c>
      <c r="G265">
        <v>4600</v>
      </c>
      <c r="H265" s="22">
        <v>1.184766214177979E-3</v>
      </c>
      <c r="I265" s="16">
        <v>5.4499245852187039</v>
      </c>
      <c r="J265" s="56" t="s">
        <v>5657</v>
      </c>
      <c r="K265" s="56" t="s">
        <v>5600</v>
      </c>
      <c r="L265">
        <v>2</v>
      </c>
      <c r="M265" s="31">
        <f>ProductionOrdersByItem_Display[[#This Row],[ProductionHour]]/r_TotalProductionHour</f>
        <v>2.9443117996403902E-3</v>
      </c>
      <c r="N265" s="26">
        <f>ProductionOrdersByItem_Display[[#This Row],[RMQty]]-ProductionOrdersByItem_Display[[#This Row],[RMRequired]]</f>
        <v>64</v>
      </c>
    </row>
    <row r="266" spans="1:14" hidden="1" x14ac:dyDescent="0.2">
      <c r="A266" t="s">
        <v>16</v>
      </c>
      <c r="B266" t="s">
        <v>4583</v>
      </c>
      <c r="C266" t="s">
        <v>4584</v>
      </c>
      <c r="D266" t="s">
        <v>4750</v>
      </c>
      <c r="E266" t="s">
        <v>68</v>
      </c>
      <c r="F266" t="s">
        <v>49</v>
      </c>
      <c r="G266">
        <v>50</v>
      </c>
      <c r="H266" s="22">
        <v>3.3703487351002988E-3</v>
      </c>
      <c r="I266" s="16">
        <v>0.16851743675501493</v>
      </c>
      <c r="J266" s="56" t="s">
        <v>4811</v>
      </c>
      <c r="K266" s="56" t="s">
        <v>5607</v>
      </c>
      <c r="L266">
        <v>2</v>
      </c>
      <c r="M266" s="31">
        <f>ProductionOrdersByItem_Display[[#This Row],[ProductionHour]]/r_TotalProductionHour</f>
        <v>9.1041237309714547E-5</v>
      </c>
      <c r="N266" s="26">
        <f>ProductionOrdersByItem_Display[[#This Row],[RMQty]]-ProductionOrdersByItem_Display[[#This Row],[RMRequired]]</f>
        <v>78</v>
      </c>
    </row>
    <row r="267" spans="1:14" hidden="1" x14ac:dyDescent="0.2">
      <c r="A267" t="s">
        <v>16</v>
      </c>
      <c r="B267" t="s">
        <v>4675</v>
      </c>
      <c r="C267" t="s">
        <v>5594</v>
      </c>
      <c r="D267" t="s">
        <v>4753</v>
      </c>
      <c r="E267" t="s">
        <v>68</v>
      </c>
      <c r="F267" t="s">
        <v>49</v>
      </c>
      <c r="G267">
        <v>220</v>
      </c>
      <c r="H267" s="22">
        <v>2.8957311200315449E-3</v>
      </c>
      <c r="I267" s="16">
        <v>0.63706084640693994</v>
      </c>
      <c r="J267" s="56" t="s">
        <v>5747</v>
      </c>
      <c r="K267" s="56" t="s">
        <v>5600</v>
      </c>
      <c r="L267">
        <v>2</v>
      </c>
      <c r="M267" s="31">
        <f>ProductionOrdersByItem_Display[[#This Row],[ProductionHour]]/r_TotalProductionHour</f>
        <v>3.4417095830135714E-4</v>
      </c>
      <c r="N267" s="26">
        <f>ProductionOrdersByItem_Display[[#This Row],[RMQty]]-ProductionOrdersByItem_Display[[#This Row],[RMRequired]]</f>
        <v>67</v>
      </c>
    </row>
    <row r="268" spans="1:14" hidden="1" x14ac:dyDescent="0.2">
      <c r="A268" t="s">
        <v>16</v>
      </c>
      <c r="B268" t="s">
        <v>664</v>
      </c>
      <c r="C268" t="s">
        <v>5221</v>
      </c>
      <c r="D268" t="s">
        <v>4746</v>
      </c>
      <c r="E268" t="s">
        <v>68</v>
      </c>
      <c r="F268" t="s">
        <v>49</v>
      </c>
      <c r="G268">
        <v>1260</v>
      </c>
      <c r="H268" s="22">
        <v>1.2141400492937484E-3</v>
      </c>
      <c r="I268" s="16">
        <v>1.5298164621101229</v>
      </c>
      <c r="J268" s="56" t="s">
        <v>5664</v>
      </c>
      <c r="K268" s="56" t="s">
        <v>5600</v>
      </c>
      <c r="L268">
        <v>2</v>
      </c>
      <c r="M268" s="31">
        <f>ProductionOrdersByItem_Display[[#This Row],[ProductionHour]]/r_TotalProductionHour</f>
        <v>8.2648054853665391E-4</v>
      </c>
      <c r="N268" s="26">
        <f>ProductionOrdersByItem_Display[[#This Row],[RMQty]]-ProductionOrdersByItem_Display[[#This Row],[RMRequired]]</f>
        <v>66</v>
      </c>
    </row>
    <row r="269" spans="1:14" hidden="1" x14ac:dyDescent="0.2">
      <c r="A269" t="s">
        <v>16</v>
      </c>
      <c r="B269" t="s">
        <v>234</v>
      </c>
      <c r="C269" t="s">
        <v>329</v>
      </c>
      <c r="D269" t="s">
        <v>4753</v>
      </c>
      <c r="E269" t="s">
        <v>68</v>
      </c>
      <c r="F269" t="s">
        <v>49</v>
      </c>
      <c r="G269">
        <v>1360</v>
      </c>
      <c r="H269" s="22">
        <v>2.6788788090253545E-3</v>
      </c>
      <c r="I269" s="16">
        <v>3.6432751802744821</v>
      </c>
      <c r="J269" s="56" t="s">
        <v>5747</v>
      </c>
      <c r="K269" s="56" t="s">
        <v>5600</v>
      </c>
      <c r="L269">
        <v>2</v>
      </c>
      <c r="M269" s="31">
        <f>ProductionOrdersByItem_Display[[#This Row],[ProductionHour]]/r_TotalProductionHour</f>
        <v>1.9682727595373979E-3</v>
      </c>
      <c r="N269" s="26">
        <f>ProductionOrdersByItem_Display[[#This Row],[RMQty]]-ProductionOrdersByItem_Display[[#This Row],[RMRequired]]</f>
        <v>67</v>
      </c>
    </row>
    <row r="270" spans="1:14" hidden="1" x14ac:dyDescent="0.2">
      <c r="A270" t="s">
        <v>16</v>
      </c>
      <c r="B270" t="s">
        <v>630</v>
      </c>
      <c r="C270" t="s">
        <v>631</v>
      </c>
      <c r="D270" t="s">
        <v>4770</v>
      </c>
      <c r="E270" t="s">
        <v>68</v>
      </c>
      <c r="F270" t="s">
        <v>49</v>
      </c>
      <c r="G270">
        <v>2100</v>
      </c>
      <c r="H270" s="22">
        <v>1.660818243221511E-3</v>
      </c>
      <c r="I270" s="16">
        <v>3.4877183107651728</v>
      </c>
      <c r="J270" s="56" t="s">
        <v>5218</v>
      </c>
      <c r="K270" s="56" t="s">
        <v>5600</v>
      </c>
      <c r="L270">
        <v>2</v>
      </c>
      <c r="M270" s="31">
        <f>ProductionOrdersByItem_Display[[#This Row],[ProductionHour]]/r_TotalProductionHour</f>
        <v>1.8842334450020024E-3</v>
      </c>
      <c r="N270" s="26">
        <f>ProductionOrdersByItem_Display[[#This Row],[RMQty]]-ProductionOrdersByItem_Display[[#This Row],[RMRequired]]</f>
        <v>68</v>
      </c>
    </row>
    <row r="271" spans="1:14" hidden="1" x14ac:dyDescent="0.2">
      <c r="A271" t="s">
        <v>16</v>
      </c>
      <c r="B271" t="s">
        <v>519</v>
      </c>
      <c r="C271" t="s">
        <v>788</v>
      </c>
      <c r="D271" t="s">
        <v>4752</v>
      </c>
      <c r="E271" t="s">
        <v>68</v>
      </c>
      <c r="F271" t="s">
        <v>49</v>
      </c>
      <c r="G271">
        <v>1125</v>
      </c>
      <c r="H271" s="22">
        <v>2.0940882457804416E-3</v>
      </c>
      <c r="I271" s="16">
        <v>2.3558492765029966</v>
      </c>
      <c r="J271" s="56" t="s">
        <v>5649</v>
      </c>
      <c r="K271" s="56" t="s">
        <v>5600</v>
      </c>
      <c r="L271">
        <v>2</v>
      </c>
      <c r="M271" s="31">
        <f>ProductionOrdersByItem_Display[[#This Row],[ProductionHour]]/r_TotalProductionHour</f>
        <v>1.2727432672728801E-3</v>
      </c>
      <c r="N271" s="26">
        <f>ProductionOrdersByItem_Display[[#This Row],[RMQty]]-ProductionOrdersByItem_Display[[#This Row],[RMRequired]]</f>
        <v>65</v>
      </c>
    </row>
    <row r="272" spans="1:14" hidden="1" x14ac:dyDescent="0.2">
      <c r="A272" t="s">
        <v>16</v>
      </c>
      <c r="B272" t="s">
        <v>456</v>
      </c>
      <c r="C272" t="s">
        <v>4756</v>
      </c>
      <c r="D272" t="s">
        <v>4745</v>
      </c>
      <c r="E272" t="s">
        <v>68</v>
      </c>
      <c r="F272" t="s">
        <v>49</v>
      </c>
      <c r="G272">
        <v>13680</v>
      </c>
      <c r="H272" s="22">
        <v>1.170413532798854E-3</v>
      </c>
      <c r="I272" s="16">
        <v>16.011257128688325</v>
      </c>
      <c r="J272" s="56" t="s">
        <v>5747</v>
      </c>
      <c r="K272" s="56" t="s">
        <v>5600</v>
      </c>
      <c r="L272">
        <v>2</v>
      </c>
      <c r="M272" s="31">
        <f>ProductionOrdersByItem_Display[[#This Row],[ProductionHour]]/r_TotalProductionHour</f>
        <v>8.65005240970349E-3</v>
      </c>
      <c r="N272" s="26">
        <f>ProductionOrdersByItem_Display[[#This Row],[RMQty]]-ProductionOrdersByItem_Display[[#This Row],[RMRequired]]</f>
        <v>67</v>
      </c>
    </row>
    <row r="273" spans="1:14" hidden="1" x14ac:dyDescent="0.2">
      <c r="A273" t="s">
        <v>16</v>
      </c>
      <c r="B273" t="s">
        <v>5779</v>
      </c>
      <c r="C273" t="s">
        <v>5780</v>
      </c>
      <c r="D273" t="s">
        <v>4782</v>
      </c>
      <c r="E273" t="s">
        <v>68</v>
      </c>
      <c r="F273" t="s">
        <v>49</v>
      </c>
      <c r="G273">
        <v>8500</v>
      </c>
      <c r="H273" s="22">
        <v>2.0576298522942513E-3</v>
      </c>
      <c r="I273" s="16">
        <v>17.489853744501136</v>
      </c>
      <c r="J273" s="56" t="s">
        <v>5621</v>
      </c>
      <c r="K273" s="56" t="s">
        <v>5600</v>
      </c>
      <c r="L273">
        <v>2</v>
      </c>
      <c r="M273" s="31">
        <f>ProductionOrdersByItem_Display[[#This Row],[ProductionHour]]/r_TotalProductionHour</f>
        <v>9.4488615298614909E-3</v>
      </c>
      <c r="N273" s="26">
        <f>ProductionOrdersByItem_Display[[#This Row],[RMQty]]-ProductionOrdersByItem_Display[[#This Row],[RMRequired]]</f>
        <v>53</v>
      </c>
    </row>
    <row r="274" spans="1:14" hidden="1" x14ac:dyDescent="0.2">
      <c r="A274" t="s">
        <v>16</v>
      </c>
      <c r="B274" t="s">
        <v>4435</v>
      </c>
      <c r="C274" t="s">
        <v>5576</v>
      </c>
      <c r="D274" t="s">
        <v>4750</v>
      </c>
      <c r="E274" t="s">
        <v>68</v>
      </c>
      <c r="F274" t="s">
        <v>49</v>
      </c>
      <c r="G274">
        <v>4560</v>
      </c>
      <c r="H274" s="22">
        <v>1.6982470130329733E-3</v>
      </c>
      <c r="I274" s="16">
        <v>7.744006379430358</v>
      </c>
      <c r="J274" s="56" t="s">
        <v>5809</v>
      </c>
      <c r="K274" s="56" t="s">
        <v>5600</v>
      </c>
      <c r="L274">
        <v>2</v>
      </c>
      <c r="M274" s="31">
        <f>ProductionOrdersByItem_Display[[#This Row],[ProductionHour]]/r_TotalProductionHour</f>
        <v>4.1836852974603631E-3</v>
      </c>
      <c r="N274" s="26">
        <f>ProductionOrdersByItem_Display[[#This Row],[RMQty]]-ProductionOrdersByItem_Display[[#This Row],[RMRequired]]</f>
        <v>47</v>
      </c>
    </row>
    <row r="275" spans="1:14" hidden="1" x14ac:dyDescent="0.2">
      <c r="A275" t="s">
        <v>16</v>
      </c>
      <c r="B275" t="s">
        <v>544</v>
      </c>
      <c r="C275" t="s">
        <v>545</v>
      </c>
      <c r="D275" t="s">
        <v>5856</v>
      </c>
      <c r="E275" t="s">
        <v>68</v>
      </c>
      <c r="F275" t="s">
        <v>49</v>
      </c>
      <c r="G275">
        <v>6120</v>
      </c>
      <c r="H275" s="22">
        <v>4.2399936721795032E-4</v>
      </c>
      <c r="I275" s="16">
        <v>2.5948761273738561</v>
      </c>
      <c r="J275" s="56" t="s">
        <v>5984</v>
      </c>
      <c r="K275" s="56" t="s">
        <v>5600</v>
      </c>
      <c r="L275">
        <v>1</v>
      </c>
      <c r="M275" s="31">
        <f>ProductionOrdersByItem_Display[[#This Row],[ProductionHour]]/r_TotalProductionHour</f>
        <v>1.4018770867313586E-3</v>
      </c>
      <c r="N275" s="26">
        <f>ProductionOrdersByItem_Display[[#This Row],[RMQty]]-ProductionOrdersByItem_Display[[#This Row],[RMRequired]]</f>
        <v>33</v>
      </c>
    </row>
    <row r="276" spans="1:14" hidden="1" x14ac:dyDescent="0.2">
      <c r="A276" t="s">
        <v>16</v>
      </c>
      <c r="B276" t="s">
        <v>617</v>
      </c>
      <c r="C276" t="s">
        <v>618</v>
      </c>
      <c r="D276" t="s">
        <v>4750</v>
      </c>
      <c r="E276" t="s">
        <v>68</v>
      </c>
      <c r="F276" t="s">
        <v>49</v>
      </c>
      <c r="G276">
        <v>50</v>
      </c>
      <c r="H276" s="22">
        <v>3.3703487351002988E-3</v>
      </c>
      <c r="I276" s="16">
        <v>0.16851743675501493</v>
      </c>
      <c r="J276" s="56" t="s">
        <v>5627</v>
      </c>
      <c r="K276" s="56" t="s">
        <v>5607</v>
      </c>
      <c r="L276">
        <v>1</v>
      </c>
      <c r="M276" s="31">
        <f>ProductionOrdersByItem_Display[[#This Row],[ProductionHour]]/r_TotalProductionHour</f>
        <v>9.1041237309714547E-5</v>
      </c>
      <c r="N276" s="26">
        <f>ProductionOrdersByItem_Display[[#This Row],[RMQty]]-ProductionOrdersByItem_Display[[#This Row],[RMRequired]]</f>
        <v>46</v>
      </c>
    </row>
    <row r="277" spans="1:14" hidden="1" x14ac:dyDescent="0.2">
      <c r="A277" t="s">
        <v>16</v>
      </c>
      <c r="B277" t="s">
        <v>868</v>
      </c>
      <c r="C277" t="s">
        <v>4886</v>
      </c>
      <c r="D277" t="s">
        <v>4753</v>
      </c>
      <c r="E277" t="s">
        <v>68</v>
      </c>
      <c r="F277" t="s">
        <v>49</v>
      </c>
      <c r="G277">
        <v>1000</v>
      </c>
      <c r="H277" s="22">
        <v>1.7910440790186561E-3</v>
      </c>
      <c r="I277" s="16">
        <v>1.7910440790186561</v>
      </c>
      <c r="J277" s="56" t="s">
        <v>5695</v>
      </c>
      <c r="K277" s="56" t="s">
        <v>5600</v>
      </c>
      <c r="L277">
        <v>1</v>
      </c>
      <c r="M277" s="31">
        <f>ProductionOrdersByItem_Display[[#This Row],[ProductionHour]]/r_TotalProductionHour</f>
        <v>9.6760829128410134E-4</v>
      </c>
      <c r="N277" s="26" t="e">
        <f>ProductionOrdersByItem_Display[[#This Row],[RMQty]]-ProductionOrdersByItem_Display[[#This Row],[RMRequired]]</f>
        <v>#VALUE!</v>
      </c>
    </row>
    <row r="278" spans="1:14" hidden="1" x14ac:dyDescent="0.2">
      <c r="A278" t="s">
        <v>16</v>
      </c>
      <c r="B278" t="s">
        <v>4950</v>
      </c>
      <c r="C278" t="s">
        <v>4951</v>
      </c>
      <c r="D278" t="s">
        <v>4952</v>
      </c>
      <c r="E278" t="s">
        <v>68</v>
      </c>
      <c r="F278" t="s">
        <v>49</v>
      </c>
      <c r="G278">
        <v>1080</v>
      </c>
      <c r="H278" s="22">
        <v>3.404732124244319E-3</v>
      </c>
      <c r="I278" s="16">
        <v>3.6771106941838645</v>
      </c>
      <c r="J278" s="56" t="s">
        <v>5695</v>
      </c>
      <c r="K278" s="56" t="s">
        <v>5600</v>
      </c>
      <c r="L278">
        <v>1</v>
      </c>
      <c r="M278" s="31">
        <f>ProductionOrdersByItem_Display[[#This Row],[ProductionHour]]/r_TotalProductionHour</f>
        <v>1.9865523341062803E-3</v>
      </c>
      <c r="N278" s="26" t="e">
        <f>ProductionOrdersByItem_Display[[#This Row],[RMQty]]-ProductionOrdersByItem_Display[[#This Row],[RMRequired]]</f>
        <v>#VALUE!</v>
      </c>
    </row>
    <row r="279" spans="1:14" hidden="1" x14ac:dyDescent="0.2">
      <c r="A279" t="s">
        <v>16</v>
      </c>
      <c r="B279" t="s">
        <v>2571</v>
      </c>
      <c r="C279" t="s">
        <v>5388</v>
      </c>
      <c r="D279" t="s">
        <v>4746</v>
      </c>
      <c r="E279" t="s">
        <v>68</v>
      </c>
      <c r="F279" t="s">
        <v>49</v>
      </c>
      <c r="G279">
        <v>2100</v>
      </c>
      <c r="H279" s="22">
        <v>4.0490038397508852E-4</v>
      </c>
      <c r="I279" s="16">
        <v>0.85029080634768583</v>
      </c>
      <c r="J279" s="56" t="s">
        <v>5799</v>
      </c>
      <c r="K279" s="56" t="s">
        <v>5600</v>
      </c>
      <c r="L279">
        <v>1</v>
      </c>
      <c r="M279" s="31">
        <f>ProductionOrdersByItem_Display[[#This Row],[ProductionHour]]/r_TotalProductionHour</f>
        <v>4.5936805456818405E-4</v>
      </c>
      <c r="N279" s="26">
        <f>ProductionOrdersByItem_Display[[#This Row],[RMQty]]-ProductionOrdersByItem_Display[[#This Row],[RMRequired]]</f>
        <v>39</v>
      </c>
    </row>
    <row r="280" spans="1:14" hidden="1" x14ac:dyDescent="0.2">
      <c r="A280" t="s">
        <v>16</v>
      </c>
      <c r="B280" t="s">
        <v>4947</v>
      </c>
      <c r="C280" t="s">
        <v>4948</v>
      </c>
      <c r="D280" t="s">
        <v>4779</v>
      </c>
      <c r="E280" t="s">
        <v>68</v>
      </c>
      <c r="F280" t="s">
        <v>49</v>
      </c>
      <c r="G280">
        <v>120</v>
      </c>
      <c r="H280" s="22">
        <v>2.6399825021872266E-3</v>
      </c>
      <c r="I280" s="16">
        <v>0.31679790026246718</v>
      </c>
      <c r="J280" s="56" t="s">
        <v>5695</v>
      </c>
      <c r="K280" s="56" t="s">
        <v>5600</v>
      </c>
      <c r="L280">
        <v>1</v>
      </c>
      <c r="M280" s="31">
        <f>ProductionOrdersByItem_Display[[#This Row],[ProductionHour]]/r_TotalProductionHour</f>
        <v>1.711494867972839E-4</v>
      </c>
      <c r="N280" s="26" t="e">
        <f>ProductionOrdersByItem_Display[[#This Row],[RMQty]]-ProductionOrdersByItem_Display[[#This Row],[RMRequired]]</f>
        <v>#VALUE!</v>
      </c>
    </row>
    <row r="281" spans="1:14" hidden="1" x14ac:dyDescent="0.2">
      <c r="A281" t="s">
        <v>16</v>
      </c>
      <c r="B281" t="s">
        <v>888</v>
      </c>
      <c r="C281" t="s">
        <v>5456</v>
      </c>
      <c r="D281" t="s">
        <v>4753</v>
      </c>
      <c r="E281" t="s">
        <v>68</v>
      </c>
      <c r="F281" t="s">
        <v>49</v>
      </c>
      <c r="G281">
        <v>13250</v>
      </c>
      <c r="H281" s="22">
        <v>1.0605931700538853E-3</v>
      </c>
      <c r="I281" s="16">
        <v>14.05285950321398</v>
      </c>
      <c r="J281" s="56" t="s">
        <v>5985</v>
      </c>
      <c r="K281" s="56" t="s">
        <v>5600</v>
      </c>
      <c r="L281">
        <v>1</v>
      </c>
      <c r="M281" s="31">
        <f>ProductionOrdersByItem_Display[[#This Row],[ProductionHour]]/r_TotalProductionHour</f>
        <v>7.5920316707173497E-3</v>
      </c>
      <c r="N281" s="26">
        <f>ProductionOrdersByItem_Display[[#This Row],[RMQty]]-ProductionOrdersByItem_Display[[#This Row],[RMRequired]]</f>
        <v>23</v>
      </c>
    </row>
    <row r="282" spans="1:14" hidden="1" x14ac:dyDescent="0.2">
      <c r="A282" t="s">
        <v>16</v>
      </c>
      <c r="B282" t="s">
        <v>355</v>
      </c>
      <c r="C282" t="s">
        <v>4846</v>
      </c>
      <c r="D282" t="s">
        <v>4748</v>
      </c>
      <c r="E282" t="s">
        <v>68</v>
      </c>
      <c r="F282" t="s">
        <v>166</v>
      </c>
      <c r="G282">
        <v>16450</v>
      </c>
      <c r="H282" s="22">
        <v>6.7583973547100269E-4</v>
      </c>
      <c r="I282" s="16">
        <v>11.117563648497994</v>
      </c>
      <c r="J282" s="56" t="s">
        <v>5986</v>
      </c>
      <c r="K282" s="56" t="s">
        <v>5600</v>
      </c>
      <c r="L282">
        <v>71</v>
      </c>
      <c r="M282" s="31">
        <f>ProductionOrdersByItem_Display[[#This Row],[ProductionHour]]/r_TotalProductionHour</f>
        <v>6.0062434482682147E-3</v>
      </c>
      <c r="N282" s="26">
        <f>ProductionOrdersByItem_Display[[#This Row],[RMQty]]-ProductionOrdersByItem_Display[[#This Row],[RMRequired]]</f>
        <v>2808</v>
      </c>
    </row>
    <row r="283" spans="1:14" hidden="1" x14ac:dyDescent="0.2">
      <c r="A283" t="s">
        <v>16</v>
      </c>
      <c r="B283" t="s">
        <v>256</v>
      </c>
      <c r="C283" t="s">
        <v>4772</v>
      </c>
      <c r="D283" t="s">
        <v>4747</v>
      </c>
      <c r="E283" t="s">
        <v>68</v>
      </c>
      <c r="F283" t="s">
        <v>166</v>
      </c>
      <c r="G283">
        <v>28440</v>
      </c>
      <c r="H283" s="22">
        <v>2.7949563003919697E-4</v>
      </c>
      <c r="I283" s="16">
        <v>7.9488557183147615</v>
      </c>
      <c r="J283" s="56" t="s">
        <v>5914</v>
      </c>
      <c r="K283" s="56" t="s">
        <v>5600</v>
      </c>
      <c r="L283">
        <v>37</v>
      </c>
      <c r="M283" s="31">
        <f>ProductionOrdersByItem_Display[[#This Row],[ProductionHour]]/r_TotalProductionHour</f>
        <v>4.2943547785136826E-3</v>
      </c>
      <c r="N283" s="26">
        <f>ProductionOrdersByItem_Display[[#This Row],[RMQty]]-ProductionOrdersByItem_Display[[#This Row],[RMRequired]]</f>
        <v>1463</v>
      </c>
    </row>
    <row r="284" spans="1:14" hidden="1" x14ac:dyDescent="0.2">
      <c r="A284" t="s">
        <v>16</v>
      </c>
      <c r="B284" t="s">
        <v>347</v>
      </c>
      <c r="C284" t="s">
        <v>348</v>
      </c>
      <c r="D284" t="s">
        <v>4748</v>
      </c>
      <c r="E284" t="s">
        <v>68</v>
      </c>
      <c r="F284" t="s">
        <v>166</v>
      </c>
      <c r="G284">
        <v>8500</v>
      </c>
      <c r="H284" s="22">
        <v>2.7207450818120873E-4</v>
      </c>
      <c r="I284" s="16">
        <v>2.3126333195402742</v>
      </c>
      <c r="J284" s="56" t="s">
        <v>5668</v>
      </c>
      <c r="K284" s="56" t="s">
        <v>5600</v>
      </c>
      <c r="L284">
        <v>27</v>
      </c>
      <c r="M284" s="31">
        <f>ProductionOrdersByItem_Display[[#This Row],[ProductionHour]]/r_TotalProductionHour</f>
        <v>1.2493959254833811E-3</v>
      </c>
      <c r="N284" s="26">
        <f>ProductionOrdersByItem_Display[[#This Row],[RMQty]]-ProductionOrdersByItem_Display[[#This Row],[RMRequired]]</f>
        <v>1064</v>
      </c>
    </row>
    <row r="285" spans="1:14" hidden="1" x14ac:dyDescent="0.2">
      <c r="A285" t="s">
        <v>16</v>
      </c>
      <c r="B285" t="s">
        <v>411</v>
      </c>
      <c r="C285" t="s">
        <v>559</v>
      </c>
      <c r="D285" t="s">
        <v>4746</v>
      </c>
      <c r="E285" t="s">
        <v>68</v>
      </c>
      <c r="F285" t="s">
        <v>166</v>
      </c>
      <c r="G285">
        <v>6080</v>
      </c>
      <c r="H285" s="22">
        <v>8.6902340091781752E-4</v>
      </c>
      <c r="I285" s="16">
        <v>5.2836622775803308</v>
      </c>
      <c r="J285" s="56" t="s">
        <v>5987</v>
      </c>
      <c r="K285" s="56" t="s">
        <v>5600</v>
      </c>
      <c r="L285">
        <v>20</v>
      </c>
      <c r="M285" s="31">
        <f>ProductionOrdersByItem_Display[[#This Row],[ProductionHour]]/r_TotalProductionHour</f>
        <v>2.8544888917156085E-3</v>
      </c>
      <c r="N285" s="26">
        <f>ProductionOrdersByItem_Display[[#This Row],[RMQty]]-ProductionOrdersByItem_Display[[#This Row],[RMRequired]]</f>
        <v>795</v>
      </c>
    </row>
    <row r="286" spans="1:14" hidden="1" x14ac:dyDescent="0.2">
      <c r="A286" t="s">
        <v>16</v>
      </c>
      <c r="B286" t="s">
        <v>410</v>
      </c>
      <c r="C286" t="s">
        <v>558</v>
      </c>
      <c r="D286" t="s">
        <v>4748</v>
      </c>
      <c r="E286" t="s">
        <v>68</v>
      </c>
      <c r="F286" t="s">
        <v>166</v>
      </c>
      <c r="G286">
        <v>6300</v>
      </c>
      <c r="H286" s="22">
        <v>1.3649181155160428E-3</v>
      </c>
      <c r="I286" s="16">
        <v>8.5989841277510699</v>
      </c>
      <c r="J286" s="56" t="s">
        <v>5988</v>
      </c>
      <c r="K286" s="56" t="s">
        <v>5600</v>
      </c>
      <c r="L286">
        <v>18</v>
      </c>
      <c r="M286" s="31">
        <f>ProductionOrdersByItem_Display[[#This Row],[ProductionHour]]/r_TotalProductionHour</f>
        <v>4.6455854638659914E-3</v>
      </c>
      <c r="N286" s="26">
        <f>ProductionOrdersByItem_Display[[#This Row],[RMQty]]-ProductionOrdersByItem_Display[[#This Row],[RMRequired]]</f>
        <v>687</v>
      </c>
    </row>
    <row r="287" spans="1:14" hidden="1" x14ac:dyDescent="0.2">
      <c r="A287" t="s">
        <v>16</v>
      </c>
      <c r="B287" t="s">
        <v>255</v>
      </c>
      <c r="C287" t="s">
        <v>4773</v>
      </c>
      <c r="D287" t="s">
        <v>4751</v>
      </c>
      <c r="E287" t="s">
        <v>68</v>
      </c>
      <c r="F287" t="s">
        <v>166</v>
      </c>
      <c r="G287">
        <v>16800</v>
      </c>
      <c r="H287" s="22">
        <v>9.6687353723889263E-4</v>
      </c>
      <c r="I287" s="16">
        <v>16.243475425613397</v>
      </c>
      <c r="J287" s="56" t="s">
        <v>5915</v>
      </c>
      <c r="K287" s="56" t="s">
        <v>5600</v>
      </c>
      <c r="L287">
        <v>15</v>
      </c>
      <c r="M287" s="31">
        <f>ProductionOrdersByItem_Display[[#This Row],[ProductionHour]]/r_TotalProductionHour</f>
        <v>8.7755079203326262E-3</v>
      </c>
      <c r="N287" s="26">
        <f>ProductionOrdersByItem_Display[[#This Row],[RMQty]]-ProductionOrdersByItem_Display[[#This Row],[RMRequired]]</f>
        <v>587</v>
      </c>
    </row>
    <row r="288" spans="1:14" hidden="1" x14ac:dyDescent="0.2">
      <c r="A288" t="s">
        <v>16</v>
      </c>
      <c r="B288" t="s">
        <v>671</v>
      </c>
      <c r="C288" t="s">
        <v>4831</v>
      </c>
      <c r="D288" t="s">
        <v>4754</v>
      </c>
      <c r="E288" t="s">
        <v>68</v>
      </c>
      <c r="F288" t="s">
        <v>166</v>
      </c>
      <c r="G288">
        <v>11700</v>
      </c>
      <c r="H288" s="22">
        <v>4.4329289726348223E-4</v>
      </c>
      <c r="I288" s="16">
        <v>5.1865268979827421</v>
      </c>
      <c r="J288" s="56" t="s">
        <v>5989</v>
      </c>
      <c r="K288" s="56" t="s">
        <v>5600</v>
      </c>
      <c r="L288">
        <v>9</v>
      </c>
      <c r="M288" s="31">
        <f>ProductionOrdersByItem_Display[[#This Row],[ProductionHour]]/r_TotalProductionHour</f>
        <v>2.8020116803634718E-3</v>
      </c>
      <c r="N288" s="26">
        <f>ProductionOrdersByItem_Display[[#This Row],[RMQty]]-ProductionOrdersByItem_Display[[#This Row],[RMRequired]]</f>
        <v>345</v>
      </c>
    </row>
    <row r="289" spans="1:14" hidden="1" x14ac:dyDescent="0.2">
      <c r="A289" t="s">
        <v>16</v>
      </c>
      <c r="B289" t="s">
        <v>259</v>
      </c>
      <c r="C289" t="s">
        <v>4774</v>
      </c>
      <c r="D289" t="s">
        <v>4752</v>
      </c>
      <c r="E289" t="s">
        <v>68</v>
      </c>
      <c r="F289" t="s">
        <v>166</v>
      </c>
      <c r="G289">
        <v>17000</v>
      </c>
      <c r="H289" s="22">
        <v>1.0705756495559353E-3</v>
      </c>
      <c r="I289" s="16">
        <v>18.199786042450899</v>
      </c>
      <c r="J289" s="56" t="s">
        <v>5852</v>
      </c>
      <c r="K289" s="56" t="s">
        <v>5600</v>
      </c>
      <c r="L289">
        <v>4</v>
      </c>
      <c r="M289" s="31">
        <f>ProductionOrdersByItem_Display[[#This Row],[ProductionHour]]/r_TotalProductionHour</f>
        <v>9.8324011567158739E-3</v>
      </c>
      <c r="N289" s="26">
        <f>ProductionOrdersByItem_Display[[#This Row],[RMQty]]-ProductionOrdersByItem_Display[[#This Row],[RMRequired]]</f>
        <v>127</v>
      </c>
    </row>
    <row r="290" spans="1:14" hidden="1" x14ac:dyDescent="0.2">
      <c r="A290" t="s">
        <v>16</v>
      </c>
      <c r="B290" t="s">
        <v>2730</v>
      </c>
      <c r="C290" t="s">
        <v>5413</v>
      </c>
      <c r="D290" t="s">
        <v>4748</v>
      </c>
      <c r="E290" t="s">
        <v>68</v>
      </c>
      <c r="F290" t="s">
        <v>166</v>
      </c>
      <c r="G290">
        <v>9000</v>
      </c>
      <c r="H290" s="22">
        <v>5.4535220546596199E-4</v>
      </c>
      <c r="I290" s="16">
        <v>4.9081698491936576</v>
      </c>
      <c r="J290" s="56" t="s">
        <v>5645</v>
      </c>
      <c r="K290" s="56" t="s">
        <v>5600</v>
      </c>
      <c r="L290">
        <v>4</v>
      </c>
      <c r="M290" s="31">
        <f>ProductionOrdersByItem_Display[[#This Row],[ProductionHour]]/r_TotalProductionHour</f>
        <v>2.6516297933396374E-3</v>
      </c>
      <c r="N290" s="26">
        <f>ProductionOrdersByItem_Display[[#This Row],[RMQty]]-ProductionOrdersByItem_Display[[#This Row],[RMRequired]]</f>
        <v>159</v>
      </c>
    </row>
    <row r="291" spans="1:14" hidden="1" x14ac:dyDescent="0.2">
      <c r="A291" t="s">
        <v>16</v>
      </c>
      <c r="B291" t="s">
        <v>928</v>
      </c>
      <c r="C291" t="s">
        <v>4854</v>
      </c>
      <c r="D291" t="s">
        <v>4746</v>
      </c>
      <c r="E291" t="s">
        <v>68</v>
      </c>
      <c r="F291" t="s">
        <v>166</v>
      </c>
      <c r="G291">
        <v>1120</v>
      </c>
      <c r="H291" s="22">
        <v>9.938616321285257E-4</v>
      </c>
      <c r="I291" s="16">
        <v>1.1131250279839489</v>
      </c>
      <c r="J291" s="56" t="s">
        <v>4766</v>
      </c>
      <c r="K291" s="56" t="s">
        <v>5600</v>
      </c>
      <c r="L291">
        <v>3</v>
      </c>
      <c r="M291" s="31">
        <f>ProductionOrdersByItem_Display[[#This Row],[ProductionHour]]/r_TotalProductionHour</f>
        <v>6.0136376258436972E-4</v>
      </c>
      <c r="N291" s="26">
        <f>ProductionOrdersByItem_Display[[#This Row],[RMQty]]-ProductionOrdersByItem_Display[[#This Row],[RMRequired]]</f>
        <v>107</v>
      </c>
    </row>
    <row r="292" spans="1:14" hidden="1" x14ac:dyDescent="0.2">
      <c r="A292" t="s">
        <v>16</v>
      </c>
      <c r="B292" t="s">
        <v>5990</v>
      </c>
      <c r="C292" t="s">
        <v>5991</v>
      </c>
      <c r="D292" t="s">
        <v>4748</v>
      </c>
      <c r="E292" t="s">
        <v>68</v>
      </c>
      <c r="F292" t="s">
        <v>166</v>
      </c>
      <c r="G292">
        <v>400</v>
      </c>
      <c r="H292" s="22">
        <v>1.9957940416650759E-3</v>
      </c>
      <c r="I292" s="16">
        <v>0.79831761666603029</v>
      </c>
      <c r="J292" s="56" t="s">
        <v>5648</v>
      </c>
      <c r="K292" s="56" t="s">
        <v>5600</v>
      </c>
      <c r="L292">
        <v>3</v>
      </c>
      <c r="M292" s="31">
        <f>ProductionOrdersByItem_Display[[#This Row],[ProductionHour]]/r_TotalProductionHour</f>
        <v>4.3128963380256795E-4</v>
      </c>
      <c r="N292" s="26">
        <f>ProductionOrdersByItem_Display[[#This Row],[RMQty]]-ProductionOrdersByItem_Display[[#This Row],[RMRequired]]</f>
        <v>86</v>
      </c>
    </row>
    <row r="293" spans="1:14" hidden="1" x14ac:dyDescent="0.2">
      <c r="A293" t="s">
        <v>16</v>
      </c>
      <c r="B293" t="s">
        <v>927</v>
      </c>
      <c r="C293" t="s">
        <v>5518</v>
      </c>
      <c r="D293" t="s">
        <v>4752</v>
      </c>
      <c r="E293" t="s">
        <v>68</v>
      </c>
      <c r="F293" t="s">
        <v>166</v>
      </c>
      <c r="G293">
        <v>200</v>
      </c>
      <c r="H293" s="22">
        <v>7.9142419601837687E-4</v>
      </c>
      <c r="I293" s="16">
        <v>0.15828483920367536</v>
      </c>
      <c r="J293" s="56" t="s">
        <v>5826</v>
      </c>
      <c r="K293" s="56" t="s">
        <v>5600</v>
      </c>
      <c r="L293">
        <v>3</v>
      </c>
      <c r="M293" s="31">
        <f>ProductionOrdersByItem_Display[[#This Row],[ProductionHour]]/r_TotalProductionHour</f>
        <v>8.5513095178520006E-5</v>
      </c>
      <c r="N293" s="26">
        <f>ProductionOrdersByItem_Display[[#This Row],[RMQty]]-ProductionOrdersByItem_Display[[#This Row],[RMRequired]]</f>
        <v>105</v>
      </c>
    </row>
    <row r="294" spans="1:14" hidden="1" x14ac:dyDescent="0.2">
      <c r="A294" t="s">
        <v>16</v>
      </c>
      <c r="B294" t="s">
        <v>672</v>
      </c>
      <c r="C294" t="s">
        <v>673</v>
      </c>
      <c r="D294" t="s">
        <v>5905</v>
      </c>
      <c r="E294" t="s">
        <v>68</v>
      </c>
      <c r="F294" t="s">
        <v>166</v>
      </c>
      <c r="G294">
        <v>960</v>
      </c>
      <c r="H294" s="22">
        <v>1.3580267751716771E-3</v>
      </c>
      <c r="I294" s="16">
        <v>1.3037057041648099</v>
      </c>
      <c r="J294" s="56" t="s">
        <v>4815</v>
      </c>
      <c r="K294" s="56" t="s">
        <v>5600</v>
      </c>
      <c r="L294">
        <v>2</v>
      </c>
      <c r="M294" s="31">
        <f>ProductionOrdersByItem_Display[[#This Row],[ProductionHour]]/r_TotalProductionHour</f>
        <v>7.0432462468228722E-4</v>
      </c>
      <c r="N294" s="26">
        <f>ProductionOrdersByItem_Display[[#This Row],[RMQty]]-ProductionOrdersByItem_Display[[#This Row],[RMRequired]]</f>
        <v>79</v>
      </c>
    </row>
    <row r="295" spans="1:14" hidden="1" x14ac:dyDescent="0.2">
      <c r="A295" t="s">
        <v>16</v>
      </c>
      <c r="B295" t="s">
        <v>670</v>
      </c>
      <c r="C295" t="s">
        <v>4855</v>
      </c>
      <c r="D295" t="s">
        <v>4748</v>
      </c>
      <c r="E295" t="s">
        <v>68</v>
      </c>
      <c r="F295" t="s">
        <v>166</v>
      </c>
      <c r="G295">
        <v>1105</v>
      </c>
      <c r="H295" s="22">
        <v>7.8743088486120751E-4</v>
      </c>
      <c r="I295" s="16">
        <v>0.87011112777163435</v>
      </c>
      <c r="J295" s="56" t="s">
        <v>5657</v>
      </c>
      <c r="K295" s="56" t="s">
        <v>5600</v>
      </c>
      <c r="L295">
        <v>2</v>
      </c>
      <c r="M295" s="31">
        <f>ProductionOrdersByItem_Display[[#This Row],[ProductionHour]]/r_TotalProductionHour</f>
        <v>4.7007594700388371E-4</v>
      </c>
      <c r="N295" s="26">
        <f>ProductionOrdersByItem_Display[[#This Row],[RMQty]]-ProductionOrdersByItem_Display[[#This Row],[RMRequired]]</f>
        <v>64</v>
      </c>
    </row>
    <row r="296" spans="1:14" hidden="1" x14ac:dyDescent="0.2">
      <c r="A296" t="s">
        <v>16</v>
      </c>
      <c r="B296" t="s">
        <v>674</v>
      </c>
      <c r="C296" t="s">
        <v>675</v>
      </c>
      <c r="D296" t="s">
        <v>4751</v>
      </c>
      <c r="E296" t="s">
        <v>68</v>
      </c>
      <c r="F296" t="s">
        <v>166</v>
      </c>
      <c r="G296">
        <v>800</v>
      </c>
      <c r="H296" s="22">
        <v>2.0783899859285488E-3</v>
      </c>
      <c r="I296" s="16">
        <v>1.662711988742839</v>
      </c>
      <c r="J296" s="56" t="s">
        <v>5632</v>
      </c>
      <c r="K296" s="56" t="s">
        <v>5600</v>
      </c>
      <c r="L296">
        <v>2</v>
      </c>
      <c r="M296" s="31">
        <f>ProductionOrdersByItem_Display[[#This Row],[ProductionHour]]/r_TotalProductionHour</f>
        <v>8.9827711398737158E-4</v>
      </c>
      <c r="N296" s="26">
        <f>ProductionOrdersByItem_Display[[#This Row],[RMQty]]-ProductionOrdersByItem_Display[[#This Row],[RMRequired]]</f>
        <v>52</v>
      </c>
    </row>
    <row r="297" spans="1:14" hidden="1" x14ac:dyDescent="0.2">
      <c r="A297" t="s">
        <v>16</v>
      </c>
      <c r="B297" t="s">
        <v>2351</v>
      </c>
      <c r="C297" t="s">
        <v>4917</v>
      </c>
      <c r="D297" t="s">
        <v>4770</v>
      </c>
      <c r="E297" t="s">
        <v>68</v>
      </c>
      <c r="F297" t="s">
        <v>51</v>
      </c>
      <c r="G297">
        <v>90</v>
      </c>
      <c r="H297" s="22">
        <v>1.8319282313493603E-3</v>
      </c>
      <c r="I297" s="16">
        <v>0.16487354082144243</v>
      </c>
      <c r="J297" s="56" t="s">
        <v>5603</v>
      </c>
      <c r="K297" s="56" t="s">
        <v>5600</v>
      </c>
      <c r="L297">
        <v>3</v>
      </c>
      <c r="M297" s="31">
        <f>ProductionOrdersByItem_Display[[#This Row],[ProductionHour]]/r_TotalProductionHour</f>
        <v>8.907262918934207E-5</v>
      </c>
      <c r="N297" s="26">
        <f>ProductionOrdersByItem_Display[[#This Row],[RMQty]]-ProductionOrdersByItem_Display[[#This Row],[RMRequired]]</f>
        <v>91</v>
      </c>
    </row>
    <row r="298" spans="1:14" hidden="1" x14ac:dyDescent="0.2">
      <c r="A298" t="s">
        <v>16</v>
      </c>
      <c r="B298" t="s">
        <v>2352</v>
      </c>
      <c r="C298" t="s">
        <v>4870</v>
      </c>
      <c r="D298" t="s">
        <v>4770</v>
      </c>
      <c r="E298" t="s">
        <v>68</v>
      </c>
      <c r="F298" t="s">
        <v>51</v>
      </c>
      <c r="G298">
        <v>90</v>
      </c>
      <c r="H298" s="22">
        <v>1.7661663362597943E-3</v>
      </c>
      <c r="I298" s="16">
        <v>0.15895497026338148</v>
      </c>
      <c r="J298" s="56" t="s">
        <v>5641</v>
      </c>
      <c r="K298" s="56" t="s">
        <v>5600</v>
      </c>
      <c r="L298">
        <v>3</v>
      </c>
      <c r="M298" s="31">
        <f>ProductionOrdersByItem_Display[[#This Row],[ProductionHour]]/r_TotalProductionHour</f>
        <v>8.5875132259133862E-5</v>
      </c>
      <c r="N298" s="26">
        <f>ProductionOrdersByItem_Display[[#This Row],[RMQty]]-ProductionOrdersByItem_Display[[#This Row],[RMRequired]]</f>
        <v>100</v>
      </c>
    </row>
    <row r="299" spans="1:14" hidden="1" x14ac:dyDescent="0.2">
      <c r="A299" t="s">
        <v>16</v>
      </c>
      <c r="B299" t="s">
        <v>929</v>
      </c>
      <c r="C299" t="s">
        <v>930</v>
      </c>
      <c r="D299" t="s">
        <v>4751</v>
      </c>
      <c r="E299" t="s">
        <v>68</v>
      </c>
      <c r="F299" t="s">
        <v>51</v>
      </c>
      <c r="G299">
        <v>100</v>
      </c>
      <c r="H299" s="22">
        <v>1.6807616281245812E-3</v>
      </c>
      <c r="I299" s="16">
        <v>0.16807616281245813</v>
      </c>
      <c r="J299" s="56" t="s">
        <v>4805</v>
      </c>
      <c r="K299" s="56" t="s">
        <v>5600</v>
      </c>
      <c r="L299">
        <v>2</v>
      </c>
      <c r="M299" s="31">
        <f>ProductionOrdersByItem_Display[[#This Row],[ProductionHour]]/r_TotalProductionHour</f>
        <v>9.0802839868497166E-5</v>
      </c>
      <c r="N299" s="26">
        <f>ProductionOrdersByItem_Display[[#This Row],[RMQty]]-ProductionOrdersByItem_Display[[#This Row],[RMRequired]]</f>
        <v>59</v>
      </c>
    </row>
    <row r="300" spans="1:14" hidden="1" x14ac:dyDescent="0.2">
      <c r="A300" t="s">
        <v>16</v>
      </c>
      <c r="B300" t="s">
        <v>676</v>
      </c>
      <c r="C300" t="s">
        <v>677</v>
      </c>
      <c r="D300" t="s">
        <v>4770</v>
      </c>
      <c r="E300" t="s">
        <v>68</v>
      </c>
      <c r="F300" t="s">
        <v>51</v>
      </c>
      <c r="G300">
        <v>300</v>
      </c>
      <c r="H300" s="22">
        <v>1.8217719982807589E-3</v>
      </c>
      <c r="I300" s="16">
        <v>0.54653159948422769</v>
      </c>
      <c r="J300" s="56" t="s">
        <v>5925</v>
      </c>
      <c r="K300" s="56" t="s">
        <v>5600</v>
      </c>
      <c r="L300">
        <v>2</v>
      </c>
      <c r="M300" s="31">
        <f>ProductionOrdersByItem_Display[[#This Row],[ProductionHour]]/r_TotalProductionHour</f>
        <v>2.952626980567975E-4</v>
      </c>
      <c r="N300" s="26">
        <f>ProductionOrdersByItem_Display[[#This Row],[RMQty]]-ProductionOrdersByItem_Display[[#This Row],[RMRequired]]</f>
        <v>51</v>
      </c>
    </row>
    <row r="301" spans="1:14" hidden="1" x14ac:dyDescent="0.2">
      <c r="A301" t="s">
        <v>16</v>
      </c>
      <c r="B301" t="s">
        <v>1493</v>
      </c>
      <c r="C301" t="s">
        <v>5300</v>
      </c>
      <c r="D301" t="s">
        <v>4777</v>
      </c>
      <c r="E301" t="s">
        <v>68</v>
      </c>
      <c r="F301" t="s">
        <v>50</v>
      </c>
      <c r="G301">
        <v>2300</v>
      </c>
      <c r="H301" s="22">
        <v>1.8236505974454059E-3</v>
      </c>
      <c r="I301" s="16">
        <v>4.1943963741244339</v>
      </c>
      <c r="J301" s="56" t="s">
        <v>5992</v>
      </c>
      <c r="K301" s="56" t="s">
        <v>5600</v>
      </c>
      <c r="L301">
        <v>45</v>
      </c>
      <c r="M301" s="31">
        <f>ProductionOrdersByItem_Display[[#This Row],[ProductionHour]]/r_TotalProductionHour</f>
        <v>2.2660149775646579E-3</v>
      </c>
      <c r="N301" s="26">
        <f>ProductionOrdersByItem_Display[[#This Row],[RMQty]]-ProductionOrdersByItem_Display[[#This Row],[RMRequired]]</f>
        <v>1780</v>
      </c>
    </row>
    <row r="302" spans="1:14" hidden="1" x14ac:dyDescent="0.2">
      <c r="A302" t="s">
        <v>16</v>
      </c>
      <c r="B302" t="s">
        <v>685</v>
      </c>
      <c r="C302" t="s">
        <v>4814</v>
      </c>
      <c r="D302" t="s">
        <v>4776</v>
      </c>
      <c r="E302" t="s">
        <v>68</v>
      </c>
      <c r="F302" t="s">
        <v>50</v>
      </c>
      <c r="G302">
        <v>400</v>
      </c>
      <c r="H302" s="22">
        <v>1.3621151271753684E-3</v>
      </c>
      <c r="I302" s="16">
        <v>0.54484605087014737</v>
      </c>
      <c r="J302" s="56" t="s">
        <v>5993</v>
      </c>
      <c r="K302" s="56" t="s">
        <v>5600</v>
      </c>
      <c r="L302">
        <v>28</v>
      </c>
      <c r="M302" s="31">
        <f>ProductionOrdersByItem_Display[[#This Row],[ProductionHour]]/r_TotalProductionHour</f>
        <v>2.9435208349769617E-4</v>
      </c>
      <c r="N302" s="26">
        <f>ProductionOrdersByItem_Display[[#This Row],[RMQty]]-ProductionOrdersByItem_Display[[#This Row],[RMRequired]]</f>
        <v>1118</v>
      </c>
    </row>
    <row r="303" spans="1:14" hidden="1" x14ac:dyDescent="0.2">
      <c r="A303" t="s">
        <v>16</v>
      </c>
      <c r="B303" t="s">
        <v>285</v>
      </c>
      <c r="C303" t="s">
        <v>286</v>
      </c>
      <c r="D303" t="s">
        <v>4776</v>
      </c>
      <c r="E303" t="s">
        <v>68</v>
      </c>
      <c r="F303" t="s">
        <v>50</v>
      </c>
      <c r="G303">
        <v>1440</v>
      </c>
      <c r="H303" s="22">
        <v>1.5909370931840548E-3</v>
      </c>
      <c r="I303" s="16">
        <v>2.2909494141850391</v>
      </c>
      <c r="J303" s="56" t="s">
        <v>5994</v>
      </c>
      <c r="K303" s="56" t="s">
        <v>5600</v>
      </c>
      <c r="L303">
        <v>26</v>
      </c>
      <c r="M303" s="31">
        <f>ProductionOrdersByItem_Display[[#This Row],[ProductionHour]]/r_TotalProductionHour</f>
        <v>1.2376812352337468E-3</v>
      </c>
      <c r="N303" s="26">
        <f>ProductionOrdersByItem_Display[[#This Row],[RMQty]]-ProductionOrdersByItem_Display[[#This Row],[RMRequired]]</f>
        <v>1032</v>
      </c>
    </row>
    <row r="304" spans="1:14" hidden="1" x14ac:dyDescent="0.2">
      <c r="A304" t="s">
        <v>16</v>
      </c>
      <c r="B304" t="s">
        <v>5995</v>
      </c>
      <c r="C304" t="s">
        <v>5996</v>
      </c>
      <c r="D304" t="s">
        <v>4777</v>
      </c>
      <c r="E304" t="s">
        <v>68</v>
      </c>
      <c r="F304" t="s">
        <v>50</v>
      </c>
      <c r="G304">
        <v>100</v>
      </c>
      <c r="H304" s="22">
        <v>1.8628429415678449E-3</v>
      </c>
      <c r="I304" s="16">
        <v>0.18628429415678449</v>
      </c>
      <c r="J304" s="56" t="s">
        <v>5997</v>
      </c>
      <c r="K304" s="56" t="s">
        <v>5600</v>
      </c>
      <c r="L304">
        <v>26</v>
      </c>
      <c r="M304" s="31">
        <f>ProductionOrdersByItem_Display[[#This Row],[ProductionHour]]/r_TotalProductionHour</f>
        <v>1.0063974955930361E-4</v>
      </c>
      <c r="N304" s="26">
        <f>ProductionOrdersByItem_Display[[#This Row],[RMQty]]-ProductionOrdersByItem_Display[[#This Row],[RMRequired]]</f>
        <v>1015</v>
      </c>
    </row>
    <row r="305" spans="1:14" hidden="1" x14ac:dyDescent="0.2">
      <c r="A305" t="s">
        <v>16</v>
      </c>
      <c r="B305" t="s">
        <v>2500</v>
      </c>
      <c r="C305" t="s">
        <v>4812</v>
      </c>
      <c r="D305" t="s">
        <v>4777</v>
      </c>
      <c r="E305" t="s">
        <v>68</v>
      </c>
      <c r="F305" t="s">
        <v>50</v>
      </c>
      <c r="G305">
        <v>240</v>
      </c>
      <c r="H305" s="22">
        <v>1.4155169856104436E-3</v>
      </c>
      <c r="I305" s="16">
        <v>0.33972407654650649</v>
      </c>
      <c r="J305" s="56" t="s">
        <v>5916</v>
      </c>
      <c r="K305" s="56" t="s">
        <v>5600</v>
      </c>
      <c r="L305">
        <v>26</v>
      </c>
      <c r="M305" s="31">
        <f>ProductionOrdersByItem_Display[[#This Row],[ProductionHour]]/r_TotalProductionHour</f>
        <v>1.835353116464591E-4</v>
      </c>
      <c r="N305" s="26">
        <f>ProductionOrdersByItem_Display[[#This Row],[RMQty]]-ProductionOrdersByItem_Display[[#This Row],[RMRequired]]</f>
        <v>1039</v>
      </c>
    </row>
    <row r="306" spans="1:14" hidden="1" x14ac:dyDescent="0.2">
      <c r="A306" t="s">
        <v>16</v>
      </c>
      <c r="B306" t="s">
        <v>313</v>
      </c>
      <c r="C306" t="s">
        <v>314</v>
      </c>
      <c r="D306" t="s">
        <v>4781</v>
      </c>
      <c r="E306" t="s">
        <v>68</v>
      </c>
      <c r="F306" t="s">
        <v>50</v>
      </c>
      <c r="G306">
        <v>1000</v>
      </c>
      <c r="H306" s="22">
        <v>5.0381901275661529E-4</v>
      </c>
      <c r="I306" s="16">
        <v>0.50381901275661534</v>
      </c>
      <c r="J306" s="56" t="s">
        <v>5800</v>
      </c>
      <c r="K306" s="56" t="s">
        <v>5600</v>
      </c>
      <c r="L306">
        <v>24</v>
      </c>
      <c r="M306" s="31">
        <f>ProductionOrdersByItem_Display[[#This Row],[ProductionHour]]/r_TotalProductionHour</f>
        <v>2.7218730111711195E-4</v>
      </c>
      <c r="N306" s="26">
        <f>ProductionOrdersByItem_Display[[#This Row],[RMQty]]-ProductionOrdersByItem_Display[[#This Row],[RMRequired]]</f>
        <v>927</v>
      </c>
    </row>
    <row r="307" spans="1:14" hidden="1" x14ac:dyDescent="0.2">
      <c r="A307" t="s">
        <v>16</v>
      </c>
      <c r="B307" t="s">
        <v>931</v>
      </c>
      <c r="C307" t="s">
        <v>5490</v>
      </c>
      <c r="D307" t="s">
        <v>4780</v>
      </c>
      <c r="E307" t="s">
        <v>68</v>
      </c>
      <c r="F307" t="s">
        <v>50</v>
      </c>
      <c r="G307">
        <v>330</v>
      </c>
      <c r="H307" s="22">
        <v>2.591496928548335E-3</v>
      </c>
      <c r="I307" s="16">
        <v>0.85519398642095057</v>
      </c>
      <c r="J307" s="56" t="s">
        <v>5998</v>
      </c>
      <c r="K307" s="56" t="s">
        <v>5600</v>
      </c>
      <c r="L307">
        <v>20</v>
      </c>
      <c r="M307" s="31">
        <f>ProductionOrdersByItem_Display[[#This Row],[ProductionHour]]/r_TotalProductionHour</f>
        <v>4.6201698864419487E-4</v>
      </c>
      <c r="N307" s="26">
        <f>ProductionOrdersByItem_Display[[#This Row],[RMQty]]-ProductionOrdersByItem_Display[[#This Row],[RMRequired]]</f>
        <v>780</v>
      </c>
    </row>
    <row r="308" spans="1:14" hidden="1" x14ac:dyDescent="0.2">
      <c r="A308" t="s">
        <v>16</v>
      </c>
      <c r="B308" t="s">
        <v>2501</v>
      </c>
      <c r="C308" t="s">
        <v>4813</v>
      </c>
      <c r="D308" t="s">
        <v>4777</v>
      </c>
      <c r="E308" t="s">
        <v>68</v>
      </c>
      <c r="F308" t="s">
        <v>50</v>
      </c>
      <c r="G308">
        <v>110</v>
      </c>
      <c r="H308" s="22">
        <v>1.2141400492937484E-3</v>
      </c>
      <c r="I308" s="16">
        <v>0.13355540542231231</v>
      </c>
      <c r="J308" s="56" t="s">
        <v>5999</v>
      </c>
      <c r="K308" s="56" t="s">
        <v>5600</v>
      </c>
      <c r="L308">
        <v>18</v>
      </c>
      <c r="M308" s="31">
        <f>ProductionOrdersByItem_Display[[#This Row],[ProductionHour]]/r_TotalProductionHour</f>
        <v>7.2153063761136452E-5</v>
      </c>
      <c r="N308" s="26">
        <f>ProductionOrdersByItem_Display[[#This Row],[RMQty]]-ProductionOrdersByItem_Display[[#This Row],[RMRequired]]</f>
        <v>700</v>
      </c>
    </row>
    <row r="309" spans="1:14" hidden="1" x14ac:dyDescent="0.2">
      <c r="A309" t="s">
        <v>16</v>
      </c>
      <c r="B309" t="s">
        <v>686</v>
      </c>
      <c r="C309" t="s">
        <v>687</v>
      </c>
      <c r="D309" t="s">
        <v>4779</v>
      </c>
      <c r="E309" t="s">
        <v>68</v>
      </c>
      <c r="F309" t="s">
        <v>50</v>
      </c>
      <c r="G309">
        <v>500</v>
      </c>
      <c r="H309" s="22">
        <v>7.9915370124556003E-4</v>
      </c>
      <c r="I309" s="16">
        <v>0.39957685062278003</v>
      </c>
      <c r="J309" s="56" t="s">
        <v>5755</v>
      </c>
      <c r="K309" s="56" t="s">
        <v>5600</v>
      </c>
      <c r="L309">
        <v>17</v>
      </c>
      <c r="M309" s="31">
        <f>ProductionOrdersByItem_Display[[#This Row],[ProductionHour]]/r_TotalProductionHour</f>
        <v>2.1587066348452693E-4</v>
      </c>
      <c r="N309" s="26">
        <f>ProductionOrdersByItem_Display[[#This Row],[RMQty]]-ProductionOrdersByItem_Display[[#This Row],[RMRequired]]</f>
        <v>649</v>
      </c>
    </row>
    <row r="310" spans="1:14" hidden="1" x14ac:dyDescent="0.2">
      <c r="A310" t="s">
        <v>16</v>
      </c>
      <c r="B310" t="s">
        <v>6000</v>
      </c>
      <c r="C310" t="s">
        <v>6001</v>
      </c>
      <c r="D310" t="s">
        <v>4777</v>
      </c>
      <c r="E310" t="s">
        <v>68</v>
      </c>
      <c r="F310" t="s">
        <v>50</v>
      </c>
      <c r="G310">
        <v>3080</v>
      </c>
      <c r="H310" s="22">
        <v>1.7825680267369644E-3</v>
      </c>
      <c r="I310" s="16">
        <v>5.4903095223498504</v>
      </c>
      <c r="J310" s="56" t="s">
        <v>6002</v>
      </c>
      <c r="K310" s="56" t="s">
        <v>5600</v>
      </c>
      <c r="L310">
        <v>17</v>
      </c>
      <c r="M310" s="31">
        <f>ProductionOrdersByItem_Display[[#This Row],[ProductionHour]]/r_TotalProductionHour</f>
        <v>2.9661296881384196E-3</v>
      </c>
      <c r="N310" s="26">
        <f>ProductionOrdersByItem_Display[[#This Row],[RMQty]]-ProductionOrdersByItem_Display[[#This Row],[RMRequired]]</f>
        <v>650</v>
      </c>
    </row>
    <row r="311" spans="1:14" hidden="1" x14ac:dyDescent="0.2">
      <c r="A311" t="s">
        <v>16</v>
      </c>
      <c r="B311" t="s">
        <v>933</v>
      </c>
      <c r="C311" t="s">
        <v>4968</v>
      </c>
      <c r="D311" t="s">
        <v>4778</v>
      </c>
      <c r="E311" t="s">
        <v>68</v>
      </c>
      <c r="F311" t="s">
        <v>50</v>
      </c>
      <c r="G311">
        <v>4050</v>
      </c>
      <c r="H311" s="22">
        <v>9.6990178497902092E-4</v>
      </c>
      <c r="I311" s="16">
        <v>3.9281022291650349</v>
      </c>
      <c r="J311" s="56" t="s">
        <v>5917</v>
      </c>
      <c r="K311" s="56" t="s">
        <v>5600</v>
      </c>
      <c r="L311">
        <v>15</v>
      </c>
      <c r="M311" s="31">
        <f>ProductionOrdersByItem_Display[[#This Row],[ProductionHour]]/r_TotalProductionHour</f>
        <v>2.1221500522947529E-3</v>
      </c>
      <c r="N311" s="26">
        <f>ProductionOrdersByItem_Display[[#This Row],[RMQty]]-ProductionOrdersByItem_Display[[#This Row],[RMRequired]]</f>
        <v>576</v>
      </c>
    </row>
    <row r="312" spans="1:14" hidden="1" x14ac:dyDescent="0.2">
      <c r="A312" t="s">
        <v>16</v>
      </c>
      <c r="B312" t="s">
        <v>3504</v>
      </c>
      <c r="C312" t="s">
        <v>3505</v>
      </c>
      <c r="D312" t="s">
        <v>4775</v>
      </c>
      <c r="E312" t="s">
        <v>68</v>
      </c>
      <c r="F312" t="s">
        <v>50</v>
      </c>
      <c r="G312">
        <v>3500</v>
      </c>
      <c r="H312" s="22">
        <v>1.2803850281930735E-3</v>
      </c>
      <c r="I312" s="16">
        <v>4.4813475986757574</v>
      </c>
      <c r="J312" s="56" t="s">
        <v>5915</v>
      </c>
      <c r="K312" s="56" t="s">
        <v>5600</v>
      </c>
      <c r="L312">
        <v>15</v>
      </c>
      <c r="M312" s="31">
        <f>ProductionOrdersByItem_Display[[#This Row],[ProductionHour]]/r_TotalProductionHour</f>
        <v>2.4210398523416758E-3</v>
      </c>
      <c r="N312" s="26">
        <f>ProductionOrdersByItem_Display[[#This Row],[RMQty]]-ProductionOrdersByItem_Display[[#This Row],[RMRequired]]</f>
        <v>587</v>
      </c>
    </row>
    <row r="313" spans="1:14" hidden="1" x14ac:dyDescent="0.2">
      <c r="A313" t="s">
        <v>16</v>
      </c>
      <c r="B313" t="s">
        <v>5658</v>
      </c>
      <c r="C313" t="s">
        <v>4819</v>
      </c>
      <c r="D313" t="s">
        <v>4779</v>
      </c>
      <c r="E313" t="s">
        <v>68</v>
      </c>
      <c r="F313" t="s">
        <v>50</v>
      </c>
      <c r="G313">
        <v>5100</v>
      </c>
      <c r="H313" s="22">
        <v>6.5790506489304111E-4</v>
      </c>
      <c r="I313" s="16">
        <v>3.3553158309545097</v>
      </c>
      <c r="J313" s="56" t="s">
        <v>5659</v>
      </c>
      <c r="K313" s="56" t="s">
        <v>5600</v>
      </c>
      <c r="L313">
        <v>13</v>
      </c>
      <c r="M313" s="31">
        <f>ProductionOrdersByItem_Display[[#This Row],[ProductionHour]]/r_TotalProductionHour</f>
        <v>1.8127032471960561E-3</v>
      </c>
      <c r="N313" s="26">
        <f>ProductionOrdersByItem_Display[[#This Row],[RMQty]]-ProductionOrdersByItem_Display[[#This Row],[RMRequired]]</f>
        <v>510</v>
      </c>
    </row>
    <row r="314" spans="1:14" hidden="1" x14ac:dyDescent="0.2">
      <c r="A314" t="s">
        <v>16</v>
      </c>
      <c r="B314" t="s">
        <v>449</v>
      </c>
      <c r="C314" t="s">
        <v>450</v>
      </c>
      <c r="D314" t="s">
        <v>5756</v>
      </c>
      <c r="E314" t="s">
        <v>68</v>
      </c>
      <c r="F314" t="s">
        <v>50</v>
      </c>
      <c r="G314">
        <v>200</v>
      </c>
      <c r="H314" s="22">
        <v>3.689832577698792E-4</v>
      </c>
      <c r="I314" s="16">
        <v>7.3796651553975842E-2</v>
      </c>
      <c r="J314" s="56" t="s">
        <v>5827</v>
      </c>
      <c r="K314" s="56" t="s">
        <v>5600</v>
      </c>
      <c r="L314">
        <v>13</v>
      </c>
      <c r="M314" s="31">
        <f>ProductionOrdersByItem_Display[[#This Row],[ProductionHour]]/r_TotalProductionHour</f>
        <v>3.9868506168622883E-5</v>
      </c>
      <c r="N314" s="26">
        <f>ProductionOrdersByItem_Display[[#This Row],[RMQty]]-ProductionOrdersByItem_Display[[#This Row],[RMRequired]]</f>
        <v>502</v>
      </c>
    </row>
    <row r="315" spans="1:14" hidden="1" x14ac:dyDescent="0.2">
      <c r="A315" t="s">
        <v>16</v>
      </c>
      <c r="B315" t="s">
        <v>688</v>
      </c>
      <c r="C315" t="s">
        <v>689</v>
      </c>
      <c r="D315" t="s">
        <v>4779</v>
      </c>
      <c r="E315" t="s">
        <v>68</v>
      </c>
      <c r="F315" t="s">
        <v>50</v>
      </c>
      <c r="G315">
        <v>600</v>
      </c>
      <c r="H315" s="22">
        <v>7.9915370124556003E-4</v>
      </c>
      <c r="I315" s="16">
        <v>0.479492220747336</v>
      </c>
      <c r="J315" s="56" t="s">
        <v>6003</v>
      </c>
      <c r="K315" s="56" t="s">
        <v>5600</v>
      </c>
      <c r="L315">
        <v>11</v>
      </c>
      <c r="M315" s="31">
        <f>ProductionOrdersByItem_Display[[#This Row],[ProductionHour]]/r_TotalProductionHour</f>
        <v>2.590447961814323E-4</v>
      </c>
      <c r="N315" s="26">
        <f>ProductionOrdersByItem_Display[[#This Row],[RMQty]]-ProductionOrdersByItem_Display[[#This Row],[RMRequired]]</f>
        <v>439</v>
      </c>
    </row>
    <row r="316" spans="1:14" hidden="1" x14ac:dyDescent="0.2">
      <c r="A316" t="s">
        <v>16</v>
      </c>
      <c r="B316" t="s">
        <v>4579</v>
      </c>
      <c r="C316" t="s">
        <v>4580</v>
      </c>
      <c r="D316" t="s">
        <v>4775</v>
      </c>
      <c r="E316" t="s">
        <v>68</v>
      </c>
      <c r="F316" t="s">
        <v>50</v>
      </c>
      <c r="G316">
        <v>70</v>
      </c>
      <c r="H316" s="22">
        <v>2.6800198703975562E-3</v>
      </c>
      <c r="I316" s="16">
        <v>0.18760139092782893</v>
      </c>
      <c r="J316" s="56" t="s">
        <v>5918</v>
      </c>
      <c r="K316" s="56" t="s">
        <v>5600</v>
      </c>
      <c r="L316">
        <v>11</v>
      </c>
      <c r="M316" s="31">
        <f>ProductionOrdersByItem_Display[[#This Row],[ProductionHour]]/r_TotalProductionHour</f>
        <v>1.0135130868340087E-4</v>
      </c>
      <c r="N316" s="26">
        <f>ProductionOrdersByItem_Display[[#This Row],[RMQty]]-ProductionOrdersByItem_Display[[#This Row],[RMRequired]]</f>
        <v>422</v>
      </c>
    </row>
    <row r="317" spans="1:14" hidden="1" x14ac:dyDescent="0.2">
      <c r="A317" t="s">
        <v>16</v>
      </c>
      <c r="B317" t="s">
        <v>6004</v>
      </c>
      <c r="C317" t="s">
        <v>6005</v>
      </c>
      <c r="D317" t="s">
        <v>4777</v>
      </c>
      <c r="E317" t="s">
        <v>68</v>
      </c>
      <c r="F317" t="s">
        <v>50</v>
      </c>
      <c r="G317">
        <v>2040</v>
      </c>
      <c r="H317" s="22">
        <v>1.7704388607863188E-3</v>
      </c>
      <c r="I317" s="16">
        <v>3.6116952760040903</v>
      </c>
      <c r="J317" s="56" t="s">
        <v>6006</v>
      </c>
      <c r="K317" s="56" t="s">
        <v>5600</v>
      </c>
      <c r="L317">
        <v>11</v>
      </c>
      <c r="M317" s="31">
        <f>ProductionOrdersByItem_Display[[#This Row],[ProductionHour]]/r_TotalProductionHour</f>
        <v>1.9512117739547696E-3</v>
      </c>
      <c r="N317" s="26">
        <f>ProductionOrdersByItem_Display[[#This Row],[RMQty]]-ProductionOrdersByItem_Display[[#This Row],[RMRequired]]</f>
        <v>415</v>
      </c>
    </row>
    <row r="318" spans="1:14" hidden="1" x14ac:dyDescent="0.2">
      <c r="A318" t="s">
        <v>16</v>
      </c>
      <c r="B318" t="s">
        <v>300</v>
      </c>
      <c r="C318" t="s">
        <v>301</v>
      </c>
      <c r="D318" t="s">
        <v>4778</v>
      </c>
      <c r="E318" t="s">
        <v>68</v>
      </c>
      <c r="F318" t="s">
        <v>50</v>
      </c>
      <c r="G318">
        <v>4140</v>
      </c>
      <c r="H318" s="22">
        <v>1.6729103153688488E-3</v>
      </c>
      <c r="I318" s="16">
        <v>6.9258487056270335</v>
      </c>
      <c r="J318" s="56" t="s">
        <v>6007</v>
      </c>
      <c r="K318" s="56" t="s">
        <v>5600</v>
      </c>
      <c r="L318">
        <v>10</v>
      </c>
      <c r="M318" s="31">
        <f>ProductionOrdersByItem_Display[[#This Row],[ProductionHour]]/r_TotalProductionHour</f>
        <v>3.7416771090390197E-3</v>
      </c>
      <c r="N318" s="26">
        <f>ProductionOrdersByItem_Display[[#This Row],[RMQty]]-ProductionOrdersByItem_Display[[#This Row],[RMRequired]]</f>
        <v>373</v>
      </c>
    </row>
    <row r="319" spans="1:14" hidden="1" x14ac:dyDescent="0.2">
      <c r="A319" t="s">
        <v>16</v>
      </c>
      <c r="B319" t="s">
        <v>4166</v>
      </c>
      <c r="C319" t="s">
        <v>4167</v>
      </c>
      <c r="D319" t="s">
        <v>5660</v>
      </c>
      <c r="E319" t="s">
        <v>68</v>
      </c>
      <c r="F319" t="s">
        <v>50</v>
      </c>
      <c r="G319">
        <v>4000</v>
      </c>
      <c r="H319" s="22">
        <v>2.000232269432542E-3</v>
      </c>
      <c r="I319" s="16">
        <v>8.0009290777301683</v>
      </c>
      <c r="J319" s="56" t="s">
        <v>5750</v>
      </c>
      <c r="K319" s="56" t="s">
        <v>5600</v>
      </c>
      <c r="L319">
        <v>10</v>
      </c>
      <c r="M319" s="31">
        <f>ProductionOrdersByItem_Display[[#This Row],[ProductionHour]]/r_TotalProductionHour</f>
        <v>4.3224873157949387E-3</v>
      </c>
      <c r="N319" s="26">
        <f>ProductionOrdersByItem_Display[[#This Row],[RMQty]]-ProductionOrdersByItem_Display[[#This Row],[RMRequired]]</f>
        <v>384</v>
      </c>
    </row>
    <row r="320" spans="1:14" hidden="1" x14ac:dyDescent="0.2">
      <c r="A320" t="s">
        <v>16</v>
      </c>
      <c r="B320" t="s">
        <v>4577</v>
      </c>
      <c r="C320" t="s">
        <v>4578</v>
      </c>
      <c r="D320" t="s">
        <v>4775</v>
      </c>
      <c r="E320" t="s">
        <v>68</v>
      </c>
      <c r="F320" t="s">
        <v>50</v>
      </c>
      <c r="G320">
        <v>200</v>
      </c>
      <c r="H320" s="22">
        <v>2.2908403169206604E-3</v>
      </c>
      <c r="I320" s="16">
        <v>0.45816806338413207</v>
      </c>
      <c r="J320" s="56" t="s">
        <v>6008</v>
      </c>
      <c r="K320" s="56" t="s">
        <v>5600</v>
      </c>
      <c r="L320">
        <v>10</v>
      </c>
      <c r="M320" s="31">
        <f>ProductionOrdersByItem_Display[[#This Row],[ProductionHour]]/r_TotalProductionHour</f>
        <v>2.4752445912719942E-4</v>
      </c>
      <c r="N320" s="26">
        <f>ProductionOrdersByItem_Display[[#This Row],[RMQty]]-ProductionOrdersByItem_Display[[#This Row],[RMRequired]]</f>
        <v>371</v>
      </c>
    </row>
    <row r="321" spans="1:14" hidden="1" x14ac:dyDescent="0.2">
      <c r="A321" t="s">
        <v>16</v>
      </c>
      <c r="B321" t="s">
        <v>707</v>
      </c>
      <c r="C321" t="s">
        <v>4786</v>
      </c>
      <c r="D321" t="s">
        <v>4777</v>
      </c>
      <c r="E321" t="s">
        <v>68</v>
      </c>
      <c r="F321" t="s">
        <v>50</v>
      </c>
      <c r="G321">
        <v>5040</v>
      </c>
      <c r="H321" s="22">
        <v>1.1363052184316202E-3</v>
      </c>
      <c r="I321" s="16">
        <v>5.7269783008953663</v>
      </c>
      <c r="J321" s="56" t="s">
        <v>5757</v>
      </c>
      <c r="K321" s="56" t="s">
        <v>5600</v>
      </c>
      <c r="L321">
        <v>9</v>
      </c>
      <c r="M321" s="31">
        <f>ProductionOrdersByItem_Display[[#This Row],[ProductionHour]]/r_TotalProductionHour</f>
        <v>3.0939895633315508E-3</v>
      </c>
      <c r="N321" s="26">
        <f>ProductionOrdersByItem_Display[[#This Row],[RMQty]]-ProductionOrdersByItem_Display[[#This Row],[RMRequired]]</f>
        <v>337</v>
      </c>
    </row>
    <row r="322" spans="1:14" hidden="1" x14ac:dyDescent="0.2">
      <c r="A322" t="s">
        <v>16</v>
      </c>
      <c r="B322" t="s">
        <v>6009</v>
      </c>
      <c r="C322" t="s">
        <v>6010</v>
      </c>
      <c r="D322" t="s">
        <v>4777</v>
      </c>
      <c r="E322" t="s">
        <v>68</v>
      </c>
      <c r="F322" t="s">
        <v>50</v>
      </c>
      <c r="G322">
        <v>2530</v>
      </c>
      <c r="H322" s="22">
        <v>2.8544332789372726E-3</v>
      </c>
      <c r="I322" s="16">
        <v>7.2217161957112994</v>
      </c>
      <c r="J322" s="56" t="s">
        <v>6011</v>
      </c>
      <c r="K322" s="56" t="s">
        <v>5600</v>
      </c>
      <c r="L322">
        <v>9</v>
      </c>
      <c r="M322" s="31">
        <f>ProductionOrdersByItem_Display[[#This Row],[ProductionHour]]/r_TotalProductionHour</f>
        <v>3.9015189799793551E-3</v>
      </c>
      <c r="N322" s="26">
        <f>ProductionOrdersByItem_Display[[#This Row],[RMQty]]-ProductionOrdersByItem_Display[[#This Row],[RMRequired]]</f>
        <v>335</v>
      </c>
    </row>
    <row r="323" spans="1:14" hidden="1" x14ac:dyDescent="0.2">
      <c r="A323" t="s">
        <v>16</v>
      </c>
      <c r="B323" t="s">
        <v>714</v>
      </c>
      <c r="C323" t="s">
        <v>4786</v>
      </c>
      <c r="D323" t="s">
        <v>4789</v>
      </c>
      <c r="E323" t="s">
        <v>68</v>
      </c>
      <c r="F323" t="s">
        <v>50</v>
      </c>
      <c r="G323">
        <v>8160</v>
      </c>
      <c r="H323" s="22">
        <v>1.0265070390621084E-3</v>
      </c>
      <c r="I323" s="16">
        <v>8.3762974387468052</v>
      </c>
      <c r="J323" s="56" t="s">
        <v>5757</v>
      </c>
      <c r="K323" s="56" t="s">
        <v>5600</v>
      </c>
      <c r="L323">
        <v>9</v>
      </c>
      <c r="M323" s="31">
        <f>ProductionOrdersByItem_Display[[#This Row],[ProductionHour]]/r_TotalProductionHour</f>
        <v>4.5252793870009305E-3</v>
      </c>
      <c r="N323" s="26">
        <f>ProductionOrdersByItem_Display[[#This Row],[RMQty]]-ProductionOrdersByItem_Display[[#This Row],[RMRequired]]</f>
        <v>337</v>
      </c>
    </row>
    <row r="324" spans="1:14" hidden="1" x14ac:dyDescent="0.2">
      <c r="A324" t="s">
        <v>16</v>
      </c>
      <c r="B324" t="s">
        <v>5828</v>
      </c>
      <c r="C324" t="s">
        <v>5829</v>
      </c>
      <c r="D324" t="s">
        <v>4778</v>
      </c>
      <c r="E324" t="s">
        <v>68</v>
      </c>
      <c r="F324" t="s">
        <v>50</v>
      </c>
      <c r="G324">
        <v>6200</v>
      </c>
      <c r="H324" s="22">
        <v>1.5785813853397828E-3</v>
      </c>
      <c r="I324" s="16">
        <v>9.7872045891066524</v>
      </c>
      <c r="J324" s="56" t="s">
        <v>6012</v>
      </c>
      <c r="K324" s="56" t="s">
        <v>5600</v>
      </c>
      <c r="L324">
        <v>9</v>
      </c>
      <c r="M324" s="31">
        <f>ProductionOrdersByItem_Display[[#This Row],[ProductionHour]]/r_TotalProductionHour</f>
        <v>5.2875193971229769E-3</v>
      </c>
      <c r="N324" s="26">
        <f>ProductionOrdersByItem_Display[[#This Row],[RMQty]]-ProductionOrdersByItem_Display[[#This Row],[RMRequired]]</f>
        <v>334</v>
      </c>
    </row>
    <row r="325" spans="1:14" hidden="1" x14ac:dyDescent="0.2">
      <c r="A325" t="s">
        <v>16</v>
      </c>
      <c r="B325" t="s">
        <v>6013</v>
      </c>
      <c r="C325" t="s">
        <v>6014</v>
      </c>
      <c r="D325" t="s">
        <v>4776</v>
      </c>
      <c r="E325" t="s">
        <v>68</v>
      </c>
      <c r="F325" t="s">
        <v>50</v>
      </c>
      <c r="G325">
        <v>240</v>
      </c>
      <c r="H325" s="22">
        <v>1.6099664156889056E-3</v>
      </c>
      <c r="I325" s="16">
        <v>0.38639193976533737</v>
      </c>
      <c r="J325" s="56" t="s">
        <v>5712</v>
      </c>
      <c r="K325" s="56" t="s">
        <v>5600</v>
      </c>
      <c r="L325">
        <v>9</v>
      </c>
      <c r="M325" s="31">
        <f>ProductionOrdersByItem_Display[[#This Row],[ProductionHour]]/r_TotalProductionHour</f>
        <v>2.0874753948386384E-4</v>
      </c>
      <c r="N325" s="26">
        <f>ProductionOrdersByItem_Display[[#This Row],[RMQty]]-ProductionOrdersByItem_Display[[#This Row],[RMRequired]]</f>
        <v>336</v>
      </c>
    </row>
    <row r="326" spans="1:14" hidden="1" x14ac:dyDescent="0.2">
      <c r="A326" t="s">
        <v>16</v>
      </c>
      <c r="B326" t="s">
        <v>1023</v>
      </c>
      <c r="C326" t="s">
        <v>4786</v>
      </c>
      <c r="D326" t="s">
        <v>4789</v>
      </c>
      <c r="E326" t="s">
        <v>68</v>
      </c>
      <c r="F326" t="s">
        <v>50</v>
      </c>
      <c r="G326">
        <v>5160</v>
      </c>
      <c r="H326" s="22">
        <v>1.0265070390621084E-3</v>
      </c>
      <c r="I326" s="16">
        <v>5.2967763215604799</v>
      </c>
      <c r="J326" s="56" t="s">
        <v>5757</v>
      </c>
      <c r="K326" s="56" t="s">
        <v>5600</v>
      </c>
      <c r="L326">
        <v>9</v>
      </c>
      <c r="M326" s="31">
        <f>ProductionOrdersByItem_Display[[#This Row],[ProductionHour]]/r_TotalProductionHour</f>
        <v>2.8615737300152944E-3</v>
      </c>
      <c r="N326" s="26">
        <f>ProductionOrdersByItem_Display[[#This Row],[RMQty]]-ProductionOrdersByItem_Display[[#This Row],[RMRequired]]</f>
        <v>337</v>
      </c>
    </row>
    <row r="327" spans="1:14" hidden="1" x14ac:dyDescent="0.2">
      <c r="A327" t="s">
        <v>16</v>
      </c>
      <c r="B327" t="s">
        <v>732</v>
      </c>
      <c r="C327" t="s">
        <v>4874</v>
      </c>
      <c r="D327" t="s">
        <v>6015</v>
      </c>
      <c r="E327" t="s">
        <v>68</v>
      </c>
      <c r="F327" t="s">
        <v>50</v>
      </c>
      <c r="G327">
        <v>8700</v>
      </c>
      <c r="H327" s="22">
        <v>1.1698308408665448E-3</v>
      </c>
      <c r="I327" s="16">
        <v>10.17752831553894</v>
      </c>
      <c r="J327" s="56" t="s">
        <v>6016</v>
      </c>
      <c r="K327" s="56" t="s">
        <v>5600</v>
      </c>
      <c r="L327">
        <v>9</v>
      </c>
      <c r="M327" s="31">
        <f>ProductionOrdersByItem_Display[[#This Row],[ProductionHour]]/r_TotalProductionHour</f>
        <v>5.4983910771699172E-3</v>
      </c>
      <c r="N327" s="26">
        <f>ProductionOrdersByItem_Display[[#This Row],[RMQty]]-ProductionOrdersByItem_Display[[#This Row],[RMRequired]]</f>
        <v>320</v>
      </c>
    </row>
    <row r="328" spans="1:14" hidden="1" x14ac:dyDescent="0.2">
      <c r="A328" t="s">
        <v>16</v>
      </c>
      <c r="B328" t="s">
        <v>414</v>
      </c>
      <c r="C328" t="s">
        <v>415</v>
      </c>
      <c r="D328" t="s">
        <v>4782</v>
      </c>
      <c r="E328" t="s">
        <v>68</v>
      </c>
      <c r="F328" t="s">
        <v>50</v>
      </c>
      <c r="G328">
        <v>200</v>
      </c>
      <c r="H328" s="22">
        <v>2.7284045854936221E-3</v>
      </c>
      <c r="I328" s="16">
        <v>0.54568091709872446</v>
      </c>
      <c r="J328" s="56" t="s">
        <v>6017</v>
      </c>
      <c r="K328" s="56" t="s">
        <v>5607</v>
      </c>
      <c r="L328">
        <v>8</v>
      </c>
      <c r="M328" s="31">
        <f>ProductionOrdersByItem_Display[[#This Row],[ProductionHour]]/r_TotalProductionHour</f>
        <v>2.9480311845230596E-4</v>
      </c>
      <c r="N328" s="26">
        <f>ProductionOrdersByItem_Display[[#This Row],[RMQty]]-ProductionOrdersByItem_Display[[#This Row],[RMRequired]]</f>
        <v>351</v>
      </c>
    </row>
    <row r="329" spans="1:14" hidden="1" x14ac:dyDescent="0.2">
      <c r="A329" t="s">
        <v>16</v>
      </c>
      <c r="B329" t="s">
        <v>6018</v>
      </c>
      <c r="C329" t="s">
        <v>6019</v>
      </c>
      <c r="D329" t="s">
        <v>4778</v>
      </c>
      <c r="E329" t="s">
        <v>68</v>
      </c>
      <c r="F329" t="s">
        <v>50</v>
      </c>
      <c r="G329">
        <v>630</v>
      </c>
      <c r="H329" s="22">
        <v>1.4322899963654246E-3</v>
      </c>
      <c r="I329" s="16">
        <v>0.90234269771021747</v>
      </c>
      <c r="J329" s="56" t="s">
        <v>5741</v>
      </c>
      <c r="K329" s="56" t="s">
        <v>5600</v>
      </c>
      <c r="L329">
        <v>8</v>
      </c>
      <c r="M329" s="31">
        <f>ProductionOrdersByItem_Display[[#This Row],[ProductionHour]]/r_TotalProductionHour</f>
        <v>4.8748899377309811E-4</v>
      </c>
      <c r="N329" s="26">
        <f>ProductionOrdersByItem_Display[[#This Row],[RMQty]]-ProductionOrdersByItem_Display[[#This Row],[RMRequired]]</f>
        <v>308</v>
      </c>
    </row>
    <row r="330" spans="1:14" hidden="1" x14ac:dyDescent="0.2">
      <c r="A330" t="s">
        <v>16</v>
      </c>
      <c r="B330" t="s">
        <v>694</v>
      </c>
      <c r="C330" t="s">
        <v>4788</v>
      </c>
      <c r="D330" t="s">
        <v>4777</v>
      </c>
      <c r="E330" t="s">
        <v>68</v>
      </c>
      <c r="F330" t="s">
        <v>50</v>
      </c>
      <c r="G330">
        <v>4920</v>
      </c>
      <c r="H330" s="22">
        <v>7.9747247037846732E-4</v>
      </c>
      <c r="I330" s="16">
        <v>3.9235645542620592</v>
      </c>
      <c r="J330" s="56" t="s">
        <v>5844</v>
      </c>
      <c r="K330" s="56" t="s">
        <v>5600</v>
      </c>
      <c r="L330">
        <v>8</v>
      </c>
      <c r="M330" s="31">
        <f>ProductionOrdersByItem_Display[[#This Row],[ProductionHour]]/r_TotalProductionHour</f>
        <v>2.1196985817191786E-3</v>
      </c>
      <c r="N330" s="26">
        <f>ProductionOrdersByItem_Display[[#This Row],[RMQty]]-ProductionOrdersByItem_Display[[#This Row],[RMRequired]]</f>
        <v>299</v>
      </c>
    </row>
    <row r="331" spans="1:14" hidden="1" x14ac:dyDescent="0.2">
      <c r="A331" t="s">
        <v>16</v>
      </c>
      <c r="B331" t="s">
        <v>970</v>
      </c>
      <c r="C331" t="s">
        <v>4788</v>
      </c>
      <c r="D331" t="s">
        <v>4779</v>
      </c>
      <c r="E331" t="s">
        <v>68</v>
      </c>
      <c r="F331" t="s">
        <v>50</v>
      </c>
      <c r="G331">
        <v>5400</v>
      </c>
      <c r="H331" s="22">
        <v>7.9747247037846732E-4</v>
      </c>
      <c r="I331" s="16">
        <v>4.3063513400437232</v>
      </c>
      <c r="J331" s="56" t="s">
        <v>5844</v>
      </c>
      <c r="K331" s="56" t="s">
        <v>5600</v>
      </c>
      <c r="L331">
        <v>8</v>
      </c>
      <c r="M331" s="31">
        <f>ProductionOrdersByItem_Display[[#This Row],[ProductionHour]]/r_TotalProductionHour</f>
        <v>2.3264984433503176E-3</v>
      </c>
      <c r="N331" s="26">
        <f>ProductionOrdersByItem_Display[[#This Row],[RMQty]]-ProductionOrdersByItem_Display[[#This Row],[RMRequired]]</f>
        <v>299</v>
      </c>
    </row>
    <row r="332" spans="1:14" hidden="1" x14ac:dyDescent="0.2">
      <c r="A332" t="s">
        <v>16</v>
      </c>
      <c r="B332" t="s">
        <v>508</v>
      </c>
      <c r="C332" t="s">
        <v>509</v>
      </c>
      <c r="D332" t="s">
        <v>4783</v>
      </c>
      <c r="E332" t="s">
        <v>68</v>
      </c>
      <c r="F332" t="s">
        <v>50</v>
      </c>
      <c r="G332">
        <v>1800</v>
      </c>
      <c r="H332" s="22">
        <v>8.0106258440670874E-4</v>
      </c>
      <c r="I332" s="16">
        <v>1.4419126519320757</v>
      </c>
      <c r="J332" s="56" t="s">
        <v>5783</v>
      </c>
      <c r="K332" s="56" t="s">
        <v>5600</v>
      </c>
      <c r="L332">
        <v>8</v>
      </c>
      <c r="M332" s="31">
        <f>ProductionOrdersByItem_Display[[#This Row],[ProductionHour]]/r_TotalProductionHour</f>
        <v>7.7899067569648013E-4</v>
      </c>
      <c r="N332" s="26">
        <f>ProductionOrdersByItem_Display[[#This Row],[RMQty]]-ProductionOrdersByItem_Display[[#This Row],[RMRequired]]</f>
        <v>304</v>
      </c>
    </row>
    <row r="333" spans="1:14" hidden="1" x14ac:dyDescent="0.2">
      <c r="A333" t="s">
        <v>16</v>
      </c>
      <c r="B333" t="s">
        <v>693</v>
      </c>
      <c r="C333" t="s">
        <v>4788</v>
      </c>
      <c r="D333" t="s">
        <v>4779</v>
      </c>
      <c r="E333" t="s">
        <v>68</v>
      </c>
      <c r="F333" t="s">
        <v>50</v>
      </c>
      <c r="G333">
        <v>8040</v>
      </c>
      <c r="H333" s="22">
        <v>7.9747247037846732E-4</v>
      </c>
      <c r="I333" s="16">
        <v>6.4116786618428776</v>
      </c>
      <c r="J333" s="56" t="s">
        <v>5844</v>
      </c>
      <c r="K333" s="56" t="s">
        <v>5600</v>
      </c>
      <c r="L333">
        <v>8</v>
      </c>
      <c r="M333" s="31">
        <f>ProductionOrdersByItem_Display[[#This Row],[ProductionHour]]/r_TotalProductionHour</f>
        <v>3.4638976823215847E-3</v>
      </c>
      <c r="N333" s="26">
        <f>ProductionOrdersByItem_Display[[#This Row],[RMQty]]-ProductionOrdersByItem_Display[[#This Row],[RMRequired]]</f>
        <v>299</v>
      </c>
    </row>
    <row r="334" spans="1:14" hidden="1" x14ac:dyDescent="0.2">
      <c r="A334" t="s">
        <v>16</v>
      </c>
      <c r="B334" t="s">
        <v>1894</v>
      </c>
      <c r="C334" t="s">
        <v>4891</v>
      </c>
      <c r="D334" t="s">
        <v>4778</v>
      </c>
      <c r="E334" t="s">
        <v>68</v>
      </c>
      <c r="F334" t="s">
        <v>50</v>
      </c>
      <c r="G334">
        <v>2200</v>
      </c>
      <c r="H334" s="22">
        <v>1.0026365516392884E-3</v>
      </c>
      <c r="I334" s="16">
        <v>2.2058004136064344</v>
      </c>
      <c r="J334" s="56" t="s">
        <v>5802</v>
      </c>
      <c r="K334" s="56" t="s">
        <v>5600</v>
      </c>
      <c r="L334">
        <v>8</v>
      </c>
      <c r="M334" s="31">
        <f>ProductionOrdersByItem_Display[[#This Row],[ProductionHour]]/r_TotalProductionHour</f>
        <v>1.1916796432463758E-3</v>
      </c>
      <c r="N334" s="26">
        <f>ProductionOrdersByItem_Display[[#This Row],[RMQty]]-ProductionOrdersByItem_Display[[#This Row],[RMRequired]]</f>
        <v>296</v>
      </c>
    </row>
    <row r="335" spans="1:14" hidden="1" x14ac:dyDescent="0.2">
      <c r="A335" t="s">
        <v>16</v>
      </c>
      <c r="B335" t="s">
        <v>6020</v>
      </c>
      <c r="C335" t="s">
        <v>6021</v>
      </c>
      <c r="D335" t="s">
        <v>4777</v>
      </c>
      <c r="E335" t="s">
        <v>68</v>
      </c>
      <c r="F335" t="s">
        <v>50</v>
      </c>
      <c r="G335">
        <v>100</v>
      </c>
      <c r="H335" s="22">
        <v>2.2673436103005473E-3</v>
      </c>
      <c r="I335" s="16">
        <v>0.22673436103005473</v>
      </c>
      <c r="J335" s="56" t="s">
        <v>6022</v>
      </c>
      <c r="K335" s="56" t="s">
        <v>5600</v>
      </c>
      <c r="L335">
        <v>8</v>
      </c>
      <c r="M335" s="31">
        <f>ProductionOrdersByItem_Display[[#This Row],[ProductionHour]]/r_TotalProductionHour</f>
        <v>1.2249282428151704E-4</v>
      </c>
      <c r="N335" s="26">
        <f>ProductionOrdersByItem_Display[[#This Row],[RMQty]]-ProductionOrdersByItem_Display[[#This Row],[RMRequired]]</f>
        <v>292</v>
      </c>
    </row>
    <row r="336" spans="1:14" hidden="1" x14ac:dyDescent="0.2">
      <c r="A336" t="s">
        <v>16</v>
      </c>
      <c r="B336" t="s">
        <v>5830</v>
      </c>
      <c r="C336" t="s">
        <v>5831</v>
      </c>
      <c r="D336" t="s">
        <v>4778</v>
      </c>
      <c r="E336" t="s">
        <v>68</v>
      </c>
      <c r="F336" t="s">
        <v>50</v>
      </c>
      <c r="G336">
        <v>6200</v>
      </c>
      <c r="H336" s="22">
        <v>1.4541407249590815E-3</v>
      </c>
      <c r="I336" s="16">
        <v>9.0156724947463047</v>
      </c>
      <c r="J336" s="56" t="s">
        <v>5759</v>
      </c>
      <c r="K336" s="56" t="s">
        <v>5600</v>
      </c>
      <c r="L336">
        <v>7</v>
      </c>
      <c r="M336" s="31">
        <f>ProductionOrdersByItem_Display[[#This Row],[ProductionHour]]/r_TotalProductionHour</f>
        <v>4.8707005928063894E-3</v>
      </c>
      <c r="N336" s="26">
        <f>ProductionOrdersByItem_Display[[#This Row],[RMQty]]-ProductionOrdersByItem_Display[[#This Row],[RMRequired]]</f>
        <v>249</v>
      </c>
    </row>
    <row r="337" spans="1:14" hidden="1" x14ac:dyDescent="0.2">
      <c r="A337" t="s">
        <v>16</v>
      </c>
      <c r="B337" t="s">
        <v>3879</v>
      </c>
      <c r="C337" t="s">
        <v>3880</v>
      </c>
      <c r="D337" t="s">
        <v>5651</v>
      </c>
      <c r="E337" t="s">
        <v>68</v>
      </c>
      <c r="F337" t="s">
        <v>50</v>
      </c>
      <c r="G337">
        <v>2400</v>
      </c>
      <c r="H337" s="22">
        <v>7.2759145367136998E-4</v>
      </c>
      <c r="I337" s="16">
        <v>1.7462194888112879</v>
      </c>
      <c r="J337" s="56" t="s">
        <v>5804</v>
      </c>
      <c r="K337" s="56" t="s">
        <v>5600</v>
      </c>
      <c r="L337">
        <v>7</v>
      </c>
      <c r="M337" s="31">
        <f>ProductionOrdersByItem_Display[[#This Row],[ProductionHour]]/r_TotalProductionHour</f>
        <v>9.4339188832330632E-4</v>
      </c>
      <c r="N337" s="26">
        <f>ProductionOrdersByItem_Display[[#This Row],[RMQty]]-ProductionOrdersByItem_Display[[#This Row],[RMRequired]]</f>
        <v>263</v>
      </c>
    </row>
    <row r="338" spans="1:14" hidden="1" x14ac:dyDescent="0.2">
      <c r="A338" t="s">
        <v>16</v>
      </c>
      <c r="B338" t="s">
        <v>2622</v>
      </c>
      <c r="C338" t="s">
        <v>4900</v>
      </c>
      <c r="D338" t="s">
        <v>4901</v>
      </c>
      <c r="E338" t="s">
        <v>68</v>
      </c>
      <c r="F338" t="s">
        <v>50</v>
      </c>
      <c r="G338">
        <v>22600</v>
      </c>
      <c r="H338" s="22">
        <v>8.5590601572760067E-4</v>
      </c>
      <c r="I338" s="16">
        <v>19.343475955443775</v>
      </c>
      <c r="J338" s="56" t="s">
        <v>5710</v>
      </c>
      <c r="K338" s="56" t="s">
        <v>5600</v>
      </c>
      <c r="L338">
        <v>7</v>
      </c>
      <c r="M338" s="31">
        <f>ProductionOrdersByItem_Display[[#This Row],[ProductionHour]]/r_TotalProductionHour</f>
        <v>1.0450277542581401E-2</v>
      </c>
      <c r="N338" s="26">
        <f>ProductionOrdersByItem_Display[[#This Row],[RMQty]]-ProductionOrdersByItem_Display[[#This Row],[RMRequired]]</f>
        <v>276</v>
      </c>
    </row>
    <row r="339" spans="1:14" hidden="1" x14ac:dyDescent="0.2">
      <c r="A339" t="s">
        <v>16</v>
      </c>
      <c r="B339" t="s">
        <v>6023</v>
      </c>
      <c r="C339" t="s">
        <v>6024</v>
      </c>
      <c r="D339" t="s">
        <v>4777</v>
      </c>
      <c r="E339" t="s">
        <v>68</v>
      </c>
      <c r="F339" t="s">
        <v>50</v>
      </c>
      <c r="G339">
        <v>600</v>
      </c>
      <c r="H339" s="22">
        <v>1.8139023062728877E-3</v>
      </c>
      <c r="I339" s="16">
        <v>1.0883413837637326</v>
      </c>
      <c r="J339" s="56" t="s">
        <v>5759</v>
      </c>
      <c r="K339" s="56" t="s">
        <v>5600</v>
      </c>
      <c r="L339">
        <v>7</v>
      </c>
      <c r="M339" s="31">
        <f>ProductionOrdersByItem_Display[[#This Row],[ProductionHour]]/r_TotalProductionHour</f>
        <v>5.8797444407644327E-4</v>
      </c>
      <c r="N339" s="26">
        <f>ProductionOrdersByItem_Display[[#This Row],[RMQty]]-ProductionOrdersByItem_Display[[#This Row],[RMRequired]]</f>
        <v>249</v>
      </c>
    </row>
    <row r="340" spans="1:14" hidden="1" x14ac:dyDescent="0.2">
      <c r="A340" t="s">
        <v>16</v>
      </c>
      <c r="B340" t="s">
        <v>6025</v>
      </c>
      <c r="C340" t="s">
        <v>6026</v>
      </c>
      <c r="D340" t="s">
        <v>4779</v>
      </c>
      <c r="E340" t="s">
        <v>68</v>
      </c>
      <c r="F340" t="s">
        <v>50</v>
      </c>
      <c r="G340">
        <v>3900</v>
      </c>
      <c r="H340" s="22">
        <v>7.240986866013687E-4</v>
      </c>
      <c r="I340" s="16">
        <v>2.823984877745338</v>
      </c>
      <c r="J340" s="56" t="s">
        <v>6027</v>
      </c>
      <c r="K340" s="56" t="s">
        <v>5600</v>
      </c>
      <c r="L340">
        <v>7</v>
      </c>
      <c r="M340" s="31">
        <f>ProductionOrdersByItem_Display[[#This Row],[ProductionHour]]/r_TotalProductionHour</f>
        <v>1.5256526705163494E-3</v>
      </c>
      <c r="N340" s="26">
        <f>ProductionOrdersByItem_Display[[#This Row],[RMQty]]-ProductionOrdersByItem_Display[[#This Row],[RMRequired]]</f>
        <v>253</v>
      </c>
    </row>
    <row r="341" spans="1:14" hidden="1" x14ac:dyDescent="0.2">
      <c r="A341" t="s">
        <v>16</v>
      </c>
      <c r="B341" t="s">
        <v>1729</v>
      </c>
      <c r="C341" t="s">
        <v>5334</v>
      </c>
      <c r="D341" t="s">
        <v>4776</v>
      </c>
      <c r="E341" t="s">
        <v>68</v>
      </c>
      <c r="F341" t="s">
        <v>50</v>
      </c>
      <c r="G341">
        <v>3000</v>
      </c>
      <c r="H341" s="22">
        <v>1.5685074702972823E-3</v>
      </c>
      <c r="I341" s="16">
        <v>4.705522410891847</v>
      </c>
      <c r="J341" s="56" t="s">
        <v>5803</v>
      </c>
      <c r="K341" s="56" t="s">
        <v>5600</v>
      </c>
      <c r="L341">
        <v>7</v>
      </c>
      <c r="M341" s="31">
        <f>ProductionOrdersByItem_Display[[#This Row],[ProductionHour]]/r_TotalProductionHour</f>
        <v>2.5421498850529845E-3</v>
      </c>
      <c r="N341" s="26">
        <f>ProductionOrdersByItem_Display[[#This Row],[RMQty]]-ProductionOrdersByItem_Display[[#This Row],[RMRequired]]</f>
        <v>271</v>
      </c>
    </row>
    <row r="342" spans="1:14" hidden="1" x14ac:dyDescent="0.2">
      <c r="A342" t="s">
        <v>16</v>
      </c>
      <c r="B342" t="s">
        <v>461</v>
      </c>
      <c r="C342" t="s">
        <v>462</v>
      </c>
      <c r="D342" t="s">
        <v>5697</v>
      </c>
      <c r="E342" t="s">
        <v>68</v>
      </c>
      <c r="F342" t="s">
        <v>50</v>
      </c>
      <c r="G342">
        <v>100</v>
      </c>
      <c r="H342" s="22">
        <v>1.0957439503322861E-3</v>
      </c>
      <c r="I342" s="16">
        <v>0.10957439503322861</v>
      </c>
      <c r="J342" s="56" t="s">
        <v>5972</v>
      </c>
      <c r="K342" s="56" t="s">
        <v>5600</v>
      </c>
      <c r="L342">
        <v>7</v>
      </c>
      <c r="M342" s="31">
        <f>ProductionOrdersByItem_Display[[#This Row],[ProductionHour]]/r_TotalProductionHour</f>
        <v>5.9197366713992E-5</v>
      </c>
      <c r="N342" s="26">
        <f>ProductionOrdersByItem_Display[[#This Row],[RMQty]]-ProductionOrdersByItem_Display[[#This Row],[RMRequired]]</f>
        <v>261</v>
      </c>
    </row>
    <row r="343" spans="1:14" hidden="1" x14ac:dyDescent="0.2">
      <c r="A343" t="s">
        <v>16</v>
      </c>
      <c r="B343" t="s">
        <v>4513</v>
      </c>
      <c r="C343" t="s">
        <v>4514</v>
      </c>
      <c r="D343" t="s">
        <v>4779</v>
      </c>
      <c r="E343" t="s">
        <v>68</v>
      </c>
      <c r="F343" t="s">
        <v>50</v>
      </c>
      <c r="G343">
        <v>800</v>
      </c>
      <c r="H343" s="22">
        <v>2.3133736846449757E-4</v>
      </c>
      <c r="I343" s="16">
        <v>0.18506989477159805</v>
      </c>
      <c r="J343" s="56" t="s">
        <v>5832</v>
      </c>
      <c r="K343" s="56" t="s">
        <v>5600</v>
      </c>
      <c r="L343">
        <v>7</v>
      </c>
      <c r="M343" s="31">
        <f>ProductionOrdersByItem_Display[[#This Row],[ProductionHour]]/r_TotalProductionHour</f>
        <v>9.9983672510278349E-5</v>
      </c>
      <c r="N343" s="26">
        <f>ProductionOrdersByItem_Display[[#This Row],[RMQty]]-ProductionOrdersByItem_Display[[#This Row],[RMRequired]]</f>
        <v>247</v>
      </c>
    </row>
    <row r="344" spans="1:14" hidden="1" x14ac:dyDescent="0.2">
      <c r="A344" t="s">
        <v>16</v>
      </c>
      <c r="B344" t="s">
        <v>218</v>
      </c>
      <c r="C344" t="s">
        <v>219</v>
      </c>
      <c r="D344" t="s">
        <v>4782</v>
      </c>
      <c r="E344" t="s">
        <v>68</v>
      </c>
      <c r="F344" t="s">
        <v>50</v>
      </c>
      <c r="G344">
        <v>200</v>
      </c>
      <c r="H344" s="22">
        <v>2.7284045854936221E-3</v>
      </c>
      <c r="I344" s="16">
        <v>0.54568091709872446</v>
      </c>
      <c r="J344" s="56" t="s">
        <v>5801</v>
      </c>
      <c r="K344" s="56" t="s">
        <v>5607</v>
      </c>
      <c r="L344">
        <v>7</v>
      </c>
      <c r="M344" s="31">
        <f>ProductionOrdersByItem_Display[[#This Row],[ProductionHour]]/r_TotalProductionHour</f>
        <v>2.9480311845230596E-4</v>
      </c>
      <c r="N344" s="26">
        <f>ProductionOrdersByItem_Display[[#This Row],[RMQty]]-ProductionOrdersByItem_Display[[#This Row],[RMRequired]]</f>
        <v>322</v>
      </c>
    </row>
    <row r="345" spans="1:14" hidden="1" x14ac:dyDescent="0.2">
      <c r="A345" t="s">
        <v>16</v>
      </c>
      <c r="B345" t="s">
        <v>678</v>
      </c>
      <c r="C345" t="s">
        <v>446</v>
      </c>
      <c r="D345" t="s">
        <v>4777</v>
      </c>
      <c r="E345" t="s">
        <v>68</v>
      </c>
      <c r="F345" t="s">
        <v>50</v>
      </c>
      <c r="G345">
        <v>1400</v>
      </c>
      <c r="H345" s="22">
        <v>1.6981021811050142E-3</v>
      </c>
      <c r="I345" s="16">
        <v>2.3773430535470199</v>
      </c>
      <c r="J345" s="56" t="s">
        <v>5894</v>
      </c>
      <c r="K345" s="56" t="s">
        <v>5600</v>
      </c>
      <c r="L345">
        <v>7</v>
      </c>
      <c r="M345" s="31">
        <f>ProductionOrdersByItem_Display[[#This Row],[ProductionHour]]/r_TotalProductionHour</f>
        <v>1.2843552410497646E-3</v>
      </c>
      <c r="N345" s="26">
        <f>ProductionOrdersByItem_Display[[#This Row],[RMQty]]-ProductionOrdersByItem_Display[[#This Row],[RMRequired]]</f>
        <v>258</v>
      </c>
    </row>
    <row r="346" spans="1:14" hidden="1" x14ac:dyDescent="0.2">
      <c r="A346" t="s">
        <v>16</v>
      </c>
      <c r="B346" t="s">
        <v>3814</v>
      </c>
      <c r="C346" t="s">
        <v>5468</v>
      </c>
      <c r="D346" t="s">
        <v>4779</v>
      </c>
      <c r="E346" t="s">
        <v>68</v>
      </c>
      <c r="F346" t="s">
        <v>50</v>
      </c>
      <c r="G346">
        <v>2000</v>
      </c>
      <c r="H346" s="22">
        <v>1.2306261257102589E-3</v>
      </c>
      <c r="I346" s="16">
        <v>2.4612522514205177</v>
      </c>
      <c r="J346" s="56" t="s">
        <v>6028</v>
      </c>
      <c r="K346" s="56" t="s">
        <v>5600</v>
      </c>
      <c r="L346">
        <v>6</v>
      </c>
      <c r="M346" s="31">
        <f>ProductionOrdersByItem_Display[[#This Row],[ProductionHour]]/r_TotalProductionHour</f>
        <v>1.3296870318909373E-3</v>
      </c>
      <c r="N346" s="26">
        <f>ProductionOrdersByItem_Display[[#This Row],[RMQty]]-ProductionOrdersByItem_Display[[#This Row],[RMRequired]]</f>
        <v>233</v>
      </c>
    </row>
    <row r="347" spans="1:14" hidden="1" x14ac:dyDescent="0.2">
      <c r="A347" t="s">
        <v>16</v>
      </c>
      <c r="B347" t="s">
        <v>4381</v>
      </c>
      <c r="C347" t="s">
        <v>4382</v>
      </c>
      <c r="D347" t="s">
        <v>4779</v>
      </c>
      <c r="E347" t="s">
        <v>68</v>
      </c>
      <c r="F347" t="s">
        <v>50</v>
      </c>
      <c r="G347">
        <v>1400</v>
      </c>
      <c r="H347" s="22">
        <v>1.4156431997853611E-3</v>
      </c>
      <c r="I347" s="16">
        <v>1.9819004796995054</v>
      </c>
      <c r="J347" s="56" t="s">
        <v>5848</v>
      </c>
      <c r="K347" s="56" t="s">
        <v>5600</v>
      </c>
      <c r="L347">
        <v>6</v>
      </c>
      <c r="M347" s="31">
        <f>ProductionOrdersByItem_Display[[#This Row],[ProductionHour]]/r_TotalProductionHour</f>
        <v>1.070718113039363E-3</v>
      </c>
      <c r="N347" s="26">
        <f>ProductionOrdersByItem_Display[[#This Row],[RMQty]]-ProductionOrdersByItem_Display[[#This Row],[RMRequired]]</f>
        <v>223</v>
      </c>
    </row>
    <row r="348" spans="1:14" hidden="1" x14ac:dyDescent="0.2">
      <c r="A348" t="s">
        <v>16</v>
      </c>
      <c r="B348" t="s">
        <v>287</v>
      </c>
      <c r="C348" t="s">
        <v>288</v>
      </c>
      <c r="D348" t="s">
        <v>4782</v>
      </c>
      <c r="E348" t="s">
        <v>68</v>
      </c>
      <c r="F348" t="s">
        <v>50</v>
      </c>
      <c r="G348">
        <v>200</v>
      </c>
      <c r="H348" s="22">
        <v>2.7284045854936221E-3</v>
      </c>
      <c r="I348" s="16">
        <v>0.54568091709872446</v>
      </c>
      <c r="J348" s="56" t="s">
        <v>5741</v>
      </c>
      <c r="K348" s="56" t="s">
        <v>5607</v>
      </c>
      <c r="L348">
        <v>6</v>
      </c>
      <c r="M348" s="31">
        <f>ProductionOrdersByItem_Display[[#This Row],[ProductionHour]]/r_TotalProductionHour</f>
        <v>2.9480311845230596E-4</v>
      </c>
      <c r="N348" s="26">
        <f>ProductionOrdersByItem_Display[[#This Row],[RMQty]]-ProductionOrdersByItem_Display[[#This Row],[RMRequired]]</f>
        <v>298</v>
      </c>
    </row>
    <row r="349" spans="1:14" hidden="1" x14ac:dyDescent="0.2">
      <c r="A349" t="s">
        <v>16</v>
      </c>
      <c r="B349" t="s">
        <v>4667</v>
      </c>
      <c r="C349" t="s">
        <v>4668</v>
      </c>
      <c r="D349" t="s">
        <v>4780</v>
      </c>
      <c r="E349" t="s">
        <v>68</v>
      </c>
      <c r="F349" t="s">
        <v>50</v>
      </c>
      <c r="G349">
        <v>400</v>
      </c>
      <c r="H349" s="22">
        <v>9.6835676054196651E-4</v>
      </c>
      <c r="I349" s="16">
        <v>0.38734270421678663</v>
      </c>
      <c r="J349" s="56" t="s">
        <v>5731</v>
      </c>
      <c r="K349" s="56" t="s">
        <v>5600</v>
      </c>
      <c r="L349">
        <v>6</v>
      </c>
      <c r="M349" s="31">
        <f>ProductionOrdersByItem_Display[[#This Row],[ProductionHour]]/r_TotalProductionHour</f>
        <v>2.0926118824162338E-4</v>
      </c>
      <c r="N349" s="26">
        <f>ProductionOrdersByItem_Display[[#This Row],[RMQty]]-ProductionOrdersByItem_Display[[#This Row],[RMRequired]]</f>
        <v>230</v>
      </c>
    </row>
    <row r="350" spans="1:14" hidden="1" x14ac:dyDescent="0.2">
      <c r="A350" t="s">
        <v>16</v>
      </c>
      <c r="B350" t="s">
        <v>972</v>
      </c>
      <c r="C350" t="s">
        <v>973</v>
      </c>
      <c r="D350" t="s">
        <v>4779</v>
      </c>
      <c r="E350" t="s">
        <v>68</v>
      </c>
      <c r="F350" t="s">
        <v>50</v>
      </c>
      <c r="G350">
        <v>440</v>
      </c>
      <c r="H350" s="22">
        <v>1.4595625353805931E-3</v>
      </c>
      <c r="I350" s="16">
        <v>0.64220751556746103</v>
      </c>
      <c r="J350" s="56" t="s">
        <v>5848</v>
      </c>
      <c r="K350" s="56" t="s">
        <v>5600</v>
      </c>
      <c r="L350">
        <v>6</v>
      </c>
      <c r="M350" s="31">
        <f>ProductionOrdersByItem_Display[[#This Row],[ProductionHour]]/r_TotalProductionHour</f>
        <v>3.4695143691188077E-4</v>
      </c>
      <c r="N350" s="26">
        <f>ProductionOrdersByItem_Display[[#This Row],[RMQty]]-ProductionOrdersByItem_Display[[#This Row],[RMRequired]]</f>
        <v>223</v>
      </c>
    </row>
    <row r="351" spans="1:14" hidden="1" x14ac:dyDescent="0.2">
      <c r="A351" t="s">
        <v>16</v>
      </c>
      <c r="B351" t="s">
        <v>752</v>
      </c>
      <c r="C351" t="s">
        <v>753</v>
      </c>
      <c r="D351" t="s">
        <v>4779</v>
      </c>
      <c r="E351" t="s">
        <v>68</v>
      </c>
      <c r="F351" t="s">
        <v>50</v>
      </c>
      <c r="G351">
        <v>500</v>
      </c>
      <c r="H351" s="22">
        <v>1.0238917674150834E-3</v>
      </c>
      <c r="I351" s="16">
        <v>0.51194588370754168</v>
      </c>
      <c r="J351" s="56" t="s">
        <v>5919</v>
      </c>
      <c r="K351" s="56" t="s">
        <v>5600</v>
      </c>
      <c r="L351">
        <v>6</v>
      </c>
      <c r="M351" s="31">
        <f>ProductionOrdersByItem_Display[[#This Row],[ProductionHour]]/r_TotalProductionHour</f>
        <v>2.7657782829979352E-4</v>
      </c>
      <c r="N351" s="26">
        <f>ProductionOrdersByItem_Display[[#This Row],[RMQty]]-ProductionOrdersByItem_Display[[#This Row],[RMRequired]]</f>
        <v>202</v>
      </c>
    </row>
    <row r="352" spans="1:14" hidden="1" x14ac:dyDescent="0.2">
      <c r="A352" t="s">
        <v>16</v>
      </c>
      <c r="B352" t="s">
        <v>2615</v>
      </c>
      <c r="C352" t="s">
        <v>4894</v>
      </c>
      <c r="D352" t="s">
        <v>5651</v>
      </c>
      <c r="E352" t="s">
        <v>68</v>
      </c>
      <c r="F352" t="s">
        <v>50</v>
      </c>
      <c r="G352">
        <v>2000</v>
      </c>
      <c r="H352" s="22">
        <v>6.8976407798498961E-4</v>
      </c>
      <c r="I352" s="16">
        <v>1.3795281559699792</v>
      </c>
      <c r="J352" s="56" t="s">
        <v>5818</v>
      </c>
      <c r="K352" s="56" t="s">
        <v>5600</v>
      </c>
      <c r="L352">
        <v>6</v>
      </c>
      <c r="M352" s="31">
        <f>ProductionOrdersByItem_Display[[#This Row],[ProductionHour]]/r_TotalProductionHour</f>
        <v>7.4528756573529007E-4</v>
      </c>
      <c r="N352" s="26">
        <f>ProductionOrdersByItem_Display[[#This Row],[RMQty]]-ProductionOrdersByItem_Display[[#This Row],[RMRequired]]</f>
        <v>234</v>
      </c>
    </row>
    <row r="353" spans="1:14" hidden="1" x14ac:dyDescent="0.2">
      <c r="A353" t="s">
        <v>16</v>
      </c>
      <c r="B353" t="s">
        <v>697</v>
      </c>
      <c r="C353" t="s">
        <v>698</v>
      </c>
      <c r="D353" t="s">
        <v>4779</v>
      </c>
      <c r="E353" t="s">
        <v>68</v>
      </c>
      <c r="F353" t="s">
        <v>50</v>
      </c>
      <c r="G353">
        <v>500</v>
      </c>
      <c r="H353" s="22">
        <v>1.0397212415727641E-3</v>
      </c>
      <c r="I353" s="16">
        <v>0.51986062078638207</v>
      </c>
      <c r="J353" s="56" t="s">
        <v>5775</v>
      </c>
      <c r="K353" s="56" t="s">
        <v>5600</v>
      </c>
      <c r="L353">
        <v>6</v>
      </c>
      <c r="M353" s="31">
        <f>ProductionOrdersByItem_Display[[#This Row],[ProductionHour]]/r_TotalProductionHour</f>
        <v>2.8085375054566909E-4</v>
      </c>
      <c r="N353" s="26">
        <f>ProductionOrdersByItem_Display[[#This Row],[RMQty]]-ProductionOrdersByItem_Display[[#This Row],[RMRequired]]</f>
        <v>237</v>
      </c>
    </row>
    <row r="354" spans="1:14" hidden="1" x14ac:dyDescent="0.2">
      <c r="A354" t="s">
        <v>16</v>
      </c>
      <c r="B354" t="s">
        <v>6029</v>
      </c>
      <c r="C354" t="s">
        <v>6030</v>
      </c>
      <c r="D354" t="s">
        <v>4778</v>
      </c>
      <c r="E354" t="s">
        <v>68</v>
      </c>
      <c r="F354" t="s">
        <v>50</v>
      </c>
      <c r="G354">
        <v>630</v>
      </c>
      <c r="H354" s="22">
        <v>1.5432445944256966E-3</v>
      </c>
      <c r="I354" s="16">
        <v>0.97224409448818894</v>
      </c>
      <c r="J354" s="56" t="s">
        <v>5900</v>
      </c>
      <c r="K354" s="56" t="s">
        <v>5600</v>
      </c>
      <c r="L354">
        <v>6</v>
      </c>
      <c r="M354" s="31">
        <f>ProductionOrdersByItem_Display[[#This Row],[ProductionHour]]/r_TotalProductionHour</f>
        <v>5.2525309566598094E-4</v>
      </c>
      <c r="N354" s="26">
        <f>ProductionOrdersByItem_Display[[#This Row],[RMQty]]-ProductionOrdersByItem_Display[[#This Row],[RMRequired]]</f>
        <v>216</v>
      </c>
    </row>
    <row r="355" spans="1:14" hidden="1" x14ac:dyDescent="0.2">
      <c r="A355" t="s">
        <v>16</v>
      </c>
      <c r="B355" t="s">
        <v>965</v>
      </c>
      <c r="C355" t="s">
        <v>966</v>
      </c>
      <c r="D355" t="s">
        <v>4777</v>
      </c>
      <c r="E355" t="s">
        <v>68</v>
      </c>
      <c r="F355" t="s">
        <v>50</v>
      </c>
      <c r="G355">
        <v>15000</v>
      </c>
      <c r="H355" s="22">
        <v>4.8173663688811828E-4</v>
      </c>
      <c r="I355" s="16">
        <v>7.2260495533217739</v>
      </c>
      <c r="J355" s="56" t="s">
        <v>5713</v>
      </c>
      <c r="K355" s="56" t="s">
        <v>5600</v>
      </c>
      <c r="L355">
        <v>6</v>
      </c>
      <c r="M355" s="31">
        <f>ProductionOrdersByItem_Display[[#This Row],[ProductionHour]]/r_TotalProductionHour</f>
        <v>3.9038600685109628E-3</v>
      </c>
      <c r="N355" s="26">
        <f>ProductionOrdersByItem_Display[[#This Row],[RMQty]]-ProductionOrdersByItem_Display[[#This Row],[RMRequired]]</f>
        <v>212</v>
      </c>
    </row>
    <row r="356" spans="1:14" hidden="1" x14ac:dyDescent="0.2">
      <c r="A356" t="s">
        <v>16</v>
      </c>
      <c r="B356" t="s">
        <v>482</v>
      </c>
      <c r="C356" t="s">
        <v>483</v>
      </c>
      <c r="D356" t="s">
        <v>4777</v>
      </c>
      <c r="E356" t="s">
        <v>68</v>
      </c>
      <c r="F356" t="s">
        <v>50</v>
      </c>
      <c r="G356">
        <v>14200</v>
      </c>
      <c r="H356" s="22">
        <v>7.6201416003758723E-4</v>
      </c>
      <c r="I356" s="16">
        <v>10.820601072533739</v>
      </c>
      <c r="J356" s="56" t="s">
        <v>5919</v>
      </c>
      <c r="K356" s="56" t="s">
        <v>5600</v>
      </c>
      <c r="L356">
        <v>6</v>
      </c>
      <c r="M356" s="31">
        <f>ProductionOrdersByItem_Display[[#This Row],[ProductionHour]]/r_TotalProductionHour</f>
        <v>5.8458099591820406E-3</v>
      </c>
      <c r="N356" s="26">
        <f>ProductionOrdersByItem_Display[[#This Row],[RMQty]]-ProductionOrdersByItem_Display[[#This Row],[RMRequired]]</f>
        <v>202</v>
      </c>
    </row>
    <row r="357" spans="1:14" hidden="1" x14ac:dyDescent="0.2">
      <c r="A357" t="s">
        <v>16</v>
      </c>
      <c r="B357" t="s">
        <v>710</v>
      </c>
      <c r="C357" t="s">
        <v>711</v>
      </c>
      <c r="D357" t="s">
        <v>4777</v>
      </c>
      <c r="E357" t="s">
        <v>68</v>
      </c>
      <c r="F357" t="s">
        <v>50</v>
      </c>
      <c r="G357">
        <v>5200</v>
      </c>
      <c r="H357" s="22">
        <v>4.1404387219837867E-3</v>
      </c>
      <c r="I357" s="16">
        <v>21.53028135431569</v>
      </c>
      <c r="J357" s="56" t="s">
        <v>6031</v>
      </c>
      <c r="K357" s="56" t="s">
        <v>5600</v>
      </c>
      <c r="L357">
        <v>6</v>
      </c>
      <c r="M357" s="31">
        <f>ProductionOrdersByItem_Display[[#This Row],[ProductionHour]]/r_TotalProductionHour</f>
        <v>1.1631695163823128E-2</v>
      </c>
      <c r="N357" s="26">
        <f>ProductionOrdersByItem_Display[[#This Row],[RMQty]]-ProductionOrdersByItem_Display[[#This Row],[RMRequired]]</f>
        <v>219</v>
      </c>
    </row>
    <row r="358" spans="1:14" hidden="1" x14ac:dyDescent="0.2">
      <c r="A358" t="s">
        <v>16</v>
      </c>
      <c r="B358" t="s">
        <v>937</v>
      </c>
      <c r="C358" t="s">
        <v>938</v>
      </c>
      <c r="D358" t="s">
        <v>4779</v>
      </c>
      <c r="E358" t="s">
        <v>68</v>
      </c>
      <c r="F358" t="s">
        <v>50</v>
      </c>
      <c r="G358">
        <v>650</v>
      </c>
      <c r="H358" s="22">
        <v>7.8005689797976162E-4</v>
      </c>
      <c r="I358" s="16">
        <v>0.50703698368684502</v>
      </c>
      <c r="J358" s="56" t="s">
        <v>5778</v>
      </c>
      <c r="K358" s="56" t="s">
        <v>5600</v>
      </c>
      <c r="L358">
        <v>5</v>
      </c>
      <c r="M358" s="31">
        <f>ProductionOrdersByItem_Display[[#This Row],[ProductionHour]]/r_TotalProductionHour</f>
        <v>2.7392580403263345E-4</v>
      </c>
      <c r="N358" s="26">
        <f>ProductionOrdersByItem_Display[[#This Row],[RMQty]]-ProductionOrdersByItem_Display[[#This Row],[RMRequired]]</f>
        <v>190</v>
      </c>
    </row>
    <row r="359" spans="1:14" hidden="1" x14ac:dyDescent="0.2">
      <c r="A359" t="s">
        <v>16</v>
      </c>
      <c r="B359" t="s">
        <v>320</v>
      </c>
      <c r="C359" t="s">
        <v>321</v>
      </c>
      <c r="D359" t="s">
        <v>4777</v>
      </c>
      <c r="E359" t="s">
        <v>68</v>
      </c>
      <c r="F359" t="s">
        <v>50</v>
      </c>
      <c r="G359">
        <v>1500</v>
      </c>
      <c r="H359" s="22">
        <v>1.9827953058165469E-3</v>
      </c>
      <c r="I359" s="16">
        <v>2.9741929587248204</v>
      </c>
      <c r="J359" s="56" t="s">
        <v>5760</v>
      </c>
      <c r="K359" s="56" t="s">
        <v>5600</v>
      </c>
      <c r="L359">
        <v>5</v>
      </c>
      <c r="M359" s="31">
        <f>ProductionOrdersByItem_Display[[#This Row],[ProductionHour]]/r_TotalProductionHour</f>
        <v>1.6068023118212449E-3</v>
      </c>
      <c r="N359" s="26">
        <f>ProductionOrdersByItem_Display[[#This Row],[RMQty]]-ProductionOrdersByItem_Display[[#This Row],[RMRequired]]</f>
        <v>180</v>
      </c>
    </row>
    <row r="360" spans="1:14" hidden="1" x14ac:dyDescent="0.2">
      <c r="A360" t="s">
        <v>16</v>
      </c>
      <c r="B360" t="s">
        <v>5858</v>
      </c>
      <c r="C360" t="s">
        <v>5859</v>
      </c>
      <c r="D360" t="s">
        <v>4777</v>
      </c>
      <c r="E360" t="s">
        <v>68</v>
      </c>
      <c r="F360" t="s">
        <v>50</v>
      </c>
      <c r="G360">
        <v>150</v>
      </c>
      <c r="H360" s="22">
        <v>1.4363920750782065E-3</v>
      </c>
      <c r="I360" s="16">
        <v>0.21545881126173097</v>
      </c>
      <c r="J360" s="56" t="s">
        <v>5777</v>
      </c>
      <c r="K360" s="56" t="s">
        <v>5600</v>
      </c>
      <c r="L360">
        <v>5</v>
      </c>
      <c r="M360" s="31">
        <f>ProductionOrdersByItem_Display[[#This Row],[ProductionHour]]/r_TotalProductionHour</f>
        <v>1.1640122912066844E-4</v>
      </c>
      <c r="N360" s="26">
        <f>ProductionOrdersByItem_Display[[#This Row],[RMQty]]-ProductionOrdersByItem_Display[[#This Row],[RMRequired]]</f>
        <v>167</v>
      </c>
    </row>
    <row r="361" spans="1:14" hidden="1" x14ac:dyDescent="0.2">
      <c r="A361" t="s">
        <v>16</v>
      </c>
      <c r="B361" t="s">
        <v>754</v>
      </c>
      <c r="C361" t="s">
        <v>4973</v>
      </c>
      <c r="D361" t="s">
        <v>4779</v>
      </c>
      <c r="E361" t="s">
        <v>68</v>
      </c>
      <c r="F361" t="s">
        <v>50</v>
      </c>
      <c r="G361">
        <v>840</v>
      </c>
      <c r="H361" s="22">
        <v>8.9455898065842355E-4</v>
      </c>
      <c r="I361" s="16">
        <v>0.7514295437530758</v>
      </c>
      <c r="J361" s="56" t="s">
        <v>5851</v>
      </c>
      <c r="K361" s="56" t="s">
        <v>5600</v>
      </c>
      <c r="L361">
        <v>5</v>
      </c>
      <c r="M361" s="31">
        <f>ProductionOrdersByItem_Display[[#This Row],[ProductionHour]]/r_TotalProductionHour</f>
        <v>4.0595843808025669E-4</v>
      </c>
      <c r="N361" s="26">
        <f>ProductionOrdersByItem_Display[[#This Row],[RMQty]]-ProductionOrdersByItem_Display[[#This Row],[RMRequired]]</f>
        <v>178</v>
      </c>
    </row>
    <row r="362" spans="1:14" hidden="1" x14ac:dyDescent="0.2">
      <c r="A362" t="s">
        <v>16</v>
      </c>
      <c r="B362" t="s">
        <v>3802</v>
      </c>
      <c r="C362" t="s">
        <v>4925</v>
      </c>
      <c r="D362" t="s">
        <v>4792</v>
      </c>
      <c r="E362" t="s">
        <v>68</v>
      </c>
      <c r="F362" t="s">
        <v>50</v>
      </c>
      <c r="G362">
        <v>50</v>
      </c>
      <c r="H362" s="22">
        <v>1.8334579030358136E-3</v>
      </c>
      <c r="I362" s="16">
        <v>9.1672895151790681E-2</v>
      </c>
      <c r="J362" s="56" t="s">
        <v>5739</v>
      </c>
      <c r="K362" s="56" t="s">
        <v>5607</v>
      </c>
      <c r="L362">
        <v>5</v>
      </c>
      <c r="M362" s="31">
        <f>ProductionOrdersByItem_Display[[#This Row],[ProductionHour]]/r_TotalProductionHour</f>
        <v>4.9526114110766558E-5</v>
      </c>
      <c r="N362" s="26">
        <f>ProductionOrdersByItem_Display[[#This Row],[RMQty]]-ProductionOrdersByItem_Display[[#This Row],[RMRequired]]</f>
        <v>200</v>
      </c>
    </row>
    <row r="363" spans="1:14" hidden="1" x14ac:dyDescent="0.2">
      <c r="A363" t="s">
        <v>16</v>
      </c>
      <c r="B363" t="s">
        <v>3804</v>
      </c>
      <c r="C363" t="s">
        <v>4892</v>
      </c>
      <c r="D363" t="s">
        <v>4792</v>
      </c>
      <c r="E363" t="s">
        <v>68</v>
      </c>
      <c r="F363" t="s">
        <v>50</v>
      </c>
      <c r="G363">
        <v>50</v>
      </c>
      <c r="H363" s="22">
        <v>1.8334695021222981E-3</v>
      </c>
      <c r="I363" s="16">
        <v>9.1673475106114899E-2</v>
      </c>
      <c r="J363" s="56" t="s">
        <v>5819</v>
      </c>
      <c r="K363" s="56" t="s">
        <v>5607</v>
      </c>
      <c r="L363">
        <v>5</v>
      </c>
      <c r="M363" s="31">
        <f>ProductionOrdersByItem_Display[[#This Row],[ProductionHour]]/r_TotalProductionHour</f>
        <v>4.9526427430030585E-5</v>
      </c>
      <c r="N363" s="26">
        <f>ProductionOrdersByItem_Display[[#This Row],[RMQty]]-ProductionOrdersByItem_Display[[#This Row],[RMRequired]]</f>
        <v>234</v>
      </c>
    </row>
    <row r="364" spans="1:14" hidden="1" x14ac:dyDescent="0.2">
      <c r="A364" t="s">
        <v>16</v>
      </c>
      <c r="B364" t="s">
        <v>1024</v>
      </c>
      <c r="C364" t="s">
        <v>5282</v>
      </c>
      <c r="D364" t="s">
        <v>5660</v>
      </c>
      <c r="E364" t="s">
        <v>68</v>
      </c>
      <c r="F364" t="s">
        <v>50</v>
      </c>
      <c r="G364">
        <v>5400</v>
      </c>
      <c r="H364" s="22">
        <v>6.6928069909869795E-4</v>
      </c>
      <c r="I364" s="16">
        <v>3.6141157751329689</v>
      </c>
      <c r="J364" s="56" t="s">
        <v>5784</v>
      </c>
      <c r="K364" s="56" t="s">
        <v>5600</v>
      </c>
      <c r="L364">
        <v>5</v>
      </c>
      <c r="M364" s="31">
        <f>ProductionOrdersByItem_Display[[#This Row],[ProductionHour]]/r_TotalProductionHour</f>
        <v>1.952519444186667E-3</v>
      </c>
      <c r="N364" s="26">
        <f>ProductionOrdersByItem_Display[[#This Row],[RMQty]]-ProductionOrdersByItem_Display[[#This Row],[RMRequired]]</f>
        <v>179</v>
      </c>
    </row>
    <row r="365" spans="1:14" hidden="1" x14ac:dyDescent="0.2">
      <c r="A365" t="s">
        <v>16</v>
      </c>
      <c r="B365" t="s">
        <v>5743</v>
      </c>
      <c r="C365" t="s">
        <v>5744</v>
      </c>
      <c r="D365" t="s">
        <v>4778</v>
      </c>
      <c r="E365" t="s">
        <v>68</v>
      </c>
      <c r="F365" t="s">
        <v>50</v>
      </c>
      <c r="G365">
        <v>4680</v>
      </c>
      <c r="H365" s="22">
        <v>1.6909390194754556E-3</v>
      </c>
      <c r="I365" s="16">
        <v>7.9135946111451316</v>
      </c>
      <c r="J365" s="56" t="s">
        <v>5820</v>
      </c>
      <c r="K365" s="56" t="s">
        <v>5600</v>
      </c>
      <c r="L365">
        <v>5</v>
      </c>
      <c r="M365" s="31">
        <f>ProductionOrdersByItem_Display[[#This Row],[ProductionHour]]/r_TotalProductionHour</f>
        <v>4.275305029790644E-3</v>
      </c>
      <c r="N365" s="26">
        <f>ProductionOrdersByItem_Display[[#This Row],[RMQty]]-ProductionOrdersByItem_Display[[#This Row],[RMRequired]]</f>
        <v>161</v>
      </c>
    </row>
    <row r="366" spans="1:14" hidden="1" x14ac:dyDescent="0.2">
      <c r="A366" t="s">
        <v>16</v>
      </c>
      <c r="B366" t="s">
        <v>2816</v>
      </c>
      <c r="C366" t="s">
        <v>2817</v>
      </c>
      <c r="D366" t="s">
        <v>4775</v>
      </c>
      <c r="E366" t="s">
        <v>68</v>
      </c>
      <c r="F366" t="s">
        <v>50</v>
      </c>
      <c r="G366">
        <v>120</v>
      </c>
      <c r="H366" s="22">
        <v>2.0773155851358848E-3</v>
      </c>
      <c r="I366" s="16">
        <v>0.24927787021630618</v>
      </c>
      <c r="J366" s="56" t="s">
        <v>5823</v>
      </c>
      <c r="K366" s="56" t="s">
        <v>5600</v>
      </c>
      <c r="L366">
        <v>5</v>
      </c>
      <c r="M366" s="31">
        <f>ProductionOrdersByItem_Display[[#This Row],[ProductionHour]]/r_TotalProductionHour</f>
        <v>1.3467191393028106E-4</v>
      </c>
      <c r="N366" s="26">
        <f>ProductionOrdersByItem_Display[[#This Row],[RMQty]]-ProductionOrdersByItem_Display[[#This Row],[RMRequired]]</f>
        <v>177</v>
      </c>
    </row>
    <row r="367" spans="1:14" hidden="1" x14ac:dyDescent="0.2">
      <c r="A367" t="s">
        <v>16</v>
      </c>
      <c r="B367" t="s">
        <v>5837</v>
      </c>
      <c r="C367" t="s">
        <v>5874</v>
      </c>
      <c r="D367" t="s">
        <v>4780</v>
      </c>
      <c r="E367" t="s">
        <v>68</v>
      </c>
      <c r="F367" t="s">
        <v>50</v>
      </c>
      <c r="G367">
        <v>6210</v>
      </c>
      <c r="H367" s="22">
        <v>1.737098893683519E-3</v>
      </c>
      <c r="I367" s="16">
        <v>10.787384129774653</v>
      </c>
      <c r="J367" s="56" t="s">
        <v>5733</v>
      </c>
      <c r="K367" s="56" t="s">
        <v>5600</v>
      </c>
      <c r="L367">
        <v>4</v>
      </c>
      <c r="M367" s="31">
        <f>ProductionOrdersByItem_Display[[#This Row],[ProductionHour]]/r_TotalProductionHour</f>
        <v>5.8278645665469173E-3</v>
      </c>
      <c r="N367" s="26">
        <f>ProductionOrdersByItem_Display[[#This Row],[RMQty]]-ProductionOrdersByItem_Display[[#This Row],[RMRequired]]</f>
        <v>133</v>
      </c>
    </row>
    <row r="368" spans="1:14" hidden="1" x14ac:dyDescent="0.2">
      <c r="A368" t="s">
        <v>16</v>
      </c>
      <c r="B368" t="s">
        <v>337</v>
      </c>
      <c r="C368" t="s">
        <v>317</v>
      </c>
      <c r="D368" t="s">
        <v>4775</v>
      </c>
      <c r="E368" t="s">
        <v>68</v>
      </c>
      <c r="F368" t="s">
        <v>50</v>
      </c>
      <c r="G368">
        <v>5850</v>
      </c>
      <c r="H368" s="22">
        <v>2.4252878591445488E-3</v>
      </c>
      <c r="I368" s="16">
        <v>14.187933975995611</v>
      </c>
      <c r="J368" s="56" t="s">
        <v>5907</v>
      </c>
      <c r="K368" s="56" t="s">
        <v>5600</v>
      </c>
      <c r="L368">
        <v>4</v>
      </c>
      <c r="M368" s="31">
        <f>ProductionOrdersByItem_Display[[#This Row],[ProductionHour]]/r_TotalProductionHour</f>
        <v>7.6650054078438784E-3</v>
      </c>
      <c r="N368" s="26">
        <f>ProductionOrdersByItem_Display[[#This Row],[RMQty]]-ProductionOrdersByItem_Display[[#This Row],[RMRequired]]</f>
        <v>139</v>
      </c>
    </row>
    <row r="369" spans="1:14" hidden="1" x14ac:dyDescent="0.2">
      <c r="A369" t="s">
        <v>16</v>
      </c>
      <c r="B369" t="s">
        <v>338</v>
      </c>
      <c r="C369" t="s">
        <v>317</v>
      </c>
      <c r="D369" t="s">
        <v>4775</v>
      </c>
      <c r="E369" t="s">
        <v>68</v>
      </c>
      <c r="F369" t="s">
        <v>50</v>
      </c>
      <c r="G369">
        <v>4950</v>
      </c>
      <c r="H369" s="22">
        <v>2.4252878591445488E-3</v>
      </c>
      <c r="I369" s="16">
        <v>12.005174902765516</v>
      </c>
      <c r="J369" s="56" t="s">
        <v>5907</v>
      </c>
      <c r="K369" s="56" t="s">
        <v>5600</v>
      </c>
      <c r="L369">
        <v>4</v>
      </c>
      <c r="M369" s="31">
        <f>ProductionOrdersByItem_Display[[#This Row],[ProductionHour]]/r_TotalProductionHour</f>
        <v>6.485773806637128E-3</v>
      </c>
      <c r="N369" s="26">
        <f>ProductionOrdersByItem_Display[[#This Row],[RMQty]]-ProductionOrdersByItem_Display[[#This Row],[RMRequired]]</f>
        <v>139</v>
      </c>
    </row>
    <row r="370" spans="1:14" hidden="1" x14ac:dyDescent="0.2">
      <c r="A370" t="s">
        <v>16</v>
      </c>
      <c r="B370" t="s">
        <v>479</v>
      </c>
      <c r="C370" t="s">
        <v>317</v>
      </c>
      <c r="D370" t="s">
        <v>4775</v>
      </c>
      <c r="E370" t="s">
        <v>68</v>
      </c>
      <c r="F370" t="s">
        <v>50</v>
      </c>
      <c r="G370">
        <v>10125</v>
      </c>
      <c r="H370" s="22">
        <v>2.4252878591445488E-3</v>
      </c>
      <c r="I370" s="16">
        <v>24.556039573838557</v>
      </c>
      <c r="J370" s="56" t="s">
        <v>5907</v>
      </c>
      <c r="K370" s="56" t="s">
        <v>5600</v>
      </c>
      <c r="L370">
        <v>4</v>
      </c>
      <c r="M370" s="31">
        <f>ProductionOrdersByItem_Display[[#This Row],[ProductionHour]]/r_TotalProductionHour</f>
        <v>1.3266355513575944E-2</v>
      </c>
      <c r="N370" s="26">
        <f>ProductionOrdersByItem_Display[[#This Row],[RMQty]]-ProductionOrdersByItem_Display[[#This Row],[RMRequired]]</f>
        <v>139</v>
      </c>
    </row>
    <row r="371" spans="1:14" hidden="1" x14ac:dyDescent="0.2">
      <c r="A371" t="s">
        <v>16</v>
      </c>
      <c r="B371" t="s">
        <v>520</v>
      </c>
      <c r="C371" t="s">
        <v>990</v>
      </c>
      <c r="D371" t="s">
        <v>4778</v>
      </c>
      <c r="E371" t="s">
        <v>68</v>
      </c>
      <c r="F371" t="s">
        <v>50</v>
      </c>
      <c r="G371">
        <v>1100</v>
      </c>
      <c r="H371" s="22">
        <v>9.4881863671007728E-4</v>
      </c>
      <c r="I371" s="16">
        <v>1.0437005003810851</v>
      </c>
      <c r="J371" s="56" t="s">
        <v>5630</v>
      </c>
      <c r="K371" s="56" t="s">
        <v>5607</v>
      </c>
      <c r="L371">
        <v>4</v>
      </c>
      <c r="M371" s="31">
        <f>ProductionOrdersByItem_Display[[#This Row],[ProductionHour]]/r_TotalProductionHour</f>
        <v>5.6385728839205402E-4</v>
      </c>
      <c r="N371" s="26">
        <f>ProductionOrdersByItem_Display[[#This Row],[RMQty]]-ProductionOrdersByItem_Display[[#This Row],[RMRequired]]</f>
        <v>189</v>
      </c>
    </row>
    <row r="372" spans="1:14" hidden="1" x14ac:dyDescent="0.2">
      <c r="A372" t="s">
        <v>16</v>
      </c>
      <c r="B372" t="s">
        <v>4923</v>
      </c>
      <c r="C372" t="s">
        <v>4924</v>
      </c>
      <c r="D372" t="s">
        <v>4778</v>
      </c>
      <c r="E372" t="s">
        <v>68</v>
      </c>
      <c r="F372" t="s">
        <v>50</v>
      </c>
      <c r="G372">
        <v>100</v>
      </c>
      <c r="H372" s="22">
        <v>1.2462695133149679E-3</v>
      </c>
      <c r="I372" s="16">
        <v>0.12462695133149679</v>
      </c>
      <c r="J372" s="56" t="s">
        <v>5824</v>
      </c>
      <c r="K372" s="56" t="s">
        <v>5600</v>
      </c>
      <c r="L372">
        <v>4</v>
      </c>
      <c r="M372" s="31">
        <f>ProductionOrdersByItem_Display[[#This Row],[ProductionHour]]/r_TotalProductionHour</f>
        <v>6.7329482751697455E-5</v>
      </c>
      <c r="N372" s="26">
        <f>ProductionOrdersByItem_Display[[#This Row],[RMQty]]-ProductionOrdersByItem_Display[[#This Row],[RMRequired]]</f>
        <v>152</v>
      </c>
    </row>
    <row r="373" spans="1:14" hidden="1" x14ac:dyDescent="0.2">
      <c r="A373" t="s">
        <v>16</v>
      </c>
      <c r="B373" t="s">
        <v>683</v>
      </c>
      <c r="C373" t="s">
        <v>317</v>
      </c>
      <c r="D373" t="s">
        <v>4775</v>
      </c>
      <c r="E373" t="s">
        <v>68</v>
      </c>
      <c r="F373" t="s">
        <v>50</v>
      </c>
      <c r="G373">
        <v>300</v>
      </c>
      <c r="H373" s="22">
        <v>2.4252878591445488E-3</v>
      </c>
      <c r="I373" s="16">
        <v>0.72758635774336466</v>
      </c>
      <c r="J373" s="56" t="s">
        <v>5907</v>
      </c>
      <c r="K373" s="56" t="s">
        <v>5600</v>
      </c>
      <c r="L373">
        <v>4</v>
      </c>
      <c r="M373" s="31">
        <f>ProductionOrdersByItem_Display[[#This Row],[ProductionHour]]/r_TotalProductionHour</f>
        <v>3.9307720040225022E-4</v>
      </c>
      <c r="N373" s="26">
        <f>ProductionOrdersByItem_Display[[#This Row],[RMQty]]-ProductionOrdersByItem_Display[[#This Row],[RMRequired]]</f>
        <v>139</v>
      </c>
    </row>
    <row r="374" spans="1:14" hidden="1" x14ac:dyDescent="0.2">
      <c r="A374" t="s">
        <v>16</v>
      </c>
      <c r="B374" t="s">
        <v>4419</v>
      </c>
      <c r="C374" t="s">
        <v>4420</v>
      </c>
      <c r="D374" t="s">
        <v>4775</v>
      </c>
      <c r="E374" t="s">
        <v>68</v>
      </c>
      <c r="F374" t="s">
        <v>50</v>
      </c>
      <c r="G374">
        <v>900</v>
      </c>
      <c r="H374" s="22">
        <v>2.6055588676313843E-3</v>
      </c>
      <c r="I374" s="16">
        <v>2.3450029808682458</v>
      </c>
      <c r="J374" s="56" t="s">
        <v>5912</v>
      </c>
      <c r="K374" s="56" t="s">
        <v>5600</v>
      </c>
      <c r="L374">
        <v>4</v>
      </c>
      <c r="M374" s="31">
        <f>ProductionOrdersByItem_Display[[#This Row],[ProductionHour]]/r_TotalProductionHour</f>
        <v>1.2668835758734066E-3</v>
      </c>
      <c r="N374" s="26">
        <f>ProductionOrdersByItem_Display[[#This Row],[RMQty]]-ProductionOrdersByItem_Display[[#This Row],[RMRequired]]</f>
        <v>122</v>
      </c>
    </row>
    <row r="375" spans="1:14" hidden="1" x14ac:dyDescent="0.2">
      <c r="A375" t="s">
        <v>16</v>
      </c>
      <c r="B375" t="s">
        <v>3948</v>
      </c>
      <c r="C375" t="s">
        <v>5479</v>
      </c>
      <c r="D375" t="s">
        <v>4775</v>
      </c>
      <c r="E375" t="s">
        <v>68</v>
      </c>
      <c r="F375" t="s">
        <v>50</v>
      </c>
      <c r="G375">
        <v>1000</v>
      </c>
      <c r="H375" s="22">
        <v>1.8795933825710622E-3</v>
      </c>
      <c r="I375" s="16">
        <v>1.8795933825710622</v>
      </c>
      <c r="J375" s="56" t="s">
        <v>5646</v>
      </c>
      <c r="K375" s="56" t="s">
        <v>5600</v>
      </c>
      <c r="L375">
        <v>4</v>
      </c>
      <c r="M375" s="31">
        <f>ProductionOrdersByItem_Display[[#This Row],[ProductionHour]]/r_TotalProductionHour</f>
        <v>1.0154468907403954E-3</v>
      </c>
      <c r="N375" s="26">
        <f>ProductionOrdersByItem_Display[[#This Row],[RMQty]]-ProductionOrdersByItem_Display[[#This Row],[RMRequired]]</f>
        <v>145</v>
      </c>
    </row>
    <row r="376" spans="1:14" hidden="1" x14ac:dyDescent="0.2">
      <c r="A376" t="s">
        <v>16</v>
      </c>
      <c r="B376" t="s">
        <v>500</v>
      </c>
      <c r="C376" t="s">
        <v>501</v>
      </c>
      <c r="D376" t="s">
        <v>4782</v>
      </c>
      <c r="E376" t="s">
        <v>68</v>
      </c>
      <c r="F376" t="s">
        <v>50</v>
      </c>
      <c r="G376">
        <v>100</v>
      </c>
      <c r="H376" s="22">
        <v>2.7284045854936221E-3</v>
      </c>
      <c r="I376" s="16">
        <v>0.27284045854936223</v>
      </c>
      <c r="J376" s="56" t="s">
        <v>5760</v>
      </c>
      <c r="K376" s="56" t="s">
        <v>5607</v>
      </c>
      <c r="L376">
        <v>4</v>
      </c>
      <c r="M376" s="31">
        <f>ProductionOrdersByItem_Display[[#This Row],[ProductionHour]]/r_TotalProductionHour</f>
        <v>1.4740155922615298E-4</v>
      </c>
      <c r="N376" s="26">
        <f>ProductionOrdersByItem_Display[[#This Row],[RMQty]]-ProductionOrdersByItem_Display[[#This Row],[RMRequired]]</f>
        <v>170</v>
      </c>
    </row>
    <row r="377" spans="1:14" hidden="1" x14ac:dyDescent="0.2">
      <c r="A377" t="s">
        <v>16</v>
      </c>
      <c r="B377" t="s">
        <v>5127</v>
      </c>
      <c r="C377" t="s">
        <v>5128</v>
      </c>
      <c r="D377" t="s">
        <v>4779</v>
      </c>
      <c r="E377" t="s">
        <v>68</v>
      </c>
      <c r="F377" t="s">
        <v>50</v>
      </c>
      <c r="G377">
        <v>120</v>
      </c>
      <c r="H377" s="22">
        <v>1.470099227640661E-3</v>
      </c>
      <c r="I377" s="16">
        <v>0.17641190731687931</v>
      </c>
      <c r="J377" s="56" t="s">
        <v>5646</v>
      </c>
      <c r="K377" s="56" t="s">
        <v>5600</v>
      </c>
      <c r="L377">
        <v>4</v>
      </c>
      <c r="M377" s="31">
        <f>ProductionOrdersByItem_Display[[#This Row],[ProductionHour]]/r_TotalProductionHour</f>
        <v>9.5306210606822697E-5</v>
      </c>
      <c r="N377" s="26">
        <f>ProductionOrdersByItem_Display[[#This Row],[RMQty]]-ProductionOrdersByItem_Display[[#This Row],[RMRequired]]</f>
        <v>145</v>
      </c>
    </row>
    <row r="378" spans="1:14" hidden="1" x14ac:dyDescent="0.2">
      <c r="A378" t="s">
        <v>16</v>
      </c>
      <c r="B378" t="s">
        <v>939</v>
      </c>
      <c r="C378" t="s">
        <v>940</v>
      </c>
      <c r="D378" t="s">
        <v>4777</v>
      </c>
      <c r="E378" t="s">
        <v>68</v>
      </c>
      <c r="F378" t="s">
        <v>50</v>
      </c>
      <c r="G378">
        <v>15000</v>
      </c>
      <c r="H378" s="22">
        <v>8.8967337901908338E-4</v>
      </c>
      <c r="I378" s="16">
        <v>13.345100685286251</v>
      </c>
      <c r="J378" s="56" t="s">
        <v>4851</v>
      </c>
      <c r="K378" s="56" t="s">
        <v>5600</v>
      </c>
      <c r="L378">
        <v>4</v>
      </c>
      <c r="M378" s="31">
        <f>ProductionOrdersByItem_Display[[#This Row],[ProductionHour]]/r_TotalProductionHour</f>
        <v>7.209666262473719E-3</v>
      </c>
      <c r="N378" s="26">
        <f>ProductionOrdersByItem_Display[[#This Row],[RMQty]]-ProductionOrdersByItem_Display[[#This Row],[RMRequired]]</f>
        <v>154</v>
      </c>
    </row>
    <row r="379" spans="1:14" hidden="1" x14ac:dyDescent="0.2">
      <c r="A379" t="s">
        <v>16</v>
      </c>
      <c r="B379" t="s">
        <v>995</v>
      </c>
      <c r="C379" t="s">
        <v>4994</v>
      </c>
      <c r="D379" t="s">
        <v>4792</v>
      </c>
      <c r="E379" t="s">
        <v>68</v>
      </c>
      <c r="F379" t="s">
        <v>50</v>
      </c>
      <c r="G379">
        <v>50</v>
      </c>
      <c r="H379" s="22">
        <v>1.8334579030358136E-3</v>
      </c>
      <c r="I379" s="16">
        <v>9.1672895151790681E-2</v>
      </c>
      <c r="J379" s="56" t="s">
        <v>5610</v>
      </c>
      <c r="K379" s="56" t="s">
        <v>5607</v>
      </c>
      <c r="L379">
        <v>4</v>
      </c>
      <c r="M379" s="31">
        <f>ProductionOrdersByItem_Display[[#This Row],[ProductionHour]]/r_TotalProductionHour</f>
        <v>4.9526114110766558E-5</v>
      </c>
      <c r="N379" s="26">
        <f>ProductionOrdersByItem_Display[[#This Row],[RMQty]]-ProductionOrdersByItem_Display[[#This Row],[RMRequired]]</f>
        <v>188</v>
      </c>
    </row>
    <row r="380" spans="1:14" hidden="1" x14ac:dyDescent="0.2">
      <c r="A380" t="s">
        <v>16</v>
      </c>
      <c r="B380" t="s">
        <v>680</v>
      </c>
      <c r="C380" t="s">
        <v>681</v>
      </c>
      <c r="D380" t="s">
        <v>4777</v>
      </c>
      <c r="E380" t="s">
        <v>68</v>
      </c>
      <c r="F380" t="s">
        <v>50</v>
      </c>
      <c r="G380">
        <v>6960</v>
      </c>
      <c r="H380" s="22">
        <v>1.2138710281540672E-3</v>
      </c>
      <c r="I380" s="16">
        <v>8.4485423559523074</v>
      </c>
      <c r="J380" s="56" t="s">
        <v>4851</v>
      </c>
      <c r="K380" s="56" t="s">
        <v>5600</v>
      </c>
      <c r="L380">
        <v>4</v>
      </c>
      <c r="M380" s="31">
        <f>ProductionOrdersByItem_Display[[#This Row],[ProductionHour]]/r_TotalProductionHour</f>
        <v>4.5643095715229547E-3</v>
      </c>
      <c r="N380" s="26">
        <f>ProductionOrdersByItem_Display[[#This Row],[RMQty]]-ProductionOrdersByItem_Display[[#This Row],[RMRequired]]</f>
        <v>154</v>
      </c>
    </row>
    <row r="381" spans="1:14" hidden="1" x14ac:dyDescent="0.2">
      <c r="A381" t="s">
        <v>16</v>
      </c>
      <c r="B381" t="s">
        <v>1001</v>
      </c>
      <c r="C381" t="s">
        <v>1002</v>
      </c>
      <c r="D381" t="s">
        <v>4775</v>
      </c>
      <c r="E381" t="s">
        <v>68</v>
      </c>
      <c r="F381" t="s">
        <v>50</v>
      </c>
      <c r="G381">
        <v>220</v>
      </c>
      <c r="H381" s="22">
        <v>1.5329452983725135E-3</v>
      </c>
      <c r="I381" s="16">
        <v>0.33724796564195297</v>
      </c>
      <c r="J381" s="56" t="s">
        <v>5652</v>
      </c>
      <c r="K381" s="56" t="s">
        <v>5600</v>
      </c>
      <c r="L381">
        <v>4</v>
      </c>
      <c r="M381" s="31">
        <f>ProductionOrdersByItem_Display[[#This Row],[ProductionHour]]/r_TotalProductionHour</f>
        <v>1.8219759725436122E-4</v>
      </c>
      <c r="N381" s="26">
        <f>ProductionOrdersByItem_Display[[#This Row],[RMQty]]-ProductionOrdersByItem_Display[[#This Row],[RMRequired]]</f>
        <v>135</v>
      </c>
    </row>
    <row r="382" spans="1:14" hidden="1" x14ac:dyDescent="0.2">
      <c r="A382" t="s">
        <v>16</v>
      </c>
      <c r="B382" t="s">
        <v>4826</v>
      </c>
      <c r="C382" t="s">
        <v>4827</v>
      </c>
      <c r="D382" t="s">
        <v>4777</v>
      </c>
      <c r="E382" t="s">
        <v>68</v>
      </c>
      <c r="F382" t="s">
        <v>50</v>
      </c>
      <c r="G382">
        <v>1900</v>
      </c>
      <c r="H382" s="22">
        <v>1.911408794985358E-3</v>
      </c>
      <c r="I382" s="16">
        <v>3.6316767104721803</v>
      </c>
      <c r="J382" s="56" t="s">
        <v>5740</v>
      </c>
      <c r="K382" s="56" t="s">
        <v>5600</v>
      </c>
      <c r="L382">
        <v>4</v>
      </c>
      <c r="M382" s="31">
        <f>ProductionOrdersByItem_Display[[#This Row],[ProductionHour]]/r_TotalProductionHour</f>
        <v>1.9620067074181979E-3</v>
      </c>
      <c r="N382" s="26">
        <f>ProductionOrdersByItem_Display[[#This Row],[RMQty]]-ProductionOrdersByItem_Display[[#This Row],[RMRequired]]</f>
        <v>128</v>
      </c>
    </row>
    <row r="383" spans="1:14" hidden="1" x14ac:dyDescent="0.2">
      <c r="A383" t="s">
        <v>16</v>
      </c>
      <c r="B383" t="s">
        <v>954</v>
      </c>
      <c r="C383" t="s">
        <v>955</v>
      </c>
      <c r="D383" t="s">
        <v>4780</v>
      </c>
      <c r="E383" t="s">
        <v>68</v>
      </c>
      <c r="F383" t="s">
        <v>50</v>
      </c>
      <c r="G383">
        <v>720</v>
      </c>
      <c r="H383" s="22">
        <v>5.0747951645254319E-4</v>
      </c>
      <c r="I383" s="16">
        <v>0.36538525184583109</v>
      </c>
      <c r="J383" s="56" t="s">
        <v>4769</v>
      </c>
      <c r="K383" s="56" t="s">
        <v>5600</v>
      </c>
      <c r="L383">
        <v>4</v>
      </c>
      <c r="M383" s="31">
        <f>ProductionOrdersByItem_Display[[#This Row],[ProductionHour]]/r_TotalProductionHour</f>
        <v>1.9739871471654213E-4</v>
      </c>
      <c r="N383" s="26">
        <f>ProductionOrdersByItem_Display[[#This Row],[RMQty]]-ProductionOrdersByItem_Display[[#This Row],[RMRequired]]</f>
        <v>130</v>
      </c>
    </row>
    <row r="384" spans="1:14" hidden="1" x14ac:dyDescent="0.2">
      <c r="A384" t="s">
        <v>16</v>
      </c>
      <c r="B384" t="s">
        <v>682</v>
      </c>
      <c r="C384" t="s">
        <v>317</v>
      </c>
      <c r="D384" t="s">
        <v>4775</v>
      </c>
      <c r="E384" t="s">
        <v>68</v>
      </c>
      <c r="F384" t="s">
        <v>50</v>
      </c>
      <c r="G384">
        <v>600</v>
      </c>
      <c r="H384" s="22">
        <v>2.4252878591445488E-3</v>
      </c>
      <c r="I384" s="16">
        <v>1.4551727154867293</v>
      </c>
      <c r="J384" s="56" t="s">
        <v>5907</v>
      </c>
      <c r="K384" s="56" t="s">
        <v>5600</v>
      </c>
      <c r="L384">
        <v>4</v>
      </c>
      <c r="M384" s="31">
        <f>ProductionOrdersByItem_Display[[#This Row],[ProductionHour]]/r_TotalProductionHour</f>
        <v>7.8615440080450044E-4</v>
      </c>
      <c r="N384" s="26">
        <f>ProductionOrdersByItem_Display[[#This Row],[RMQty]]-ProductionOrdersByItem_Display[[#This Row],[RMRequired]]</f>
        <v>139</v>
      </c>
    </row>
    <row r="385" spans="1:14" hidden="1" x14ac:dyDescent="0.2">
      <c r="A385" t="s">
        <v>16</v>
      </c>
      <c r="B385" t="s">
        <v>991</v>
      </c>
      <c r="C385" t="s">
        <v>4975</v>
      </c>
      <c r="D385" t="s">
        <v>4792</v>
      </c>
      <c r="E385" t="s">
        <v>68</v>
      </c>
      <c r="F385" t="s">
        <v>50</v>
      </c>
      <c r="G385">
        <v>50</v>
      </c>
      <c r="H385" s="22">
        <v>1.8334579030358136E-3</v>
      </c>
      <c r="I385" s="16">
        <v>9.1672895151790681E-2</v>
      </c>
      <c r="J385" s="56" t="s">
        <v>5903</v>
      </c>
      <c r="K385" s="56" t="s">
        <v>5607</v>
      </c>
      <c r="L385">
        <v>4</v>
      </c>
      <c r="M385" s="31">
        <f>ProductionOrdersByItem_Display[[#This Row],[ProductionHour]]/r_TotalProductionHour</f>
        <v>4.9526114110766558E-5</v>
      </c>
      <c r="N385" s="26">
        <f>ProductionOrdersByItem_Display[[#This Row],[RMQty]]-ProductionOrdersByItem_Display[[#This Row],[RMRequired]]</f>
        <v>159</v>
      </c>
    </row>
    <row r="386" spans="1:14" hidden="1" x14ac:dyDescent="0.2">
      <c r="A386" t="s">
        <v>16</v>
      </c>
      <c r="B386" t="s">
        <v>4523</v>
      </c>
      <c r="C386" t="s">
        <v>4799</v>
      </c>
      <c r="D386" t="s">
        <v>4775</v>
      </c>
      <c r="E386" t="s">
        <v>68</v>
      </c>
      <c r="F386" t="s">
        <v>50</v>
      </c>
      <c r="G386">
        <v>50</v>
      </c>
      <c r="H386" s="22">
        <v>3.0086088607040153E-3</v>
      </c>
      <c r="I386" s="16">
        <v>0.15043044303520076</v>
      </c>
      <c r="J386" s="56" t="s">
        <v>5631</v>
      </c>
      <c r="K386" s="56" t="s">
        <v>5600</v>
      </c>
      <c r="L386">
        <v>4</v>
      </c>
      <c r="M386" s="31">
        <f>ProductionOrdersByItem_Display[[#This Row],[ProductionHour]]/r_TotalProductionHour</f>
        <v>8.1269771999221003E-5</v>
      </c>
      <c r="N386" s="26">
        <f>ProductionOrdersByItem_Display[[#This Row],[RMQty]]-ProductionOrdersByItem_Display[[#This Row],[RMRequired]]</f>
        <v>138</v>
      </c>
    </row>
    <row r="387" spans="1:14" hidden="1" x14ac:dyDescent="0.2">
      <c r="A387" t="s">
        <v>16</v>
      </c>
      <c r="B387" t="s">
        <v>969</v>
      </c>
      <c r="C387" t="s">
        <v>4971</v>
      </c>
      <c r="D387" t="s">
        <v>4779</v>
      </c>
      <c r="E387" t="s">
        <v>68</v>
      </c>
      <c r="F387" t="s">
        <v>50</v>
      </c>
      <c r="G387">
        <v>2160</v>
      </c>
      <c r="H387" s="22">
        <v>1.6622665390169894E-3</v>
      </c>
      <c r="I387" s="16">
        <v>3.5904957242766971</v>
      </c>
      <c r="J387" s="56" t="s">
        <v>5852</v>
      </c>
      <c r="K387" s="56" t="s">
        <v>5600</v>
      </c>
      <c r="L387">
        <v>4</v>
      </c>
      <c r="M387" s="31">
        <f>ProductionOrdersByItem_Display[[#This Row],[ProductionHour]]/r_TotalProductionHour</f>
        <v>1.9397587548676172E-3</v>
      </c>
      <c r="N387" s="26">
        <f>ProductionOrdersByItem_Display[[#This Row],[RMQty]]-ProductionOrdersByItem_Display[[#This Row],[RMRequired]]</f>
        <v>127</v>
      </c>
    </row>
    <row r="388" spans="1:14" hidden="1" x14ac:dyDescent="0.2">
      <c r="A388" t="s">
        <v>16</v>
      </c>
      <c r="B388" t="s">
        <v>4524</v>
      </c>
      <c r="C388" t="s">
        <v>4799</v>
      </c>
      <c r="D388" t="s">
        <v>4775</v>
      </c>
      <c r="E388" t="s">
        <v>68</v>
      </c>
      <c r="F388" t="s">
        <v>50</v>
      </c>
      <c r="G388">
        <v>100</v>
      </c>
      <c r="H388" s="22">
        <v>3.0086088607040153E-3</v>
      </c>
      <c r="I388" s="16">
        <v>0.30086088607040151</v>
      </c>
      <c r="J388" s="56" t="s">
        <v>5631</v>
      </c>
      <c r="K388" s="56" t="s">
        <v>5600</v>
      </c>
      <c r="L388">
        <v>4</v>
      </c>
      <c r="M388" s="31">
        <f>ProductionOrdersByItem_Display[[#This Row],[ProductionHour]]/r_TotalProductionHour</f>
        <v>1.6253954399844201E-4</v>
      </c>
      <c r="N388" s="26">
        <f>ProductionOrdersByItem_Display[[#This Row],[RMQty]]-ProductionOrdersByItem_Display[[#This Row],[RMRequired]]</f>
        <v>138</v>
      </c>
    </row>
    <row r="389" spans="1:14" hidden="1" x14ac:dyDescent="0.2">
      <c r="A389" t="s">
        <v>16</v>
      </c>
      <c r="B389" t="s">
        <v>522</v>
      </c>
      <c r="C389" t="s">
        <v>971</v>
      </c>
      <c r="D389" t="s">
        <v>4779</v>
      </c>
      <c r="E389" t="s">
        <v>68</v>
      </c>
      <c r="F389" t="s">
        <v>50</v>
      </c>
      <c r="G389">
        <v>1100</v>
      </c>
      <c r="H389" s="22">
        <v>9.8792098999224117E-4</v>
      </c>
      <c r="I389" s="16">
        <v>1.0867130889914653</v>
      </c>
      <c r="J389" s="56" t="s">
        <v>5610</v>
      </c>
      <c r="K389" s="56" t="s">
        <v>5607</v>
      </c>
      <c r="L389">
        <v>4</v>
      </c>
      <c r="M389" s="31">
        <f>ProductionOrdersByItem_Display[[#This Row],[ProductionHour]]/r_TotalProductionHour</f>
        <v>5.8709476080077332E-4</v>
      </c>
      <c r="N389" s="26">
        <f>ProductionOrdersByItem_Display[[#This Row],[RMQty]]-ProductionOrdersByItem_Display[[#This Row],[RMRequired]]</f>
        <v>188</v>
      </c>
    </row>
    <row r="390" spans="1:14" hidden="1" x14ac:dyDescent="0.2">
      <c r="A390" t="s">
        <v>16</v>
      </c>
      <c r="B390" t="s">
        <v>1021</v>
      </c>
      <c r="C390" t="s">
        <v>1022</v>
      </c>
      <c r="D390" t="s">
        <v>5683</v>
      </c>
      <c r="E390" t="s">
        <v>68</v>
      </c>
      <c r="F390" t="s">
        <v>50</v>
      </c>
      <c r="G390">
        <v>1575</v>
      </c>
      <c r="H390" s="22">
        <v>2.1842343105688304E-3</v>
      </c>
      <c r="I390" s="16">
        <v>3.4401690391459079</v>
      </c>
      <c r="J390" s="56" t="s">
        <v>4914</v>
      </c>
      <c r="K390" s="56" t="s">
        <v>5600</v>
      </c>
      <c r="L390">
        <v>4</v>
      </c>
      <c r="M390" s="31">
        <f>ProductionOrdersByItem_Display[[#This Row],[ProductionHour]]/r_TotalProductionHour</f>
        <v>1.8585450378866791E-3</v>
      </c>
      <c r="N390" s="26">
        <f>ProductionOrdersByItem_Display[[#This Row],[RMQty]]-ProductionOrdersByItem_Display[[#This Row],[RMRequired]]</f>
        <v>137</v>
      </c>
    </row>
    <row r="391" spans="1:14" hidden="1" x14ac:dyDescent="0.2">
      <c r="A391" t="s">
        <v>16</v>
      </c>
      <c r="B391" t="s">
        <v>762</v>
      </c>
      <c r="C391" t="s">
        <v>763</v>
      </c>
      <c r="D391" t="s">
        <v>4777</v>
      </c>
      <c r="E391" t="s">
        <v>68</v>
      </c>
      <c r="F391" t="s">
        <v>50</v>
      </c>
      <c r="G391">
        <v>400</v>
      </c>
      <c r="H391" s="22">
        <v>1.8706699389784646E-3</v>
      </c>
      <c r="I391" s="16">
        <v>0.7482679755913858</v>
      </c>
      <c r="J391" s="56" t="s">
        <v>5714</v>
      </c>
      <c r="K391" s="56" t="s">
        <v>5600</v>
      </c>
      <c r="L391">
        <v>4</v>
      </c>
      <c r="M391" s="31">
        <f>ProductionOrdersByItem_Display[[#This Row],[ProductionHour]]/r_TotalProductionHour</f>
        <v>4.042504066573856E-4</v>
      </c>
      <c r="N391" s="26">
        <f>ProductionOrdersByItem_Display[[#This Row],[RMQty]]-ProductionOrdersByItem_Display[[#This Row],[RMRequired]]</f>
        <v>156</v>
      </c>
    </row>
    <row r="392" spans="1:14" hidden="1" x14ac:dyDescent="0.2">
      <c r="A392" t="s">
        <v>16</v>
      </c>
      <c r="B392" t="s">
        <v>379</v>
      </c>
      <c r="C392" t="s">
        <v>380</v>
      </c>
      <c r="D392" t="s">
        <v>4781</v>
      </c>
      <c r="E392" t="s">
        <v>68</v>
      </c>
      <c r="F392" t="s">
        <v>50</v>
      </c>
      <c r="G392">
        <v>540</v>
      </c>
      <c r="H392" s="22">
        <v>3.3989090817905445E-4</v>
      </c>
      <c r="I392" s="16">
        <v>0.1835410904166894</v>
      </c>
      <c r="J392" s="56" t="s">
        <v>5701</v>
      </c>
      <c r="K392" s="56" t="s">
        <v>5600</v>
      </c>
      <c r="L392">
        <v>4</v>
      </c>
      <c r="M392" s="31">
        <f>ProductionOrdersByItem_Display[[#This Row],[ProductionHour]]/r_TotalProductionHour</f>
        <v>9.9157738750808085E-5</v>
      </c>
      <c r="N392" s="26">
        <f>ProductionOrdersByItem_Display[[#This Row],[RMQty]]-ProductionOrdersByItem_Display[[#This Row],[RMRequired]]</f>
        <v>141</v>
      </c>
    </row>
    <row r="393" spans="1:14" hidden="1" x14ac:dyDescent="0.2">
      <c r="A393" t="s">
        <v>16</v>
      </c>
      <c r="B393" t="s">
        <v>528</v>
      </c>
      <c r="C393" t="s">
        <v>962</v>
      </c>
      <c r="D393" t="s">
        <v>4777</v>
      </c>
      <c r="E393" t="s">
        <v>68</v>
      </c>
      <c r="F393" t="s">
        <v>50</v>
      </c>
      <c r="G393">
        <v>200</v>
      </c>
      <c r="H393" s="22">
        <v>2.2073277638421387E-3</v>
      </c>
      <c r="I393" s="16">
        <v>0.44146555276842775</v>
      </c>
      <c r="J393" s="56" t="s">
        <v>5696</v>
      </c>
      <c r="K393" s="56" t="s">
        <v>5600</v>
      </c>
      <c r="L393">
        <v>4</v>
      </c>
      <c r="M393" s="31">
        <f>ProductionOrdersByItem_Display[[#This Row],[ProductionHour]]/r_TotalProductionHour</f>
        <v>2.3850095828412056E-4</v>
      </c>
      <c r="N393" s="26">
        <f>ProductionOrdersByItem_Display[[#This Row],[RMQty]]-ProductionOrdersByItem_Display[[#This Row],[RMRequired]]</f>
        <v>120</v>
      </c>
    </row>
    <row r="394" spans="1:14" hidden="1" x14ac:dyDescent="0.2">
      <c r="A394" t="s">
        <v>16</v>
      </c>
      <c r="B394" t="s">
        <v>735</v>
      </c>
      <c r="C394" t="s">
        <v>4926</v>
      </c>
      <c r="D394" t="s">
        <v>5683</v>
      </c>
      <c r="E394" t="s">
        <v>68</v>
      </c>
      <c r="F394" t="s">
        <v>50</v>
      </c>
      <c r="G394">
        <v>460</v>
      </c>
      <c r="H394" s="22">
        <v>1.477893691008445E-3</v>
      </c>
      <c r="I394" s="16">
        <v>0.67983109786388474</v>
      </c>
      <c r="J394" s="56" t="s">
        <v>4851</v>
      </c>
      <c r="K394" s="56" t="s">
        <v>5600</v>
      </c>
      <c r="L394">
        <v>4</v>
      </c>
      <c r="M394" s="31">
        <f>ProductionOrdersByItem_Display[[#This Row],[ProductionHour]]/r_TotalProductionHour</f>
        <v>3.6727750850570564E-4</v>
      </c>
      <c r="N394" s="26">
        <f>ProductionOrdersByItem_Display[[#This Row],[RMQty]]-ProductionOrdersByItem_Display[[#This Row],[RMRequired]]</f>
        <v>154</v>
      </c>
    </row>
    <row r="395" spans="1:14" hidden="1" x14ac:dyDescent="0.2">
      <c r="A395" t="s">
        <v>16</v>
      </c>
      <c r="B395" t="s">
        <v>757</v>
      </c>
      <c r="C395" t="s">
        <v>4799</v>
      </c>
      <c r="D395" t="s">
        <v>4775</v>
      </c>
      <c r="E395" t="s">
        <v>68</v>
      </c>
      <c r="F395" t="s">
        <v>50</v>
      </c>
      <c r="G395">
        <v>150</v>
      </c>
      <c r="H395" s="22">
        <v>3.0086088607040153E-3</v>
      </c>
      <c r="I395" s="16">
        <v>0.45129132910560227</v>
      </c>
      <c r="J395" s="56" t="s">
        <v>5631</v>
      </c>
      <c r="K395" s="56" t="s">
        <v>5600</v>
      </c>
      <c r="L395">
        <v>4</v>
      </c>
      <c r="M395" s="31">
        <f>ProductionOrdersByItem_Display[[#This Row],[ProductionHour]]/r_TotalProductionHour</f>
        <v>2.4380931599766298E-4</v>
      </c>
      <c r="N395" s="26">
        <f>ProductionOrdersByItem_Display[[#This Row],[RMQty]]-ProductionOrdersByItem_Display[[#This Row],[RMRequired]]</f>
        <v>138</v>
      </c>
    </row>
    <row r="396" spans="1:14" hidden="1" x14ac:dyDescent="0.2">
      <c r="A396" t="s">
        <v>16</v>
      </c>
      <c r="B396" t="s">
        <v>1893</v>
      </c>
      <c r="C396" t="s">
        <v>4897</v>
      </c>
      <c r="D396" t="s">
        <v>4778</v>
      </c>
      <c r="E396" t="s">
        <v>68</v>
      </c>
      <c r="F396" t="s">
        <v>50</v>
      </c>
      <c r="G396">
        <v>2100</v>
      </c>
      <c r="H396" s="22">
        <v>1.2255621744164901E-3</v>
      </c>
      <c r="I396" s="16">
        <v>2.5736805662746289</v>
      </c>
      <c r="J396" s="56" t="s">
        <v>5706</v>
      </c>
      <c r="K396" s="56" t="s">
        <v>5600</v>
      </c>
      <c r="L396">
        <v>3</v>
      </c>
      <c r="M396" s="31">
        <f>ProductionOrdersByItem_Display[[#This Row],[ProductionHour]]/r_TotalProductionHour</f>
        <v>1.3904262235737818E-3</v>
      </c>
      <c r="N396" s="26">
        <f>ProductionOrdersByItem_Display[[#This Row],[RMQty]]-ProductionOrdersByItem_Display[[#This Row],[RMRequired]]</f>
        <v>116</v>
      </c>
    </row>
    <row r="397" spans="1:14" hidden="1" x14ac:dyDescent="0.2">
      <c r="A397" t="s">
        <v>16</v>
      </c>
      <c r="B397" t="s">
        <v>416</v>
      </c>
      <c r="C397" t="s">
        <v>417</v>
      </c>
      <c r="D397" t="s">
        <v>4778</v>
      </c>
      <c r="E397" t="s">
        <v>68</v>
      </c>
      <c r="F397" t="s">
        <v>50</v>
      </c>
      <c r="G397">
        <v>2700</v>
      </c>
      <c r="H397" s="22">
        <v>9.0465649846504224E-4</v>
      </c>
      <c r="I397" s="16">
        <v>2.4425725458556142</v>
      </c>
      <c r="J397" s="56" t="s">
        <v>4802</v>
      </c>
      <c r="K397" s="56" t="s">
        <v>5600</v>
      </c>
      <c r="L397">
        <v>3</v>
      </c>
      <c r="M397" s="31">
        <f>ProductionOrdersByItem_Display[[#This Row],[ProductionHour]]/r_TotalProductionHour</f>
        <v>1.3195953550890745E-3</v>
      </c>
      <c r="N397" s="26">
        <f>ProductionOrdersByItem_Display[[#This Row],[RMQty]]-ProductionOrdersByItem_Display[[#This Row],[RMRequired]]</f>
        <v>90</v>
      </c>
    </row>
    <row r="398" spans="1:14" hidden="1" x14ac:dyDescent="0.2">
      <c r="A398" t="s">
        <v>16</v>
      </c>
      <c r="B398" t="s">
        <v>679</v>
      </c>
      <c r="C398" t="s">
        <v>5253</v>
      </c>
      <c r="D398" t="s">
        <v>4778</v>
      </c>
      <c r="E398" t="s">
        <v>68</v>
      </c>
      <c r="F398" t="s">
        <v>50</v>
      </c>
      <c r="G398">
        <v>1600</v>
      </c>
      <c r="H398" s="22">
        <v>1.253593637268685E-3</v>
      </c>
      <c r="I398" s="16">
        <v>2.0057498196298962</v>
      </c>
      <c r="J398" s="56" t="s">
        <v>5653</v>
      </c>
      <c r="K398" s="56" t="s">
        <v>5600</v>
      </c>
      <c r="L398">
        <v>3</v>
      </c>
      <c r="M398" s="31">
        <f>ProductionOrdersByItem_Display[[#This Row],[ProductionHour]]/r_TotalProductionHour</f>
        <v>1.0836026753617729E-3</v>
      </c>
      <c r="N398" s="26">
        <f>ProductionOrdersByItem_Display[[#This Row],[RMQty]]-ProductionOrdersByItem_Display[[#This Row],[RMRequired]]</f>
        <v>99</v>
      </c>
    </row>
    <row r="399" spans="1:14" hidden="1" x14ac:dyDescent="0.2">
      <c r="A399" t="s">
        <v>16</v>
      </c>
      <c r="B399" t="s">
        <v>296</v>
      </c>
      <c r="C399" t="s">
        <v>297</v>
      </c>
      <c r="D399" t="s">
        <v>4777</v>
      </c>
      <c r="E399" t="s">
        <v>68</v>
      </c>
      <c r="F399" t="s">
        <v>50</v>
      </c>
      <c r="G399">
        <v>270</v>
      </c>
      <c r="H399" s="22">
        <v>1.8785077368332088E-3</v>
      </c>
      <c r="I399" s="16">
        <v>0.5071970889449664</v>
      </c>
      <c r="J399" s="56" t="s">
        <v>5826</v>
      </c>
      <c r="K399" s="56" t="s">
        <v>5600</v>
      </c>
      <c r="L399">
        <v>3</v>
      </c>
      <c r="M399" s="31">
        <f>ProductionOrdersByItem_Display[[#This Row],[ProductionHour]]/r_TotalProductionHour</f>
        <v>2.7401230060580616E-4</v>
      </c>
      <c r="N399" s="26">
        <f>ProductionOrdersByItem_Display[[#This Row],[RMQty]]-ProductionOrdersByItem_Display[[#This Row],[RMRequired]]</f>
        <v>105</v>
      </c>
    </row>
    <row r="400" spans="1:14" hidden="1" x14ac:dyDescent="0.2">
      <c r="A400" t="s">
        <v>16</v>
      </c>
      <c r="B400" t="s">
        <v>957</v>
      </c>
      <c r="C400" t="s">
        <v>958</v>
      </c>
      <c r="D400" t="s">
        <v>4777</v>
      </c>
      <c r="E400" t="s">
        <v>68</v>
      </c>
      <c r="F400" t="s">
        <v>50</v>
      </c>
      <c r="G400">
        <v>400</v>
      </c>
      <c r="H400" s="22">
        <v>1.4447844126244565E-3</v>
      </c>
      <c r="I400" s="16">
        <v>0.57791376504978254</v>
      </c>
      <c r="J400" s="56" t="s">
        <v>6032</v>
      </c>
      <c r="K400" s="56" t="s">
        <v>5600</v>
      </c>
      <c r="L400">
        <v>3</v>
      </c>
      <c r="M400" s="31">
        <f>ProductionOrdersByItem_Display[[#This Row],[ProductionHour]]/r_TotalProductionHour</f>
        <v>3.1221685566542494E-4</v>
      </c>
      <c r="N400" s="26">
        <f>ProductionOrdersByItem_Display[[#This Row],[RMQty]]-ProductionOrdersByItem_Display[[#This Row],[RMRequired]]</f>
        <v>87</v>
      </c>
    </row>
    <row r="401" spans="1:14" hidden="1" x14ac:dyDescent="0.2">
      <c r="A401" t="s">
        <v>16</v>
      </c>
      <c r="B401" t="s">
        <v>4054</v>
      </c>
      <c r="C401" t="s">
        <v>4055</v>
      </c>
      <c r="D401" t="s">
        <v>4779</v>
      </c>
      <c r="E401" t="s">
        <v>68</v>
      </c>
      <c r="F401" t="s">
        <v>50</v>
      </c>
      <c r="G401">
        <v>3400</v>
      </c>
      <c r="H401" s="22">
        <v>7.3425855913231022E-4</v>
      </c>
      <c r="I401" s="16">
        <v>2.4964791010498546</v>
      </c>
      <c r="J401" s="56" t="s">
        <v>5706</v>
      </c>
      <c r="K401" s="56" t="s">
        <v>5600</v>
      </c>
      <c r="L401">
        <v>3</v>
      </c>
      <c r="M401" s="31">
        <f>ProductionOrdersByItem_Display[[#This Row],[ProductionHour]]/r_TotalProductionHour</f>
        <v>1.3487182730404243E-3</v>
      </c>
      <c r="N401" s="26">
        <f>ProductionOrdersByItem_Display[[#This Row],[RMQty]]-ProductionOrdersByItem_Display[[#This Row],[RMRequired]]</f>
        <v>116</v>
      </c>
    </row>
    <row r="402" spans="1:14" hidden="1" x14ac:dyDescent="0.2">
      <c r="A402" t="s">
        <v>16</v>
      </c>
      <c r="B402" t="s">
        <v>945</v>
      </c>
      <c r="C402" t="s">
        <v>946</v>
      </c>
      <c r="D402" t="s">
        <v>4777</v>
      </c>
      <c r="E402" t="s">
        <v>68</v>
      </c>
      <c r="F402" t="s">
        <v>50</v>
      </c>
      <c r="G402">
        <v>160</v>
      </c>
      <c r="H402" s="22">
        <v>1.3471807410058165E-3</v>
      </c>
      <c r="I402" s="16">
        <v>0.21554891856093064</v>
      </c>
      <c r="J402" s="56" t="s">
        <v>5706</v>
      </c>
      <c r="K402" s="56" t="s">
        <v>5600</v>
      </c>
      <c r="L402">
        <v>3</v>
      </c>
      <c r="M402" s="31">
        <f>ProductionOrdersByItem_Display[[#This Row],[ProductionHour]]/r_TotalProductionHour</f>
        <v>1.1644990942442656E-4</v>
      </c>
      <c r="N402" s="26">
        <f>ProductionOrdersByItem_Display[[#This Row],[RMQty]]-ProductionOrdersByItem_Display[[#This Row],[RMRequired]]</f>
        <v>116</v>
      </c>
    </row>
    <row r="403" spans="1:14" hidden="1" x14ac:dyDescent="0.2">
      <c r="A403" t="s">
        <v>16</v>
      </c>
      <c r="B403" t="s">
        <v>373</v>
      </c>
      <c r="C403" t="s">
        <v>374</v>
      </c>
      <c r="D403" t="s">
        <v>4779</v>
      </c>
      <c r="E403" t="s">
        <v>68</v>
      </c>
      <c r="F403" t="s">
        <v>50</v>
      </c>
      <c r="G403">
        <v>3240</v>
      </c>
      <c r="H403" s="22">
        <v>1.6000044074220988E-3</v>
      </c>
      <c r="I403" s="16">
        <v>5.1840142800475997</v>
      </c>
      <c r="J403" s="56" t="s">
        <v>5698</v>
      </c>
      <c r="K403" s="56" t="s">
        <v>5600</v>
      </c>
      <c r="L403">
        <v>3</v>
      </c>
      <c r="M403" s="31">
        <f>ProductionOrdersByItem_Display[[#This Row],[ProductionHour]]/r_TotalProductionHour</f>
        <v>2.8006542431148001E-3</v>
      </c>
      <c r="N403" s="26">
        <f>ProductionOrdersByItem_Display[[#This Row],[RMQty]]-ProductionOrdersByItem_Display[[#This Row],[RMRequired]]</f>
        <v>94</v>
      </c>
    </row>
    <row r="404" spans="1:14" hidden="1" x14ac:dyDescent="0.2">
      <c r="A404" t="s">
        <v>16</v>
      </c>
      <c r="B404" t="s">
        <v>986</v>
      </c>
      <c r="C404" t="s">
        <v>987</v>
      </c>
      <c r="D404" t="s">
        <v>4778</v>
      </c>
      <c r="E404" t="s">
        <v>68</v>
      </c>
      <c r="F404" t="s">
        <v>50</v>
      </c>
      <c r="G404">
        <v>400</v>
      </c>
      <c r="H404" s="22">
        <v>1.3875325219793093E-3</v>
      </c>
      <c r="I404" s="16">
        <v>0.55501300879172377</v>
      </c>
      <c r="J404" s="56" t="s">
        <v>4811</v>
      </c>
      <c r="K404" s="56" t="s">
        <v>5600</v>
      </c>
      <c r="L404">
        <v>3</v>
      </c>
      <c r="M404" s="31">
        <f>ProductionOrdersByItem_Display[[#This Row],[ProductionHour]]/r_TotalProductionHour</f>
        <v>2.9984476393884096E-4</v>
      </c>
      <c r="N404" s="26">
        <f>ProductionOrdersByItem_Display[[#This Row],[RMQty]]-ProductionOrdersByItem_Display[[#This Row],[RMRequired]]</f>
        <v>88</v>
      </c>
    </row>
    <row r="405" spans="1:14" hidden="1" x14ac:dyDescent="0.2">
      <c r="A405" t="s">
        <v>16</v>
      </c>
      <c r="B405" t="s">
        <v>302</v>
      </c>
      <c r="C405" t="s">
        <v>334</v>
      </c>
      <c r="D405" t="s">
        <v>4778</v>
      </c>
      <c r="E405" t="s">
        <v>68</v>
      </c>
      <c r="F405" t="s">
        <v>50</v>
      </c>
      <c r="G405">
        <v>440</v>
      </c>
      <c r="H405" s="22">
        <v>1.6083317317406112E-3</v>
      </c>
      <c r="I405" s="16">
        <v>0.70766596196586895</v>
      </c>
      <c r="J405" s="56" t="s">
        <v>4759</v>
      </c>
      <c r="K405" s="56" t="s">
        <v>5600</v>
      </c>
      <c r="L405">
        <v>3</v>
      </c>
      <c r="M405" s="31">
        <f>ProductionOrdersByItem_Display[[#This Row],[ProductionHour]]/r_TotalProductionHour</f>
        <v>3.8231524297989195E-4</v>
      </c>
      <c r="N405" s="26">
        <f>ProductionOrdersByItem_Display[[#This Row],[RMQty]]-ProductionOrdersByItem_Display[[#This Row],[RMRequired]]</f>
        <v>109</v>
      </c>
    </row>
    <row r="406" spans="1:14" hidden="1" x14ac:dyDescent="0.2">
      <c r="A406" t="s">
        <v>16</v>
      </c>
      <c r="B406" t="s">
        <v>350</v>
      </c>
      <c r="C406" t="s">
        <v>4837</v>
      </c>
      <c r="D406" t="s">
        <v>4779</v>
      </c>
      <c r="E406" t="s">
        <v>68</v>
      </c>
      <c r="F406" t="s">
        <v>50</v>
      </c>
      <c r="G406">
        <v>870</v>
      </c>
      <c r="H406" s="22">
        <v>1.2552599898105396E-3</v>
      </c>
      <c r="I406" s="16">
        <v>1.0920761911351695</v>
      </c>
      <c r="J406" s="56" t="s">
        <v>5698</v>
      </c>
      <c r="K406" s="56" t="s">
        <v>5600</v>
      </c>
      <c r="L406">
        <v>3</v>
      </c>
      <c r="M406" s="31">
        <f>ProductionOrdersByItem_Display[[#This Row],[ProductionHour]]/r_TotalProductionHour</f>
        <v>5.8999216693501823E-4</v>
      </c>
      <c r="N406" s="26">
        <f>ProductionOrdersByItem_Display[[#This Row],[RMQty]]-ProductionOrdersByItem_Display[[#This Row],[RMRequired]]</f>
        <v>94</v>
      </c>
    </row>
    <row r="407" spans="1:14" hidden="1" x14ac:dyDescent="0.2">
      <c r="A407" t="s">
        <v>16</v>
      </c>
      <c r="B407" t="s">
        <v>292</v>
      </c>
      <c r="C407" t="s">
        <v>293</v>
      </c>
      <c r="D407" t="s">
        <v>4777</v>
      </c>
      <c r="E407" t="s">
        <v>68</v>
      </c>
      <c r="F407" t="s">
        <v>50</v>
      </c>
      <c r="G407">
        <v>450</v>
      </c>
      <c r="H407" s="22">
        <v>1.2684722834772841E-3</v>
      </c>
      <c r="I407" s="16">
        <v>0.57081252756477785</v>
      </c>
      <c r="J407" s="56" t="s">
        <v>4787</v>
      </c>
      <c r="K407" s="56" t="s">
        <v>5600</v>
      </c>
      <c r="L407">
        <v>3</v>
      </c>
      <c r="M407" s="31">
        <f>ProductionOrdersByItem_Display[[#This Row],[ProductionHour]]/r_TotalProductionHour</f>
        <v>3.0838042508877887E-4</v>
      </c>
      <c r="N407" s="26">
        <f>ProductionOrdersByItem_Display[[#This Row],[RMQty]]-ProductionOrdersByItem_Display[[#This Row],[RMRequired]]</f>
        <v>97</v>
      </c>
    </row>
    <row r="408" spans="1:14" hidden="1" x14ac:dyDescent="0.2">
      <c r="A408" t="s">
        <v>16</v>
      </c>
      <c r="B408" t="s">
        <v>947</v>
      </c>
      <c r="C408" t="s">
        <v>948</v>
      </c>
      <c r="D408" t="s">
        <v>4777</v>
      </c>
      <c r="E408" t="s">
        <v>68</v>
      </c>
      <c r="F408" t="s">
        <v>50</v>
      </c>
      <c r="G408">
        <v>120</v>
      </c>
      <c r="H408" s="22">
        <v>2.5659327621420521E-3</v>
      </c>
      <c r="I408" s="16">
        <v>0.30791193145704626</v>
      </c>
      <c r="J408" s="56" t="s">
        <v>5922</v>
      </c>
      <c r="K408" s="56" t="s">
        <v>5607</v>
      </c>
      <c r="L408">
        <v>3</v>
      </c>
      <c r="M408" s="31">
        <f>ProductionOrdersByItem_Display[[#This Row],[ProductionHour]]/r_TotalProductionHour</f>
        <v>1.6634885838565474E-4</v>
      </c>
      <c r="N408" s="26">
        <f>ProductionOrdersByItem_Display[[#This Row],[RMQty]]-ProductionOrdersByItem_Display[[#This Row],[RMRequired]]</f>
        <v>133</v>
      </c>
    </row>
    <row r="409" spans="1:14" hidden="1" x14ac:dyDescent="0.2">
      <c r="A409" t="s">
        <v>16</v>
      </c>
      <c r="B409" t="s">
        <v>746</v>
      </c>
      <c r="C409" t="s">
        <v>747</v>
      </c>
      <c r="D409" t="s">
        <v>4782</v>
      </c>
      <c r="E409" t="s">
        <v>68</v>
      </c>
      <c r="F409" t="s">
        <v>50</v>
      </c>
      <c r="G409">
        <v>100</v>
      </c>
      <c r="H409" s="22">
        <v>2.7284045854936221E-3</v>
      </c>
      <c r="I409" s="16">
        <v>0.27284045854936223</v>
      </c>
      <c r="J409" s="56" t="s">
        <v>5701</v>
      </c>
      <c r="K409" s="56" t="s">
        <v>5607</v>
      </c>
      <c r="L409">
        <v>3</v>
      </c>
      <c r="M409" s="31">
        <f>ProductionOrdersByItem_Display[[#This Row],[ProductionHour]]/r_TotalProductionHour</f>
        <v>1.4740155922615298E-4</v>
      </c>
      <c r="N409" s="26">
        <f>ProductionOrdersByItem_Display[[#This Row],[RMQty]]-ProductionOrdersByItem_Display[[#This Row],[RMRequired]]</f>
        <v>131</v>
      </c>
    </row>
    <row r="410" spans="1:14" hidden="1" x14ac:dyDescent="0.2">
      <c r="A410" t="s">
        <v>16</v>
      </c>
      <c r="B410" t="s">
        <v>5723</v>
      </c>
      <c r="C410" t="s">
        <v>5724</v>
      </c>
      <c r="D410" t="s">
        <v>4782</v>
      </c>
      <c r="E410" t="s">
        <v>68</v>
      </c>
      <c r="F410" t="s">
        <v>50</v>
      </c>
      <c r="G410">
        <v>100</v>
      </c>
      <c r="H410" s="22">
        <v>2.9232804232804236E-3</v>
      </c>
      <c r="I410" s="16">
        <v>0.29232804232804238</v>
      </c>
      <c r="J410" s="56" t="s">
        <v>5833</v>
      </c>
      <c r="K410" s="56" t="s">
        <v>5600</v>
      </c>
      <c r="L410">
        <v>3</v>
      </c>
      <c r="M410" s="31">
        <f>ProductionOrdersByItem_Display[[#This Row],[ProductionHour]]/r_TotalProductionHour</f>
        <v>1.5792969075693932E-4</v>
      </c>
      <c r="N410" s="26">
        <f>ProductionOrdersByItem_Display[[#This Row],[RMQty]]-ProductionOrdersByItem_Display[[#This Row],[RMRequired]]</f>
        <v>110</v>
      </c>
    </row>
    <row r="411" spans="1:14" hidden="1" x14ac:dyDescent="0.2">
      <c r="A411" t="s">
        <v>16</v>
      </c>
      <c r="B411" t="s">
        <v>224</v>
      </c>
      <c r="C411" t="s">
        <v>272</v>
      </c>
      <c r="D411" t="s">
        <v>4775</v>
      </c>
      <c r="E411" t="s">
        <v>68</v>
      </c>
      <c r="F411" t="s">
        <v>50</v>
      </c>
      <c r="G411">
        <v>400</v>
      </c>
      <c r="H411" s="22">
        <v>1.7056119679419758E-3</v>
      </c>
      <c r="I411" s="16">
        <v>0.68224478717679027</v>
      </c>
      <c r="J411" s="56" t="s">
        <v>5653</v>
      </c>
      <c r="K411" s="56" t="s">
        <v>5600</v>
      </c>
      <c r="L411">
        <v>3</v>
      </c>
      <c r="M411" s="31">
        <f>ProductionOrdersByItem_Display[[#This Row],[ProductionHour]]/r_TotalProductionHour</f>
        <v>3.685814997469658E-4</v>
      </c>
      <c r="N411" s="26">
        <f>ProductionOrdersByItem_Display[[#This Row],[RMQty]]-ProductionOrdersByItem_Display[[#This Row],[RMRequired]]</f>
        <v>99</v>
      </c>
    </row>
    <row r="412" spans="1:14" hidden="1" x14ac:dyDescent="0.2">
      <c r="A412" t="s">
        <v>16</v>
      </c>
      <c r="B412" t="s">
        <v>4929</v>
      </c>
      <c r="C412" t="s">
        <v>4930</v>
      </c>
      <c r="D412" t="s">
        <v>4775</v>
      </c>
      <c r="E412" t="s">
        <v>68</v>
      </c>
      <c r="F412" t="s">
        <v>50</v>
      </c>
      <c r="G412">
        <v>85</v>
      </c>
      <c r="H412" s="22">
        <v>1.8705571778308706E-3</v>
      </c>
      <c r="I412" s="16">
        <v>0.15899736011562399</v>
      </c>
      <c r="J412" s="56" t="s">
        <v>5628</v>
      </c>
      <c r="K412" s="56" t="s">
        <v>5600</v>
      </c>
      <c r="L412">
        <v>3</v>
      </c>
      <c r="M412" s="31">
        <f>ProductionOrdersByItem_Display[[#This Row],[ProductionHour]]/r_TotalProductionHour</f>
        <v>8.5898033299357625E-5</v>
      </c>
      <c r="N412" s="26">
        <f>ProductionOrdersByItem_Display[[#This Row],[RMQty]]-ProductionOrdersByItem_Display[[#This Row],[RMRequired]]</f>
        <v>82</v>
      </c>
    </row>
    <row r="413" spans="1:14" hidden="1" x14ac:dyDescent="0.2">
      <c r="A413" t="s">
        <v>16</v>
      </c>
      <c r="B413" t="s">
        <v>5138</v>
      </c>
      <c r="C413" t="s">
        <v>5139</v>
      </c>
      <c r="D413" t="s">
        <v>4780</v>
      </c>
      <c r="E413" t="s">
        <v>68</v>
      </c>
      <c r="F413" t="s">
        <v>50</v>
      </c>
      <c r="G413">
        <v>1600</v>
      </c>
      <c r="H413" s="22">
        <v>2.7350485690189729E-3</v>
      </c>
      <c r="I413" s="16">
        <v>4.3760777104303568</v>
      </c>
      <c r="J413" s="56" t="s">
        <v>5826</v>
      </c>
      <c r="K413" s="56" t="s">
        <v>5600</v>
      </c>
      <c r="L413">
        <v>3</v>
      </c>
      <c r="M413" s="31">
        <f>ProductionOrdersByItem_Display[[#This Row],[ProductionHour]]/r_TotalProductionHour</f>
        <v>2.3641679875550698E-3</v>
      </c>
      <c r="N413" s="26">
        <f>ProductionOrdersByItem_Display[[#This Row],[RMQty]]-ProductionOrdersByItem_Display[[#This Row],[RMRequired]]</f>
        <v>105</v>
      </c>
    </row>
    <row r="414" spans="1:14" hidden="1" x14ac:dyDescent="0.2">
      <c r="A414" t="s">
        <v>16</v>
      </c>
      <c r="B414" t="s">
        <v>439</v>
      </c>
      <c r="C414" t="s">
        <v>4795</v>
      </c>
      <c r="D414" t="s">
        <v>4782</v>
      </c>
      <c r="E414" t="s">
        <v>68</v>
      </c>
      <c r="F414" t="s">
        <v>50</v>
      </c>
      <c r="G414">
        <v>2530</v>
      </c>
      <c r="H414" s="22">
        <v>1.6443772288234702E-3</v>
      </c>
      <c r="I414" s="16">
        <v>4.16027438892338</v>
      </c>
      <c r="J414" s="56" t="s">
        <v>5805</v>
      </c>
      <c r="K414" s="56" t="s">
        <v>5600</v>
      </c>
      <c r="L414">
        <v>3</v>
      </c>
      <c r="M414" s="31">
        <f>ProductionOrdersByItem_Display[[#This Row],[ProductionHour]]/r_TotalProductionHour</f>
        <v>2.2475806374038601E-3</v>
      </c>
      <c r="N414" s="26">
        <f>ProductionOrdersByItem_Display[[#This Row],[RMQty]]-ProductionOrdersByItem_Display[[#This Row],[RMRequired]]</f>
        <v>95</v>
      </c>
    </row>
    <row r="415" spans="1:14" hidden="1" x14ac:dyDescent="0.2">
      <c r="A415" t="s">
        <v>16</v>
      </c>
      <c r="B415" t="s">
        <v>240</v>
      </c>
      <c r="C415" t="s">
        <v>241</v>
      </c>
      <c r="D415" t="s">
        <v>4910</v>
      </c>
      <c r="E415" t="s">
        <v>68</v>
      </c>
      <c r="F415" t="s">
        <v>50</v>
      </c>
      <c r="G415">
        <v>3510</v>
      </c>
      <c r="H415" s="22">
        <v>1.9131899016329892E-3</v>
      </c>
      <c r="I415" s="16">
        <v>6.7152965547317924</v>
      </c>
      <c r="J415" s="56" t="s">
        <v>5698</v>
      </c>
      <c r="K415" s="56" t="s">
        <v>5600</v>
      </c>
      <c r="L415">
        <v>3</v>
      </c>
      <c r="M415" s="31">
        <f>ProductionOrdersByItem_Display[[#This Row],[ProductionHour]]/r_TotalProductionHour</f>
        <v>3.6279266942164179E-3</v>
      </c>
      <c r="N415" s="26">
        <f>ProductionOrdersByItem_Display[[#This Row],[RMQty]]-ProductionOrdersByItem_Display[[#This Row],[RMRequired]]</f>
        <v>94</v>
      </c>
    </row>
    <row r="416" spans="1:14" hidden="1" x14ac:dyDescent="0.2">
      <c r="A416" t="s">
        <v>16</v>
      </c>
      <c r="B416" t="s">
        <v>5717</v>
      </c>
      <c r="C416" t="s">
        <v>5718</v>
      </c>
      <c r="D416" t="s">
        <v>4782</v>
      </c>
      <c r="E416" t="s">
        <v>68</v>
      </c>
      <c r="F416" t="s">
        <v>50</v>
      </c>
      <c r="G416">
        <v>100</v>
      </c>
      <c r="H416" s="22">
        <v>2.9232804232804236E-3</v>
      </c>
      <c r="I416" s="16">
        <v>0.29232804232804238</v>
      </c>
      <c r="J416" s="56" t="s">
        <v>4763</v>
      </c>
      <c r="K416" s="56" t="s">
        <v>5600</v>
      </c>
      <c r="L416">
        <v>3</v>
      </c>
      <c r="M416" s="31">
        <f>ProductionOrdersByItem_Display[[#This Row],[ProductionHour]]/r_TotalProductionHour</f>
        <v>1.5792969075693932E-4</v>
      </c>
      <c r="N416" s="26">
        <f>ProductionOrdersByItem_Display[[#This Row],[RMQty]]-ProductionOrdersByItem_Display[[#This Row],[RMRequired]]</f>
        <v>85</v>
      </c>
    </row>
    <row r="417" spans="1:14" hidden="1" x14ac:dyDescent="0.2">
      <c r="A417" t="s">
        <v>16</v>
      </c>
      <c r="B417" t="s">
        <v>502</v>
      </c>
      <c r="C417" t="s">
        <v>503</v>
      </c>
      <c r="D417" t="s">
        <v>4782</v>
      </c>
      <c r="E417" t="s">
        <v>68</v>
      </c>
      <c r="F417" t="s">
        <v>50</v>
      </c>
      <c r="G417">
        <v>100</v>
      </c>
      <c r="H417" s="22">
        <v>2.7284045854936221E-3</v>
      </c>
      <c r="I417" s="16">
        <v>0.27284045854936223</v>
      </c>
      <c r="J417" s="56" t="s">
        <v>5853</v>
      </c>
      <c r="K417" s="56" t="s">
        <v>5607</v>
      </c>
      <c r="L417">
        <v>3</v>
      </c>
      <c r="M417" s="31">
        <f>ProductionOrdersByItem_Display[[#This Row],[ProductionHour]]/r_TotalProductionHour</f>
        <v>1.4740155922615298E-4</v>
      </c>
      <c r="N417" s="26">
        <f>ProductionOrdersByItem_Display[[#This Row],[RMQty]]-ProductionOrdersByItem_Display[[#This Row],[RMRequired]]</f>
        <v>148</v>
      </c>
    </row>
    <row r="418" spans="1:14" hidden="1" x14ac:dyDescent="0.2">
      <c r="A418" t="s">
        <v>16</v>
      </c>
      <c r="B418" t="s">
        <v>1479</v>
      </c>
      <c r="C418" t="s">
        <v>4836</v>
      </c>
      <c r="D418" t="s">
        <v>4781</v>
      </c>
      <c r="E418" t="s">
        <v>68</v>
      </c>
      <c r="F418" t="s">
        <v>50</v>
      </c>
      <c r="G418">
        <v>2000</v>
      </c>
      <c r="H418" s="22">
        <v>6.0590133314165451E-4</v>
      </c>
      <c r="I418" s="16">
        <v>1.211802666283309</v>
      </c>
      <c r="J418" s="56" t="s">
        <v>5679</v>
      </c>
      <c r="K418" s="56" t="s">
        <v>5600</v>
      </c>
      <c r="L418">
        <v>3</v>
      </c>
      <c r="M418" s="31">
        <f>ProductionOrdersByItem_Display[[#This Row],[ProductionHour]]/r_TotalProductionHour</f>
        <v>6.5467417638228709E-4</v>
      </c>
      <c r="N418" s="26">
        <f>ProductionOrdersByItem_Display[[#This Row],[RMQty]]-ProductionOrdersByItem_Display[[#This Row],[RMRequired]]</f>
        <v>80</v>
      </c>
    </row>
    <row r="419" spans="1:14" hidden="1" x14ac:dyDescent="0.2">
      <c r="A419" t="s">
        <v>16</v>
      </c>
      <c r="B419" t="s">
        <v>246</v>
      </c>
      <c r="C419" t="s">
        <v>247</v>
      </c>
      <c r="D419" t="s">
        <v>4775</v>
      </c>
      <c r="E419" t="s">
        <v>68</v>
      </c>
      <c r="F419" t="s">
        <v>50</v>
      </c>
      <c r="G419">
        <v>1750</v>
      </c>
      <c r="H419" s="22">
        <v>1.6817487868268481E-3</v>
      </c>
      <c r="I419" s="16">
        <v>2.9430603769469843</v>
      </c>
      <c r="J419" s="56" t="s">
        <v>5641</v>
      </c>
      <c r="K419" s="56" t="s">
        <v>5600</v>
      </c>
      <c r="L419">
        <v>3</v>
      </c>
      <c r="M419" s="31">
        <f>ProductionOrdersByItem_Display[[#This Row],[ProductionHour]]/r_TotalProductionHour</f>
        <v>1.5899829913979195E-3</v>
      </c>
      <c r="N419" s="26">
        <f>ProductionOrdersByItem_Display[[#This Row],[RMQty]]-ProductionOrdersByItem_Display[[#This Row],[RMRequired]]</f>
        <v>100</v>
      </c>
    </row>
    <row r="420" spans="1:14" hidden="1" x14ac:dyDescent="0.2">
      <c r="A420" t="s">
        <v>16</v>
      </c>
      <c r="B420" t="s">
        <v>5834</v>
      </c>
      <c r="C420" t="s">
        <v>5835</v>
      </c>
      <c r="D420" t="s">
        <v>4775</v>
      </c>
      <c r="E420" t="s">
        <v>68</v>
      </c>
      <c r="F420" t="s">
        <v>50</v>
      </c>
      <c r="G420">
        <v>675</v>
      </c>
      <c r="H420" s="22">
        <v>1.9465149145956814E-3</v>
      </c>
      <c r="I420" s="16">
        <v>1.313897567352085</v>
      </c>
      <c r="J420" s="56" t="s">
        <v>4802</v>
      </c>
      <c r="K420" s="56" t="s">
        <v>5600</v>
      </c>
      <c r="L420">
        <v>3</v>
      </c>
      <c r="M420" s="31">
        <f>ProductionOrdersByItem_Display[[#This Row],[ProductionHour]]/r_TotalProductionHour</f>
        <v>7.0983076014772141E-4</v>
      </c>
      <c r="N420" s="26">
        <f>ProductionOrdersByItem_Display[[#This Row],[RMQty]]-ProductionOrdersByItem_Display[[#This Row],[RMRequired]]</f>
        <v>90</v>
      </c>
    </row>
    <row r="421" spans="1:14" hidden="1" x14ac:dyDescent="0.2">
      <c r="A421" t="s">
        <v>16</v>
      </c>
      <c r="B421" t="s">
        <v>1015</v>
      </c>
      <c r="C421" t="s">
        <v>1016</v>
      </c>
      <c r="D421" t="s">
        <v>4775</v>
      </c>
      <c r="E421" t="s">
        <v>68</v>
      </c>
      <c r="F421" t="s">
        <v>50</v>
      </c>
      <c r="G421">
        <v>800</v>
      </c>
      <c r="H421" s="22">
        <v>1.6740825847782188E-3</v>
      </c>
      <c r="I421" s="16">
        <v>1.339266067822575</v>
      </c>
      <c r="J421" s="56" t="s">
        <v>4767</v>
      </c>
      <c r="K421" s="56" t="s">
        <v>5600</v>
      </c>
      <c r="L421">
        <v>3</v>
      </c>
      <c r="M421" s="31">
        <f>ProductionOrdersByItem_Display[[#This Row],[ProductionHour]]/r_TotalProductionHour</f>
        <v>7.2353604617627092E-4</v>
      </c>
      <c r="N421" s="26">
        <f>ProductionOrdersByItem_Display[[#This Row],[RMQty]]-ProductionOrdersByItem_Display[[#This Row],[RMRequired]]</f>
        <v>84</v>
      </c>
    </row>
    <row r="422" spans="1:14" hidden="1" x14ac:dyDescent="0.2">
      <c r="A422" t="s">
        <v>16</v>
      </c>
      <c r="B422" t="s">
        <v>4701</v>
      </c>
      <c r="C422" t="s">
        <v>4702</v>
      </c>
      <c r="D422" t="s">
        <v>4775</v>
      </c>
      <c r="E422" t="s">
        <v>68</v>
      </c>
      <c r="F422" t="s">
        <v>50</v>
      </c>
      <c r="G422">
        <v>1020</v>
      </c>
      <c r="H422" s="22">
        <v>2.4315061208427724E-3</v>
      </c>
      <c r="I422" s="16">
        <v>2.4801362432596279</v>
      </c>
      <c r="J422" s="56" t="s">
        <v>5781</v>
      </c>
      <c r="K422" s="56" t="s">
        <v>5600</v>
      </c>
      <c r="L422">
        <v>3</v>
      </c>
      <c r="M422" s="31">
        <f>ProductionOrdersByItem_Display[[#This Row],[ProductionHour]]/r_TotalProductionHour</f>
        <v>1.3398890739791903E-3</v>
      </c>
      <c r="N422" s="26">
        <f>ProductionOrdersByItem_Display[[#This Row],[RMQty]]-ProductionOrdersByItem_Display[[#This Row],[RMRequired]]</f>
        <v>112</v>
      </c>
    </row>
    <row r="423" spans="1:14" hidden="1" x14ac:dyDescent="0.2">
      <c r="A423" t="s">
        <v>16</v>
      </c>
      <c r="B423" t="s">
        <v>3627</v>
      </c>
      <c r="C423" t="s">
        <v>4977</v>
      </c>
      <c r="D423" t="s">
        <v>4796</v>
      </c>
      <c r="E423" t="s">
        <v>68</v>
      </c>
      <c r="F423" t="s">
        <v>50</v>
      </c>
      <c r="G423">
        <v>3900</v>
      </c>
      <c r="H423" s="22">
        <v>1.3333841752266151E-3</v>
      </c>
      <c r="I423" s="16">
        <v>5.2001982833837985</v>
      </c>
      <c r="J423" s="56" t="s">
        <v>5825</v>
      </c>
      <c r="K423" s="56" t="s">
        <v>5600</v>
      </c>
      <c r="L423">
        <v>3</v>
      </c>
      <c r="M423" s="31">
        <f>ProductionOrdersByItem_Display[[#This Row],[ProductionHour]]/r_TotalProductionHour</f>
        <v>2.8093976213474877E-3</v>
      </c>
      <c r="N423" s="26">
        <f>ProductionOrdersByItem_Display[[#This Row],[RMQty]]-ProductionOrdersByItem_Display[[#This Row],[RMRequired]]</f>
        <v>113</v>
      </c>
    </row>
    <row r="424" spans="1:14" hidden="1" x14ac:dyDescent="0.2">
      <c r="A424" t="s">
        <v>16</v>
      </c>
      <c r="B424" t="s">
        <v>942</v>
      </c>
      <c r="C424" t="s">
        <v>4816</v>
      </c>
      <c r="D424" t="s">
        <v>4777</v>
      </c>
      <c r="E424" t="s">
        <v>68</v>
      </c>
      <c r="F424" t="s">
        <v>50</v>
      </c>
      <c r="G424">
        <v>3500</v>
      </c>
      <c r="H424" s="22">
        <v>2.3112165486770093E-3</v>
      </c>
      <c r="I424" s="16">
        <v>8.0892579203695316</v>
      </c>
      <c r="J424" s="56" t="s">
        <v>4763</v>
      </c>
      <c r="K424" s="56" t="s">
        <v>5600</v>
      </c>
      <c r="L424">
        <v>3</v>
      </c>
      <c r="M424" s="31">
        <f>ProductionOrdersByItem_Display[[#This Row],[ProductionHour]]/r_TotalProductionHour</f>
        <v>4.3702068116457642E-3</v>
      </c>
      <c r="N424" s="26">
        <f>ProductionOrdersByItem_Display[[#This Row],[RMQty]]-ProductionOrdersByItem_Display[[#This Row],[RMRequired]]</f>
        <v>85</v>
      </c>
    </row>
    <row r="425" spans="1:14" hidden="1" x14ac:dyDescent="0.2">
      <c r="A425" t="s">
        <v>16</v>
      </c>
      <c r="B425" t="s">
        <v>294</v>
      </c>
      <c r="C425" t="s">
        <v>295</v>
      </c>
      <c r="D425" t="s">
        <v>4783</v>
      </c>
      <c r="E425" t="s">
        <v>68</v>
      </c>
      <c r="F425" t="s">
        <v>50</v>
      </c>
      <c r="G425">
        <v>1000</v>
      </c>
      <c r="H425" s="22">
        <v>1.0319158366214776E-3</v>
      </c>
      <c r="I425" s="16">
        <v>1.0319158366214776</v>
      </c>
      <c r="J425" s="56" t="s">
        <v>4758</v>
      </c>
      <c r="K425" s="56" t="s">
        <v>5600</v>
      </c>
      <c r="L425">
        <v>3</v>
      </c>
      <c r="M425" s="31">
        <f>ProductionOrdersByItem_Display[[#This Row],[ProductionHour]]/r_TotalProductionHour</f>
        <v>5.5749064532761351E-4</v>
      </c>
      <c r="N425" s="26">
        <f>ProductionOrdersByItem_Display[[#This Row],[RMQty]]-ProductionOrdersByItem_Display[[#This Row],[RMRequired]]</f>
        <v>81</v>
      </c>
    </row>
    <row r="426" spans="1:14" hidden="1" x14ac:dyDescent="0.2">
      <c r="A426" t="s">
        <v>16</v>
      </c>
      <c r="B426" t="s">
        <v>333</v>
      </c>
      <c r="C426" t="s">
        <v>4898</v>
      </c>
      <c r="D426" t="s">
        <v>4779</v>
      </c>
      <c r="E426" t="s">
        <v>68</v>
      </c>
      <c r="F426" t="s">
        <v>50</v>
      </c>
      <c r="G426">
        <v>90</v>
      </c>
      <c r="H426" s="22">
        <v>1.2620537354936998E-3</v>
      </c>
      <c r="I426" s="16">
        <v>0.11358483619443298</v>
      </c>
      <c r="J426" s="56" t="s">
        <v>5648</v>
      </c>
      <c r="K426" s="56" t="s">
        <v>5600</v>
      </c>
      <c r="L426">
        <v>3</v>
      </c>
      <c r="M426" s="31">
        <f>ProductionOrdersByItem_Display[[#This Row],[ProductionHour]]/r_TotalProductionHour</f>
        <v>6.1364000223880041E-5</v>
      </c>
      <c r="N426" s="26">
        <f>ProductionOrdersByItem_Display[[#This Row],[RMQty]]-ProductionOrdersByItem_Display[[#This Row],[RMRequired]]</f>
        <v>86</v>
      </c>
    </row>
    <row r="427" spans="1:14" hidden="1" x14ac:dyDescent="0.2">
      <c r="A427" t="s">
        <v>16</v>
      </c>
      <c r="B427" t="s">
        <v>5807</v>
      </c>
      <c r="C427" t="s">
        <v>5808</v>
      </c>
      <c r="D427" t="s">
        <v>4780</v>
      </c>
      <c r="E427" t="s">
        <v>68</v>
      </c>
      <c r="F427" t="s">
        <v>50</v>
      </c>
      <c r="G427">
        <v>5040</v>
      </c>
      <c r="H427" s="22">
        <v>2.2095642509796067E-3</v>
      </c>
      <c r="I427" s="16">
        <v>11.136203824937217</v>
      </c>
      <c r="J427" s="56" t="s">
        <v>5685</v>
      </c>
      <c r="K427" s="56" t="s">
        <v>5600</v>
      </c>
      <c r="L427">
        <v>3</v>
      </c>
      <c r="M427" s="31">
        <f>ProductionOrdersByItem_Display[[#This Row],[ProductionHour]]/r_TotalProductionHour</f>
        <v>6.016313769532153E-3</v>
      </c>
      <c r="N427" s="26">
        <f>ProductionOrdersByItem_Display[[#This Row],[RMQty]]-ProductionOrdersByItem_Display[[#This Row],[RMRequired]]</f>
        <v>83</v>
      </c>
    </row>
    <row r="428" spans="1:14" hidden="1" x14ac:dyDescent="0.2">
      <c r="A428" t="s">
        <v>16</v>
      </c>
      <c r="B428" t="s">
        <v>332</v>
      </c>
      <c r="C428" t="s">
        <v>4899</v>
      </c>
      <c r="D428" t="s">
        <v>4779</v>
      </c>
      <c r="E428" t="s">
        <v>68</v>
      </c>
      <c r="F428" t="s">
        <v>50</v>
      </c>
      <c r="G428">
        <v>90</v>
      </c>
      <c r="H428" s="22">
        <v>1.0094559856380491E-3</v>
      </c>
      <c r="I428" s="16">
        <v>9.085103870742442E-2</v>
      </c>
      <c r="J428" s="56" t="s">
        <v>5702</v>
      </c>
      <c r="K428" s="56" t="s">
        <v>5600</v>
      </c>
      <c r="L428">
        <v>3</v>
      </c>
      <c r="M428" s="31">
        <f>ProductionOrdersByItem_Display[[#This Row],[ProductionHour]]/r_TotalProductionHour</f>
        <v>4.9082107668306584E-5</v>
      </c>
      <c r="N428" s="26">
        <f>ProductionOrdersByItem_Display[[#This Row],[RMQty]]-ProductionOrdersByItem_Display[[#This Row],[RMRequired]]</f>
        <v>102</v>
      </c>
    </row>
    <row r="429" spans="1:14" hidden="1" x14ac:dyDescent="0.2">
      <c r="A429" t="s">
        <v>16</v>
      </c>
      <c r="B429" t="s">
        <v>5838</v>
      </c>
      <c r="C429" t="s">
        <v>5873</v>
      </c>
      <c r="D429" t="s">
        <v>4777</v>
      </c>
      <c r="E429" t="s">
        <v>68</v>
      </c>
      <c r="F429" t="s">
        <v>50</v>
      </c>
      <c r="G429">
        <v>3975</v>
      </c>
      <c r="H429" s="22">
        <v>2.0348352921270808E-3</v>
      </c>
      <c r="I429" s="16">
        <v>8.0884702862051459</v>
      </c>
      <c r="J429" s="56" t="s">
        <v>5653</v>
      </c>
      <c r="K429" s="56" t="s">
        <v>5600</v>
      </c>
      <c r="L429">
        <v>3</v>
      </c>
      <c r="M429" s="31">
        <f>ProductionOrdersByItem_Display[[#This Row],[ProductionHour]]/r_TotalProductionHour</f>
        <v>4.3697812937275368E-3</v>
      </c>
      <c r="N429" s="26">
        <f>ProductionOrdersByItem_Display[[#This Row],[RMQty]]-ProductionOrdersByItem_Display[[#This Row],[RMRequired]]</f>
        <v>99</v>
      </c>
    </row>
    <row r="430" spans="1:14" hidden="1" x14ac:dyDescent="0.2">
      <c r="A430" t="s">
        <v>16</v>
      </c>
      <c r="B430" t="s">
        <v>725</v>
      </c>
      <c r="C430" t="s">
        <v>726</v>
      </c>
      <c r="D430" t="s">
        <v>5786</v>
      </c>
      <c r="E430" t="s">
        <v>68</v>
      </c>
      <c r="F430" t="s">
        <v>50</v>
      </c>
      <c r="G430">
        <v>60</v>
      </c>
      <c r="H430" s="22">
        <v>1.6414761277027741E-3</v>
      </c>
      <c r="I430" s="16">
        <v>9.8488567662166446E-2</v>
      </c>
      <c r="J430" s="56" t="s">
        <v>6032</v>
      </c>
      <c r="K430" s="56" t="s">
        <v>5600</v>
      </c>
      <c r="L430">
        <v>3</v>
      </c>
      <c r="M430" s="31">
        <f>ProductionOrdersByItem_Display[[#This Row],[ProductionHour]]/r_TotalProductionHour</f>
        <v>5.3208268731623335E-5</v>
      </c>
      <c r="N430" s="26">
        <f>ProductionOrdersByItem_Display[[#This Row],[RMQty]]-ProductionOrdersByItem_Display[[#This Row],[RMRequired]]</f>
        <v>87</v>
      </c>
    </row>
    <row r="431" spans="1:14" hidden="1" x14ac:dyDescent="0.2">
      <c r="A431" t="s">
        <v>16</v>
      </c>
      <c r="B431" t="s">
        <v>967</v>
      </c>
      <c r="C431" t="s">
        <v>968</v>
      </c>
      <c r="D431" t="s">
        <v>4777</v>
      </c>
      <c r="E431" t="s">
        <v>68</v>
      </c>
      <c r="F431" t="s">
        <v>50</v>
      </c>
      <c r="G431">
        <v>3500</v>
      </c>
      <c r="H431" s="22">
        <v>2.1850423365639099E-3</v>
      </c>
      <c r="I431" s="16">
        <v>7.6476481779736849</v>
      </c>
      <c r="J431" s="56" t="s">
        <v>5805</v>
      </c>
      <c r="K431" s="56" t="s">
        <v>5600</v>
      </c>
      <c r="L431">
        <v>3</v>
      </c>
      <c r="M431" s="31">
        <f>ProductionOrdersByItem_Display[[#This Row],[ProductionHour]]/r_TotalProductionHour</f>
        <v>4.1316279551788784E-3</v>
      </c>
      <c r="N431" s="26">
        <f>ProductionOrdersByItem_Display[[#This Row],[RMQty]]-ProductionOrdersByItem_Display[[#This Row],[RMRequired]]</f>
        <v>95</v>
      </c>
    </row>
    <row r="432" spans="1:14" hidden="1" x14ac:dyDescent="0.2">
      <c r="A432" t="s">
        <v>16</v>
      </c>
      <c r="B432" t="s">
        <v>1495</v>
      </c>
      <c r="C432" t="s">
        <v>5302</v>
      </c>
      <c r="D432" t="s">
        <v>4779</v>
      </c>
      <c r="E432" t="s">
        <v>68</v>
      </c>
      <c r="F432" t="s">
        <v>50</v>
      </c>
      <c r="G432">
        <v>600</v>
      </c>
      <c r="H432" s="22">
        <v>8.4368431800555877E-4</v>
      </c>
      <c r="I432" s="16">
        <v>0.5062105908033353</v>
      </c>
      <c r="J432" s="56" t="s">
        <v>5833</v>
      </c>
      <c r="K432" s="56" t="s">
        <v>5600</v>
      </c>
      <c r="L432">
        <v>3</v>
      </c>
      <c r="M432" s="31">
        <f>ProductionOrdersByItem_Display[[#This Row],[ProductionHour]]/r_TotalProductionHour</f>
        <v>2.7347934678721475E-4</v>
      </c>
      <c r="N432" s="26">
        <f>ProductionOrdersByItem_Display[[#This Row],[RMQty]]-ProductionOrdersByItem_Display[[#This Row],[RMRequired]]</f>
        <v>110</v>
      </c>
    </row>
    <row r="433" spans="1:14" hidden="1" x14ac:dyDescent="0.2">
      <c r="A433" t="s">
        <v>16</v>
      </c>
      <c r="B433" t="s">
        <v>498</v>
      </c>
      <c r="C433" t="s">
        <v>499</v>
      </c>
      <c r="D433" t="s">
        <v>5697</v>
      </c>
      <c r="E433" t="s">
        <v>68</v>
      </c>
      <c r="F433" t="s">
        <v>50</v>
      </c>
      <c r="G433">
        <v>1350</v>
      </c>
      <c r="H433" s="22">
        <v>1.8694304437959935E-3</v>
      </c>
      <c r="I433" s="16">
        <v>2.5237310991245914</v>
      </c>
      <c r="J433" s="56" t="s">
        <v>5785</v>
      </c>
      <c r="K433" s="56" t="s">
        <v>5600</v>
      </c>
      <c r="L433">
        <v>3</v>
      </c>
      <c r="M433" s="31">
        <f>ProductionOrdersByItem_Display[[#This Row],[ProductionHour]]/r_TotalProductionHour</f>
        <v>1.3634411152083411E-3</v>
      </c>
      <c r="N433" s="26">
        <f>ProductionOrdersByItem_Display[[#This Row],[RMQty]]-ProductionOrdersByItem_Display[[#This Row],[RMRequired]]</f>
        <v>89</v>
      </c>
    </row>
    <row r="434" spans="1:14" hidden="1" x14ac:dyDescent="0.2">
      <c r="A434" t="s">
        <v>16</v>
      </c>
      <c r="B434" t="s">
        <v>1480</v>
      </c>
      <c r="C434" t="s">
        <v>4873</v>
      </c>
      <c r="D434" t="s">
        <v>5746</v>
      </c>
      <c r="E434" t="s">
        <v>68</v>
      </c>
      <c r="F434" t="s">
        <v>50</v>
      </c>
      <c r="G434">
        <v>2000</v>
      </c>
      <c r="H434" s="22">
        <v>7.0636719630282128E-4</v>
      </c>
      <c r="I434" s="16">
        <v>1.4127343926056426</v>
      </c>
      <c r="J434" s="56" t="s">
        <v>5705</v>
      </c>
      <c r="K434" s="56" t="s">
        <v>5600</v>
      </c>
      <c r="L434">
        <v>2</v>
      </c>
      <c r="M434" s="31">
        <f>ProductionOrdersByItem_Display[[#This Row],[ProductionHour]]/r_TotalProductionHour</f>
        <v>7.6322717440679456E-4</v>
      </c>
      <c r="N434" s="26">
        <f>ProductionOrdersByItem_Display[[#This Row],[RMQty]]-ProductionOrdersByItem_Display[[#This Row],[RMRequired]]</f>
        <v>76</v>
      </c>
    </row>
    <row r="435" spans="1:14" hidden="1" x14ac:dyDescent="0.2">
      <c r="A435" t="s">
        <v>16</v>
      </c>
      <c r="B435" t="s">
        <v>695</v>
      </c>
      <c r="C435" t="s">
        <v>4871</v>
      </c>
      <c r="D435" t="s">
        <v>4792</v>
      </c>
      <c r="E435" t="s">
        <v>68</v>
      </c>
      <c r="F435" t="s">
        <v>50</v>
      </c>
      <c r="G435">
        <v>65</v>
      </c>
      <c r="H435" s="22">
        <v>1.1050850758333821E-3</v>
      </c>
      <c r="I435" s="16">
        <v>7.1830529929169842E-2</v>
      </c>
      <c r="J435" s="56" t="s">
        <v>5664</v>
      </c>
      <c r="K435" s="56" t="s">
        <v>5600</v>
      </c>
      <c r="L435">
        <v>2</v>
      </c>
      <c r="M435" s="31">
        <f>ProductionOrdersByItem_Display[[#This Row],[ProductionHour]]/r_TotalProductionHour</f>
        <v>3.8806312553110286E-5</v>
      </c>
      <c r="N435" s="26">
        <f>ProductionOrdersByItem_Display[[#This Row],[RMQty]]-ProductionOrdersByItem_Display[[#This Row],[RMRequired]]</f>
        <v>66</v>
      </c>
    </row>
    <row r="436" spans="1:14" hidden="1" x14ac:dyDescent="0.2">
      <c r="A436" t="s">
        <v>16</v>
      </c>
      <c r="B436" t="s">
        <v>243</v>
      </c>
      <c r="C436" t="s">
        <v>244</v>
      </c>
      <c r="D436" t="s">
        <v>5651</v>
      </c>
      <c r="E436" t="s">
        <v>68</v>
      </c>
      <c r="F436" t="s">
        <v>50</v>
      </c>
      <c r="G436">
        <v>700</v>
      </c>
      <c r="H436" s="22">
        <v>1.2641542315410949E-3</v>
      </c>
      <c r="I436" s="16">
        <v>0.88490796207876643</v>
      </c>
      <c r="J436" s="56" t="s">
        <v>5913</v>
      </c>
      <c r="K436" s="56" t="s">
        <v>5600</v>
      </c>
      <c r="L436">
        <v>2</v>
      </c>
      <c r="M436" s="31">
        <f>ProductionOrdersByItem_Display[[#This Row],[ProductionHour]]/r_TotalProductionHour</f>
        <v>4.7806990970310594E-4</v>
      </c>
      <c r="N436" s="26">
        <f>ProductionOrdersByItem_Display[[#This Row],[RMQty]]-ProductionOrdersByItem_Display[[#This Row],[RMRequired]]</f>
        <v>54</v>
      </c>
    </row>
    <row r="437" spans="1:14" hidden="1" x14ac:dyDescent="0.2">
      <c r="A437" t="s">
        <v>16</v>
      </c>
      <c r="B437" t="s">
        <v>511</v>
      </c>
      <c r="C437" t="s">
        <v>512</v>
      </c>
      <c r="D437" t="s">
        <v>5697</v>
      </c>
      <c r="E437" t="s">
        <v>68</v>
      </c>
      <c r="F437" t="s">
        <v>50</v>
      </c>
      <c r="G437">
        <v>770</v>
      </c>
      <c r="H437" s="22">
        <v>1.6946543520850825E-3</v>
      </c>
      <c r="I437" s="16">
        <v>1.3048838511055136</v>
      </c>
      <c r="J437" s="56" t="s">
        <v>5664</v>
      </c>
      <c r="K437" s="56" t="s">
        <v>5600</v>
      </c>
      <c r="L437">
        <v>2</v>
      </c>
      <c r="M437" s="31">
        <f>ProductionOrdersByItem_Display[[#This Row],[ProductionHour]]/r_TotalProductionHour</f>
        <v>7.0496111641441732E-4</v>
      </c>
      <c r="N437" s="26">
        <f>ProductionOrdersByItem_Display[[#This Row],[RMQty]]-ProductionOrdersByItem_Display[[#This Row],[RMRequired]]</f>
        <v>66</v>
      </c>
    </row>
    <row r="438" spans="1:14" hidden="1" x14ac:dyDescent="0.2">
      <c r="A438" t="s">
        <v>16</v>
      </c>
      <c r="B438" t="s">
        <v>437</v>
      </c>
      <c r="C438" t="s">
        <v>4793</v>
      </c>
      <c r="D438" t="s">
        <v>4776</v>
      </c>
      <c r="E438" t="s">
        <v>68</v>
      </c>
      <c r="F438" t="s">
        <v>50</v>
      </c>
      <c r="G438">
        <v>2400</v>
      </c>
      <c r="H438" s="22">
        <v>1.226505989838882E-3</v>
      </c>
      <c r="I438" s="16">
        <v>2.9436143756133166</v>
      </c>
      <c r="J438" s="56" t="s">
        <v>5703</v>
      </c>
      <c r="K438" s="56" t="s">
        <v>5600</v>
      </c>
      <c r="L438">
        <v>2</v>
      </c>
      <c r="M438" s="31">
        <f>ProductionOrdersByItem_Display[[#This Row],[ProductionHour]]/r_TotalProductionHour</f>
        <v>1.590282288165198E-3</v>
      </c>
      <c r="N438" s="26">
        <f>ProductionOrdersByItem_Display[[#This Row],[RMQty]]-ProductionOrdersByItem_Display[[#This Row],[RMRequired]]</f>
        <v>74</v>
      </c>
    </row>
    <row r="439" spans="1:14" hidden="1" x14ac:dyDescent="0.2">
      <c r="A439" t="s">
        <v>16</v>
      </c>
      <c r="B439" t="s">
        <v>368</v>
      </c>
      <c r="C439" t="s">
        <v>4896</v>
      </c>
      <c r="D439" t="s">
        <v>4789</v>
      </c>
      <c r="E439" t="s">
        <v>68</v>
      </c>
      <c r="F439" t="s">
        <v>50</v>
      </c>
      <c r="G439">
        <v>1040</v>
      </c>
      <c r="H439" s="22">
        <v>1.7735267200882352E-3</v>
      </c>
      <c r="I439" s="16">
        <v>1.8444677888917647</v>
      </c>
      <c r="J439" s="56" t="s">
        <v>6033</v>
      </c>
      <c r="K439" s="56" t="s">
        <v>5600</v>
      </c>
      <c r="L439">
        <v>2</v>
      </c>
      <c r="M439" s="31">
        <f>ProductionOrdersByItem_Display[[#This Row],[ProductionHour]]/r_TotalProductionHour</f>
        <v>9.9647035293291331E-4</v>
      </c>
      <c r="N439" s="26">
        <f>ProductionOrdersByItem_Display[[#This Row],[RMQty]]-ProductionOrdersByItem_Display[[#This Row],[RMRequired]]</f>
        <v>72</v>
      </c>
    </row>
    <row r="440" spans="1:14" hidden="1" x14ac:dyDescent="0.2">
      <c r="A440" t="s">
        <v>16</v>
      </c>
      <c r="B440" t="s">
        <v>465</v>
      </c>
      <c r="C440" t="s">
        <v>570</v>
      </c>
      <c r="D440" t="s">
        <v>4776</v>
      </c>
      <c r="E440" t="s">
        <v>68</v>
      </c>
      <c r="F440" t="s">
        <v>50</v>
      </c>
      <c r="G440">
        <v>500</v>
      </c>
      <c r="H440" s="22">
        <v>1.2200759711076257E-3</v>
      </c>
      <c r="I440" s="16">
        <v>0.61003798555381283</v>
      </c>
      <c r="J440" s="56" t="s">
        <v>4761</v>
      </c>
      <c r="K440" s="56" t="s">
        <v>5600</v>
      </c>
      <c r="L440">
        <v>2</v>
      </c>
      <c r="M440" s="31">
        <f>ProductionOrdersByItem_Display[[#This Row],[ProductionHour]]/r_TotalProductionHour</f>
        <v>3.2957190709875968E-4</v>
      </c>
      <c r="N440" s="26">
        <f>ProductionOrdersByItem_Display[[#This Row],[RMQty]]-ProductionOrdersByItem_Display[[#This Row],[RMRequired]]</f>
        <v>78</v>
      </c>
    </row>
    <row r="441" spans="1:14" hidden="1" x14ac:dyDescent="0.2">
      <c r="A441" t="s">
        <v>16</v>
      </c>
      <c r="B441" t="s">
        <v>5092</v>
      </c>
      <c r="C441" t="s">
        <v>5093</v>
      </c>
      <c r="D441" t="s">
        <v>4780</v>
      </c>
      <c r="E441" t="s">
        <v>68</v>
      </c>
      <c r="F441" t="s">
        <v>50</v>
      </c>
      <c r="G441">
        <v>200</v>
      </c>
      <c r="H441" s="22">
        <v>2.1949965324376845E-3</v>
      </c>
      <c r="I441" s="16">
        <v>0.43899930648753688</v>
      </c>
      <c r="J441" s="56" t="s">
        <v>5664</v>
      </c>
      <c r="K441" s="56" t="s">
        <v>5600</v>
      </c>
      <c r="L441">
        <v>2</v>
      </c>
      <c r="M441" s="31">
        <f>ProductionOrdersByItem_Display[[#This Row],[ProductionHour]]/r_TotalProductionHour</f>
        <v>2.3716857323693283E-4</v>
      </c>
      <c r="N441" s="26">
        <f>ProductionOrdersByItem_Display[[#This Row],[RMQty]]-ProductionOrdersByItem_Display[[#This Row],[RMRequired]]</f>
        <v>66</v>
      </c>
    </row>
    <row r="442" spans="1:14" hidden="1" x14ac:dyDescent="0.2">
      <c r="A442" t="s">
        <v>16</v>
      </c>
      <c r="B442" t="s">
        <v>315</v>
      </c>
      <c r="C442" t="s">
        <v>4876</v>
      </c>
      <c r="D442" t="s">
        <v>4792</v>
      </c>
      <c r="E442" t="s">
        <v>68</v>
      </c>
      <c r="F442" t="s">
        <v>50</v>
      </c>
      <c r="G442">
        <v>50</v>
      </c>
      <c r="H442" s="22">
        <v>1.8334579030358136E-3</v>
      </c>
      <c r="I442" s="16">
        <v>9.1672895151790681E-2</v>
      </c>
      <c r="J442" s="56" t="s">
        <v>4811</v>
      </c>
      <c r="K442" s="56" t="s">
        <v>5607</v>
      </c>
      <c r="L442">
        <v>2</v>
      </c>
      <c r="M442" s="31">
        <f>ProductionOrdersByItem_Display[[#This Row],[ProductionHour]]/r_TotalProductionHour</f>
        <v>4.9526114110766558E-5</v>
      </c>
      <c r="N442" s="26">
        <f>ProductionOrdersByItem_Display[[#This Row],[RMQty]]-ProductionOrdersByItem_Display[[#This Row],[RMRequired]]</f>
        <v>78</v>
      </c>
    </row>
    <row r="443" spans="1:14" hidden="1" x14ac:dyDescent="0.2">
      <c r="A443" t="s">
        <v>16</v>
      </c>
      <c r="B443" t="s">
        <v>959</v>
      </c>
      <c r="C443" t="s">
        <v>960</v>
      </c>
      <c r="D443" t="s">
        <v>4780</v>
      </c>
      <c r="E443" t="s">
        <v>68</v>
      </c>
      <c r="F443" t="s">
        <v>50</v>
      </c>
      <c r="G443">
        <v>2340</v>
      </c>
      <c r="H443" s="22">
        <v>1.9158390412690324E-3</v>
      </c>
      <c r="I443" s="16">
        <v>4.4830633565695361</v>
      </c>
      <c r="J443" s="56" t="s">
        <v>5703</v>
      </c>
      <c r="K443" s="56" t="s">
        <v>5600</v>
      </c>
      <c r="L443">
        <v>2</v>
      </c>
      <c r="M443" s="31">
        <f>ProductionOrdersByItem_Display[[#This Row],[ProductionHour]]/r_TotalProductionHour</f>
        <v>2.4219667874089391E-3</v>
      </c>
      <c r="N443" s="26">
        <f>ProductionOrdersByItem_Display[[#This Row],[RMQty]]-ProductionOrdersByItem_Display[[#This Row],[RMRequired]]</f>
        <v>74</v>
      </c>
    </row>
    <row r="444" spans="1:14" hidden="1" x14ac:dyDescent="0.2">
      <c r="A444" t="s">
        <v>16</v>
      </c>
      <c r="B444" t="s">
        <v>3806</v>
      </c>
      <c r="C444" t="s">
        <v>5225</v>
      </c>
      <c r="D444" t="s">
        <v>4792</v>
      </c>
      <c r="E444" t="s">
        <v>68</v>
      </c>
      <c r="F444" t="s">
        <v>50</v>
      </c>
      <c r="G444">
        <v>50</v>
      </c>
      <c r="H444" s="22">
        <v>1.8334579030358136E-3</v>
      </c>
      <c r="I444" s="16">
        <v>9.1672895151790681E-2</v>
      </c>
      <c r="J444" s="56" t="s">
        <v>5641</v>
      </c>
      <c r="K444" s="56" t="s">
        <v>5607</v>
      </c>
      <c r="L444">
        <v>2</v>
      </c>
      <c r="M444" s="31">
        <f>ProductionOrdersByItem_Display[[#This Row],[ProductionHour]]/r_TotalProductionHour</f>
        <v>4.9526114110766558E-5</v>
      </c>
      <c r="N444" s="26">
        <f>ProductionOrdersByItem_Display[[#This Row],[RMQty]]-ProductionOrdersByItem_Display[[#This Row],[RMRequired]]</f>
        <v>90</v>
      </c>
    </row>
    <row r="445" spans="1:14" hidden="1" x14ac:dyDescent="0.2">
      <c r="A445" t="s">
        <v>16</v>
      </c>
      <c r="B445" t="s">
        <v>382</v>
      </c>
      <c r="C445" t="s">
        <v>383</v>
      </c>
      <c r="D445" t="s">
        <v>4780</v>
      </c>
      <c r="E445" t="s">
        <v>68</v>
      </c>
      <c r="F445" t="s">
        <v>50</v>
      </c>
      <c r="G445">
        <v>1575</v>
      </c>
      <c r="H445" s="22">
        <v>2.1532466449945822E-3</v>
      </c>
      <c r="I445" s="16">
        <v>3.3913634658664669</v>
      </c>
      <c r="J445" s="56" t="s">
        <v>5664</v>
      </c>
      <c r="K445" s="56" t="s">
        <v>5600</v>
      </c>
      <c r="L445">
        <v>2</v>
      </c>
      <c r="M445" s="31">
        <f>ProductionOrdersByItem_Display[[#This Row],[ProductionHour]]/r_TotalProductionHour</f>
        <v>1.8321779160948267E-3</v>
      </c>
      <c r="N445" s="26">
        <f>ProductionOrdersByItem_Display[[#This Row],[RMQty]]-ProductionOrdersByItem_Display[[#This Row],[RMRequired]]</f>
        <v>66</v>
      </c>
    </row>
    <row r="446" spans="1:14" hidden="1" x14ac:dyDescent="0.2">
      <c r="A446" t="s">
        <v>16</v>
      </c>
      <c r="B446" t="s">
        <v>713</v>
      </c>
      <c r="C446" t="s">
        <v>5510</v>
      </c>
      <c r="D446" t="s">
        <v>4792</v>
      </c>
      <c r="E446" t="s">
        <v>68</v>
      </c>
      <c r="F446" t="s">
        <v>50</v>
      </c>
      <c r="G446">
        <v>900</v>
      </c>
      <c r="H446" s="22">
        <v>1.2605207229792882E-3</v>
      </c>
      <c r="I446" s="16">
        <v>1.1344686506813593</v>
      </c>
      <c r="J446" s="56" t="s">
        <v>5806</v>
      </c>
      <c r="K446" s="56" t="s">
        <v>5600</v>
      </c>
      <c r="L446">
        <v>2</v>
      </c>
      <c r="M446" s="31">
        <f>ProductionOrdersByItem_Display[[#This Row],[ProductionHour]]/r_TotalProductionHour</f>
        <v>6.1289461574984261E-4</v>
      </c>
      <c r="N446" s="26">
        <f>ProductionOrdersByItem_Display[[#This Row],[RMQty]]-ProductionOrdersByItem_Display[[#This Row],[RMRequired]]</f>
        <v>61</v>
      </c>
    </row>
    <row r="447" spans="1:14" hidden="1" x14ac:dyDescent="0.2">
      <c r="A447" t="s">
        <v>16</v>
      </c>
      <c r="B447" t="s">
        <v>771</v>
      </c>
      <c r="C447" t="s">
        <v>4893</v>
      </c>
      <c r="D447" t="s">
        <v>4792</v>
      </c>
      <c r="E447" t="s">
        <v>68</v>
      </c>
      <c r="F447" t="s">
        <v>50</v>
      </c>
      <c r="G447">
        <v>2580</v>
      </c>
      <c r="H447" s="22">
        <v>1.0414474651823191E-3</v>
      </c>
      <c r="I447" s="16">
        <v>2.6869344601703835</v>
      </c>
      <c r="J447" s="56" t="s">
        <v>5604</v>
      </c>
      <c r="K447" s="56" t="s">
        <v>5600</v>
      </c>
      <c r="L447">
        <v>2</v>
      </c>
      <c r="M447" s="31">
        <f>ProductionOrdersByItem_Display[[#This Row],[ProductionHour]]/r_TotalProductionHour</f>
        <v>1.4516114328254634E-3</v>
      </c>
      <c r="N447" s="26">
        <f>ProductionOrdersByItem_Display[[#This Row],[RMQty]]-ProductionOrdersByItem_Display[[#This Row],[RMRequired]]</f>
        <v>77</v>
      </c>
    </row>
    <row r="448" spans="1:14" hidden="1" x14ac:dyDescent="0.2">
      <c r="A448" t="s">
        <v>16</v>
      </c>
      <c r="B448" t="s">
        <v>770</v>
      </c>
      <c r="C448" t="s">
        <v>5535</v>
      </c>
      <c r="D448" t="s">
        <v>5761</v>
      </c>
      <c r="E448" t="s">
        <v>68</v>
      </c>
      <c r="F448" t="s">
        <v>50</v>
      </c>
      <c r="G448">
        <v>1040</v>
      </c>
      <c r="H448" s="22">
        <v>1.2904846622673672E-3</v>
      </c>
      <c r="I448" s="16">
        <v>1.3421040487580618</v>
      </c>
      <c r="J448" s="56" t="s">
        <v>5664</v>
      </c>
      <c r="K448" s="56" t="s">
        <v>5600</v>
      </c>
      <c r="L448">
        <v>2</v>
      </c>
      <c r="M448" s="31">
        <f>ProductionOrdersByItem_Display[[#This Row],[ProductionHour]]/r_TotalProductionHour</f>
        <v>7.2506926019141004E-4</v>
      </c>
      <c r="N448" s="26">
        <f>ProductionOrdersByItem_Display[[#This Row],[RMQty]]-ProductionOrdersByItem_Display[[#This Row],[RMRequired]]</f>
        <v>66</v>
      </c>
    </row>
    <row r="449" spans="1:14" hidden="1" x14ac:dyDescent="0.2">
      <c r="A449" t="s">
        <v>16</v>
      </c>
      <c r="B449" t="s">
        <v>3803</v>
      </c>
      <c r="C449" t="s">
        <v>4895</v>
      </c>
      <c r="D449" t="s">
        <v>4792</v>
      </c>
      <c r="E449" t="s">
        <v>68</v>
      </c>
      <c r="F449" t="s">
        <v>50</v>
      </c>
      <c r="G449">
        <v>100</v>
      </c>
      <c r="H449" s="22">
        <v>1.8334695021222981E-3</v>
      </c>
      <c r="I449" s="16">
        <v>0.1833469502122298</v>
      </c>
      <c r="J449" s="56" t="s">
        <v>5705</v>
      </c>
      <c r="K449" s="56" t="s">
        <v>5607</v>
      </c>
      <c r="L449">
        <v>2</v>
      </c>
      <c r="M449" s="31">
        <f>ProductionOrdersByItem_Display[[#This Row],[ProductionHour]]/r_TotalProductionHour</f>
        <v>9.905285486006117E-5</v>
      </c>
      <c r="N449" s="26">
        <f>ProductionOrdersByItem_Display[[#This Row],[RMQty]]-ProductionOrdersByItem_Display[[#This Row],[RMRequired]]</f>
        <v>66</v>
      </c>
    </row>
    <row r="450" spans="1:14" hidden="1" x14ac:dyDescent="0.2">
      <c r="A450" t="s">
        <v>16</v>
      </c>
      <c r="B450" t="s">
        <v>390</v>
      </c>
      <c r="C450" t="s">
        <v>391</v>
      </c>
      <c r="D450" t="s">
        <v>4776</v>
      </c>
      <c r="E450" t="s">
        <v>68</v>
      </c>
      <c r="F450" t="s">
        <v>50</v>
      </c>
      <c r="G450">
        <v>120</v>
      </c>
      <c r="H450" s="22">
        <v>1.5846446370863E-3</v>
      </c>
      <c r="I450" s="16">
        <v>0.190157356450356</v>
      </c>
      <c r="J450" s="56" t="s">
        <v>4761</v>
      </c>
      <c r="K450" s="56" t="s">
        <v>5600</v>
      </c>
      <c r="L450">
        <v>2</v>
      </c>
      <c r="M450" s="31">
        <f>ProductionOrdersByItem_Display[[#This Row],[ProductionHour]]/r_TotalProductionHour</f>
        <v>1.027321643869571E-4</v>
      </c>
      <c r="N450" s="26">
        <f>ProductionOrdersByItem_Display[[#This Row],[RMQty]]-ProductionOrdersByItem_Display[[#This Row],[RMRequired]]</f>
        <v>78</v>
      </c>
    </row>
    <row r="451" spans="1:14" hidden="1" x14ac:dyDescent="0.2">
      <c r="A451" t="s">
        <v>16</v>
      </c>
      <c r="B451" t="s">
        <v>979</v>
      </c>
      <c r="C451" t="s">
        <v>4871</v>
      </c>
      <c r="D451" t="s">
        <v>4792</v>
      </c>
      <c r="E451" t="s">
        <v>68</v>
      </c>
      <c r="F451" t="s">
        <v>50</v>
      </c>
      <c r="G451">
        <v>260</v>
      </c>
      <c r="H451" s="22">
        <v>1.1050850758333821E-3</v>
      </c>
      <c r="I451" s="16">
        <v>0.28732211971667937</v>
      </c>
      <c r="J451" s="56" t="s">
        <v>5664</v>
      </c>
      <c r="K451" s="56" t="s">
        <v>5600</v>
      </c>
      <c r="L451">
        <v>2</v>
      </c>
      <c r="M451" s="31">
        <f>ProductionOrdersByItem_Display[[#This Row],[ProductionHour]]/r_TotalProductionHour</f>
        <v>1.5522525021244114E-4</v>
      </c>
      <c r="N451" s="26">
        <f>ProductionOrdersByItem_Display[[#This Row],[RMQty]]-ProductionOrdersByItem_Display[[#This Row],[RMRequired]]</f>
        <v>66</v>
      </c>
    </row>
    <row r="452" spans="1:14" hidden="1" x14ac:dyDescent="0.2">
      <c r="A452" t="s">
        <v>16</v>
      </c>
      <c r="B452" t="s">
        <v>2283</v>
      </c>
      <c r="C452" t="s">
        <v>5363</v>
      </c>
      <c r="D452" t="s">
        <v>4782</v>
      </c>
      <c r="E452" t="s">
        <v>68</v>
      </c>
      <c r="F452" t="s">
        <v>50</v>
      </c>
      <c r="G452">
        <v>9180</v>
      </c>
      <c r="H452" s="22">
        <v>1.629802699896158E-3</v>
      </c>
      <c r="I452" s="16">
        <v>14.961588785046731</v>
      </c>
      <c r="J452" s="56" t="s">
        <v>5642</v>
      </c>
      <c r="K452" s="56" t="s">
        <v>5600</v>
      </c>
      <c r="L452">
        <v>2</v>
      </c>
      <c r="M452" s="31">
        <f>ProductionOrdersByItem_Display[[#This Row],[ProductionHour]]/r_TotalProductionHour</f>
        <v>8.0829710048937568E-3</v>
      </c>
      <c r="N452" s="26">
        <f>ProductionOrdersByItem_Display[[#This Row],[RMQty]]-ProductionOrdersByItem_Display[[#This Row],[RMRequired]]</f>
        <v>55</v>
      </c>
    </row>
    <row r="453" spans="1:14" hidden="1" x14ac:dyDescent="0.2">
      <c r="A453" t="s">
        <v>16</v>
      </c>
      <c r="B453" t="s">
        <v>2836</v>
      </c>
      <c r="C453" t="s">
        <v>2837</v>
      </c>
      <c r="D453" t="s">
        <v>4775</v>
      </c>
      <c r="E453" t="s">
        <v>68</v>
      </c>
      <c r="F453" t="s">
        <v>50</v>
      </c>
      <c r="G453">
        <v>2775</v>
      </c>
      <c r="H453" s="22">
        <v>1.4643176077360751E-3</v>
      </c>
      <c r="I453" s="16">
        <v>4.0634813614676082</v>
      </c>
      <c r="J453" s="56" t="s">
        <v>5736</v>
      </c>
      <c r="K453" s="56" t="s">
        <v>5600</v>
      </c>
      <c r="L453">
        <v>2</v>
      </c>
      <c r="M453" s="31">
        <f>ProductionOrdersByItem_Display[[#This Row],[ProductionHour]]/r_TotalProductionHour</f>
        <v>2.1952883811708302E-3</v>
      </c>
      <c r="N453" s="26">
        <f>ProductionOrdersByItem_Display[[#This Row],[RMQty]]-ProductionOrdersByItem_Display[[#This Row],[RMRequired]]</f>
        <v>40</v>
      </c>
    </row>
    <row r="454" spans="1:14" hidden="1" x14ac:dyDescent="0.2">
      <c r="A454" t="s">
        <v>16</v>
      </c>
      <c r="B454" t="s">
        <v>5010</v>
      </c>
      <c r="C454" t="s">
        <v>5011</v>
      </c>
      <c r="D454" t="s">
        <v>4782</v>
      </c>
      <c r="E454" t="s">
        <v>68</v>
      </c>
      <c r="F454" t="s">
        <v>50</v>
      </c>
      <c r="G454">
        <v>180</v>
      </c>
      <c r="H454" s="22">
        <v>2.4732210133732307E-3</v>
      </c>
      <c r="I454" s="16">
        <v>0.44517978240718153</v>
      </c>
      <c r="J454" s="56" t="s">
        <v>4763</v>
      </c>
      <c r="K454" s="56" t="s">
        <v>5607</v>
      </c>
      <c r="L454">
        <v>2</v>
      </c>
      <c r="M454" s="31">
        <f>ProductionOrdersByItem_Display[[#This Row],[ProductionHour]]/r_TotalProductionHour</f>
        <v>2.4050756406021094E-4</v>
      </c>
      <c r="N454" s="26">
        <f>ProductionOrdersByItem_Display[[#This Row],[RMQty]]-ProductionOrdersByItem_Display[[#This Row],[RMRequired]]</f>
        <v>75</v>
      </c>
    </row>
    <row r="455" spans="1:14" hidden="1" x14ac:dyDescent="0.2">
      <c r="A455" t="s">
        <v>16</v>
      </c>
      <c r="B455" t="s">
        <v>5920</v>
      </c>
      <c r="C455" t="s">
        <v>5921</v>
      </c>
      <c r="D455" t="s">
        <v>4782</v>
      </c>
      <c r="E455" t="s">
        <v>68</v>
      </c>
      <c r="F455" t="s">
        <v>50</v>
      </c>
      <c r="G455">
        <v>1200</v>
      </c>
      <c r="H455" s="22">
        <v>2.2274755746192676E-3</v>
      </c>
      <c r="I455" s="16">
        <v>2.6729706895431211</v>
      </c>
      <c r="J455" s="56" t="s">
        <v>4815</v>
      </c>
      <c r="K455" s="56" t="s">
        <v>5600</v>
      </c>
      <c r="L455">
        <v>2</v>
      </c>
      <c r="M455" s="31">
        <f>ProductionOrdersByItem_Display[[#This Row],[ProductionHour]]/r_TotalProductionHour</f>
        <v>1.4440675312572052E-3</v>
      </c>
      <c r="N455" s="26">
        <f>ProductionOrdersByItem_Display[[#This Row],[RMQty]]-ProductionOrdersByItem_Display[[#This Row],[RMRequired]]</f>
        <v>79</v>
      </c>
    </row>
    <row r="456" spans="1:14" hidden="1" x14ac:dyDescent="0.2">
      <c r="A456" t="s">
        <v>16</v>
      </c>
      <c r="B456" t="s">
        <v>5721</v>
      </c>
      <c r="C456" t="s">
        <v>5722</v>
      </c>
      <c r="D456" t="s">
        <v>4782</v>
      </c>
      <c r="E456" t="s">
        <v>68</v>
      </c>
      <c r="F456" t="s">
        <v>50</v>
      </c>
      <c r="G456">
        <v>100</v>
      </c>
      <c r="H456" s="22">
        <v>2.9232804232804236E-3</v>
      </c>
      <c r="I456" s="16">
        <v>0.29232804232804238</v>
      </c>
      <c r="J456" s="56" t="s">
        <v>5703</v>
      </c>
      <c r="K456" s="56" t="s">
        <v>5600</v>
      </c>
      <c r="L456">
        <v>2</v>
      </c>
      <c r="M456" s="31">
        <f>ProductionOrdersByItem_Display[[#This Row],[ProductionHour]]/r_TotalProductionHour</f>
        <v>1.5792969075693932E-4</v>
      </c>
      <c r="N456" s="26">
        <f>ProductionOrdersByItem_Display[[#This Row],[RMQty]]-ProductionOrdersByItem_Display[[#This Row],[RMRequired]]</f>
        <v>74</v>
      </c>
    </row>
    <row r="457" spans="1:14" hidden="1" x14ac:dyDescent="0.2">
      <c r="A457" t="s">
        <v>16</v>
      </c>
      <c r="B457" t="s">
        <v>5209</v>
      </c>
      <c r="C457" t="s">
        <v>5211</v>
      </c>
      <c r="D457" t="s">
        <v>4782</v>
      </c>
      <c r="E457" t="s">
        <v>68</v>
      </c>
      <c r="F457" t="s">
        <v>50</v>
      </c>
      <c r="G457">
        <v>100</v>
      </c>
      <c r="H457" s="22">
        <v>1.9260086766130281E-3</v>
      </c>
      <c r="I457" s="16">
        <v>0.1926008676613028</v>
      </c>
      <c r="J457" s="56" t="s">
        <v>5685</v>
      </c>
      <c r="K457" s="56" t="s">
        <v>5607</v>
      </c>
      <c r="L457">
        <v>2</v>
      </c>
      <c r="M457" s="31">
        <f>ProductionOrdersByItem_Display[[#This Row],[ProductionHour]]/r_TotalProductionHour</f>
        <v>1.0405226685414665E-4</v>
      </c>
      <c r="N457" s="26">
        <f>ProductionOrdersByItem_Display[[#This Row],[RMQty]]-ProductionOrdersByItem_Display[[#This Row],[RMRequired]]</f>
        <v>73</v>
      </c>
    </row>
    <row r="458" spans="1:14" hidden="1" x14ac:dyDescent="0.2">
      <c r="A458" t="s">
        <v>16</v>
      </c>
      <c r="B458" t="s">
        <v>269</v>
      </c>
      <c r="C458" t="s">
        <v>275</v>
      </c>
      <c r="D458" t="s">
        <v>5683</v>
      </c>
      <c r="E458" t="s">
        <v>68</v>
      </c>
      <c r="F458" t="s">
        <v>50</v>
      </c>
      <c r="G458">
        <v>2240</v>
      </c>
      <c r="H458" s="22">
        <v>1.2199970990770879E-3</v>
      </c>
      <c r="I458" s="16">
        <v>2.7327935019326768</v>
      </c>
      <c r="J458" s="56" t="s">
        <v>5855</v>
      </c>
      <c r="K458" s="56" t="s">
        <v>5600</v>
      </c>
      <c r="L458">
        <v>2</v>
      </c>
      <c r="M458" s="31">
        <f>ProductionOrdersByItem_Display[[#This Row],[ProductionHour]]/r_TotalProductionHour</f>
        <v>1.4763866963487665E-3</v>
      </c>
      <c r="N458" s="26">
        <f>ProductionOrdersByItem_Display[[#This Row],[RMQty]]-ProductionOrdersByItem_Display[[#This Row],[RMRequired]]</f>
        <v>41</v>
      </c>
    </row>
    <row r="459" spans="1:14" hidden="1" x14ac:dyDescent="0.2">
      <c r="A459" t="s">
        <v>16</v>
      </c>
      <c r="B459" t="s">
        <v>270</v>
      </c>
      <c r="C459" t="s">
        <v>440</v>
      </c>
      <c r="D459" t="s">
        <v>4796</v>
      </c>
      <c r="E459" t="s">
        <v>68</v>
      </c>
      <c r="F459" t="s">
        <v>50</v>
      </c>
      <c r="G459">
        <v>75</v>
      </c>
      <c r="H459" s="22">
        <v>2.4645194508982901E-3</v>
      </c>
      <c r="I459" s="16">
        <v>0.18483895881737175</v>
      </c>
      <c r="J459" s="56" t="s">
        <v>6034</v>
      </c>
      <c r="K459" s="56" t="s">
        <v>5600</v>
      </c>
      <c r="L459">
        <v>2</v>
      </c>
      <c r="M459" s="31">
        <f>ProductionOrdersByItem_Display[[#This Row],[ProductionHour]]/r_TotalProductionHour</f>
        <v>9.9858909782949272E-5</v>
      </c>
      <c r="N459" s="26">
        <f>ProductionOrdersByItem_Display[[#This Row],[RMQty]]-ProductionOrdersByItem_Display[[#This Row],[RMRequired]]</f>
        <v>60</v>
      </c>
    </row>
    <row r="460" spans="1:14" hidden="1" x14ac:dyDescent="0.2">
      <c r="A460" t="s">
        <v>16</v>
      </c>
      <c r="B460" t="s">
        <v>5166</v>
      </c>
      <c r="C460" t="s">
        <v>5167</v>
      </c>
      <c r="D460" t="s">
        <v>4796</v>
      </c>
      <c r="E460" t="s">
        <v>68</v>
      </c>
      <c r="F460" t="s">
        <v>50</v>
      </c>
      <c r="G460">
        <v>100</v>
      </c>
      <c r="H460" s="22">
        <v>2.2898502123854239E-3</v>
      </c>
      <c r="I460" s="16">
        <v>0.22898502123854239</v>
      </c>
      <c r="J460" s="56" t="s">
        <v>5806</v>
      </c>
      <c r="K460" s="56" t="s">
        <v>5607</v>
      </c>
      <c r="L460">
        <v>2</v>
      </c>
      <c r="M460" s="31">
        <f>ProductionOrdersByItem_Display[[#This Row],[ProductionHour]]/r_TotalProductionHour</f>
        <v>1.2370873934698496E-4</v>
      </c>
      <c r="N460" s="26">
        <f>ProductionOrdersByItem_Display[[#This Row],[RMQty]]-ProductionOrdersByItem_Display[[#This Row],[RMRequired]]</f>
        <v>51</v>
      </c>
    </row>
    <row r="461" spans="1:14" hidden="1" x14ac:dyDescent="0.2">
      <c r="A461" t="s">
        <v>16</v>
      </c>
      <c r="B461" t="s">
        <v>5715</v>
      </c>
      <c r="C461" t="s">
        <v>5716</v>
      </c>
      <c r="D461" t="s">
        <v>4782</v>
      </c>
      <c r="E461" t="s">
        <v>68</v>
      </c>
      <c r="F461" t="s">
        <v>50</v>
      </c>
      <c r="G461">
        <v>100</v>
      </c>
      <c r="H461" s="22">
        <v>2.9232804232804236E-3</v>
      </c>
      <c r="I461" s="16">
        <v>0.29232804232804238</v>
      </c>
      <c r="J461" s="56" t="s">
        <v>5737</v>
      </c>
      <c r="K461" s="56" t="s">
        <v>5600</v>
      </c>
      <c r="L461">
        <v>2</v>
      </c>
      <c r="M461" s="31">
        <f>ProductionOrdersByItem_Display[[#This Row],[ProductionHour]]/r_TotalProductionHour</f>
        <v>1.5792969075693932E-4</v>
      </c>
      <c r="N461" s="26">
        <f>ProductionOrdersByItem_Display[[#This Row],[RMQty]]-ProductionOrdersByItem_Display[[#This Row],[RMRequired]]</f>
        <v>58</v>
      </c>
    </row>
    <row r="462" spans="1:14" hidden="1" x14ac:dyDescent="0.2">
      <c r="A462" t="s">
        <v>16</v>
      </c>
      <c r="B462" t="s">
        <v>5191</v>
      </c>
      <c r="C462" t="s">
        <v>5192</v>
      </c>
      <c r="D462" t="s">
        <v>4775</v>
      </c>
      <c r="E462" t="s">
        <v>68</v>
      </c>
      <c r="F462" t="s">
        <v>50</v>
      </c>
      <c r="G462">
        <v>150</v>
      </c>
      <c r="H462" s="22">
        <v>3.8964501271002809E-3</v>
      </c>
      <c r="I462" s="16">
        <v>0.58446751906504213</v>
      </c>
      <c r="J462" s="56" t="s">
        <v>5738</v>
      </c>
      <c r="K462" s="56" t="s">
        <v>5607</v>
      </c>
      <c r="L462">
        <v>2</v>
      </c>
      <c r="M462" s="31">
        <f>ProductionOrdersByItem_Display[[#This Row],[ProductionHour]]/r_TotalProductionHour</f>
        <v>3.157575092978449E-4</v>
      </c>
      <c r="N462" s="26">
        <f>ProductionOrdersByItem_Display[[#This Row],[RMQty]]-ProductionOrdersByItem_Display[[#This Row],[RMRequired]]</f>
        <v>53</v>
      </c>
    </row>
    <row r="463" spans="1:14" hidden="1" x14ac:dyDescent="0.2">
      <c r="A463" t="s">
        <v>16</v>
      </c>
      <c r="B463" t="s">
        <v>5199</v>
      </c>
      <c r="C463" t="s">
        <v>5200</v>
      </c>
      <c r="D463" t="s">
        <v>4775</v>
      </c>
      <c r="E463" t="s">
        <v>68</v>
      </c>
      <c r="F463" t="s">
        <v>50</v>
      </c>
      <c r="G463">
        <v>150</v>
      </c>
      <c r="H463" s="22">
        <v>3.8964501271002809E-3</v>
      </c>
      <c r="I463" s="16">
        <v>0.58446751906504213</v>
      </c>
      <c r="J463" s="56" t="s">
        <v>5628</v>
      </c>
      <c r="K463" s="56" t="s">
        <v>5607</v>
      </c>
      <c r="L463">
        <v>2</v>
      </c>
      <c r="M463" s="31">
        <f>ProductionOrdersByItem_Display[[#This Row],[ProductionHour]]/r_TotalProductionHour</f>
        <v>3.157575092978449E-4</v>
      </c>
      <c r="N463" s="26">
        <f>ProductionOrdersByItem_Display[[#This Row],[RMQty]]-ProductionOrdersByItem_Display[[#This Row],[RMRequired]]</f>
        <v>72</v>
      </c>
    </row>
    <row r="464" spans="1:14" hidden="1" x14ac:dyDescent="0.2">
      <c r="A464" t="s">
        <v>16</v>
      </c>
      <c r="B464" t="s">
        <v>5197</v>
      </c>
      <c r="C464" t="s">
        <v>5198</v>
      </c>
      <c r="D464" t="s">
        <v>4775</v>
      </c>
      <c r="E464" t="s">
        <v>68</v>
      </c>
      <c r="F464" t="s">
        <v>50</v>
      </c>
      <c r="G464">
        <v>150</v>
      </c>
      <c r="H464" s="22">
        <v>3.8964501271002809E-3</v>
      </c>
      <c r="I464" s="16">
        <v>0.58446751906504213</v>
      </c>
      <c r="J464" s="56" t="s">
        <v>5657</v>
      </c>
      <c r="K464" s="56" t="s">
        <v>5607</v>
      </c>
      <c r="L464">
        <v>2</v>
      </c>
      <c r="M464" s="31">
        <f>ProductionOrdersByItem_Display[[#This Row],[ProductionHour]]/r_TotalProductionHour</f>
        <v>3.157575092978449E-4</v>
      </c>
      <c r="N464" s="26">
        <f>ProductionOrdersByItem_Display[[#This Row],[RMQty]]-ProductionOrdersByItem_Display[[#This Row],[RMRequired]]</f>
        <v>54</v>
      </c>
    </row>
    <row r="465" spans="1:14" hidden="1" x14ac:dyDescent="0.2">
      <c r="A465" t="s">
        <v>16</v>
      </c>
      <c r="B465" t="s">
        <v>5923</v>
      </c>
      <c r="C465" t="s">
        <v>5924</v>
      </c>
      <c r="D465" t="s">
        <v>4775</v>
      </c>
      <c r="E465" t="s">
        <v>68</v>
      </c>
      <c r="F465" t="s">
        <v>50</v>
      </c>
      <c r="G465">
        <v>90</v>
      </c>
      <c r="H465" s="22">
        <v>3.8964501271002809E-3</v>
      </c>
      <c r="I465" s="16">
        <v>0.35068051143902529</v>
      </c>
      <c r="J465" s="56" t="s">
        <v>5602</v>
      </c>
      <c r="K465" s="56" t="s">
        <v>5600</v>
      </c>
      <c r="L465">
        <v>2</v>
      </c>
      <c r="M465" s="31">
        <f>ProductionOrdersByItem_Display[[#This Row],[ProductionHour]]/r_TotalProductionHour</f>
        <v>1.8945450557870692E-4</v>
      </c>
      <c r="N465" s="26">
        <f>ProductionOrdersByItem_Display[[#This Row],[RMQty]]-ProductionOrdersByItem_Display[[#This Row],[RMRequired]]</f>
        <v>70</v>
      </c>
    </row>
    <row r="466" spans="1:14" hidden="1" x14ac:dyDescent="0.2">
      <c r="A466" t="s">
        <v>16</v>
      </c>
      <c r="B466" t="s">
        <v>5195</v>
      </c>
      <c r="C466" t="s">
        <v>5196</v>
      </c>
      <c r="D466" t="s">
        <v>4775</v>
      </c>
      <c r="E466" t="s">
        <v>68</v>
      </c>
      <c r="F466" t="s">
        <v>50</v>
      </c>
      <c r="G466">
        <v>60</v>
      </c>
      <c r="H466" s="22">
        <v>3.8964501271002809E-3</v>
      </c>
      <c r="I466" s="16">
        <v>0.23378700762601684</v>
      </c>
      <c r="J466" s="56" t="s">
        <v>5218</v>
      </c>
      <c r="K466" s="56" t="s">
        <v>5607</v>
      </c>
      <c r="L466">
        <v>2</v>
      </c>
      <c r="M466" s="31">
        <f>ProductionOrdersByItem_Display[[#This Row],[ProductionHour]]/r_TotalProductionHour</f>
        <v>1.2630300371913795E-4</v>
      </c>
      <c r="N466" s="26">
        <f>ProductionOrdersByItem_Display[[#This Row],[RMQty]]-ProductionOrdersByItem_Display[[#This Row],[RMRequired]]</f>
        <v>58</v>
      </c>
    </row>
    <row r="467" spans="1:14" hidden="1" x14ac:dyDescent="0.2">
      <c r="A467" t="s">
        <v>16</v>
      </c>
      <c r="B467" t="s">
        <v>5193</v>
      </c>
      <c r="C467" t="s">
        <v>5194</v>
      </c>
      <c r="D467" t="s">
        <v>4775</v>
      </c>
      <c r="E467" t="s">
        <v>68</v>
      </c>
      <c r="F467" t="s">
        <v>50</v>
      </c>
      <c r="G467">
        <v>30</v>
      </c>
      <c r="H467" s="22">
        <v>3.8964501271002809E-3</v>
      </c>
      <c r="I467" s="16">
        <v>0.11689350381300842</v>
      </c>
      <c r="J467" s="56" t="s">
        <v>5602</v>
      </c>
      <c r="K467" s="56" t="s">
        <v>5607</v>
      </c>
      <c r="L467">
        <v>2</v>
      </c>
      <c r="M467" s="31">
        <f>ProductionOrdersByItem_Display[[#This Row],[ProductionHour]]/r_TotalProductionHour</f>
        <v>6.3151501859568977E-5</v>
      </c>
      <c r="N467" s="26">
        <f>ProductionOrdersByItem_Display[[#This Row],[RMQty]]-ProductionOrdersByItem_Display[[#This Row],[RMRequired]]</f>
        <v>60</v>
      </c>
    </row>
    <row r="468" spans="1:14" hidden="1" x14ac:dyDescent="0.2">
      <c r="A468" t="s">
        <v>16</v>
      </c>
      <c r="B468" t="s">
        <v>1003</v>
      </c>
      <c r="C468" t="s">
        <v>1004</v>
      </c>
      <c r="D468" t="s">
        <v>4775</v>
      </c>
      <c r="E468" t="s">
        <v>68</v>
      </c>
      <c r="F468" t="s">
        <v>50</v>
      </c>
      <c r="G468">
        <v>900</v>
      </c>
      <c r="H468" s="22">
        <v>1.6591267126012444E-3</v>
      </c>
      <c r="I468" s="16">
        <v>1.4932140413411199</v>
      </c>
      <c r="J468" s="56" t="s">
        <v>5662</v>
      </c>
      <c r="K468" s="56" t="s">
        <v>5600</v>
      </c>
      <c r="L468">
        <v>2</v>
      </c>
      <c r="M468" s="31">
        <f>ProductionOrdersByItem_Display[[#This Row],[ProductionHour]]/r_TotalProductionHour</f>
        <v>8.0670615759226012E-4</v>
      </c>
      <c r="N468" s="26">
        <f>ProductionOrdersByItem_Display[[#This Row],[RMQty]]-ProductionOrdersByItem_Display[[#This Row],[RMRequired]]</f>
        <v>62</v>
      </c>
    </row>
    <row r="469" spans="1:14" hidden="1" x14ac:dyDescent="0.2">
      <c r="A469" t="s">
        <v>16</v>
      </c>
      <c r="B469" t="s">
        <v>303</v>
      </c>
      <c r="C469" t="s">
        <v>441</v>
      </c>
      <c r="D469" t="s">
        <v>4782</v>
      </c>
      <c r="E469" t="s">
        <v>68</v>
      </c>
      <c r="F469" t="s">
        <v>50</v>
      </c>
      <c r="G469">
        <v>150</v>
      </c>
      <c r="H469" s="22">
        <v>2.7284045854936221E-3</v>
      </c>
      <c r="I469" s="16">
        <v>0.40926068782404335</v>
      </c>
      <c r="J469" s="56" t="s">
        <v>5694</v>
      </c>
      <c r="K469" s="56" t="s">
        <v>5607</v>
      </c>
      <c r="L469">
        <v>2</v>
      </c>
      <c r="M469" s="31">
        <f>ProductionOrdersByItem_Display[[#This Row],[ProductionHour]]/r_TotalProductionHour</f>
        <v>2.2110233883922947E-4</v>
      </c>
      <c r="N469" s="26">
        <f>ProductionOrdersByItem_Display[[#This Row],[RMQty]]-ProductionOrdersByItem_Display[[#This Row],[RMRequired]]</f>
        <v>86</v>
      </c>
    </row>
    <row r="470" spans="1:14" hidden="1" x14ac:dyDescent="0.2">
      <c r="A470" t="s">
        <v>16</v>
      </c>
      <c r="B470" t="s">
        <v>704</v>
      </c>
      <c r="C470" t="s">
        <v>4969</v>
      </c>
      <c r="D470" t="s">
        <v>4783</v>
      </c>
      <c r="E470" t="s">
        <v>68</v>
      </c>
      <c r="F470" t="s">
        <v>50</v>
      </c>
      <c r="G470">
        <v>1350</v>
      </c>
      <c r="H470" s="22">
        <v>8.8593670072616257E-4</v>
      </c>
      <c r="I470" s="16">
        <v>1.1960145459803195</v>
      </c>
      <c r="J470" s="56" t="s">
        <v>5738</v>
      </c>
      <c r="K470" s="56" t="s">
        <v>5600</v>
      </c>
      <c r="L470">
        <v>2</v>
      </c>
      <c r="M470" s="31">
        <f>ProductionOrdersByItem_Display[[#This Row],[ProductionHour]]/r_TotalProductionHour</f>
        <v>6.4614467323497544E-4</v>
      </c>
      <c r="N470" s="26">
        <f>ProductionOrdersByItem_Display[[#This Row],[RMQty]]-ProductionOrdersByItem_Display[[#This Row],[RMRequired]]</f>
        <v>63</v>
      </c>
    </row>
    <row r="471" spans="1:14" hidden="1" x14ac:dyDescent="0.2">
      <c r="A471" t="s">
        <v>16</v>
      </c>
      <c r="B471" t="s">
        <v>5719</v>
      </c>
      <c r="C471" t="s">
        <v>5720</v>
      </c>
      <c r="D471" t="s">
        <v>4782</v>
      </c>
      <c r="E471" t="s">
        <v>68</v>
      </c>
      <c r="F471" t="s">
        <v>50</v>
      </c>
      <c r="G471">
        <v>50</v>
      </c>
      <c r="H471" s="22">
        <v>2.9232804232804236E-3</v>
      </c>
      <c r="I471" s="16">
        <v>0.14616402116402119</v>
      </c>
      <c r="J471" s="56" t="s">
        <v>5809</v>
      </c>
      <c r="K471" s="56" t="s">
        <v>5600</v>
      </c>
      <c r="L471">
        <v>2</v>
      </c>
      <c r="M471" s="31">
        <f>ProductionOrdersByItem_Display[[#This Row],[ProductionHour]]/r_TotalProductionHour</f>
        <v>7.8964845378469659E-5</v>
      </c>
      <c r="N471" s="26">
        <f>ProductionOrdersByItem_Display[[#This Row],[RMQty]]-ProductionOrdersByItem_Display[[#This Row],[RMRequired]]</f>
        <v>47</v>
      </c>
    </row>
    <row r="472" spans="1:14" hidden="1" x14ac:dyDescent="0.2">
      <c r="A472" t="s">
        <v>16</v>
      </c>
      <c r="B472" t="s">
        <v>4443</v>
      </c>
      <c r="C472" t="s">
        <v>4444</v>
      </c>
      <c r="D472" t="s">
        <v>4777</v>
      </c>
      <c r="E472" t="s">
        <v>68</v>
      </c>
      <c r="F472" t="s">
        <v>50</v>
      </c>
      <c r="G472">
        <v>60</v>
      </c>
      <c r="H472" s="22">
        <v>2.5659327621420521E-3</v>
      </c>
      <c r="I472" s="16">
        <v>0.15395596572852313</v>
      </c>
      <c r="J472" s="56" t="s">
        <v>5738</v>
      </c>
      <c r="K472" s="56" t="s">
        <v>5607</v>
      </c>
      <c r="L472">
        <v>2</v>
      </c>
      <c r="M472" s="31">
        <f>ProductionOrdersByItem_Display[[#This Row],[ProductionHour]]/r_TotalProductionHour</f>
        <v>8.3174429192827369E-5</v>
      </c>
      <c r="N472" s="26">
        <f>ProductionOrdersByItem_Display[[#This Row],[RMQty]]-ProductionOrdersByItem_Display[[#This Row],[RMRequired]]</f>
        <v>53</v>
      </c>
    </row>
    <row r="473" spans="1:14" hidden="1" x14ac:dyDescent="0.2">
      <c r="A473" t="s">
        <v>16</v>
      </c>
      <c r="B473" t="s">
        <v>253</v>
      </c>
      <c r="C473" t="s">
        <v>254</v>
      </c>
      <c r="D473" t="s">
        <v>4777</v>
      </c>
      <c r="E473" t="s">
        <v>68</v>
      </c>
      <c r="F473" t="s">
        <v>50</v>
      </c>
      <c r="G473">
        <v>400</v>
      </c>
      <c r="H473" s="22">
        <v>1.6611395791034194E-3</v>
      </c>
      <c r="I473" s="16">
        <v>0.66445583164136779</v>
      </c>
      <c r="J473" s="56" t="s">
        <v>5609</v>
      </c>
      <c r="K473" s="56" t="s">
        <v>5600</v>
      </c>
      <c r="L473">
        <v>2</v>
      </c>
      <c r="M473" s="31">
        <f>ProductionOrdersByItem_Display[[#This Row],[ProductionHour]]/r_TotalProductionHour</f>
        <v>3.589710490210461E-4</v>
      </c>
      <c r="N473" s="26">
        <f>ProductionOrdersByItem_Display[[#This Row],[RMQty]]-ProductionOrdersByItem_Display[[#This Row],[RMRequired]]</f>
        <v>71</v>
      </c>
    </row>
    <row r="474" spans="1:14" hidden="1" x14ac:dyDescent="0.2">
      <c r="A474" t="s">
        <v>16</v>
      </c>
      <c r="B474" t="s">
        <v>4998</v>
      </c>
      <c r="C474" t="s">
        <v>4999</v>
      </c>
      <c r="D474" t="s">
        <v>4777</v>
      </c>
      <c r="E474" t="s">
        <v>68</v>
      </c>
      <c r="F474" t="s">
        <v>50</v>
      </c>
      <c r="G474">
        <v>160</v>
      </c>
      <c r="H474" s="22">
        <v>2.2788005227363127E-3</v>
      </c>
      <c r="I474" s="16">
        <v>0.36460808363781005</v>
      </c>
      <c r="J474" s="56" t="s">
        <v>5666</v>
      </c>
      <c r="K474" s="56" t="s">
        <v>5600</v>
      </c>
      <c r="L474">
        <v>2</v>
      </c>
      <c r="M474" s="31">
        <f>ProductionOrdersByItem_Display[[#This Row],[ProductionHour]]/r_TotalProductionHour</f>
        <v>1.9697885101211806E-4</v>
      </c>
      <c r="N474" s="26">
        <f>ProductionOrdersByItem_Display[[#This Row],[RMQty]]-ProductionOrdersByItem_Display[[#This Row],[RMRequired]]</f>
        <v>43</v>
      </c>
    </row>
    <row r="475" spans="1:14" hidden="1" x14ac:dyDescent="0.2">
      <c r="A475" t="s">
        <v>16</v>
      </c>
      <c r="B475" t="s">
        <v>386</v>
      </c>
      <c r="C475" t="s">
        <v>387</v>
      </c>
      <c r="D475" t="s">
        <v>4778</v>
      </c>
      <c r="E475" t="s">
        <v>68</v>
      </c>
      <c r="F475" t="s">
        <v>50</v>
      </c>
      <c r="G475">
        <v>1100</v>
      </c>
      <c r="H475" s="22">
        <v>1.5727977066955726E-3</v>
      </c>
      <c r="I475" s="16">
        <v>1.73007747736513</v>
      </c>
      <c r="J475" s="56" t="s">
        <v>5703</v>
      </c>
      <c r="K475" s="56" t="s">
        <v>5600</v>
      </c>
      <c r="L475">
        <v>2</v>
      </c>
      <c r="M475" s="31">
        <f>ProductionOrdersByItem_Display[[#This Row],[ProductionHour]]/r_TotalProductionHour</f>
        <v>9.3467119613249033E-4</v>
      </c>
      <c r="N475" s="26">
        <f>ProductionOrdersByItem_Display[[#This Row],[RMQty]]-ProductionOrdersByItem_Display[[#This Row],[RMRequired]]</f>
        <v>74</v>
      </c>
    </row>
    <row r="476" spans="1:14" hidden="1" x14ac:dyDescent="0.2">
      <c r="A476" t="s">
        <v>16</v>
      </c>
      <c r="B476" t="s">
        <v>723</v>
      </c>
      <c r="C476" t="s">
        <v>724</v>
      </c>
      <c r="D476" t="s">
        <v>4778</v>
      </c>
      <c r="E476" t="s">
        <v>68</v>
      </c>
      <c r="F476" t="s">
        <v>50</v>
      </c>
      <c r="G476">
        <v>1350</v>
      </c>
      <c r="H476" s="22">
        <v>1.2764077270859021E-3</v>
      </c>
      <c r="I476" s="16">
        <v>1.7231504315659678</v>
      </c>
      <c r="J476" s="56" t="s">
        <v>4805</v>
      </c>
      <c r="K476" s="56" t="s">
        <v>5600</v>
      </c>
      <c r="L476">
        <v>2</v>
      </c>
      <c r="M476" s="31">
        <f>ProductionOrdersByItem_Display[[#This Row],[ProductionHour]]/r_TotalProductionHour</f>
        <v>9.3092887229585613E-4</v>
      </c>
      <c r="N476" s="26">
        <f>ProductionOrdersByItem_Display[[#This Row],[RMQty]]-ProductionOrdersByItem_Display[[#This Row],[RMRequired]]</f>
        <v>59</v>
      </c>
    </row>
    <row r="477" spans="1:14" hidden="1" x14ac:dyDescent="0.2">
      <c r="A477" t="s">
        <v>16</v>
      </c>
      <c r="B477" t="s">
        <v>5090</v>
      </c>
      <c r="C477" t="s">
        <v>5091</v>
      </c>
      <c r="D477" t="s">
        <v>4782</v>
      </c>
      <c r="E477" t="s">
        <v>68</v>
      </c>
      <c r="F477" t="s">
        <v>50</v>
      </c>
      <c r="G477">
        <v>50</v>
      </c>
      <c r="H477" s="22">
        <v>3.7536206696790636E-3</v>
      </c>
      <c r="I477" s="16">
        <v>0.18768103348395318</v>
      </c>
      <c r="J477" s="56" t="s">
        <v>5679</v>
      </c>
      <c r="K477" s="56" t="s">
        <v>5607</v>
      </c>
      <c r="L477">
        <v>2</v>
      </c>
      <c r="M477" s="31">
        <f>ProductionOrdersByItem_Display[[#This Row],[ProductionHour]]/r_TotalProductionHour</f>
        <v>1.0139433542883258E-4</v>
      </c>
      <c r="N477" s="26">
        <f>ProductionOrdersByItem_Display[[#This Row],[RMQty]]-ProductionOrdersByItem_Display[[#This Row],[RMRequired]]</f>
        <v>70</v>
      </c>
    </row>
    <row r="478" spans="1:14" hidden="1" x14ac:dyDescent="0.2">
      <c r="A478" t="s">
        <v>16</v>
      </c>
      <c r="B478" t="s">
        <v>388</v>
      </c>
      <c r="C478" t="s">
        <v>389</v>
      </c>
      <c r="D478" t="s">
        <v>4778</v>
      </c>
      <c r="E478" t="s">
        <v>68</v>
      </c>
      <c r="F478" t="s">
        <v>50</v>
      </c>
      <c r="G478">
        <v>1100</v>
      </c>
      <c r="H478" s="22">
        <v>1.7704636171647814E-3</v>
      </c>
      <c r="I478" s="16">
        <v>1.9475099788812595</v>
      </c>
      <c r="J478" s="56" t="s">
        <v>5747</v>
      </c>
      <c r="K478" s="56" t="s">
        <v>5600</v>
      </c>
      <c r="L478">
        <v>2</v>
      </c>
      <c r="M478" s="31">
        <f>ProductionOrdersByItem_Display[[#This Row],[ProductionHour]]/r_TotalProductionHour</f>
        <v>1.0521387078069801E-3</v>
      </c>
      <c r="N478" s="26">
        <f>ProductionOrdersByItem_Display[[#This Row],[RMQty]]-ProductionOrdersByItem_Display[[#This Row],[RMRequired]]</f>
        <v>67</v>
      </c>
    </row>
    <row r="479" spans="1:14" hidden="1" x14ac:dyDescent="0.2">
      <c r="A479" t="s">
        <v>16</v>
      </c>
      <c r="B479" t="s">
        <v>463</v>
      </c>
      <c r="C479" t="s">
        <v>464</v>
      </c>
      <c r="D479" t="s">
        <v>4779</v>
      </c>
      <c r="E479" t="s">
        <v>68</v>
      </c>
      <c r="F479" t="s">
        <v>50</v>
      </c>
      <c r="G479">
        <v>800</v>
      </c>
      <c r="H479" s="22">
        <v>1.0726796686833869E-3</v>
      </c>
      <c r="I479" s="16">
        <v>0.85814373494670948</v>
      </c>
      <c r="J479" s="56" t="s">
        <v>5609</v>
      </c>
      <c r="K479" s="56" t="s">
        <v>5600</v>
      </c>
      <c r="L479">
        <v>2</v>
      </c>
      <c r="M479" s="31">
        <f>ProductionOrdersByItem_Display[[#This Row],[ProductionHour]]/r_TotalProductionHour</f>
        <v>4.6361058489576858E-4</v>
      </c>
      <c r="N479" s="26">
        <f>ProductionOrdersByItem_Display[[#This Row],[RMQty]]-ProductionOrdersByItem_Display[[#This Row],[RMRequired]]</f>
        <v>71</v>
      </c>
    </row>
    <row r="480" spans="1:14" hidden="1" x14ac:dyDescent="0.2">
      <c r="A480" t="s">
        <v>16</v>
      </c>
      <c r="B480" t="s">
        <v>271</v>
      </c>
      <c r="C480" t="s">
        <v>4801</v>
      </c>
      <c r="D480" t="s">
        <v>4777</v>
      </c>
      <c r="E480" t="s">
        <v>68</v>
      </c>
      <c r="F480" t="s">
        <v>50</v>
      </c>
      <c r="G480">
        <v>2640</v>
      </c>
      <c r="H480" s="22">
        <v>1.2664469065071476E-3</v>
      </c>
      <c r="I480" s="16">
        <v>3.3434198331788698</v>
      </c>
      <c r="J480" s="56" t="s">
        <v>5609</v>
      </c>
      <c r="K480" s="56" t="s">
        <v>5600</v>
      </c>
      <c r="L480">
        <v>2</v>
      </c>
      <c r="M480" s="31">
        <f>ProductionOrdersByItem_Display[[#This Row],[ProductionHour]]/r_TotalProductionHour</f>
        <v>1.8062764561328718E-3</v>
      </c>
      <c r="N480" s="26">
        <f>ProductionOrdersByItem_Display[[#This Row],[RMQty]]-ProductionOrdersByItem_Display[[#This Row],[RMRequired]]</f>
        <v>71</v>
      </c>
    </row>
    <row r="481" spans="1:14" hidden="1" x14ac:dyDescent="0.2">
      <c r="A481" t="s">
        <v>16</v>
      </c>
      <c r="B481" t="s">
        <v>976</v>
      </c>
      <c r="C481" t="s">
        <v>4904</v>
      </c>
      <c r="D481" t="s">
        <v>4779</v>
      </c>
      <c r="E481" t="s">
        <v>68</v>
      </c>
      <c r="F481" t="s">
        <v>50</v>
      </c>
      <c r="G481">
        <v>400</v>
      </c>
      <c r="H481" s="22">
        <v>1.5821453985217463E-3</v>
      </c>
      <c r="I481" s="16">
        <v>0.6328581594086985</v>
      </c>
      <c r="J481" s="56" t="s">
        <v>5836</v>
      </c>
      <c r="K481" s="56" t="s">
        <v>5600</v>
      </c>
      <c r="L481">
        <v>2</v>
      </c>
      <c r="M481" s="31">
        <f>ProductionOrdersByItem_Display[[#This Row],[ProductionHour]]/r_TotalProductionHour</f>
        <v>3.4190046432926098E-4</v>
      </c>
      <c r="N481" s="26">
        <f>ProductionOrdersByItem_Display[[#This Row],[RMQty]]-ProductionOrdersByItem_Display[[#This Row],[RMRequired]]</f>
        <v>75</v>
      </c>
    </row>
    <row r="482" spans="1:14" hidden="1" x14ac:dyDescent="0.2">
      <c r="A482" t="s">
        <v>16</v>
      </c>
      <c r="B482" t="s">
        <v>5020</v>
      </c>
      <c r="C482" t="s">
        <v>5021</v>
      </c>
      <c r="D482" t="s">
        <v>4782</v>
      </c>
      <c r="E482" t="s">
        <v>68</v>
      </c>
      <c r="F482" t="s">
        <v>50</v>
      </c>
      <c r="G482">
        <v>60</v>
      </c>
      <c r="H482" s="22">
        <v>2.4732210133732307E-3</v>
      </c>
      <c r="I482" s="16">
        <v>0.14839326080239384</v>
      </c>
      <c r="J482" s="56" t="s">
        <v>5218</v>
      </c>
      <c r="K482" s="56" t="s">
        <v>5607</v>
      </c>
      <c r="L482">
        <v>2</v>
      </c>
      <c r="M482" s="31">
        <f>ProductionOrdersByItem_Display[[#This Row],[ProductionHour]]/r_TotalProductionHour</f>
        <v>8.0169188020070309E-5</v>
      </c>
      <c r="N482" s="26">
        <f>ProductionOrdersByItem_Display[[#This Row],[RMQty]]-ProductionOrdersByItem_Display[[#This Row],[RMRequired]]</f>
        <v>58</v>
      </c>
    </row>
    <row r="483" spans="1:14" hidden="1" x14ac:dyDescent="0.2">
      <c r="A483" t="s">
        <v>16</v>
      </c>
      <c r="B483" t="s">
        <v>523</v>
      </c>
      <c r="C483" t="s">
        <v>974</v>
      </c>
      <c r="D483" t="s">
        <v>4779</v>
      </c>
      <c r="E483" t="s">
        <v>68</v>
      </c>
      <c r="F483" t="s">
        <v>50</v>
      </c>
      <c r="G483">
        <v>400</v>
      </c>
      <c r="H483" s="22">
        <v>1.4192868527749241E-3</v>
      </c>
      <c r="I483" s="16">
        <v>0.56771474110996967</v>
      </c>
      <c r="J483" s="56" t="s">
        <v>5855</v>
      </c>
      <c r="K483" s="56" t="s">
        <v>5600</v>
      </c>
      <c r="L483">
        <v>2</v>
      </c>
      <c r="M483" s="31">
        <f>ProductionOrdersByItem_Display[[#This Row],[ProductionHour]]/r_TotalProductionHour</f>
        <v>3.0670685161651555E-4</v>
      </c>
      <c r="N483" s="26">
        <f>ProductionOrdersByItem_Display[[#This Row],[RMQty]]-ProductionOrdersByItem_Display[[#This Row],[RMRequired]]</f>
        <v>41</v>
      </c>
    </row>
    <row r="484" spans="1:14" hidden="1" x14ac:dyDescent="0.2">
      <c r="A484" t="s">
        <v>16</v>
      </c>
      <c r="B484" t="s">
        <v>4515</v>
      </c>
      <c r="C484" t="s">
        <v>4516</v>
      </c>
      <c r="D484" t="s">
        <v>4777</v>
      </c>
      <c r="E484" t="s">
        <v>68</v>
      </c>
      <c r="F484" t="s">
        <v>50</v>
      </c>
      <c r="G484">
        <v>1350</v>
      </c>
      <c r="H484" s="22">
        <v>1.8178451985070853E-3</v>
      </c>
      <c r="I484" s="16">
        <v>2.4540910179845654</v>
      </c>
      <c r="J484" s="56" t="s">
        <v>5736</v>
      </c>
      <c r="K484" s="56" t="s">
        <v>5600</v>
      </c>
      <c r="L484">
        <v>2</v>
      </c>
      <c r="M484" s="31">
        <f>ProductionOrdersByItem_Display[[#This Row],[ProductionHour]]/r_TotalProductionHour</f>
        <v>1.3258181886114102E-3</v>
      </c>
      <c r="N484" s="26">
        <f>ProductionOrdersByItem_Display[[#This Row],[RMQty]]-ProductionOrdersByItem_Display[[#This Row],[RMRequired]]</f>
        <v>40</v>
      </c>
    </row>
    <row r="485" spans="1:14" hidden="1" x14ac:dyDescent="0.2">
      <c r="A485" t="s">
        <v>16</v>
      </c>
      <c r="B485" t="s">
        <v>5054</v>
      </c>
      <c r="C485" t="s">
        <v>5055</v>
      </c>
      <c r="D485" t="s">
        <v>4782</v>
      </c>
      <c r="E485" t="s">
        <v>68</v>
      </c>
      <c r="F485" t="s">
        <v>50</v>
      </c>
      <c r="G485">
        <v>50</v>
      </c>
      <c r="H485" s="22">
        <v>2.6424029846824834E-3</v>
      </c>
      <c r="I485" s="16">
        <v>0.13212014923412418</v>
      </c>
      <c r="J485" s="56" t="s">
        <v>5664</v>
      </c>
      <c r="K485" s="56" t="s">
        <v>5607</v>
      </c>
      <c r="L485">
        <v>2</v>
      </c>
      <c r="M485" s="31">
        <f>ProductionOrdersByItem_Display[[#This Row],[ProductionHour]]/r_TotalProductionHour</f>
        <v>7.1377669227815652E-5</v>
      </c>
      <c r="N485" s="26">
        <f>ProductionOrdersByItem_Display[[#This Row],[RMQty]]-ProductionOrdersByItem_Display[[#This Row],[RMRequired]]</f>
        <v>56</v>
      </c>
    </row>
    <row r="486" spans="1:14" hidden="1" x14ac:dyDescent="0.2">
      <c r="A486" t="s">
        <v>16</v>
      </c>
      <c r="B486" t="s">
        <v>963</v>
      </c>
      <c r="C486" t="s">
        <v>964</v>
      </c>
      <c r="D486" t="s">
        <v>4777</v>
      </c>
      <c r="E486" t="s">
        <v>68</v>
      </c>
      <c r="F486" t="s">
        <v>50</v>
      </c>
      <c r="G486">
        <v>2200</v>
      </c>
      <c r="H486" s="22">
        <v>1.6716679255647875E-3</v>
      </c>
      <c r="I486" s="16">
        <v>3.6776694362425326</v>
      </c>
      <c r="J486" s="56" t="s">
        <v>5913</v>
      </c>
      <c r="K486" s="56" t="s">
        <v>5600</v>
      </c>
      <c r="L486">
        <v>2</v>
      </c>
      <c r="M486" s="31">
        <f>ProductionOrdersByItem_Display[[#This Row],[ProductionHour]]/r_TotalProductionHour</f>
        <v>1.9868541934826016E-3</v>
      </c>
      <c r="N486" s="26">
        <f>ProductionOrdersByItem_Display[[#This Row],[RMQty]]-ProductionOrdersByItem_Display[[#This Row],[RMRequired]]</f>
        <v>54</v>
      </c>
    </row>
    <row r="487" spans="1:14" hidden="1" x14ac:dyDescent="0.2">
      <c r="A487" t="s">
        <v>16</v>
      </c>
      <c r="B487" t="s">
        <v>5014</v>
      </c>
      <c r="C487" t="s">
        <v>5015</v>
      </c>
      <c r="D487" t="s">
        <v>4782</v>
      </c>
      <c r="E487" t="s">
        <v>68</v>
      </c>
      <c r="F487" t="s">
        <v>50</v>
      </c>
      <c r="G487">
        <v>60</v>
      </c>
      <c r="H487" s="22">
        <v>2.4732210133732307E-3</v>
      </c>
      <c r="I487" s="16">
        <v>0.14839326080239384</v>
      </c>
      <c r="J487" s="56" t="s">
        <v>5704</v>
      </c>
      <c r="K487" s="56" t="s">
        <v>5607</v>
      </c>
      <c r="L487">
        <v>1</v>
      </c>
      <c r="M487" s="31">
        <f>ProductionOrdersByItem_Display[[#This Row],[ProductionHour]]/r_TotalProductionHour</f>
        <v>8.0169188020070309E-5</v>
      </c>
      <c r="N487" s="26">
        <f>ProductionOrdersByItem_Display[[#This Row],[RMQty]]-ProductionOrdersByItem_Display[[#This Row],[RMRequired]]</f>
        <v>35</v>
      </c>
    </row>
    <row r="488" spans="1:14" hidden="1" x14ac:dyDescent="0.2">
      <c r="A488" t="s">
        <v>16</v>
      </c>
      <c r="B488" t="s">
        <v>4619</v>
      </c>
      <c r="C488" t="s">
        <v>4620</v>
      </c>
      <c r="D488" t="s">
        <v>4782</v>
      </c>
      <c r="E488" t="s">
        <v>68</v>
      </c>
      <c r="F488" t="s">
        <v>50</v>
      </c>
      <c r="G488">
        <v>50</v>
      </c>
      <c r="H488" s="22">
        <v>4.2376510618326877E-3</v>
      </c>
      <c r="I488" s="16">
        <v>0.2118825530916344</v>
      </c>
      <c r="J488" s="56" t="s">
        <v>4805</v>
      </c>
      <c r="K488" s="56" t="s">
        <v>5607</v>
      </c>
      <c r="L488">
        <v>1</v>
      </c>
      <c r="M488" s="31">
        <f>ProductionOrdersByItem_Display[[#This Row],[ProductionHour]]/r_TotalProductionHour</f>
        <v>1.1446916217843329E-4</v>
      </c>
      <c r="N488" s="26">
        <f>ProductionOrdersByItem_Display[[#This Row],[RMQty]]-ProductionOrdersByItem_Display[[#This Row],[RMRequired]]</f>
        <v>49</v>
      </c>
    </row>
    <row r="489" spans="1:14" hidden="1" x14ac:dyDescent="0.2">
      <c r="A489" t="s">
        <v>16</v>
      </c>
      <c r="B489" t="s">
        <v>4517</v>
      </c>
      <c r="C489" t="s">
        <v>4518</v>
      </c>
      <c r="D489" t="s">
        <v>4778</v>
      </c>
      <c r="E489" t="s">
        <v>68</v>
      </c>
      <c r="F489" t="s">
        <v>50</v>
      </c>
      <c r="G489">
        <v>1350</v>
      </c>
      <c r="H489" s="22">
        <v>1.2769784172661871E-3</v>
      </c>
      <c r="I489" s="16">
        <v>1.7239208633093526</v>
      </c>
      <c r="J489" s="56" t="s">
        <v>5926</v>
      </c>
      <c r="K489" s="56" t="s">
        <v>5600</v>
      </c>
      <c r="L489">
        <v>1</v>
      </c>
      <c r="M489" s="31">
        <f>ProductionOrdersByItem_Display[[#This Row],[ProductionHour]]/r_TotalProductionHour</f>
        <v>9.3134509663756859E-4</v>
      </c>
      <c r="N489" s="26">
        <f>ProductionOrdersByItem_Display[[#This Row],[RMQty]]-ProductionOrdersByItem_Display[[#This Row],[RMRequired]]</f>
        <v>37</v>
      </c>
    </row>
    <row r="490" spans="1:14" hidden="1" x14ac:dyDescent="0.2">
      <c r="A490" t="s">
        <v>16</v>
      </c>
      <c r="B490" t="s">
        <v>238</v>
      </c>
      <c r="C490" t="s">
        <v>239</v>
      </c>
      <c r="D490" t="s">
        <v>4777</v>
      </c>
      <c r="E490" t="s">
        <v>68</v>
      </c>
      <c r="F490" t="s">
        <v>50</v>
      </c>
      <c r="G490">
        <v>1300</v>
      </c>
      <c r="H490" s="22">
        <v>1.9676080653001022E-3</v>
      </c>
      <c r="I490" s="16">
        <v>2.5578904848901329</v>
      </c>
      <c r="J490" s="56" t="s">
        <v>5927</v>
      </c>
      <c r="K490" s="56" t="s">
        <v>5600</v>
      </c>
      <c r="L490">
        <v>1</v>
      </c>
      <c r="M490" s="31">
        <f>ProductionOrdersByItem_Display[[#This Row],[ProductionHour]]/r_TotalProductionHour</f>
        <v>1.3818956609557692E-3</v>
      </c>
      <c r="N490" s="26">
        <f>ProductionOrdersByItem_Display[[#This Row],[RMQty]]-ProductionOrdersByItem_Display[[#This Row],[RMRequired]]</f>
        <v>30</v>
      </c>
    </row>
    <row r="491" spans="1:14" hidden="1" x14ac:dyDescent="0.2">
      <c r="A491" t="s">
        <v>16</v>
      </c>
      <c r="B491" t="s">
        <v>451</v>
      </c>
      <c r="C491" t="s">
        <v>452</v>
      </c>
      <c r="D491" t="s">
        <v>4777</v>
      </c>
      <c r="E491" t="s">
        <v>68</v>
      </c>
      <c r="F491" t="s">
        <v>50</v>
      </c>
      <c r="G491">
        <v>60</v>
      </c>
      <c r="H491" s="22">
        <v>2.5659327621420521E-3</v>
      </c>
      <c r="I491" s="16">
        <v>0.15395596572852313</v>
      </c>
      <c r="J491" s="56" t="s">
        <v>6035</v>
      </c>
      <c r="K491" s="56" t="s">
        <v>5607</v>
      </c>
      <c r="L491">
        <v>1</v>
      </c>
      <c r="M491" s="31">
        <f>ProductionOrdersByItem_Display[[#This Row],[ProductionHour]]/r_TotalProductionHour</f>
        <v>8.3174429192827369E-5</v>
      </c>
      <c r="N491" s="26">
        <f>ProductionOrdersByItem_Display[[#This Row],[RMQty]]-ProductionOrdersByItem_Display[[#This Row],[RMRequired]]</f>
        <v>34</v>
      </c>
    </row>
    <row r="492" spans="1:14" hidden="1" x14ac:dyDescent="0.2">
      <c r="A492" t="s">
        <v>16</v>
      </c>
      <c r="B492" t="s">
        <v>5172</v>
      </c>
      <c r="C492" t="s">
        <v>5173</v>
      </c>
      <c r="D492" t="s">
        <v>4796</v>
      </c>
      <c r="E492" t="s">
        <v>68</v>
      </c>
      <c r="F492" t="s">
        <v>50</v>
      </c>
      <c r="G492">
        <v>50</v>
      </c>
      <c r="H492" s="22">
        <v>2.2898502123854239E-3</v>
      </c>
      <c r="I492" s="16">
        <v>0.1144925106192712</v>
      </c>
      <c r="J492" s="56" t="s">
        <v>5737</v>
      </c>
      <c r="K492" s="56" t="s">
        <v>5607</v>
      </c>
      <c r="L492">
        <v>1</v>
      </c>
      <c r="M492" s="31">
        <f>ProductionOrdersByItem_Display[[#This Row],[ProductionHour]]/r_TotalProductionHour</f>
        <v>6.1854369673492482E-5</v>
      </c>
      <c r="N492" s="26">
        <f>ProductionOrdersByItem_Display[[#This Row],[RMQty]]-ProductionOrdersByItem_Display[[#This Row],[RMRequired]]</f>
        <v>48</v>
      </c>
    </row>
    <row r="493" spans="1:14" hidden="1" x14ac:dyDescent="0.2">
      <c r="A493" t="s">
        <v>16</v>
      </c>
      <c r="B493" t="s">
        <v>767</v>
      </c>
      <c r="C493" t="s">
        <v>5511</v>
      </c>
      <c r="D493" t="s">
        <v>4792</v>
      </c>
      <c r="E493" t="s">
        <v>68</v>
      </c>
      <c r="F493" t="s">
        <v>50</v>
      </c>
      <c r="G493">
        <v>900</v>
      </c>
      <c r="H493" s="22">
        <v>1.2605207229792882E-3</v>
      </c>
      <c r="I493" s="16">
        <v>1.1344686506813593</v>
      </c>
      <c r="J493" s="56" t="s">
        <v>6036</v>
      </c>
      <c r="K493" s="56" t="s">
        <v>5600</v>
      </c>
      <c r="L493">
        <v>1</v>
      </c>
      <c r="M493" s="31">
        <f>ProductionOrdersByItem_Display[[#This Row],[ProductionHour]]/r_TotalProductionHour</f>
        <v>6.1289461574984261E-4</v>
      </c>
      <c r="N493" s="26">
        <f>ProductionOrdersByItem_Display[[#This Row],[RMQty]]-ProductionOrdersByItem_Display[[#This Row],[RMRequired]]</f>
        <v>29</v>
      </c>
    </row>
    <row r="494" spans="1:14" hidden="1" x14ac:dyDescent="0.2">
      <c r="A494" t="s">
        <v>16</v>
      </c>
      <c r="B494" t="s">
        <v>5170</v>
      </c>
      <c r="C494" t="s">
        <v>5171</v>
      </c>
      <c r="D494" t="s">
        <v>4796</v>
      </c>
      <c r="E494" t="s">
        <v>68</v>
      </c>
      <c r="F494" t="s">
        <v>50</v>
      </c>
      <c r="G494">
        <v>50</v>
      </c>
      <c r="H494" s="22">
        <v>2.2898502123854239E-3</v>
      </c>
      <c r="I494" s="16">
        <v>0.1144925106192712</v>
      </c>
      <c r="J494" s="56" t="s">
        <v>5809</v>
      </c>
      <c r="K494" s="56" t="s">
        <v>5607</v>
      </c>
      <c r="L494">
        <v>1</v>
      </c>
      <c r="M494" s="31">
        <f>ProductionOrdersByItem_Display[[#This Row],[ProductionHour]]/r_TotalProductionHour</f>
        <v>6.1854369673492482E-5</v>
      </c>
      <c r="N494" s="26">
        <f>ProductionOrdersByItem_Display[[#This Row],[RMQty]]-ProductionOrdersByItem_Display[[#This Row],[RMRequired]]</f>
        <v>37</v>
      </c>
    </row>
    <row r="495" spans="1:14" hidden="1" x14ac:dyDescent="0.2">
      <c r="A495" t="s">
        <v>16</v>
      </c>
      <c r="B495" t="s">
        <v>772</v>
      </c>
      <c r="C495" t="s">
        <v>4933</v>
      </c>
      <c r="D495" t="s">
        <v>4778</v>
      </c>
      <c r="E495" t="s">
        <v>68</v>
      </c>
      <c r="F495" t="s">
        <v>773</v>
      </c>
      <c r="G495">
        <v>540</v>
      </c>
      <c r="H495" s="22">
        <v>1.0263599201703051E-3</v>
      </c>
      <c r="I495" s="16">
        <v>0.55423435689196476</v>
      </c>
      <c r="J495" s="56" t="s">
        <v>5748</v>
      </c>
      <c r="K495" s="56" t="s">
        <v>5600</v>
      </c>
      <c r="L495">
        <v>15</v>
      </c>
      <c r="M495" s="31">
        <f>ProductionOrdersByItem_Display[[#This Row],[ProductionHour]]/r_TotalProductionHour</f>
        <v>2.994240986726663E-4</v>
      </c>
      <c r="N495" s="26">
        <f>ProductionOrdersByItem_Display[[#This Row],[RMQty]]-ProductionOrdersByItem_Display[[#This Row],[RMRequired]]</f>
        <v>577</v>
      </c>
    </row>
    <row r="496" spans="1:14" hidden="1" x14ac:dyDescent="0.2">
      <c r="A496" t="s">
        <v>16</v>
      </c>
      <c r="B496" t="s">
        <v>774</v>
      </c>
      <c r="C496" t="s">
        <v>4798</v>
      </c>
      <c r="D496" t="s">
        <v>4777</v>
      </c>
      <c r="E496" t="s">
        <v>68</v>
      </c>
      <c r="F496" t="s">
        <v>773</v>
      </c>
      <c r="G496">
        <v>29200</v>
      </c>
      <c r="H496" s="22">
        <v>7.1611165296549153E-4</v>
      </c>
      <c r="I496" s="16">
        <v>20.910460266592352</v>
      </c>
      <c r="J496" s="56" t="s">
        <v>5655</v>
      </c>
      <c r="K496" s="56" t="s">
        <v>5600</v>
      </c>
      <c r="L496">
        <v>6</v>
      </c>
      <c r="M496" s="31">
        <f>ProductionOrdersByItem_Display[[#This Row],[ProductionHour]]/r_TotalProductionHour</f>
        <v>1.1296837953651929E-2</v>
      </c>
      <c r="N496" s="26">
        <f>ProductionOrdersByItem_Display[[#This Row],[RMQty]]-ProductionOrdersByItem_Display[[#This Row],[RMRequired]]</f>
        <v>200</v>
      </c>
    </row>
    <row r="497" spans="1:14" hidden="1" x14ac:dyDescent="0.2">
      <c r="A497" t="s">
        <v>16</v>
      </c>
      <c r="B497" t="s">
        <v>3762</v>
      </c>
      <c r="C497" t="s">
        <v>3763</v>
      </c>
      <c r="D497" t="s">
        <v>5697</v>
      </c>
      <c r="E497" t="s">
        <v>68</v>
      </c>
      <c r="F497" t="s">
        <v>5654</v>
      </c>
      <c r="G497">
        <v>200</v>
      </c>
      <c r="H497" s="22">
        <v>1.6350938332059227E-3</v>
      </c>
      <c r="I497" s="16">
        <v>0.32701876664118451</v>
      </c>
      <c r="J497" s="56" t="s">
        <v>5785</v>
      </c>
      <c r="K497" s="56" t="s">
        <v>5600</v>
      </c>
      <c r="L497">
        <v>3</v>
      </c>
      <c r="M497" s="31">
        <f>ProductionOrdersByItem_Display[[#This Row],[ProductionHour]]/r_TotalProductionHour</f>
        <v>1.7667129118390326E-4</v>
      </c>
      <c r="N497" s="26">
        <f>ProductionOrdersByItem_Display[[#This Row],[RMQty]]-ProductionOrdersByItem_Display[[#This Row],[RMRequired]]</f>
        <v>89</v>
      </c>
    </row>
    <row r="498" spans="1:14" hidden="1" x14ac:dyDescent="0.2">
      <c r="A498" t="s">
        <v>16</v>
      </c>
      <c r="B498" t="s">
        <v>3966</v>
      </c>
      <c r="C498" t="s">
        <v>3967</v>
      </c>
      <c r="D498" t="s">
        <v>4792</v>
      </c>
      <c r="E498" t="s">
        <v>68</v>
      </c>
      <c r="F498" t="s">
        <v>5654</v>
      </c>
      <c r="G498">
        <v>200</v>
      </c>
      <c r="H498" s="22">
        <v>1.47300008031364E-3</v>
      </c>
      <c r="I498" s="16">
        <v>0.29460001606272801</v>
      </c>
      <c r="J498" s="56" t="s">
        <v>5603</v>
      </c>
      <c r="K498" s="56" t="s">
        <v>5600</v>
      </c>
      <c r="L498">
        <v>3</v>
      </c>
      <c r="M498" s="31">
        <f>ProductionOrdersByItem_Display[[#This Row],[ProductionHour]]/r_TotalProductionHour</f>
        <v>1.5915712041599385E-4</v>
      </c>
      <c r="N498" s="26">
        <f>ProductionOrdersByItem_Display[[#This Row],[RMQty]]-ProductionOrdersByItem_Display[[#This Row],[RMRequired]]</f>
        <v>91</v>
      </c>
    </row>
    <row r="499" spans="1:14" hidden="1" x14ac:dyDescent="0.2">
      <c r="A499" t="s">
        <v>16</v>
      </c>
      <c r="B499" t="s">
        <v>775</v>
      </c>
      <c r="C499" t="s">
        <v>776</v>
      </c>
      <c r="D499" t="s">
        <v>4796</v>
      </c>
      <c r="E499" t="s">
        <v>68</v>
      </c>
      <c r="F499" t="s">
        <v>5654</v>
      </c>
      <c r="G499">
        <v>300</v>
      </c>
      <c r="H499" s="22">
        <v>1.82438657516217E-3</v>
      </c>
      <c r="I499" s="16">
        <v>0.54731597254865094</v>
      </c>
      <c r="J499" s="56" t="s">
        <v>6037</v>
      </c>
      <c r="K499" s="56" t="s">
        <v>5600</v>
      </c>
      <c r="L499">
        <v>1</v>
      </c>
      <c r="M499" s="31">
        <f>ProductionOrdersByItem_Display[[#This Row],[ProductionHour]]/r_TotalProductionHour</f>
        <v>2.956864541717289E-4</v>
      </c>
      <c r="N499" s="26">
        <f>ProductionOrdersByItem_Display[[#This Row],[RMQty]]-ProductionOrdersByItem_Display[[#This Row],[RMRequired]]</f>
        <v>3</v>
      </c>
    </row>
    <row r="500" spans="1:14" x14ac:dyDescent="0.2">
      <c r="H500" s="22"/>
      <c r="I500" s="16"/>
      <c r="J500" s="56"/>
      <c r="K500" s="56"/>
      <c r="M500" s="31"/>
      <c r="N500" s="26"/>
    </row>
    <row r="501" spans="1:14" x14ac:dyDescent="0.2">
      <c r="H501" s="22"/>
      <c r="I501" s="16"/>
      <c r="J501" s="56"/>
      <c r="K501" s="56"/>
      <c r="M501" s="31"/>
      <c r="N501" s="26"/>
    </row>
    <row r="502" spans="1:14" x14ac:dyDescent="0.2">
      <c r="H502" s="22"/>
      <c r="I502" s="16"/>
      <c r="J502" s="56"/>
      <c r="K502" s="56"/>
      <c r="M502" s="31"/>
      <c r="N502" s="26"/>
    </row>
    <row r="503" spans="1:14" x14ac:dyDescent="0.2">
      <c r="H503" s="22"/>
      <c r="I503" s="16"/>
      <c r="J503" s="56"/>
      <c r="K503" s="56"/>
      <c r="M503" s="31"/>
      <c r="N503" s="26"/>
    </row>
    <row r="504" spans="1:14" x14ac:dyDescent="0.2">
      <c r="H504" s="22"/>
      <c r="I504" s="16"/>
      <c r="J504" s="56"/>
      <c r="K504" s="56"/>
      <c r="M504" s="31"/>
      <c r="N504" s="26"/>
    </row>
    <row r="505" spans="1:14" x14ac:dyDescent="0.2">
      <c r="H505" s="22"/>
      <c r="I505" s="16"/>
      <c r="J505" s="56"/>
      <c r="K505" s="56"/>
      <c r="M505" s="31"/>
      <c r="N505" s="26"/>
    </row>
    <row r="506" spans="1:14" x14ac:dyDescent="0.2">
      <c r="H506" s="22"/>
      <c r="I506" s="16"/>
      <c r="J506" s="56"/>
      <c r="K506" s="56"/>
      <c r="M506" s="31"/>
      <c r="N506" s="26"/>
    </row>
    <row r="507" spans="1:14" x14ac:dyDescent="0.2">
      <c r="H507" s="22"/>
      <c r="I507" s="16"/>
      <c r="J507" s="56"/>
      <c r="K507" s="56"/>
      <c r="M507" s="31"/>
      <c r="N507" s="26"/>
    </row>
    <row r="508" spans="1:14" x14ac:dyDescent="0.2">
      <c r="H508" s="22"/>
      <c r="I508" s="16"/>
      <c r="J508" s="56"/>
      <c r="K508" s="56"/>
      <c r="M508" s="31"/>
      <c r="N508" s="26"/>
    </row>
    <row r="509" spans="1:14" x14ac:dyDescent="0.2">
      <c r="H509" s="22"/>
      <c r="I509" s="16"/>
      <c r="J509" s="56"/>
      <c r="K509" s="56"/>
      <c r="M509" s="31"/>
      <c r="N509" s="26"/>
    </row>
    <row r="510" spans="1:14" x14ac:dyDescent="0.2">
      <c r="H510" s="22"/>
      <c r="I510" s="16"/>
      <c r="J510" s="56"/>
      <c r="K510" s="56"/>
      <c r="M510" s="31"/>
      <c r="N510" s="26"/>
    </row>
    <row r="511" spans="1:14" x14ac:dyDescent="0.2">
      <c r="H511" s="22"/>
      <c r="I511" s="16"/>
      <c r="J511" s="56"/>
      <c r="K511" s="56"/>
      <c r="M511" s="31"/>
      <c r="N511" s="26"/>
    </row>
    <row r="512" spans="1:14" x14ac:dyDescent="0.2">
      <c r="H512" s="22"/>
      <c r="I512" s="16"/>
      <c r="J512" s="56"/>
      <c r="K512" s="56"/>
      <c r="M512" s="31"/>
      <c r="N512" s="26"/>
    </row>
    <row r="513" spans="8:14" x14ac:dyDescent="0.2">
      <c r="H513" s="22"/>
      <c r="I513" s="16"/>
      <c r="J513" s="56"/>
      <c r="K513" s="56"/>
      <c r="M513" s="31"/>
      <c r="N513" s="26"/>
    </row>
    <row r="514" spans="8:14" x14ac:dyDescent="0.2">
      <c r="H514" s="22"/>
      <c r="I514" s="16"/>
      <c r="J514" s="56"/>
      <c r="K514" s="56"/>
      <c r="M514" s="31"/>
      <c r="N514" s="26"/>
    </row>
    <row r="515" spans="8:14" x14ac:dyDescent="0.2">
      <c r="H515" s="22"/>
      <c r="I515" s="16"/>
      <c r="J515" s="56"/>
      <c r="K515" s="56"/>
      <c r="M515" s="31"/>
      <c r="N515" s="26"/>
    </row>
    <row r="516" spans="8:14" x14ac:dyDescent="0.2">
      <c r="H516" s="22"/>
      <c r="I516" s="16"/>
      <c r="J516" s="56"/>
      <c r="K516" s="56"/>
      <c r="M516" s="31"/>
      <c r="N516" s="26"/>
    </row>
    <row r="517" spans="8:14" x14ac:dyDescent="0.2">
      <c r="H517" s="22"/>
      <c r="I517" s="16"/>
      <c r="J517" s="56"/>
      <c r="K517" s="56"/>
      <c r="M517" s="31"/>
      <c r="N517" s="26"/>
    </row>
    <row r="518" spans="8:14" x14ac:dyDescent="0.2">
      <c r="H518" s="22"/>
      <c r="I518" s="16"/>
      <c r="J518" s="56"/>
      <c r="K518" s="56"/>
      <c r="M518" s="31"/>
      <c r="N518" s="26"/>
    </row>
    <row r="519" spans="8:14" x14ac:dyDescent="0.2">
      <c r="H519" s="22"/>
      <c r="I519" s="16"/>
      <c r="J519" s="56"/>
      <c r="K519" s="56"/>
      <c r="M519" s="31"/>
      <c r="N519" s="26"/>
    </row>
    <row r="520" spans="8:14" x14ac:dyDescent="0.2">
      <c r="H520" s="22"/>
      <c r="I520" s="16"/>
      <c r="J520" s="56"/>
      <c r="K520" s="56"/>
      <c r="M520" s="31"/>
      <c r="N520" s="26"/>
    </row>
    <row r="521" spans="8:14" x14ac:dyDescent="0.2">
      <c r="H521" s="22"/>
      <c r="I521" s="16"/>
      <c r="J521" s="56"/>
      <c r="K521" s="56"/>
      <c r="M521" s="31"/>
      <c r="N521" s="26"/>
    </row>
    <row r="522" spans="8:14" x14ac:dyDescent="0.2">
      <c r="H522" s="22"/>
      <c r="I522" s="16"/>
      <c r="J522" s="56"/>
      <c r="K522" s="56"/>
      <c r="M522" s="31"/>
      <c r="N522" s="26"/>
    </row>
    <row r="523" spans="8:14" x14ac:dyDescent="0.2">
      <c r="H523" s="22"/>
      <c r="I523" s="16"/>
      <c r="J523" s="56"/>
      <c r="K523" s="56"/>
      <c r="M523" s="31"/>
      <c r="N523" s="26"/>
    </row>
    <row r="524" spans="8:14" x14ac:dyDescent="0.2">
      <c r="H524" s="22"/>
      <c r="I524" s="16"/>
      <c r="J524" s="56"/>
      <c r="K524" s="56"/>
      <c r="M524" s="31"/>
      <c r="N524" s="26"/>
    </row>
    <row r="525" spans="8:14" x14ac:dyDescent="0.2">
      <c r="H525" s="22"/>
      <c r="I525" s="16"/>
      <c r="J525" s="56"/>
      <c r="K525" s="56"/>
      <c r="M525" s="31"/>
      <c r="N525" s="26"/>
    </row>
    <row r="526" spans="8:14" x14ac:dyDescent="0.2">
      <c r="H526" s="22"/>
      <c r="I526" s="16"/>
      <c r="J526" s="56"/>
      <c r="K526" s="56"/>
      <c r="M526" s="31"/>
      <c r="N526" s="26"/>
    </row>
    <row r="527" spans="8:14" x14ac:dyDescent="0.2">
      <c r="H527" s="22"/>
      <c r="I527" s="16"/>
      <c r="J527" s="56"/>
      <c r="K527" s="56"/>
      <c r="M527" s="31"/>
      <c r="N527" s="26"/>
    </row>
    <row r="528" spans="8:14" x14ac:dyDescent="0.2">
      <c r="H528" s="22"/>
      <c r="I528" s="16"/>
      <c r="J528" s="56"/>
      <c r="K528" s="56"/>
      <c r="M528" s="31"/>
      <c r="N528" s="26"/>
    </row>
    <row r="529" spans="8:14" x14ac:dyDescent="0.2">
      <c r="H529" s="22"/>
      <c r="I529" s="16"/>
      <c r="J529" s="56"/>
      <c r="K529" s="56"/>
      <c r="M529" s="31"/>
      <c r="N529" s="26"/>
    </row>
    <row r="530" spans="8:14" x14ac:dyDescent="0.2">
      <c r="H530" s="22"/>
      <c r="I530" s="16"/>
      <c r="J530" s="56"/>
      <c r="K530" s="56"/>
      <c r="M530" s="31"/>
      <c r="N530" s="26"/>
    </row>
    <row r="531" spans="8:14" x14ac:dyDescent="0.2">
      <c r="H531" s="22"/>
      <c r="I531" s="16"/>
      <c r="J531" s="56"/>
      <c r="K531" s="56"/>
      <c r="M531" s="31"/>
      <c r="N531" s="26"/>
    </row>
    <row r="532" spans="8:14" x14ac:dyDescent="0.2">
      <c r="H532" s="22"/>
      <c r="I532" s="16"/>
      <c r="J532" s="56"/>
      <c r="K532" s="56"/>
      <c r="M532" s="31"/>
      <c r="N532" s="26"/>
    </row>
    <row r="533" spans="8:14" x14ac:dyDescent="0.2">
      <c r="H533" s="22"/>
      <c r="I533" s="16"/>
      <c r="J533" s="56"/>
      <c r="K533" s="56"/>
      <c r="M533" s="31"/>
      <c r="N533" s="26"/>
    </row>
    <row r="534" spans="8:14" x14ac:dyDescent="0.2">
      <c r="H534" s="22"/>
      <c r="I534" s="16"/>
      <c r="J534" s="56"/>
      <c r="K534" s="56"/>
      <c r="M534" s="31"/>
      <c r="N534" s="26"/>
    </row>
    <row r="535" spans="8:14" x14ac:dyDescent="0.2">
      <c r="H535" s="22"/>
      <c r="I535" s="16"/>
      <c r="J535" s="56"/>
      <c r="K535" s="56"/>
      <c r="M535" s="31"/>
      <c r="N535" s="26"/>
    </row>
    <row r="536" spans="8:14" x14ac:dyDescent="0.2">
      <c r="H536" s="22"/>
      <c r="I536" s="16"/>
      <c r="J536" s="56"/>
      <c r="K536" s="56"/>
      <c r="M536" s="31"/>
      <c r="N536" s="26"/>
    </row>
    <row r="537" spans="8:14" x14ac:dyDescent="0.2">
      <c r="H537" s="22"/>
      <c r="I537" s="16"/>
      <c r="J537" s="56"/>
      <c r="K537" s="56"/>
      <c r="M537" s="31"/>
      <c r="N537" s="26"/>
    </row>
    <row r="538" spans="8:14" x14ac:dyDescent="0.2">
      <c r="H538" s="22"/>
      <c r="I538" s="16"/>
      <c r="J538" s="56"/>
      <c r="K538" s="56"/>
      <c r="M538" s="31"/>
      <c r="N538" s="26"/>
    </row>
    <row r="539" spans="8:14" x14ac:dyDescent="0.2">
      <c r="H539" s="22"/>
      <c r="I539" s="16"/>
      <c r="J539" s="56"/>
      <c r="K539" s="56"/>
      <c r="M539" s="31"/>
      <c r="N539" s="26"/>
    </row>
    <row r="540" spans="8:14" x14ac:dyDescent="0.2">
      <c r="H540" s="22"/>
      <c r="I540" s="16"/>
      <c r="J540" s="56"/>
      <c r="K540" s="56"/>
      <c r="M540" s="31"/>
      <c r="N540" s="26"/>
    </row>
    <row r="541" spans="8:14" x14ac:dyDescent="0.2">
      <c r="H541" s="22"/>
      <c r="I541" s="16"/>
      <c r="J541" s="56"/>
      <c r="K541" s="56"/>
      <c r="M541" s="31"/>
      <c r="N541" s="26"/>
    </row>
    <row r="542" spans="8:14" x14ac:dyDescent="0.2">
      <c r="H542" s="22"/>
      <c r="I542" s="16"/>
      <c r="J542" s="56"/>
      <c r="K542" s="56"/>
      <c r="M542" s="31"/>
      <c r="N542" s="26"/>
    </row>
    <row r="543" spans="8:14" x14ac:dyDescent="0.2">
      <c r="H543" s="22"/>
      <c r="I543" s="16"/>
      <c r="J543" s="56"/>
      <c r="K543" s="56"/>
      <c r="M543" s="31"/>
      <c r="N543" s="26"/>
    </row>
    <row r="544" spans="8:14" x14ac:dyDescent="0.2">
      <c r="H544" s="22"/>
      <c r="I544" s="16"/>
      <c r="J544" s="56"/>
      <c r="K544" s="56"/>
      <c r="M544" s="31"/>
      <c r="N544" s="26"/>
    </row>
    <row r="545" spans="8:14" x14ac:dyDescent="0.2">
      <c r="H545" s="22"/>
      <c r="I545" s="16"/>
      <c r="J545" s="56"/>
      <c r="K545" s="56"/>
      <c r="M545" s="31"/>
      <c r="N545" s="26"/>
    </row>
    <row r="546" spans="8:14" x14ac:dyDescent="0.2">
      <c r="H546" s="22"/>
      <c r="I546" s="16"/>
      <c r="J546" s="56"/>
      <c r="K546" s="56"/>
      <c r="M546" s="31"/>
      <c r="N546" s="26"/>
    </row>
    <row r="547" spans="8:14" x14ac:dyDescent="0.2">
      <c r="H547" s="22"/>
      <c r="I547" s="16"/>
      <c r="J547" s="56"/>
      <c r="K547" s="56"/>
      <c r="M547" s="31"/>
      <c r="N547" s="26"/>
    </row>
    <row r="548" spans="8:14" x14ac:dyDescent="0.2">
      <c r="H548" s="22"/>
      <c r="I548" s="16"/>
      <c r="J548" s="56"/>
      <c r="K548" s="56"/>
      <c r="M548" s="31"/>
      <c r="N548" s="26"/>
    </row>
    <row r="549" spans="8:14" x14ac:dyDescent="0.2">
      <c r="H549" s="22"/>
      <c r="I549" s="16"/>
      <c r="J549" s="56"/>
      <c r="K549" s="56"/>
      <c r="M549" s="31"/>
      <c r="N549" s="26"/>
    </row>
    <row r="550" spans="8:14" x14ac:dyDescent="0.2">
      <c r="H550" s="22"/>
      <c r="I550" s="16"/>
      <c r="J550" s="56"/>
      <c r="K550" s="56"/>
      <c r="M550" s="31"/>
      <c r="N550" s="26"/>
    </row>
    <row r="551" spans="8:14" x14ac:dyDescent="0.2">
      <c r="H551" s="22"/>
      <c r="I551" s="16"/>
      <c r="J551" s="56"/>
      <c r="K551" s="56"/>
      <c r="M551" s="31"/>
      <c r="N551" s="26"/>
    </row>
    <row r="552" spans="8:14" x14ac:dyDescent="0.2">
      <c r="H552" s="22"/>
      <c r="I552" s="16"/>
      <c r="J552" s="56"/>
      <c r="K552" s="56"/>
      <c r="M552" s="31"/>
      <c r="N552" s="26"/>
    </row>
    <row r="553" spans="8:14" x14ac:dyDescent="0.2">
      <c r="H553" s="22"/>
      <c r="I553" s="16"/>
      <c r="J553" s="56"/>
      <c r="K553" s="56"/>
      <c r="M553" s="31"/>
      <c r="N553" s="26"/>
    </row>
    <row r="554" spans="8:14" x14ac:dyDescent="0.2">
      <c r="H554" s="22"/>
      <c r="I554" s="16"/>
      <c r="J554" s="56"/>
      <c r="K554" s="56"/>
      <c r="M554" s="31"/>
      <c r="N554" s="26"/>
    </row>
    <row r="555" spans="8:14" x14ac:dyDescent="0.2">
      <c r="H555" s="22"/>
      <c r="I555" s="16"/>
      <c r="J555" s="56"/>
      <c r="K555" s="56"/>
      <c r="M555" s="31"/>
      <c r="N555" s="26"/>
    </row>
    <row r="556" spans="8:14" x14ac:dyDescent="0.2">
      <c r="H556" s="22"/>
      <c r="I556" s="16"/>
      <c r="J556" s="56"/>
      <c r="K556" s="56"/>
      <c r="M556" s="31"/>
      <c r="N556" s="26"/>
    </row>
    <row r="557" spans="8:14" x14ac:dyDescent="0.2">
      <c r="H557" s="22"/>
      <c r="I557" s="16"/>
      <c r="J557" s="56"/>
      <c r="K557" s="56"/>
      <c r="M557" s="31"/>
      <c r="N557" s="26"/>
    </row>
    <row r="558" spans="8:14" x14ac:dyDescent="0.2">
      <c r="H558" s="22"/>
      <c r="I558" s="16"/>
      <c r="J558" s="56"/>
      <c r="K558" s="56"/>
      <c r="M558" s="31"/>
      <c r="N558" s="26"/>
    </row>
    <row r="559" spans="8:14" x14ac:dyDescent="0.2">
      <c r="H559" s="22"/>
      <c r="I559" s="16"/>
      <c r="J559" s="56"/>
      <c r="K559" s="56"/>
      <c r="M559" s="31"/>
      <c r="N559" s="26"/>
    </row>
    <row r="560" spans="8:14" x14ac:dyDescent="0.2">
      <c r="H560" s="22"/>
      <c r="I560" s="16"/>
      <c r="J560" s="56"/>
      <c r="K560" s="56"/>
      <c r="M560" s="31"/>
      <c r="N560" s="26"/>
    </row>
    <row r="561" spans="8:14" x14ac:dyDescent="0.2">
      <c r="H561" s="22"/>
      <c r="I561" s="16"/>
      <c r="J561" s="56"/>
      <c r="K561" s="56"/>
      <c r="M561" s="31"/>
      <c r="N561" s="26"/>
    </row>
    <row r="562" spans="8:14" x14ac:dyDescent="0.2">
      <c r="H562" s="22"/>
      <c r="I562" s="16"/>
      <c r="J562" s="56"/>
      <c r="K562" s="56"/>
      <c r="M562" s="31"/>
      <c r="N562" s="26"/>
    </row>
    <row r="563" spans="8:14" x14ac:dyDescent="0.2">
      <c r="H563" s="22"/>
      <c r="I563" s="16"/>
      <c r="J563" s="56"/>
      <c r="K563" s="56"/>
      <c r="M563" s="31"/>
      <c r="N563" s="26"/>
    </row>
    <row r="564" spans="8:14" x14ac:dyDescent="0.2">
      <c r="H564" s="22"/>
      <c r="I564" s="16"/>
      <c r="J564" s="56"/>
      <c r="K564" s="56"/>
      <c r="M564" s="31"/>
      <c r="N564" s="26"/>
    </row>
    <row r="565" spans="8:14" x14ac:dyDescent="0.2">
      <c r="H565" s="22"/>
      <c r="I565" s="16"/>
      <c r="J565" s="56"/>
      <c r="K565" s="56"/>
      <c r="M565" s="31"/>
      <c r="N565" s="26"/>
    </row>
    <row r="566" spans="8:14" x14ac:dyDescent="0.2">
      <c r="H566" s="22"/>
      <c r="I566" s="16"/>
      <c r="J566" s="56"/>
      <c r="K566" s="56"/>
      <c r="M566" s="31"/>
      <c r="N566" s="26"/>
    </row>
    <row r="567" spans="8:14" x14ac:dyDescent="0.2">
      <c r="H567" s="22"/>
      <c r="I567" s="16"/>
      <c r="J567" s="56"/>
      <c r="K567" s="56"/>
      <c r="M567" s="31"/>
      <c r="N567" s="26"/>
    </row>
    <row r="568" spans="8:14" x14ac:dyDescent="0.2">
      <c r="H568" s="22"/>
      <c r="I568" s="16"/>
      <c r="J568" s="56"/>
      <c r="K568" s="56"/>
      <c r="M568" s="31"/>
      <c r="N568" s="26"/>
    </row>
    <row r="569" spans="8:14" x14ac:dyDescent="0.2">
      <c r="H569" s="22"/>
      <c r="I569" s="16"/>
      <c r="J569" s="56"/>
      <c r="K569" s="56"/>
      <c r="M569" s="31"/>
      <c r="N569" s="26"/>
    </row>
    <row r="570" spans="8:14" x14ac:dyDescent="0.2">
      <c r="H570" s="22"/>
      <c r="I570" s="16"/>
      <c r="J570" s="56"/>
      <c r="K570" s="56"/>
      <c r="M570" s="31"/>
      <c r="N570" s="26"/>
    </row>
    <row r="571" spans="8:14" x14ac:dyDescent="0.2">
      <c r="H571" s="22"/>
      <c r="I571" s="16"/>
      <c r="J571" s="56"/>
      <c r="K571" s="56"/>
      <c r="M571" s="31"/>
      <c r="N571" s="26"/>
    </row>
    <row r="572" spans="8:14" x14ac:dyDescent="0.2">
      <c r="H572" s="22"/>
      <c r="I572" s="16"/>
      <c r="J572" s="56"/>
      <c r="K572" s="56"/>
      <c r="M572" s="31"/>
      <c r="N572" s="26"/>
    </row>
    <row r="573" spans="8:14" x14ac:dyDescent="0.2">
      <c r="H573" s="22"/>
      <c r="I573" s="16"/>
      <c r="J573" s="56"/>
      <c r="K573" s="56"/>
      <c r="M573" s="31"/>
      <c r="N573" s="26"/>
    </row>
    <row r="574" spans="8:14" x14ac:dyDescent="0.2">
      <c r="H574" s="22"/>
      <c r="I574" s="16"/>
      <c r="J574" s="56"/>
      <c r="K574" s="56"/>
      <c r="M574" s="31"/>
      <c r="N574" s="26"/>
    </row>
    <row r="575" spans="8:14" x14ac:dyDescent="0.2">
      <c r="H575" s="22"/>
      <c r="I575" s="16"/>
      <c r="J575" s="56"/>
      <c r="K575" s="56"/>
      <c r="M575" s="31"/>
      <c r="N575" s="26"/>
    </row>
    <row r="576" spans="8:14" x14ac:dyDescent="0.2">
      <c r="H576" s="22"/>
      <c r="I576" s="16"/>
      <c r="J576" s="56"/>
      <c r="K576" s="56"/>
      <c r="M576" s="31"/>
      <c r="N576" s="26"/>
    </row>
    <row r="577" spans="8:14" x14ac:dyDescent="0.2">
      <c r="H577" s="22"/>
      <c r="I577" s="16"/>
      <c r="J577" s="56"/>
      <c r="K577" s="56"/>
      <c r="M577" s="31"/>
      <c r="N577" s="26"/>
    </row>
    <row r="578" spans="8:14" x14ac:dyDescent="0.2">
      <c r="H578" s="22"/>
      <c r="I578" s="16"/>
      <c r="J578" s="56"/>
      <c r="K578" s="56"/>
      <c r="M578" s="31"/>
      <c r="N578" s="26"/>
    </row>
    <row r="579" spans="8:14" x14ac:dyDescent="0.2">
      <c r="H579" s="22"/>
      <c r="I579" s="16"/>
      <c r="J579" s="56"/>
      <c r="K579" s="56"/>
      <c r="M579" s="31"/>
      <c r="N579" s="26"/>
    </row>
    <row r="580" spans="8:14" x14ac:dyDescent="0.2">
      <c r="H580" s="22"/>
      <c r="I580" s="16"/>
      <c r="J580" s="56"/>
      <c r="K580" s="56"/>
      <c r="M580" s="31"/>
      <c r="N580" s="26"/>
    </row>
    <row r="581" spans="8:14" x14ac:dyDescent="0.2">
      <c r="H581" s="22"/>
      <c r="I581" s="16"/>
      <c r="J581" s="56"/>
      <c r="K581" s="56"/>
      <c r="M581" s="31"/>
      <c r="N581" s="26"/>
    </row>
    <row r="582" spans="8:14" x14ac:dyDescent="0.2">
      <c r="H582" s="22"/>
      <c r="I582" s="16"/>
      <c r="J582" s="56"/>
      <c r="K582" s="56"/>
      <c r="M582" s="31"/>
      <c r="N582" s="26"/>
    </row>
    <row r="583" spans="8:14" x14ac:dyDescent="0.2">
      <c r="H583" s="22"/>
      <c r="I583" s="16"/>
      <c r="J583" s="56"/>
      <c r="K583" s="56"/>
      <c r="M583" s="31"/>
      <c r="N583" s="26"/>
    </row>
    <row r="584" spans="8:14" x14ac:dyDescent="0.2">
      <c r="H584" s="22"/>
      <c r="I584" s="16"/>
      <c r="J584" s="56"/>
      <c r="K584" s="56"/>
      <c r="M584" s="31"/>
      <c r="N584" s="26"/>
    </row>
    <row r="585" spans="8:14" x14ac:dyDescent="0.2">
      <c r="H585" s="22"/>
      <c r="I585" s="16"/>
      <c r="J585" s="56"/>
      <c r="K585" s="56"/>
      <c r="M585" s="31"/>
      <c r="N585" s="26"/>
    </row>
    <row r="586" spans="8:14" x14ac:dyDescent="0.2">
      <c r="H586" s="22"/>
      <c r="I586" s="16"/>
      <c r="J586" s="56"/>
      <c r="K586" s="56"/>
      <c r="M586" s="31"/>
      <c r="N586" s="26"/>
    </row>
    <row r="587" spans="8:14" x14ac:dyDescent="0.2">
      <c r="H587" s="22"/>
      <c r="I587" s="16"/>
      <c r="J587" s="56"/>
      <c r="K587" s="56"/>
      <c r="M587" s="31"/>
      <c r="N587" s="26"/>
    </row>
    <row r="588" spans="8:14" x14ac:dyDescent="0.2">
      <c r="H588" s="22"/>
      <c r="I588" s="16"/>
      <c r="J588" s="56"/>
      <c r="K588" s="56"/>
      <c r="M588" s="31"/>
      <c r="N588" s="26"/>
    </row>
    <row r="589" spans="8:14" x14ac:dyDescent="0.2">
      <c r="H589" s="22"/>
      <c r="I589" s="16"/>
      <c r="J589" s="56"/>
      <c r="K589" s="56"/>
      <c r="M589" s="31"/>
      <c r="N589" s="26"/>
    </row>
    <row r="590" spans="8:14" x14ac:dyDescent="0.2">
      <c r="H590" s="22"/>
      <c r="I590" s="16"/>
      <c r="J590" s="56"/>
      <c r="K590" s="56"/>
      <c r="M590" s="31"/>
      <c r="N590" s="26"/>
    </row>
    <row r="591" spans="8:14" x14ac:dyDescent="0.2">
      <c r="H591" s="22"/>
      <c r="I591" s="16"/>
      <c r="J591" s="56"/>
      <c r="K591" s="56"/>
      <c r="M591" s="31"/>
      <c r="N591" s="26"/>
    </row>
    <row r="592" spans="8:14" x14ac:dyDescent="0.2">
      <c r="H592" s="22"/>
      <c r="I592" s="16"/>
      <c r="J592" s="56"/>
      <c r="K592" s="56"/>
      <c r="M592" s="31"/>
      <c r="N592" s="26"/>
    </row>
    <row r="593" spans="8:14" x14ac:dyDescent="0.2">
      <c r="H593" s="22"/>
      <c r="I593" s="16"/>
      <c r="J593" s="56"/>
      <c r="K593" s="56"/>
      <c r="M593" s="31"/>
      <c r="N593" s="26"/>
    </row>
    <row r="594" spans="8:14" x14ac:dyDescent="0.2">
      <c r="H594" s="22"/>
      <c r="I594" s="16"/>
      <c r="J594" s="56"/>
      <c r="K594" s="56"/>
      <c r="M594" s="31"/>
      <c r="N594" s="26"/>
    </row>
    <row r="595" spans="8:14" x14ac:dyDescent="0.2">
      <c r="H595" s="22"/>
      <c r="I595" s="16"/>
      <c r="J595" s="56"/>
      <c r="K595" s="56"/>
      <c r="M595" s="31"/>
      <c r="N595" s="26"/>
    </row>
    <row r="596" spans="8:14" x14ac:dyDescent="0.2">
      <c r="H596" s="22"/>
      <c r="I596" s="16"/>
      <c r="J596" s="56"/>
      <c r="K596" s="56"/>
      <c r="M596" s="31"/>
      <c r="N596" s="26"/>
    </row>
    <row r="597" spans="8:14" x14ac:dyDescent="0.2">
      <c r="H597" s="22"/>
      <c r="I597" s="16"/>
      <c r="J597" s="56"/>
      <c r="K597" s="56"/>
      <c r="M597" s="31"/>
      <c r="N597" s="26"/>
    </row>
    <row r="598" spans="8:14" x14ac:dyDescent="0.2">
      <c r="H598" s="22"/>
      <c r="I598" s="16"/>
      <c r="J598" s="56"/>
      <c r="K598" s="56"/>
      <c r="M598" s="31"/>
      <c r="N598" s="26"/>
    </row>
    <row r="599" spans="8:14" x14ac:dyDescent="0.2">
      <c r="H599" s="22"/>
      <c r="I599" s="16"/>
      <c r="J599" s="56"/>
      <c r="K599" s="56"/>
      <c r="M599" s="31"/>
      <c r="N599" s="26"/>
    </row>
    <row r="600" spans="8:14" x14ac:dyDescent="0.2">
      <c r="H600" s="22"/>
      <c r="I600" s="16"/>
      <c r="J600" s="56"/>
      <c r="K600" s="56"/>
      <c r="M600" s="31"/>
      <c r="N600" s="26"/>
    </row>
    <row r="601" spans="8:14" x14ac:dyDescent="0.2">
      <c r="H601" s="22"/>
      <c r="I601" s="16"/>
      <c r="J601" s="56"/>
      <c r="K601" s="56"/>
      <c r="M601" s="31"/>
      <c r="N601" s="26"/>
    </row>
    <row r="602" spans="8:14" x14ac:dyDescent="0.2">
      <c r="H602" s="22"/>
      <c r="I602" s="16"/>
      <c r="J602" s="56"/>
      <c r="K602" s="56"/>
      <c r="M602" s="31"/>
      <c r="N602" s="26"/>
    </row>
    <row r="603" spans="8:14" x14ac:dyDescent="0.2">
      <c r="H603" s="22"/>
      <c r="I603" s="16"/>
      <c r="J603" s="56"/>
      <c r="K603" s="56"/>
      <c r="M603" s="31"/>
      <c r="N603" s="26"/>
    </row>
    <row r="604" spans="8:14" x14ac:dyDescent="0.2">
      <c r="H604" s="22"/>
      <c r="I604" s="16"/>
      <c r="J604" s="56"/>
      <c r="K604" s="56"/>
      <c r="M604" s="31"/>
      <c r="N604" s="26"/>
    </row>
    <row r="605" spans="8:14" x14ac:dyDescent="0.2">
      <c r="H605" s="22"/>
      <c r="I605" s="16"/>
      <c r="J605" s="56"/>
      <c r="K605" s="56"/>
      <c r="M605" s="31"/>
      <c r="N605" s="26"/>
    </row>
    <row r="606" spans="8:14" x14ac:dyDescent="0.2">
      <c r="H606" s="22"/>
      <c r="I606" s="16"/>
      <c r="J606" s="56"/>
      <c r="K606" s="56"/>
      <c r="M606" s="31"/>
      <c r="N606" s="26"/>
    </row>
    <row r="607" spans="8:14" x14ac:dyDescent="0.2">
      <c r="H607" s="22"/>
      <c r="I607" s="16"/>
      <c r="J607" s="56"/>
      <c r="K607" s="56"/>
      <c r="M607" s="31"/>
      <c r="N607" s="26"/>
    </row>
    <row r="608" spans="8:14" x14ac:dyDescent="0.2">
      <c r="H608" s="22"/>
      <c r="I608" s="16"/>
      <c r="J608" s="56"/>
      <c r="K608" s="56"/>
      <c r="M608" s="31"/>
      <c r="N608" s="26"/>
    </row>
    <row r="609" spans="8:14" x14ac:dyDescent="0.2">
      <c r="H609" s="22"/>
      <c r="I609" s="16"/>
      <c r="J609" s="56"/>
      <c r="K609" s="56"/>
      <c r="M609" s="31"/>
      <c r="N609" s="26"/>
    </row>
    <row r="610" spans="8:14" x14ac:dyDescent="0.2">
      <c r="H610" s="22"/>
      <c r="I610" s="16"/>
      <c r="J610" s="56"/>
      <c r="K610" s="56"/>
      <c r="M610" s="31"/>
      <c r="N610" s="26"/>
    </row>
    <row r="611" spans="8:14" x14ac:dyDescent="0.2">
      <c r="H611" s="22"/>
      <c r="I611" s="16"/>
      <c r="J611" s="56"/>
      <c r="K611" s="56"/>
      <c r="M611" s="31"/>
      <c r="N611" s="26"/>
    </row>
    <row r="612" spans="8:14" x14ac:dyDescent="0.2">
      <c r="H612" s="22"/>
      <c r="I612" s="16"/>
      <c r="J612" s="56"/>
      <c r="K612" s="56"/>
      <c r="M612" s="31"/>
      <c r="N612" s="26"/>
    </row>
    <row r="613" spans="8:14" x14ac:dyDescent="0.2">
      <c r="H613" s="22"/>
      <c r="I613" s="16"/>
      <c r="J613" s="56"/>
      <c r="K613" s="56"/>
      <c r="M613" s="31"/>
      <c r="N613" s="26"/>
    </row>
    <row r="614" spans="8:14" x14ac:dyDescent="0.2">
      <c r="H614" s="22"/>
      <c r="I614" s="16"/>
      <c r="J614" s="56"/>
      <c r="K614" s="56"/>
      <c r="M614" s="31"/>
      <c r="N614" s="26"/>
    </row>
    <row r="615" spans="8:14" x14ac:dyDescent="0.2">
      <c r="H615" s="22"/>
      <c r="I615" s="16"/>
      <c r="J615" s="56"/>
      <c r="K615" s="56"/>
      <c r="M615" s="31"/>
      <c r="N615" s="26"/>
    </row>
    <row r="616" spans="8:14" x14ac:dyDescent="0.2">
      <c r="H616" s="22"/>
      <c r="I616" s="16"/>
      <c r="J616" s="56"/>
      <c r="K616" s="56"/>
      <c r="M616" s="31"/>
      <c r="N616" s="26"/>
    </row>
    <row r="617" spans="8:14" x14ac:dyDescent="0.2">
      <c r="H617" s="22"/>
      <c r="I617" s="16"/>
      <c r="J617" s="56"/>
      <c r="K617" s="56"/>
      <c r="M617" s="31"/>
      <c r="N617" s="26"/>
    </row>
    <row r="618" spans="8:14" x14ac:dyDescent="0.2">
      <c r="H618" s="22"/>
      <c r="I618" s="16"/>
      <c r="J618" s="56"/>
      <c r="K618" s="56"/>
      <c r="M618" s="31"/>
      <c r="N618" s="26"/>
    </row>
    <row r="619" spans="8:14" x14ac:dyDescent="0.2">
      <c r="H619" s="22"/>
      <c r="I619" s="16"/>
      <c r="J619" s="56"/>
      <c r="K619" s="56"/>
      <c r="M619" s="31"/>
      <c r="N619" s="26"/>
    </row>
    <row r="620" spans="8:14" x14ac:dyDescent="0.2">
      <c r="H620" s="22"/>
      <c r="I620" s="16"/>
      <c r="J620" s="56"/>
      <c r="K620" s="56"/>
      <c r="M620" s="31"/>
      <c r="N620" s="26"/>
    </row>
    <row r="621" spans="8:14" x14ac:dyDescent="0.2">
      <c r="H621" s="22"/>
      <c r="I621" s="16"/>
      <c r="J621" s="56"/>
      <c r="K621" s="56"/>
      <c r="M621" s="31"/>
      <c r="N621" s="26"/>
    </row>
    <row r="622" spans="8:14" x14ac:dyDescent="0.2">
      <c r="H622" s="22"/>
      <c r="I622" s="16"/>
      <c r="J622" s="56"/>
      <c r="K622" s="56"/>
      <c r="M622" s="31"/>
      <c r="N622" s="26"/>
    </row>
    <row r="623" spans="8:14" x14ac:dyDescent="0.2">
      <c r="H623" s="22"/>
      <c r="I623" s="16"/>
      <c r="J623" s="56"/>
      <c r="K623" s="56"/>
      <c r="M623" s="31"/>
      <c r="N623" s="26"/>
    </row>
    <row r="624" spans="8:14" x14ac:dyDescent="0.2">
      <c r="H624" s="22"/>
      <c r="I624" s="16"/>
      <c r="J624" s="56"/>
      <c r="K624" s="56"/>
      <c r="M624" s="31"/>
      <c r="N624" s="26"/>
    </row>
    <row r="625" spans="8:14" x14ac:dyDescent="0.2">
      <c r="H625" s="22"/>
      <c r="I625" s="16"/>
      <c r="J625" s="56"/>
      <c r="K625" s="56"/>
      <c r="M625" s="31"/>
      <c r="N625" s="26"/>
    </row>
    <row r="626" spans="8:14" x14ac:dyDescent="0.2">
      <c r="H626" s="22"/>
      <c r="I626" s="16"/>
      <c r="J626" s="56"/>
      <c r="K626" s="56"/>
      <c r="M626" s="31"/>
      <c r="N626" s="26"/>
    </row>
    <row r="627" spans="8:14" x14ac:dyDescent="0.2">
      <c r="H627" s="22"/>
      <c r="I627" s="16"/>
      <c r="J627" s="56"/>
      <c r="K627" s="56"/>
      <c r="M627" s="31"/>
      <c r="N627" s="26"/>
    </row>
    <row r="628" spans="8:14" x14ac:dyDescent="0.2">
      <c r="H628" s="22"/>
      <c r="I628" s="16"/>
      <c r="J628" s="56"/>
      <c r="K628" s="56"/>
      <c r="M628" s="31"/>
      <c r="N628" s="26"/>
    </row>
    <row r="629" spans="8:14" x14ac:dyDescent="0.2">
      <c r="H629" s="22"/>
      <c r="I629" s="16"/>
      <c r="J629" s="56"/>
      <c r="K629" s="56"/>
      <c r="M629" s="31"/>
      <c r="N629" s="26"/>
    </row>
    <row r="630" spans="8:14" x14ac:dyDescent="0.2">
      <c r="H630" s="22"/>
      <c r="I630" s="16"/>
      <c r="J630" s="56"/>
      <c r="K630" s="56"/>
      <c r="M630" s="31"/>
      <c r="N630" s="26"/>
    </row>
    <row r="631" spans="8:14" x14ac:dyDescent="0.2">
      <c r="H631" s="22"/>
      <c r="I631" s="16"/>
      <c r="J631" s="56"/>
      <c r="K631" s="56"/>
      <c r="M631" s="31"/>
      <c r="N631" s="26"/>
    </row>
    <row r="632" spans="8:14" x14ac:dyDescent="0.2">
      <c r="H632" s="22"/>
      <c r="I632" s="16"/>
      <c r="J632" s="56"/>
      <c r="K632" s="56"/>
      <c r="M632" s="31"/>
      <c r="N632" s="26"/>
    </row>
    <row r="633" spans="8:14" x14ac:dyDescent="0.2">
      <c r="H633" s="22"/>
      <c r="I633" s="16"/>
      <c r="J633" s="56"/>
      <c r="K633" s="56"/>
      <c r="M633" s="31"/>
      <c r="N633" s="26"/>
    </row>
    <row r="634" spans="8:14" x14ac:dyDescent="0.2">
      <c r="H634" s="22"/>
      <c r="I634" s="16"/>
      <c r="J634" s="56"/>
      <c r="K634" s="56"/>
      <c r="M634" s="31"/>
      <c r="N634" s="26"/>
    </row>
    <row r="635" spans="8:14" x14ac:dyDescent="0.2">
      <c r="H635" s="22"/>
      <c r="I635" s="16"/>
      <c r="J635" s="56"/>
      <c r="K635" s="56"/>
      <c r="M635" s="31"/>
      <c r="N635" s="26"/>
    </row>
    <row r="636" spans="8:14" x14ac:dyDescent="0.2">
      <c r="H636" s="22"/>
      <c r="I636" s="16"/>
      <c r="J636" s="56"/>
      <c r="K636" s="56"/>
      <c r="M636" s="31"/>
      <c r="N636" s="26"/>
    </row>
    <row r="637" spans="8:14" x14ac:dyDescent="0.2">
      <c r="H637" s="22"/>
      <c r="I637" s="16"/>
      <c r="J637" s="56"/>
      <c r="K637" s="56"/>
      <c r="M637" s="31"/>
      <c r="N637" s="26"/>
    </row>
    <row r="638" spans="8:14" x14ac:dyDescent="0.2">
      <c r="H638" s="22"/>
      <c r="I638" s="16"/>
      <c r="J638" s="56"/>
      <c r="K638" s="56"/>
      <c r="M638" s="31"/>
      <c r="N638" s="26"/>
    </row>
    <row r="639" spans="8:14" x14ac:dyDescent="0.2">
      <c r="H639" s="22"/>
      <c r="I639" s="16"/>
      <c r="J639" s="56"/>
      <c r="K639" s="56"/>
      <c r="M639" s="31"/>
      <c r="N639" s="26"/>
    </row>
    <row r="640" spans="8:14" x14ac:dyDescent="0.2">
      <c r="H640" s="22"/>
      <c r="I640" s="16"/>
      <c r="J640" s="56"/>
      <c r="K640" s="56"/>
      <c r="M640" s="31"/>
      <c r="N640" s="26"/>
    </row>
    <row r="641" spans="8:14" x14ac:dyDescent="0.2">
      <c r="H641" s="22"/>
      <c r="I641" s="16"/>
      <c r="J641" s="56"/>
      <c r="K641" s="56"/>
      <c r="M641" s="31"/>
      <c r="N641" s="26"/>
    </row>
    <row r="642" spans="8:14" x14ac:dyDescent="0.2">
      <c r="H642" s="22"/>
      <c r="I642" s="16"/>
      <c r="J642" s="56"/>
      <c r="K642" s="56"/>
      <c r="M642" s="31"/>
      <c r="N642" s="26"/>
    </row>
    <row r="643" spans="8:14" x14ac:dyDescent="0.2">
      <c r="H643" s="22"/>
      <c r="I643" s="16"/>
      <c r="J643" s="56"/>
      <c r="K643" s="56"/>
      <c r="M643" s="31"/>
      <c r="N643" s="26"/>
    </row>
    <row r="644" spans="8:14" x14ac:dyDescent="0.2">
      <c r="H644" s="22"/>
      <c r="I644" s="16"/>
      <c r="J644" s="56"/>
      <c r="K644" s="56"/>
      <c r="M644" s="31"/>
      <c r="N644" s="26"/>
    </row>
    <row r="645" spans="8:14" x14ac:dyDescent="0.2">
      <c r="H645" s="22"/>
      <c r="I645" s="16"/>
      <c r="J645" s="56"/>
      <c r="K645" s="56"/>
      <c r="M645" s="31"/>
      <c r="N645" s="26"/>
    </row>
    <row r="646" spans="8:14" x14ac:dyDescent="0.2">
      <c r="H646" s="22"/>
      <c r="I646" s="16"/>
      <c r="J646" s="56"/>
      <c r="K646" s="56"/>
      <c r="M646" s="31"/>
      <c r="N646" s="26"/>
    </row>
    <row r="647" spans="8:14" x14ac:dyDescent="0.2">
      <c r="H647" s="22"/>
      <c r="I647" s="16"/>
      <c r="J647" s="56"/>
      <c r="K647" s="56"/>
      <c r="M647" s="31"/>
      <c r="N647" s="26"/>
    </row>
    <row r="648" spans="8:14" x14ac:dyDescent="0.2">
      <c r="H648" s="22"/>
      <c r="I648" s="16"/>
      <c r="J648" s="56"/>
      <c r="K648" s="56"/>
      <c r="M648" s="31"/>
      <c r="N648" s="26"/>
    </row>
    <row r="649" spans="8:14" x14ac:dyDescent="0.2">
      <c r="H649" s="22"/>
      <c r="I649" s="16"/>
      <c r="J649" s="56"/>
      <c r="K649" s="56"/>
      <c r="M649" s="31"/>
      <c r="N649" s="26"/>
    </row>
    <row r="650" spans="8:14" x14ac:dyDescent="0.2">
      <c r="H650" s="22"/>
      <c r="I650" s="16"/>
      <c r="J650" s="56"/>
      <c r="K650" s="56"/>
      <c r="M650" s="31"/>
      <c r="N650" s="26"/>
    </row>
    <row r="651" spans="8:14" x14ac:dyDescent="0.2">
      <c r="H651" s="22"/>
      <c r="I651" s="16"/>
      <c r="J651" s="56"/>
      <c r="K651" s="56"/>
      <c r="M651" s="31"/>
      <c r="N651" s="26"/>
    </row>
    <row r="652" spans="8:14" x14ac:dyDescent="0.2">
      <c r="H652" s="22"/>
      <c r="I652" s="16"/>
      <c r="J652" s="56"/>
      <c r="K652" s="56"/>
      <c r="M652" s="31"/>
      <c r="N652" s="26"/>
    </row>
    <row r="653" spans="8:14" x14ac:dyDescent="0.2">
      <c r="H653" s="22"/>
      <c r="I653" s="16"/>
      <c r="J653" s="56"/>
      <c r="K653" s="56"/>
      <c r="M653" s="31"/>
      <c r="N653" s="26"/>
    </row>
    <row r="654" spans="8:14" x14ac:dyDescent="0.2">
      <c r="H654" s="22"/>
      <c r="I654" s="16"/>
      <c r="J654" s="56"/>
      <c r="K654" s="56"/>
      <c r="M654" s="31"/>
      <c r="N654" s="26"/>
    </row>
    <row r="655" spans="8:14" x14ac:dyDescent="0.2">
      <c r="H655" s="22"/>
      <c r="I655" s="16"/>
      <c r="J655" s="56"/>
      <c r="K655" s="56"/>
      <c r="M655" s="31"/>
      <c r="N655" s="26"/>
    </row>
    <row r="656" spans="8:14" x14ac:dyDescent="0.2">
      <c r="H656" s="22"/>
      <c r="I656" s="16"/>
      <c r="J656" s="56"/>
      <c r="K656" s="56"/>
      <c r="M656" s="31"/>
      <c r="N656" s="26"/>
    </row>
    <row r="657" spans="8:14" x14ac:dyDescent="0.2">
      <c r="H657" s="22"/>
      <c r="I657" s="16"/>
      <c r="J657" s="56"/>
      <c r="K657" s="56"/>
      <c r="M657" s="31"/>
      <c r="N657" s="26"/>
    </row>
    <row r="658" spans="8:14" x14ac:dyDescent="0.2">
      <c r="H658" s="22"/>
      <c r="I658" s="16"/>
      <c r="J658" s="56"/>
      <c r="K658" s="56"/>
      <c r="M658" s="31"/>
      <c r="N658" s="26"/>
    </row>
    <row r="659" spans="8:14" x14ac:dyDescent="0.2">
      <c r="H659" s="22"/>
      <c r="I659" s="16"/>
      <c r="J659" s="56"/>
      <c r="K659" s="56"/>
      <c r="M659" s="31"/>
      <c r="N659" s="26"/>
    </row>
    <row r="660" spans="8:14" x14ac:dyDescent="0.2">
      <c r="H660" s="22"/>
      <c r="I660" s="16"/>
      <c r="J660" s="56"/>
      <c r="K660" s="56"/>
      <c r="M660" s="31"/>
      <c r="N660" s="26"/>
    </row>
    <row r="661" spans="8:14" x14ac:dyDescent="0.2">
      <c r="H661" s="22"/>
      <c r="I661" s="16"/>
      <c r="J661" s="56"/>
      <c r="K661" s="56"/>
      <c r="M661" s="31"/>
      <c r="N661" s="26"/>
    </row>
    <row r="662" spans="8:14" x14ac:dyDescent="0.2">
      <c r="H662" s="22"/>
      <c r="I662" s="16"/>
      <c r="J662" s="56"/>
      <c r="K662" s="56"/>
      <c r="M662" s="31"/>
      <c r="N662" s="26"/>
    </row>
    <row r="663" spans="8:14" x14ac:dyDescent="0.2">
      <c r="H663" s="22"/>
      <c r="I663" s="16"/>
      <c r="J663" s="56"/>
      <c r="K663" s="56"/>
      <c r="M663" s="31"/>
      <c r="N663" s="26"/>
    </row>
    <row r="664" spans="8:14" x14ac:dyDescent="0.2">
      <c r="H664" s="22"/>
      <c r="I664" s="16"/>
      <c r="J664" s="56"/>
      <c r="K664" s="56"/>
      <c r="M664" s="31"/>
      <c r="N664" s="26"/>
    </row>
    <row r="665" spans="8:14" x14ac:dyDescent="0.2">
      <c r="H665" s="22"/>
      <c r="I665" s="16"/>
      <c r="J665" s="56"/>
      <c r="K665" s="56"/>
      <c r="M665" s="31"/>
      <c r="N665" s="26"/>
    </row>
    <row r="666" spans="8:14" x14ac:dyDescent="0.2">
      <c r="H666" s="22"/>
      <c r="I666" s="16"/>
      <c r="J666" s="56"/>
      <c r="K666" s="56"/>
      <c r="M666" s="31"/>
      <c r="N666" s="26"/>
    </row>
    <row r="667" spans="8:14" x14ac:dyDescent="0.2">
      <c r="H667" s="22"/>
      <c r="I667" s="16"/>
      <c r="J667" s="56"/>
      <c r="K667" s="56"/>
      <c r="M667" s="31"/>
      <c r="N667" s="26"/>
    </row>
    <row r="668" spans="8:14" x14ac:dyDescent="0.2">
      <c r="H668" s="22"/>
      <c r="I668" s="16"/>
      <c r="J668" s="56"/>
      <c r="K668" s="56"/>
      <c r="M668" s="31"/>
      <c r="N668" s="26"/>
    </row>
    <row r="669" spans="8:14" x14ac:dyDescent="0.2">
      <c r="H669" s="22"/>
      <c r="I669" s="16"/>
      <c r="J669" s="56"/>
      <c r="K669" s="56"/>
      <c r="M669" s="31"/>
      <c r="N669" s="26"/>
    </row>
    <row r="670" spans="8:14" x14ac:dyDescent="0.2">
      <c r="H670" s="22"/>
      <c r="I670" s="16"/>
      <c r="J670" s="56"/>
      <c r="K670" s="56"/>
      <c r="M670" s="31"/>
      <c r="N670" s="26"/>
    </row>
    <row r="671" spans="8:14" x14ac:dyDescent="0.2">
      <c r="H671" s="22"/>
      <c r="I671" s="16"/>
      <c r="J671" s="56"/>
      <c r="K671" s="56"/>
      <c r="M671" s="31"/>
      <c r="N671" s="26"/>
    </row>
    <row r="672" spans="8:14" x14ac:dyDescent="0.2">
      <c r="H672" s="22"/>
      <c r="I672" s="16"/>
      <c r="J672" s="56"/>
      <c r="K672" s="56"/>
      <c r="M672" s="31"/>
      <c r="N672" s="26"/>
    </row>
    <row r="673" spans="8:14" x14ac:dyDescent="0.2">
      <c r="H673" s="22"/>
      <c r="I673" s="16"/>
      <c r="J673" s="56"/>
      <c r="K673" s="56"/>
      <c r="M673" s="31"/>
      <c r="N673" s="26"/>
    </row>
    <row r="674" spans="8:14" x14ac:dyDescent="0.2">
      <c r="H674" s="22"/>
      <c r="I674" s="16"/>
      <c r="J674" s="56"/>
      <c r="K674" s="56"/>
      <c r="M674" s="31"/>
      <c r="N674" s="26"/>
    </row>
    <row r="675" spans="8:14" x14ac:dyDescent="0.2">
      <c r="H675" s="22"/>
      <c r="I675" s="16"/>
      <c r="J675" s="56"/>
      <c r="K675" s="56"/>
      <c r="M675" s="31"/>
      <c r="N675" s="26"/>
    </row>
    <row r="676" spans="8:14" x14ac:dyDescent="0.2">
      <c r="H676" s="22"/>
      <c r="I676" s="16"/>
      <c r="J676" s="56"/>
      <c r="K676" s="56"/>
      <c r="M676" s="31"/>
      <c r="N676" s="26"/>
    </row>
    <row r="677" spans="8:14" x14ac:dyDescent="0.2">
      <c r="H677" s="22"/>
      <c r="I677" s="16"/>
      <c r="J677" s="56"/>
      <c r="K677" s="56"/>
      <c r="M677" s="31"/>
      <c r="N677" s="26"/>
    </row>
    <row r="678" spans="8:14" x14ac:dyDescent="0.2">
      <c r="H678" s="22"/>
      <c r="I678" s="16"/>
      <c r="J678" s="56"/>
      <c r="K678" s="56"/>
      <c r="M678" s="31"/>
      <c r="N678" s="26"/>
    </row>
    <row r="679" spans="8:14" x14ac:dyDescent="0.2">
      <c r="H679" s="22"/>
      <c r="I679" s="16"/>
      <c r="J679" s="56"/>
      <c r="K679" s="56"/>
      <c r="M679" s="31"/>
      <c r="N679" s="26"/>
    </row>
    <row r="680" spans="8:14" x14ac:dyDescent="0.2">
      <c r="H680" s="22"/>
      <c r="I680" s="16"/>
      <c r="J680" s="56"/>
      <c r="K680" s="56"/>
      <c r="M680" s="31"/>
      <c r="N680" s="26"/>
    </row>
    <row r="681" spans="8:14" x14ac:dyDescent="0.2">
      <c r="H681" s="22"/>
      <c r="I681" s="16"/>
      <c r="J681" s="56"/>
      <c r="K681" s="56"/>
      <c r="M681" s="31"/>
      <c r="N681" s="26"/>
    </row>
    <row r="682" spans="8:14" x14ac:dyDescent="0.2">
      <c r="H682" s="22"/>
      <c r="I682" s="16"/>
      <c r="J682" s="56"/>
      <c r="K682" s="56"/>
      <c r="M682" s="31"/>
      <c r="N682" s="26"/>
    </row>
    <row r="683" spans="8:14" x14ac:dyDescent="0.2">
      <c r="H683" s="22"/>
      <c r="I683" s="16"/>
      <c r="J683" s="56"/>
      <c r="K683" s="56"/>
      <c r="M683" s="31"/>
      <c r="N683" s="26"/>
    </row>
    <row r="684" spans="8:14" x14ac:dyDescent="0.2">
      <c r="H684" s="22"/>
      <c r="I684" s="16"/>
      <c r="J684" s="56"/>
      <c r="K684" s="56"/>
      <c r="M684" s="31"/>
      <c r="N684" s="26"/>
    </row>
    <row r="685" spans="8:14" x14ac:dyDescent="0.2">
      <c r="H685" s="22"/>
      <c r="I685" s="16"/>
      <c r="J685" s="56"/>
      <c r="K685" s="56"/>
      <c r="M685" s="31"/>
      <c r="N685" s="26"/>
    </row>
    <row r="686" spans="8:14" x14ac:dyDescent="0.2">
      <c r="H686" s="22"/>
      <c r="I686" s="16"/>
      <c r="J686" s="56"/>
      <c r="K686" s="56"/>
      <c r="M686" s="31"/>
      <c r="N686" s="26"/>
    </row>
    <row r="687" spans="8:14" x14ac:dyDescent="0.2">
      <c r="H687" s="22"/>
      <c r="I687" s="16"/>
      <c r="J687" s="56"/>
      <c r="K687" s="56"/>
      <c r="M687" s="31"/>
      <c r="N687" s="26"/>
    </row>
    <row r="688" spans="8:14" x14ac:dyDescent="0.2">
      <c r="H688" s="22"/>
      <c r="I688" s="16"/>
      <c r="J688" s="56"/>
      <c r="K688" s="56"/>
      <c r="M688" s="31"/>
      <c r="N688" s="26"/>
    </row>
    <row r="689" spans="8:14" x14ac:dyDescent="0.2">
      <c r="H689" s="22"/>
      <c r="I689" s="16"/>
      <c r="J689" s="56"/>
      <c r="K689" s="56"/>
      <c r="M689" s="31"/>
      <c r="N689" s="26"/>
    </row>
    <row r="690" spans="8:14" x14ac:dyDescent="0.2">
      <c r="H690" s="22"/>
      <c r="I690" s="16"/>
      <c r="J690" s="56"/>
      <c r="K690" s="56"/>
      <c r="M690" s="31"/>
      <c r="N690" s="26"/>
    </row>
    <row r="691" spans="8:14" x14ac:dyDescent="0.2">
      <c r="H691" s="22"/>
      <c r="I691" s="16"/>
      <c r="J691" s="56"/>
      <c r="K691" s="56"/>
      <c r="M691" s="31"/>
      <c r="N691" s="26"/>
    </row>
    <row r="692" spans="8:14" x14ac:dyDescent="0.2">
      <c r="H692" s="22"/>
      <c r="I692" s="16"/>
      <c r="J692" s="56"/>
      <c r="K692" s="56"/>
      <c r="M692" s="31"/>
      <c r="N692" s="26"/>
    </row>
    <row r="693" spans="8:14" x14ac:dyDescent="0.2">
      <c r="H693" s="22"/>
      <c r="I693" s="16"/>
      <c r="J693" s="56"/>
      <c r="K693" s="56"/>
      <c r="M693" s="31"/>
      <c r="N693" s="26"/>
    </row>
    <row r="694" spans="8:14" x14ac:dyDescent="0.2">
      <c r="H694" s="22"/>
      <c r="I694" s="16"/>
      <c r="J694" s="56"/>
      <c r="K694" s="56"/>
      <c r="M694" s="31"/>
      <c r="N694" s="26"/>
    </row>
    <row r="695" spans="8:14" x14ac:dyDescent="0.2">
      <c r="H695" s="22"/>
      <c r="I695" s="16"/>
      <c r="J695" s="56"/>
      <c r="K695" s="56"/>
      <c r="M695" s="31"/>
      <c r="N695" s="26"/>
    </row>
    <row r="696" spans="8:14" x14ac:dyDescent="0.2">
      <c r="H696" s="22"/>
      <c r="I696" s="16"/>
      <c r="J696" s="56"/>
      <c r="K696" s="56"/>
      <c r="M696" s="31"/>
      <c r="N696" s="26"/>
    </row>
    <row r="697" spans="8:14" x14ac:dyDescent="0.2">
      <c r="H697" s="22"/>
      <c r="I697" s="16"/>
      <c r="J697" s="56"/>
      <c r="K697" s="56"/>
      <c r="M697" s="31"/>
      <c r="N697" s="26"/>
    </row>
    <row r="698" spans="8:14" x14ac:dyDescent="0.2">
      <c r="H698" s="22"/>
      <c r="I698" s="16"/>
      <c r="J698" s="56"/>
      <c r="K698" s="56"/>
      <c r="M698" s="31"/>
      <c r="N698" s="26"/>
    </row>
    <row r="699" spans="8:14" x14ac:dyDescent="0.2">
      <c r="H699" s="22"/>
      <c r="I699" s="16"/>
      <c r="J699" s="56"/>
      <c r="K699" s="56"/>
      <c r="M699" s="31"/>
      <c r="N699" s="26"/>
    </row>
    <row r="700" spans="8:14" x14ac:dyDescent="0.2">
      <c r="H700" s="22"/>
      <c r="I700" s="16"/>
      <c r="J700" s="56"/>
      <c r="K700" s="56"/>
      <c r="M700" s="31"/>
      <c r="N700" s="26"/>
    </row>
    <row r="701" spans="8:14" x14ac:dyDescent="0.2">
      <c r="H701" s="22"/>
      <c r="I701" s="16"/>
      <c r="J701" s="56"/>
      <c r="K701" s="56"/>
      <c r="M701" s="31"/>
      <c r="N701" s="26"/>
    </row>
    <row r="702" spans="8:14" x14ac:dyDescent="0.2">
      <c r="H702" s="22"/>
      <c r="I702" s="16"/>
      <c r="J702" s="56"/>
      <c r="K702" s="56"/>
      <c r="M702" s="31"/>
      <c r="N702" s="26"/>
    </row>
    <row r="703" spans="8:14" x14ac:dyDescent="0.2">
      <c r="H703" s="22"/>
      <c r="I703" s="16"/>
      <c r="J703" s="56"/>
      <c r="K703" s="56"/>
      <c r="M703" s="31"/>
      <c r="N703" s="26"/>
    </row>
    <row r="704" spans="8:14" x14ac:dyDescent="0.2">
      <c r="H704" s="22"/>
      <c r="I704" s="16"/>
      <c r="J704" s="56"/>
      <c r="K704" s="56"/>
      <c r="M704" s="31"/>
      <c r="N704" s="26"/>
    </row>
    <row r="705" spans="8:14" x14ac:dyDescent="0.2">
      <c r="H705" s="22"/>
      <c r="I705" s="16"/>
      <c r="J705" s="56"/>
      <c r="K705" s="56"/>
      <c r="M705" s="31"/>
      <c r="N705" s="26"/>
    </row>
    <row r="706" spans="8:14" x14ac:dyDescent="0.2">
      <c r="H706" s="22"/>
      <c r="I706" s="16"/>
      <c r="J706" s="56"/>
      <c r="K706" s="56"/>
      <c r="M706" s="31"/>
      <c r="N706" s="26"/>
    </row>
    <row r="707" spans="8:14" x14ac:dyDescent="0.2">
      <c r="H707" s="22"/>
      <c r="I707" s="16"/>
      <c r="J707" s="56"/>
      <c r="K707" s="56"/>
      <c r="M707" s="31"/>
      <c r="N707" s="26"/>
    </row>
    <row r="708" spans="8:14" x14ac:dyDescent="0.2">
      <c r="H708" s="22"/>
      <c r="I708" s="16"/>
      <c r="J708" s="56"/>
      <c r="K708" s="56"/>
      <c r="M708" s="31"/>
      <c r="N708" s="26"/>
    </row>
    <row r="709" spans="8:14" x14ac:dyDescent="0.2">
      <c r="H709" s="22"/>
      <c r="I709" s="16"/>
      <c r="J709" s="56"/>
      <c r="K709" s="56"/>
      <c r="M709" s="31"/>
      <c r="N709" s="26"/>
    </row>
    <row r="710" spans="8:14" x14ac:dyDescent="0.2">
      <c r="H710" s="22"/>
      <c r="I710" s="16"/>
      <c r="J710" s="56"/>
      <c r="K710" s="56"/>
      <c r="M710" s="31"/>
      <c r="N710" s="26"/>
    </row>
    <row r="711" spans="8:14" x14ac:dyDescent="0.2">
      <c r="H711" s="22"/>
      <c r="I711" s="16"/>
      <c r="J711" s="56"/>
      <c r="K711" s="56"/>
      <c r="M711" s="31"/>
      <c r="N711" s="26"/>
    </row>
    <row r="712" spans="8:14" x14ac:dyDescent="0.2">
      <c r="H712" s="22"/>
      <c r="I712" s="16"/>
      <c r="J712" s="56"/>
      <c r="K712" s="56"/>
      <c r="M712" s="31"/>
      <c r="N712" s="26"/>
    </row>
    <row r="713" spans="8:14" x14ac:dyDescent="0.2">
      <c r="H713" s="22"/>
      <c r="I713" s="16"/>
      <c r="J713" s="56"/>
      <c r="K713" s="56"/>
      <c r="M713" s="31"/>
      <c r="N713" s="26"/>
    </row>
    <row r="714" spans="8:14" x14ac:dyDescent="0.2">
      <c r="H714" s="22"/>
      <c r="I714" s="16"/>
      <c r="J714" s="56"/>
      <c r="K714" s="56"/>
      <c r="M714" s="31"/>
      <c r="N714" s="26"/>
    </row>
  </sheetData>
  <phoneticPr fontId="6" type="noConversion"/>
  <conditionalFormatting sqref="J22">
    <cfRule type="cellIs" dxfId="2" priority="1" operator="greaterThanOrEqual">
      <formula>0</formula>
    </cfRule>
    <cfRule type="cellIs" dxfId="1" priority="2" operator="lessThan">
      <formula>0</formula>
    </cfRule>
  </conditionalFormatting>
  <pageMargins left="0.7" right="0.7" top="0.75" bottom="0.75" header="0.3" footer="0.3"/>
  <pageSetup paperSize="9" orientation="portrait" r:id="rId1"/>
  <headerFooter>
    <oddFooter>&amp;C&amp;1#&amp;"Calibri"&amp;12&amp;K000000Classification: Pandora Internal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twbrefresh">
                <anchor moveWithCells="1" sizeWithCells="1">
                  <from>
                    <xdr:col>6</xdr:col>
                    <xdr:colOff>28575</xdr:colOff>
                    <xdr:row>2</xdr:row>
                    <xdr:rowOff>171450</xdr:rowOff>
                  </from>
                  <to>
                    <xdr:col>7</xdr:col>
                    <xdr:colOff>180975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btnAllocation_Click">
                <anchor moveWithCells="1" sizeWithCells="1">
                  <from>
                    <xdr:col>7</xdr:col>
                    <xdr:colOff>466725</xdr:colOff>
                    <xdr:row>2</xdr:row>
                    <xdr:rowOff>171450</xdr:rowOff>
                  </from>
                  <to>
                    <xdr:col>8</xdr:col>
                    <xdr:colOff>1571625</xdr:colOff>
                    <xdr:row>6</xdr:row>
                    <xdr:rowOff>47625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141A5B-714D-41C2-A117-8F9F7AB66979}">
  <sheetPr codeName="Sheet10"/>
  <dimension ref="A1:B3"/>
  <sheetViews>
    <sheetView workbookViewId="0">
      <selection activeCell="M16" sqref="M16"/>
    </sheetView>
  </sheetViews>
  <sheetFormatPr defaultRowHeight="14.25" x14ac:dyDescent="0.2"/>
  <cols>
    <col min="2" max="2" width="13.25" style="23" bestFit="1" customWidth="1"/>
  </cols>
  <sheetData>
    <row r="1" spans="1:2" x14ac:dyDescent="0.2">
      <c r="A1" t="s">
        <v>126</v>
      </c>
      <c r="B1" s="23">
        <f>SUM(ProductionOrdersByItem_Plastic[QtySched])</f>
        <v>511920</v>
      </c>
    </row>
    <row r="2" spans="1:2" x14ac:dyDescent="0.2">
      <c r="A2" t="s">
        <v>127</v>
      </c>
      <c r="B2" s="23">
        <f>SUM(ProductionOrdersByItem_Display[QtySched])</f>
        <v>1567285</v>
      </c>
    </row>
    <row r="3" spans="1:2" x14ac:dyDescent="0.2">
      <c r="B3" s="23">
        <f>B1+B2</f>
        <v>2079205</v>
      </c>
    </row>
  </sheetData>
  <pageMargins left="0.7" right="0.7" top="0.75" bottom="0.75" header="0.3" footer="0.3"/>
  <pageSetup paperSize="9" orientation="portrait" horizontalDpi="1200" verticalDpi="1200" r:id="rId1"/>
  <headerFooter>
    <oddFooter>&amp;C&amp;1#&amp;"Calibri"&amp;12&amp;K000000Classification: Pandora Internal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CD56E-25F1-4FC0-BC10-53499DB06317}">
  <sheetPr codeName="Sheet6">
    <tabColor rgb="FF00B0F0"/>
  </sheetPr>
  <dimension ref="A1:R56"/>
  <sheetViews>
    <sheetView showGridLines="0" workbookViewId="0">
      <selection activeCell="N49" sqref="N49"/>
    </sheetView>
  </sheetViews>
  <sheetFormatPr defaultRowHeight="14.25" x14ac:dyDescent="0.2"/>
  <cols>
    <col min="8" max="8" width="22" bestFit="1" customWidth="1"/>
    <col min="9" max="9" width="16.25" bestFit="1" customWidth="1"/>
    <col min="10" max="10" width="6.125" bestFit="1" customWidth="1"/>
    <col min="11" max="11" width="7.75" customWidth="1"/>
    <col min="12" max="12" width="11.25" bestFit="1" customWidth="1"/>
    <col min="13" max="13" width="23" bestFit="1" customWidth="1"/>
    <col min="14" max="14" width="22" bestFit="1" customWidth="1"/>
    <col min="15" max="15" width="23" bestFit="1" customWidth="1"/>
    <col min="16" max="16" width="27" bestFit="1" customWidth="1"/>
    <col min="17" max="17" width="28" bestFit="1" customWidth="1"/>
  </cols>
  <sheetData>
    <row r="1" spans="1:18" ht="30" x14ac:dyDescent="0.4">
      <c r="A1" s="1" t="s">
        <v>133</v>
      </c>
    </row>
    <row r="3" spans="1:18" x14ac:dyDescent="0.2">
      <c r="L3" s="29" t="s">
        <v>82</v>
      </c>
      <c r="M3" s="29" t="s">
        <v>83</v>
      </c>
    </row>
    <row r="4" spans="1:18" x14ac:dyDescent="0.2">
      <c r="M4">
        <v>0</v>
      </c>
      <c r="O4" t="s">
        <v>11056</v>
      </c>
      <c r="P4">
        <v>1</v>
      </c>
      <c r="Q4" t="s">
        <v>11057</v>
      </c>
      <c r="R4" t="s">
        <v>81</v>
      </c>
    </row>
    <row r="5" spans="1:18" x14ac:dyDescent="0.2">
      <c r="L5" s="29" t="s">
        <v>80</v>
      </c>
      <c r="M5">
        <v>0</v>
      </c>
      <c r="N5">
        <v>1</v>
      </c>
      <c r="P5">
        <v>0</v>
      </c>
    </row>
    <row r="6" spans="1:18" x14ac:dyDescent="0.2">
      <c r="L6" s="30" t="s">
        <v>84</v>
      </c>
      <c r="M6" s="32">
        <v>0.92454777290408752</v>
      </c>
      <c r="N6" s="32">
        <v>2.516058760273408E-2</v>
      </c>
      <c r="O6" s="32">
        <v>0.94970836050682172</v>
      </c>
      <c r="P6" s="32">
        <v>5.0291639493178393E-2</v>
      </c>
      <c r="Q6" s="32">
        <v>5.0291639493178393E-2</v>
      </c>
      <c r="R6" s="32">
        <v>1</v>
      </c>
    </row>
    <row r="7" spans="1:18" x14ac:dyDescent="0.2">
      <c r="L7" s="30" t="s">
        <v>87</v>
      </c>
      <c r="M7" s="32">
        <v>0.92042590537386793</v>
      </c>
      <c r="N7" s="32">
        <v>2.5200621442760807E-2</v>
      </c>
      <c r="O7" s="32">
        <v>0.94562652681662873</v>
      </c>
      <c r="P7" s="32">
        <v>5.437347318337122E-2</v>
      </c>
      <c r="Q7" s="32">
        <v>5.437347318337122E-2</v>
      </c>
      <c r="R7" s="32">
        <v>1</v>
      </c>
    </row>
    <row r="8" spans="1:18" x14ac:dyDescent="0.2">
      <c r="L8" s="30" t="s">
        <v>88</v>
      </c>
      <c r="M8" s="32">
        <v>0.92859863925103514</v>
      </c>
      <c r="N8" s="32">
        <v>2.3688808880237815E-2</v>
      </c>
      <c r="O8" s="32">
        <v>0.95228744813127297</v>
      </c>
      <c r="P8" s="32">
        <v>4.7712551868726999E-2</v>
      </c>
      <c r="Q8" s="32">
        <v>4.7712551868726999E-2</v>
      </c>
      <c r="R8" s="32">
        <v>1</v>
      </c>
    </row>
    <row r="9" spans="1:18" x14ac:dyDescent="0.2">
      <c r="L9" s="30" t="s">
        <v>89</v>
      </c>
      <c r="M9" s="32">
        <v>0.93425230833857953</v>
      </c>
      <c r="N9" s="32">
        <v>1.9660144656965708E-2</v>
      </c>
      <c r="O9" s="32">
        <v>0.95391245299554517</v>
      </c>
      <c r="P9" s="32">
        <v>4.608754700445486E-2</v>
      </c>
      <c r="Q9" s="32">
        <v>4.608754700445486E-2</v>
      </c>
      <c r="R9" s="32">
        <v>1</v>
      </c>
    </row>
    <row r="10" spans="1:18" x14ac:dyDescent="0.2">
      <c r="L10" s="30" t="s">
        <v>90</v>
      </c>
      <c r="M10" s="32">
        <v>0.92854147903649165</v>
      </c>
      <c r="N10" s="32">
        <v>2.5310497799604963E-2</v>
      </c>
      <c r="O10" s="32">
        <v>0.95385197683609657</v>
      </c>
      <c r="P10" s="32">
        <v>4.614802316390345E-2</v>
      </c>
      <c r="Q10" s="32">
        <v>4.614802316390345E-2</v>
      </c>
      <c r="R10" s="32">
        <v>1</v>
      </c>
    </row>
    <row r="11" spans="1:18" x14ac:dyDescent="0.2">
      <c r="L11" s="30" t="s">
        <v>91</v>
      </c>
      <c r="M11" s="32">
        <v>0.92715842937819348</v>
      </c>
      <c r="N11" s="32">
        <v>2.3524100720110085E-2</v>
      </c>
      <c r="O11" s="32">
        <v>0.95068253009830361</v>
      </c>
      <c r="P11" s="32">
        <v>4.9317469901696435E-2</v>
      </c>
      <c r="Q11" s="32">
        <v>4.9317469901696435E-2</v>
      </c>
      <c r="R11" s="32">
        <v>1</v>
      </c>
    </row>
    <row r="12" spans="1:18" x14ac:dyDescent="0.2">
      <c r="L12" s="30" t="s">
        <v>92</v>
      </c>
      <c r="M12" s="32">
        <v>0.91978870240081179</v>
      </c>
      <c r="N12" s="32">
        <v>2.5224179475079468E-2</v>
      </c>
      <c r="O12" s="32">
        <v>0.94501288187589128</v>
      </c>
      <c r="P12" s="32">
        <v>5.4987118124108732E-2</v>
      </c>
      <c r="Q12" s="32">
        <v>5.4987118124108732E-2</v>
      </c>
      <c r="R12" s="32">
        <v>1</v>
      </c>
    </row>
    <row r="13" spans="1:18" x14ac:dyDescent="0.2">
      <c r="L13" s="30" t="s">
        <v>93</v>
      </c>
      <c r="M13" s="32">
        <v>0.92865043810779491</v>
      </c>
      <c r="N13" s="32">
        <v>2.5201532800509702E-2</v>
      </c>
      <c r="O13" s="32">
        <v>0.95385197090830465</v>
      </c>
      <c r="P13" s="32">
        <v>4.6148029091695401E-2</v>
      </c>
      <c r="Q13" s="32">
        <v>4.6148029091695401E-2</v>
      </c>
      <c r="R13" s="32">
        <v>1</v>
      </c>
    </row>
    <row r="14" spans="1:18" x14ac:dyDescent="0.2">
      <c r="L14" s="30" t="s">
        <v>94</v>
      </c>
      <c r="M14" s="32">
        <v>0.88607272344688848</v>
      </c>
      <c r="N14" s="32">
        <v>2.4900430183333877E-2</v>
      </c>
      <c r="O14" s="32">
        <v>0.91097315363022235</v>
      </c>
      <c r="P14" s="32">
        <v>8.9026846369777674E-2</v>
      </c>
      <c r="Q14" s="32">
        <v>8.9026846369777674E-2</v>
      </c>
      <c r="R14" s="32">
        <v>1</v>
      </c>
    </row>
    <row r="15" spans="1:18" x14ac:dyDescent="0.2">
      <c r="L15" s="30" t="s">
        <v>95</v>
      </c>
      <c r="M15" s="32">
        <v>0.88889011327067191</v>
      </c>
      <c r="N15" s="32">
        <v>2.0992703018241299E-2</v>
      </c>
      <c r="O15" s="32">
        <v>0.90988281628891321</v>
      </c>
      <c r="P15" s="32">
        <v>9.0117183711086776E-2</v>
      </c>
      <c r="Q15" s="32">
        <v>9.0117183711086776E-2</v>
      </c>
      <c r="R15" s="32">
        <v>1</v>
      </c>
    </row>
    <row r="16" spans="1:18" x14ac:dyDescent="0.2">
      <c r="L16" s="30" t="s">
        <v>96</v>
      </c>
      <c r="M16" s="32">
        <v>0.92517505864519478</v>
      </c>
      <c r="N16" s="32">
        <v>2.4336636217277552E-2</v>
      </c>
      <c r="O16" s="32">
        <v>0.94951169486247244</v>
      </c>
      <c r="P16" s="32">
        <v>5.0488305137527591E-2</v>
      </c>
      <c r="Q16" s="32">
        <v>5.0488305137527591E-2</v>
      </c>
      <c r="R16" s="32">
        <v>1</v>
      </c>
    </row>
    <row r="17" spans="12:18" x14ac:dyDescent="0.2">
      <c r="L17" s="30" t="s">
        <v>97</v>
      </c>
      <c r="M17" s="32">
        <v>0.93092100563909386</v>
      </c>
      <c r="N17" s="32">
        <v>2.1032271541895058E-2</v>
      </c>
      <c r="O17" s="32">
        <v>0.95195327718098888</v>
      </c>
      <c r="P17" s="32">
        <v>4.8046722819011137E-2</v>
      </c>
      <c r="Q17" s="32">
        <v>4.8046722819011137E-2</v>
      </c>
      <c r="R17" s="32">
        <v>1</v>
      </c>
    </row>
    <row r="18" spans="12:18" x14ac:dyDescent="0.2">
      <c r="L18" s="30" t="s">
        <v>98</v>
      </c>
      <c r="M18" s="32">
        <v>0.94087809313143533</v>
      </c>
      <c r="N18" s="32">
        <v>1.5828400964327281E-2</v>
      </c>
      <c r="O18" s="32">
        <v>0.95670649409576258</v>
      </c>
      <c r="P18" s="32">
        <v>4.3293505904237382E-2</v>
      </c>
      <c r="Q18" s="32">
        <v>4.3293505904237382E-2</v>
      </c>
      <c r="R18" s="32">
        <v>1</v>
      </c>
    </row>
    <row r="19" spans="12:18" x14ac:dyDescent="0.2">
      <c r="L19" s="30" t="s">
        <v>99</v>
      </c>
      <c r="M19" s="32">
        <v>0.93467336945641899</v>
      </c>
      <c r="N19" s="32">
        <v>1.5914992570752271E-2</v>
      </c>
      <c r="O19" s="32">
        <v>0.95058836202717123</v>
      </c>
      <c r="P19" s="32">
        <v>4.9411637972828805E-2</v>
      </c>
      <c r="Q19" s="32">
        <v>4.9411637972828805E-2</v>
      </c>
      <c r="R19" s="32">
        <v>1</v>
      </c>
    </row>
    <row r="20" spans="12:18" x14ac:dyDescent="0.2">
      <c r="L20" s="30" t="s">
        <v>100</v>
      </c>
      <c r="M20" s="32">
        <v>0.88692139187712526</v>
      </c>
      <c r="N20" s="32">
        <v>1.6864822934141783E-2</v>
      </c>
      <c r="O20" s="32">
        <v>0.90378621481126697</v>
      </c>
      <c r="P20" s="32">
        <v>9.6213785188733025E-2</v>
      </c>
      <c r="Q20" s="32">
        <v>9.6213785188733025E-2</v>
      </c>
      <c r="R20" s="32">
        <v>1</v>
      </c>
    </row>
    <row r="21" spans="12:18" x14ac:dyDescent="0.2">
      <c r="L21" s="30" t="s">
        <v>101</v>
      </c>
      <c r="M21" s="32">
        <v>0.93891985086297158</v>
      </c>
      <c r="N21" s="32">
        <v>1.6223143255327734E-2</v>
      </c>
      <c r="O21" s="32">
        <v>0.95514299411829928</v>
      </c>
      <c r="P21" s="32">
        <v>4.4857005881700725E-2</v>
      </c>
      <c r="Q21" s="32">
        <v>4.4857005881700725E-2</v>
      </c>
      <c r="R21" s="32">
        <v>1</v>
      </c>
    </row>
    <row r="22" spans="12:18" x14ac:dyDescent="0.2">
      <c r="L22" s="30" t="s">
        <v>103</v>
      </c>
      <c r="M22" s="32">
        <v>0.92712230585549205</v>
      </c>
      <c r="N22" s="32">
        <v>1.6179185727300052E-2</v>
      </c>
      <c r="O22" s="32">
        <v>0.94330149158279208</v>
      </c>
      <c r="P22" s="32">
        <v>5.6698508417207957E-2</v>
      </c>
      <c r="Q22" s="32">
        <v>5.6698508417207957E-2</v>
      </c>
      <c r="R22" s="32">
        <v>1</v>
      </c>
    </row>
    <row r="23" spans="12:18" x14ac:dyDescent="0.2">
      <c r="L23" s="30" t="s">
        <v>104</v>
      </c>
      <c r="M23" s="32">
        <v>0.93540314726224971</v>
      </c>
      <c r="N23" s="32">
        <v>1.6243436693581807E-2</v>
      </c>
      <c r="O23" s="32">
        <v>0.95164658395583157</v>
      </c>
      <c r="P23" s="32">
        <v>4.8353416044168498E-2</v>
      </c>
      <c r="Q23" s="32">
        <v>4.8353416044168498E-2</v>
      </c>
      <c r="R23" s="32">
        <v>1</v>
      </c>
    </row>
    <row r="24" spans="12:18" x14ac:dyDescent="0.2">
      <c r="L24" s="30" t="s">
        <v>105</v>
      </c>
      <c r="M24" s="32">
        <v>0.89312262310118629</v>
      </c>
      <c r="N24" s="32">
        <v>1.6687735589762446E-2</v>
      </c>
      <c r="O24" s="32">
        <v>0.90981035869094873</v>
      </c>
      <c r="P24" s="32">
        <v>9.0189641309051286E-2</v>
      </c>
      <c r="Q24" s="32">
        <v>9.0189641309051286E-2</v>
      </c>
      <c r="R24" s="32">
        <v>1</v>
      </c>
    </row>
    <row r="25" spans="12:18" x14ac:dyDescent="0.2">
      <c r="L25" s="30" t="s">
        <v>81</v>
      </c>
      <c r="M25" s="32">
        <v>0.92117556258120359</v>
      </c>
      <c r="N25" s="32">
        <v>2.0925712130634478E-2</v>
      </c>
      <c r="O25" s="32">
        <v>0.94210127471183791</v>
      </c>
      <c r="P25" s="32">
        <v>5.7898725288162096E-2</v>
      </c>
      <c r="Q25" s="32">
        <v>5.7898725288162096E-2</v>
      </c>
      <c r="R25" s="32">
        <v>1</v>
      </c>
    </row>
    <row r="36" spans="12:13" x14ac:dyDescent="0.2">
      <c r="L36" s="29" t="s">
        <v>80</v>
      </c>
      <c r="M36" t="s">
        <v>11058</v>
      </c>
    </row>
    <row r="37" spans="12:13" x14ac:dyDescent="0.2">
      <c r="L37" s="30" t="s">
        <v>84</v>
      </c>
      <c r="M37" s="67">
        <v>394570</v>
      </c>
    </row>
    <row r="38" spans="12:13" x14ac:dyDescent="0.2">
      <c r="L38" s="30" t="s">
        <v>87</v>
      </c>
      <c r="M38" s="67">
        <v>394580</v>
      </c>
    </row>
    <row r="39" spans="12:13" x14ac:dyDescent="0.2">
      <c r="L39" s="30" t="s">
        <v>88</v>
      </c>
      <c r="M39" s="67">
        <v>412170</v>
      </c>
    </row>
    <row r="40" spans="12:13" x14ac:dyDescent="0.2">
      <c r="L40" s="30" t="s">
        <v>89</v>
      </c>
      <c r="M40" s="67">
        <v>394440</v>
      </c>
    </row>
    <row r="41" spans="12:13" x14ac:dyDescent="0.2">
      <c r="L41" s="30" t="s">
        <v>90</v>
      </c>
      <c r="M41" s="67">
        <v>394860</v>
      </c>
    </row>
    <row r="42" spans="12:13" x14ac:dyDescent="0.2">
      <c r="L42" s="30" t="s">
        <v>91</v>
      </c>
      <c r="M42" s="67">
        <v>394520</v>
      </c>
    </row>
    <row r="43" spans="12:13" x14ac:dyDescent="0.2">
      <c r="L43" s="30" t="s">
        <v>92</v>
      </c>
      <c r="M43" s="67">
        <v>394870</v>
      </c>
    </row>
    <row r="44" spans="12:13" x14ac:dyDescent="0.2">
      <c r="L44" s="30" t="s">
        <v>93</v>
      </c>
      <c r="M44" s="67">
        <v>395770</v>
      </c>
    </row>
    <row r="45" spans="12:13" x14ac:dyDescent="0.2">
      <c r="L45" s="30" t="s">
        <v>94</v>
      </c>
      <c r="M45" s="67">
        <v>411050</v>
      </c>
    </row>
    <row r="46" spans="12:13" x14ac:dyDescent="0.2">
      <c r="L46" s="30" t="s">
        <v>95</v>
      </c>
      <c r="M46" s="67">
        <v>394805</v>
      </c>
    </row>
    <row r="47" spans="12:13" x14ac:dyDescent="0.2">
      <c r="L47" s="30" t="s">
        <v>96</v>
      </c>
      <c r="M47" s="67">
        <v>395795</v>
      </c>
    </row>
    <row r="48" spans="12:13" x14ac:dyDescent="0.2">
      <c r="L48" s="30" t="s">
        <v>97</v>
      </c>
      <c r="M48" s="67">
        <v>395770</v>
      </c>
    </row>
    <row r="49" spans="12:13" x14ac:dyDescent="0.2">
      <c r="L49" s="30" t="s">
        <v>98</v>
      </c>
      <c r="M49" s="67">
        <v>394440</v>
      </c>
    </row>
    <row r="50" spans="12:13" x14ac:dyDescent="0.2">
      <c r="L50" s="30" t="s">
        <v>99</v>
      </c>
      <c r="M50" s="67">
        <v>394790</v>
      </c>
    </row>
    <row r="51" spans="12:13" x14ac:dyDescent="0.2">
      <c r="L51" s="30" t="s">
        <v>100</v>
      </c>
      <c r="M51" s="67">
        <v>394565</v>
      </c>
    </row>
    <row r="52" spans="12:13" x14ac:dyDescent="0.2">
      <c r="L52" s="30" t="s">
        <v>101</v>
      </c>
      <c r="M52" s="67">
        <v>394570</v>
      </c>
    </row>
    <row r="53" spans="12:13" x14ac:dyDescent="0.2">
      <c r="L53" s="30" t="s">
        <v>103</v>
      </c>
      <c r="M53" s="67">
        <v>395990</v>
      </c>
    </row>
    <row r="54" spans="12:13" x14ac:dyDescent="0.2">
      <c r="L54" s="30" t="s">
        <v>104</v>
      </c>
      <c r="M54" s="67">
        <v>394630</v>
      </c>
    </row>
    <row r="55" spans="12:13" x14ac:dyDescent="0.2">
      <c r="L55" s="30" t="s">
        <v>105</v>
      </c>
      <c r="M55" s="67">
        <v>395030</v>
      </c>
    </row>
    <row r="56" spans="12:13" x14ac:dyDescent="0.2">
      <c r="L56" s="30" t="s">
        <v>81</v>
      </c>
      <c r="M56" s="67">
        <v>7537215</v>
      </c>
    </row>
  </sheetData>
  <pageMargins left="0.7" right="0.7" top="0.75" bottom="0.75" header="0.3" footer="0.3"/>
  <pageSetup paperSize="9" orientation="portrait" r:id="rId3"/>
  <headerFooter>
    <oddFooter>&amp;C&amp;1#&amp;"Calibri"&amp;12&amp;K000000Classification: Pandora Internal</oddFooter>
  </headerFooter>
  <drawing r:id="rId4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BB75F2-B023-4175-8C61-09867CA52FD4}">
  <sheetPr codeName="Sheet5">
    <tabColor rgb="FF00B0F0"/>
  </sheetPr>
  <dimension ref="A1:Q4351"/>
  <sheetViews>
    <sheetView showGridLines="0" topLeftCell="D1" zoomScale="80" zoomScaleNormal="80" workbookViewId="0">
      <selection activeCell="A13" sqref="A13:L4351"/>
    </sheetView>
  </sheetViews>
  <sheetFormatPr defaultRowHeight="14.25" x14ac:dyDescent="0.2"/>
  <cols>
    <col min="1" max="1" width="14.125" bestFit="1" customWidth="1"/>
    <col min="2" max="2" width="14.875" customWidth="1"/>
    <col min="3" max="3" width="10" bestFit="1" customWidth="1"/>
    <col min="4" max="4" width="11.75" bestFit="1" customWidth="1"/>
    <col min="5" max="5" width="17.375" bestFit="1" customWidth="1"/>
    <col min="6" max="6" width="16.375" bestFit="1" customWidth="1"/>
    <col min="7" max="9" width="16.375" customWidth="1"/>
    <col min="10" max="10" width="10" bestFit="1" customWidth="1"/>
    <col min="11" max="11" width="16.375" customWidth="1"/>
    <col min="12" max="12" width="15.375" bestFit="1" customWidth="1"/>
    <col min="15" max="15" width="15.25" bestFit="1" customWidth="1"/>
    <col min="16" max="16" width="23" bestFit="1" customWidth="1"/>
    <col min="17" max="17" width="17.25" bestFit="1" customWidth="1"/>
    <col min="18" max="19" width="15" bestFit="1" customWidth="1"/>
  </cols>
  <sheetData>
    <row r="1" spans="1:17" ht="30" x14ac:dyDescent="0.4">
      <c r="A1" s="1" t="s">
        <v>123</v>
      </c>
    </row>
    <row r="3" spans="1:17" x14ac:dyDescent="0.2">
      <c r="G3" s="23"/>
    </row>
    <row r="4" spans="1:17" x14ac:dyDescent="0.2">
      <c r="A4" s="34" t="s">
        <v>131</v>
      </c>
      <c r="B4" s="34"/>
      <c r="C4" s="38">
        <f>r_Consumption</f>
        <v>1851.0011697417197</v>
      </c>
      <c r="D4" s="40">
        <f>C4/$C$4</f>
        <v>1</v>
      </c>
    </row>
    <row r="5" spans="1:17" x14ac:dyDescent="0.2">
      <c r="A5" s="34" t="s">
        <v>130</v>
      </c>
      <c r="B5" s="34"/>
      <c r="C5" s="38" cm="1">
        <f t="array" ref="C5">SUM(IF(NOT(ISBLANK(ProductionOrders_Display[TargetWaxCell])),ProductionOrders_Display[ProductionHour]))</f>
        <v>1851.0011697417065</v>
      </c>
      <c r="D5" s="40">
        <f>C5/$C$4</f>
        <v>0.99999999999999289</v>
      </c>
    </row>
    <row r="6" spans="1:17" x14ac:dyDescent="0.2">
      <c r="A6" s="34" t="s">
        <v>132</v>
      </c>
      <c r="B6" s="34"/>
      <c r="C6" s="39">
        <f>C4-C5</f>
        <v>1.3187673175707459E-11</v>
      </c>
      <c r="D6" s="40">
        <f>C6/$C$4</f>
        <v>7.1246163380586126E-15</v>
      </c>
    </row>
    <row r="8" spans="1:17" x14ac:dyDescent="0.2">
      <c r="D8" t="s">
        <v>171</v>
      </c>
      <c r="E8" t="s">
        <v>168</v>
      </c>
      <c r="G8" s="46">
        <f>SUBTOTAL(109,ProductionOrders_Display[ProductionHour])</f>
        <v>1851.0011697417065</v>
      </c>
    </row>
    <row r="9" spans="1:17" x14ac:dyDescent="0.2">
      <c r="B9" t="s">
        <v>205</v>
      </c>
      <c r="D9" t="s">
        <v>171</v>
      </c>
      <c r="E9" t="s">
        <v>169</v>
      </c>
      <c r="G9" s="46">
        <f>Configuration!D73</f>
        <v>97.76</v>
      </c>
      <c r="H9" s="46">
        <f>G9-G8</f>
        <v>-1753.2411697417065</v>
      </c>
      <c r="I9" s="46"/>
      <c r="J9" s="46"/>
      <c r="K9" s="46"/>
    </row>
    <row r="10" spans="1:17" x14ac:dyDescent="0.2">
      <c r="D10" t="s">
        <v>171</v>
      </c>
      <c r="E10" t="s">
        <v>170</v>
      </c>
      <c r="G10" s="18">
        <f>G8/G9</f>
        <v>18.934136351695031</v>
      </c>
    </row>
    <row r="12" spans="1:17" x14ac:dyDescent="0.2">
      <c r="A12" t="s">
        <v>26</v>
      </c>
      <c r="B12" t="s">
        <v>28</v>
      </c>
      <c r="C12" t="s">
        <v>63</v>
      </c>
      <c r="D12" t="s">
        <v>71</v>
      </c>
      <c r="E12" t="s">
        <v>47</v>
      </c>
      <c r="F12" t="s">
        <v>67</v>
      </c>
      <c r="G12" t="s">
        <v>48</v>
      </c>
      <c r="H12" t="s">
        <v>72</v>
      </c>
      <c r="I12" t="s">
        <v>11035</v>
      </c>
      <c r="J12" t="s">
        <v>11036</v>
      </c>
      <c r="K12" t="s">
        <v>11041</v>
      </c>
      <c r="L12" t="s">
        <v>188</v>
      </c>
      <c r="O12" t="s">
        <v>209</v>
      </c>
      <c r="P12" t="s">
        <v>210</v>
      </c>
      <c r="Q12" t="s">
        <v>211</v>
      </c>
    </row>
    <row r="13" spans="1:17" x14ac:dyDescent="0.2">
      <c r="A13" t="s">
        <v>16</v>
      </c>
      <c r="B13" t="s">
        <v>774</v>
      </c>
      <c r="C13">
        <v>1200</v>
      </c>
      <c r="D13" t="s">
        <v>10366</v>
      </c>
      <c r="E13" t="s">
        <v>773</v>
      </c>
      <c r="F13">
        <v>6</v>
      </c>
      <c r="G13">
        <v>0.85933398355858981</v>
      </c>
      <c r="H13" t="s">
        <v>84</v>
      </c>
      <c r="I13">
        <v>1</v>
      </c>
      <c r="J13">
        <v>1200</v>
      </c>
      <c r="K13">
        <v>0</v>
      </c>
      <c r="O13" s="58">
        <f>SUM(ProductionOrders_Display[QtySched])</f>
        <v>1567285</v>
      </c>
      <c r="P13" s="58">
        <f>PreAllocation!J28</f>
        <v>1567285</v>
      </c>
      <c r="Q13" s="26">
        <f>O13-P13</f>
        <v>0</v>
      </c>
    </row>
    <row r="14" spans="1:17" x14ac:dyDescent="0.2">
      <c r="A14" t="s">
        <v>16</v>
      </c>
      <c r="B14" t="s">
        <v>774</v>
      </c>
      <c r="C14">
        <v>1200</v>
      </c>
      <c r="D14" t="s">
        <v>10351</v>
      </c>
      <c r="E14" t="s">
        <v>773</v>
      </c>
      <c r="F14">
        <v>6</v>
      </c>
      <c r="G14">
        <v>0.85933398355858981</v>
      </c>
      <c r="H14" t="s">
        <v>87</v>
      </c>
      <c r="I14">
        <v>1</v>
      </c>
      <c r="J14">
        <v>1200</v>
      </c>
      <c r="K14">
        <v>0</v>
      </c>
    </row>
    <row r="15" spans="1:17" x14ac:dyDescent="0.2">
      <c r="A15" t="s">
        <v>16</v>
      </c>
      <c r="B15" t="s">
        <v>774</v>
      </c>
      <c r="C15">
        <v>1200</v>
      </c>
      <c r="D15" t="s">
        <v>10348</v>
      </c>
      <c r="E15" t="s">
        <v>773</v>
      </c>
      <c r="F15">
        <v>6</v>
      </c>
      <c r="G15">
        <v>0.85933398355858981</v>
      </c>
      <c r="H15" t="s">
        <v>88</v>
      </c>
      <c r="I15">
        <v>1</v>
      </c>
      <c r="J15">
        <v>1200</v>
      </c>
      <c r="K15">
        <v>0</v>
      </c>
    </row>
    <row r="16" spans="1:17" x14ac:dyDescent="0.2">
      <c r="A16" t="s">
        <v>16</v>
      </c>
      <c r="B16" t="s">
        <v>774</v>
      </c>
      <c r="C16">
        <v>1200</v>
      </c>
      <c r="D16" t="s">
        <v>10352</v>
      </c>
      <c r="E16" t="s">
        <v>773</v>
      </c>
      <c r="F16">
        <v>6</v>
      </c>
      <c r="G16">
        <v>0.85933398355858981</v>
      </c>
      <c r="H16" t="s">
        <v>89</v>
      </c>
      <c r="I16">
        <v>1</v>
      </c>
      <c r="J16">
        <v>1200</v>
      </c>
      <c r="K16">
        <v>0</v>
      </c>
    </row>
    <row r="17" spans="1:11" x14ac:dyDescent="0.2">
      <c r="A17" t="s">
        <v>16</v>
      </c>
      <c r="B17" t="s">
        <v>774</v>
      </c>
      <c r="C17">
        <v>1200</v>
      </c>
      <c r="D17" t="s">
        <v>10353</v>
      </c>
      <c r="E17" t="s">
        <v>773</v>
      </c>
      <c r="F17">
        <v>6</v>
      </c>
      <c r="G17">
        <v>0.85933398355858981</v>
      </c>
      <c r="H17" t="s">
        <v>90</v>
      </c>
      <c r="I17">
        <v>1</v>
      </c>
      <c r="J17">
        <v>1200</v>
      </c>
      <c r="K17">
        <v>0</v>
      </c>
    </row>
    <row r="18" spans="1:11" x14ac:dyDescent="0.2">
      <c r="A18" t="s">
        <v>16</v>
      </c>
      <c r="B18" t="s">
        <v>774</v>
      </c>
      <c r="C18">
        <v>1200</v>
      </c>
      <c r="D18" t="s">
        <v>10367</v>
      </c>
      <c r="E18" t="s">
        <v>773</v>
      </c>
      <c r="F18">
        <v>6</v>
      </c>
      <c r="G18">
        <v>0.85933398355858981</v>
      </c>
      <c r="H18" t="s">
        <v>91</v>
      </c>
      <c r="I18">
        <v>1</v>
      </c>
      <c r="J18">
        <v>1200</v>
      </c>
      <c r="K18">
        <v>0</v>
      </c>
    </row>
    <row r="19" spans="1:11" x14ac:dyDescent="0.2">
      <c r="A19" t="s">
        <v>16</v>
      </c>
      <c r="B19" t="s">
        <v>774</v>
      </c>
      <c r="C19">
        <v>1200</v>
      </c>
      <c r="D19" t="s">
        <v>10347</v>
      </c>
      <c r="E19" t="s">
        <v>773</v>
      </c>
      <c r="F19">
        <v>6</v>
      </c>
      <c r="G19">
        <v>0.85933398355858981</v>
      </c>
      <c r="H19" t="s">
        <v>84</v>
      </c>
      <c r="I19">
        <v>1</v>
      </c>
      <c r="J19">
        <v>1200</v>
      </c>
      <c r="K19">
        <v>0</v>
      </c>
    </row>
    <row r="20" spans="1:11" x14ac:dyDescent="0.2">
      <c r="A20" t="s">
        <v>16</v>
      </c>
      <c r="B20" t="s">
        <v>774</v>
      </c>
      <c r="C20">
        <v>1200</v>
      </c>
      <c r="D20" t="s">
        <v>10350</v>
      </c>
      <c r="E20" t="s">
        <v>773</v>
      </c>
      <c r="F20">
        <v>6</v>
      </c>
      <c r="G20">
        <v>0.85933398355858981</v>
      </c>
      <c r="H20" t="s">
        <v>87</v>
      </c>
      <c r="I20">
        <v>1</v>
      </c>
      <c r="J20">
        <v>1200</v>
      </c>
      <c r="K20">
        <v>0</v>
      </c>
    </row>
    <row r="21" spans="1:11" x14ac:dyDescent="0.2">
      <c r="A21" t="s">
        <v>16</v>
      </c>
      <c r="B21" t="s">
        <v>774</v>
      </c>
      <c r="C21">
        <v>1200</v>
      </c>
      <c r="D21" t="s">
        <v>10360</v>
      </c>
      <c r="E21" t="s">
        <v>773</v>
      </c>
      <c r="F21">
        <v>6</v>
      </c>
      <c r="G21">
        <v>0.85933398355858981</v>
      </c>
      <c r="H21" t="s">
        <v>88</v>
      </c>
      <c r="I21">
        <v>1</v>
      </c>
      <c r="J21">
        <v>1200</v>
      </c>
      <c r="K21">
        <v>0</v>
      </c>
    </row>
    <row r="22" spans="1:11" x14ac:dyDescent="0.2">
      <c r="A22" t="s">
        <v>16</v>
      </c>
      <c r="B22" t="s">
        <v>774</v>
      </c>
      <c r="C22">
        <v>1200</v>
      </c>
      <c r="D22" t="s">
        <v>10359</v>
      </c>
      <c r="E22" t="s">
        <v>773</v>
      </c>
      <c r="F22">
        <v>6</v>
      </c>
      <c r="G22">
        <v>0.85933398355858981</v>
      </c>
      <c r="H22" t="s">
        <v>89</v>
      </c>
      <c r="I22">
        <v>1</v>
      </c>
      <c r="J22">
        <v>1200</v>
      </c>
      <c r="K22">
        <v>0</v>
      </c>
    </row>
    <row r="23" spans="1:11" x14ac:dyDescent="0.2">
      <c r="A23" t="s">
        <v>16</v>
      </c>
      <c r="B23" t="s">
        <v>774</v>
      </c>
      <c r="C23">
        <v>1200</v>
      </c>
      <c r="D23" t="s">
        <v>10362</v>
      </c>
      <c r="E23" t="s">
        <v>773</v>
      </c>
      <c r="F23">
        <v>6</v>
      </c>
      <c r="G23">
        <v>0.85933398355858981</v>
      </c>
      <c r="H23" t="s">
        <v>90</v>
      </c>
      <c r="I23">
        <v>1</v>
      </c>
      <c r="J23">
        <v>1200</v>
      </c>
      <c r="K23">
        <v>0</v>
      </c>
    </row>
    <row r="24" spans="1:11" x14ac:dyDescent="0.2">
      <c r="A24" t="s">
        <v>16</v>
      </c>
      <c r="B24" t="s">
        <v>774</v>
      </c>
      <c r="C24">
        <v>1200</v>
      </c>
      <c r="D24" t="s">
        <v>10349</v>
      </c>
      <c r="E24" t="s">
        <v>773</v>
      </c>
      <c r="F24">
        <v>6</v>
      </c>
      <c r="G24">
        <v>0.85933398355858981</v>
      </c>
      <c r="H24" t="s">
        <v>91</v>
      </c>
      <c r="I24">
        <v>1</v>
      </c>
      <c r="J24">
        <v>1200</v>
      </c>
      <c r="K24">
        <v>0</v>
      </c>
    </row>
    <row r="25" spans="1:11" x14ac:dyDescent="0.2">
      <c r="A25" t="s">
        <v>16</v>
      </c>
      <c r="B25" t="s">
        <v>774</v>
      </c>
      <c r="C25">
        <v>1200</v>
      </c>
      <c r="D25" t="s">
        <v>10357</v>
      </c>
      <c r="E25" t="s">
        <v>773</v>
      </c>
      <c r="F25">
        <v>6</v>
      </c>
      <c r="G25">
        <v>0.85933398355858981</v>
      </c>
      <c r="H25" t="s">
        <v>84</v>
      </c>
      <c r="I25">
        <v>1</v>
      </c>
      <c r="J25">
        <v>1200</v>
      </c>
      <c r="K25">
        <v>0</v>
      </c>
    </row>
    <row r="26" spans="1:11" x14ac:dyDescent="0.2">
      <c r="A26" t="s">
        <v>16</v>
      </c>
      <c r="B26" t="s">
        <v>774</v>
      </c>
      <c r="C26">
        <v>1200</v>
      </c>
      <c r="D26" t="s">
        <v>10358</v>
      </c>
      <c r="E26" t="s">
        <v>773</v>
      </c>
      <c r="F26">
        <v>6</v>
      </c>
      <c r="G26">
        <v>0.85933398355858981</v>
      </c>
      <c r="H26" t="s">
        <v>87</v>
      </c>
      <c r="I26">
        <v>1</v>
      </c>
      <c r="J26">
        <v>1200</v>
      </c>
      <c r="K26">
        <v>0</v>
      </c>
    </row>
    <row r="27" spans="1:11" x14ac:dyDescent="0.2">
      <c r="A27" t="s">
        <v>16</v>
      </c>
      <c r="B27" t="s">
        <v>774</v>
      </c>
      <c r="C27">
        <v>1200</v>
      </c>
      <c r="D27" t="s">
        <v>10354</v>
      </c>
      <c r="E27" t="s">
        <v>773</v>
      </c>
      <c r="F27">
        <v>6</v>
      </c>
      <c r="G27">
        <v>0.85933398355858981</v>
      </c>
      <c r="H27" t="s">
        <v>88</v>
      </c>
      <c r="I27">
        <v>1</v>
      </c>
      <c r="J27">
        <v>1200</v>
      </c>
      <c r="K27">
        <v>0</v>
      </c>
    </row>
    <row r="28" spans="1:11" x14ac:dyDescent="0.2">
      <c r="A28" t="s">
        <v>16</v>
      </c>
      <c r="B28" t="s">
        <v>774</v>
      </c>
      <c r="C28">
        <v>1200</v>
      </c>
      <c r="D28" t="s">
        <v>10364</v>
      </c>
      <c r="E28" t="s">
        <v>773</v>
      </c>
      <c r="F28">
        <v>6</v>
      </c>
      <c r="G28">
        <v>0.85933398355858981</v>
      </c>
      <c r="H28" t="s">
        <v>89</v>
      </c>
      <c r="I28">
        <v>1</v>
      </c>
      <c r="J28">
        <v>1200</v>
      </c>
      <c r="K28">
        <v>0</v>
      </c>
    </row>
    <row r="29" spans="1:11" x14ac:dyDescent="0.2">
      <c r="A29" t="s">
        <v>16</v>
      </c>
      <c r="B29" t="s">
        <v>774</v>
      </c>
      <c r="C29">
        <v>1200</v>
      </c>
      <c r="D29" t="s">
        <v>10369</v>
      </c>
      <c r="E29" t="s">
        <v>773</v>
      </c>
      <c r="F29">
        <v>6</v>
      </c>
      <c r="G29">
        <v>0.85933398355858981</v>
      </c>
      <c r="H29" t="s">
        <v>90</v>
      </c>
      <c r="I29">
        <v>1</v>
      </c>
      <c r="J29">
        <v>1200</v>
      </c>
      <c r="K29">
        <v>0</v>
      </c>
    </row>
    <row r="30" spans="1:11" x14ac:dyDescent="0.2">
      <c r="A30" t="s">
        <v>16</v>
      </c>
      <c r="B30" t="s">
        <v>774</v>
      </c>
      <c r="C30">
        <v>1200</v>
      </c>
      <c r="D30" t="s">
        <v>10365</v>
      </c>
      <c r="E30" t="s">
        <v>773</v>
      </c>
      <c r="F30">
        <v>6</v>
      </c>
      <c r="G30">
        <v>0.85933398355858981</v>
      </c>
      <c r="H30" t="s">
        <v>91</v>
      </c>
      <c r="I30">
        <v>1</v>
      </c>
      <c r="J30">
        <v>1200</v>
      </c>
      <c r="K30">
        <v>0</v>
      </c>
    </row>
    <row r="31" spans="1:11" x14ac:dyDescent="0.2">
      <c r="A31" t="s">
        <v>16</v>
      </c>
      <c r="B31" t="s">
        <v>774</v>
      </c>
      <c r="C31">
        <v>1200</v>
      </c>
      <c r="D31" t="s">
        <v>10363</v>
      </c>
      <c r="E31" t="s">
        <v>773</v>
      </c>
      <c r="F31">
        <v>6</v>
      </c>
      <c r="G31">
        <v>0.85933398355858981</v>
      </c>
      <c r="H31" t="s">
        <v>84</v>
      </c>
      <c r="I31">
        <v>1</v>
      </c>
      <c r="J31">
        <v>1200</v>
      </c>
      <c r="K31">
        <v>0</v>
      </c>
    </row>
    <row r="32" spans="1:11" x14ac:dyDescent="0.2">
      <c r="A32" t="s">
        <v>16</v>
      </c>
      <c r="B32" t="s">
        <v>774</v>
      </c>
      <c r="C32">
        <v>1200</v>
      </c>
      <c r="D32" t="s">
        <v>10370</v>
      </c>
      <c r="E32" t="s">
        <v>773</v>
      </c>
      <c r="F32">
        <v>6</v>
      </c>
      <c r="G32">
        <v>0.85933398355858981</v>
      </c>
      <c r="H32" t="s">
        <v>87</v>
      </c>
      <c r="I32">
        <v>1</v>
      </c>
      <c r="J32">
        <v>1200</v>
      </c>
      <c r="K32">
        <v>0</v>
      </c>
    </row>
    <row r="33" spans="1:11" x14ac:dyDescent="0.2">
      <c r="A33" t="s">
        <v>16</v>
      </c>
      <c r="B33" t="s">
        <v>774</v>
      </c>
      <c r="C33">
        <v>1200</v>
      </c>
      <c r="D33" t="s">
        <v>10346</v>
      </c>
      <c r="E33" t="s">
        <v>773</v>
      </c>
      <c r="F33">
        <v>6</v>
      </c>
      <c r="G33">
        <v>0.85933398355858981</v>
      </c>
      <c r="H33" t="s">
        <v>88</v>
      </c>
      <c r="I33">
        <v>1</v>
      </c>
      <c r="J33">
        <v>1200</v>
      </c>
      <c r="K33">
        <v>0</v>
      </c>
    </row>
    <row r="34" spans="1:11" x14ac:dyDescent="0.2">
      <c r="A34" t="s">
        <v>16</v>
      </c>
      <c r="B34" t="s">
        <v>774</v>
      </c>
      <c r="C34">
        <v>1200</v>
      </c>
      <c r="D34" t="s">
        <v>10355</v>
      </c>
      <c r="E34" t="s">
        <v>773</v>
      </c>
      <c r="F34">
        <v>6</v>
      </c>
      <c r="G34">
        <v>0.85933398355858981</v>
      </c>
      <c r="H34" t="s">
        <v>89</v>
      </c>
      <c r="I34">
        <v>1</v>
      </c>
      <c r="J34">
        <v>1200</v>
      </c>
      <c r="K34">
        <v>0</v>
      </c>
    </row>
    <row r="35" spans="1:11" x14ac:dyDescent="0.2">
      <c r="A35" t="s">
        <v>16</v>
      </c>
      <c r="B35" t="s">
        <v>774</v>
      </c>
      <c r="C35">
        <v>1200</v>
      </c>
      <c r="D35" t="s">
        <v>10368</v>
      </c>
      <c r="E35" t="s">
        <v>773</v>
      </c>
      <c r="F35">
        <v>6</v>
      </c>
      <c r="G35">
        <v>0.85933398355858981</v>
      </c>
      <c r="H35" t="s">
        <v>90</v>
      </c>
      <c r="I35">
        <v>1</v>
      </c>
      <c r="J35">
        <v>1200</v>
      </c>
      <c r="K35">
        <v>0</v>
      </c>
    </row>
    <row r="36" spans="1:11" x14ac:dyDescent="0.2">
      <c r="A36" t="s">
        <v>16</v>
      </c>
      <c r="B36" t="s">
        <v>774</v>
      </c>
      <c r="C36">
        <v>1200</v>
      </c>
      <c r="D36" t="s">
        <v>10356</v>
      </c>
      <c r="E36" t="s">
        <v>773</v>
      </c>
      <c r="F36">
        <v>6</v>
      </c>
      <c r="G36">
        <v>0.85933398355858981</v>
      </c>
      <c r="H36" t="s">
        <v>91</v>
      </c>
      <c r="I36">
        <v>1</v>
      </c>
      <c r="J36">
        <v>1200</v>
      </c>
      <c r="K36">
        <v>0</v>
      </c>
    </row>
    <row r="37" spans="1:11" x14ac:dyDescent="0.2">
      <c r="A37" t="s">
        <v>16</v>
      </c>
      <c r="B37" t="s">
        <v>772</v>
      </c>
      <c r="C37">
        <v>540</v>
      </c>
      <c r="D37" t="s">
        <v>10371</v>
      </c>
      <c r="E37" t="s">
        <v>773</v>
      </c>
      <c r="F37">
        <v>15</v>
      </c>
      <c r="G37">
        <v>0.55423435689196476</v>
      </c>
      <c r="H37" t="s">
        <v>92</v>
      </c>
      <c r="I37">
        <v>1</v>
      </c>
      <c r="J37">
        <v>540</v>
      </c>
      <c r="K37">
        <v>0</v>
      </c>
    </row>
    <row r="38" spans="1:11" x14ac:dyDescent="0.2">
      <c r="A38" t="s">
        <v>16</v>
      </c>
      <c r="B38" t="s">
        <v>774</v>
      </c>
      <c r="C38">
        <v>400</v>
      </c>
      <c r="D38" t="s">
        <v>10361</v>
      </c>
      <c r="E38" t="s">
        <v>773</v>
      </c>
      <c r="F38">
        <v>6</v>
      </c>
      <c r="G38">
        <v>0.2864446611861966</v>
      </c>
      <c r="H38" t="s">
        <v>84</v>
      </c>
      <c r="I38">
        <v>1</v>
      </c>
      <c r="J38">
        <v>400</v>
      </c>
      <c r="K38">
        <v>0</v>
      </c>
    </row>
    <row r="39" spans="1:11" x14ac:dyDescent="0.2">
      <c r="A39" t="s">
        <v>16</v>
      </c>
      <c r="B39" t="s">
        <v>671</v>
      </c>
      <c r="C39">
        <v>2700</v>
      </c>
      <c r="D39" t="s">
        <v>8880</v>
      </c>
      <c r="E39" t="s">
        <v>166</v>
      </c>
      <c r="F39">
        <v>9</v>
      </c>
      <c r="G39">
        <v>1.1968908226114021</v>
      </c>
      <c r="H39" t="s">
        <v>93</v>
      </c>
      <c r="I39">
        <v>1</v>
      </c>
      <c r="J39">
        <v>0</v>
      </c>
      <c r="K39">
        <v>0</v>
      </c>
    </row>
    <row r="40" spans="1:11" x14ac:dyDescent="0.2">
      <c r="A40" t="s">
        <v>16</v>
      </c>
      <c r="B40" t="s">
        <v>671</v>
      </c>
      <c r="C40">
        <v>900</v>
      </c>
      <c r="D40" t="s">
        <v>8881</v>
      </c>
      <c r="E40" t="s">
        <v>166</v>
      </c>
      <c r="F40">
        <v>9</v>
      </c>
      <c r="G40">
        <v>0.398963607537134</v>
      </c>
      <c r="H40" t="s">
        <v>94</v>
      </c>
      <c r="I40">
        <v>1</v>
      </c>
      <c r="J40">
        <v>0</v>
      </c>
      <c r="K40">
        <v>0</v>
      </c>
    </row>
    <row r="41" spans="1:11" x14ac:dyDescent="0.2">
      <c r="A41" t="s">
        <v>16</v>
      </c>
      <c r="B41" t="s">
        <v>671</v>
      </c>
      <c r="C41">
        <v>2700</v>
      </c>
      <c r="D41" t="s">
        <v>8882</v>
      </c>
      <c r="E41" t="s">
        <v>166</v>
      </c>
      <c r="F41">
        <v>9</v>
      </c>
      <c r="G41">
        <v>1.1968908226114021</v>
      </c>
      <c r="H41" t="s">
        <v>95</v>
      </c>
      <c r="I41">
        <v>1</v>
      </c>
      <c r="J41">
        <v>0</v>
      </c>
      <c r="K41">
        <v>0</v>
      </c>
    </row>
    <row r="42" spans="1:11" x14ac:dyDescent="0.2">
      <c r="A42" t="s">
        <v>16</v>
      </c>
      <c r="B42" t="s">
        <v>671</v>
      </c>
      <c r="C42">
        <v>2700</v>
      </c>
      <c r="D42" t="s">
        <v>8879</v>
      </c>
      <c r="E42" t="s">
        <v>166</v>
      </c>
      <c r="F42">
        <v>9</v>
      </c>
      <c r="G42">
        <v>1.1968908226114021</v>
      </c>
      <c r="H42" t="s">
        <v>96</v>
      </c>
      <c r="I42">
        <v>1</v>
      </c>
      <c r="J42">
        <v>0</v>
      </c>
      <c r="K42">
        <v>0</v>
      </c>
    </row>
    <row r="43" spans="1:11" x14ac:dyDescent="0.2">
      <c r="A43" t="s">
        <v>16</v>
      </c>
      <c r="B43" t="s">
        <v>671</v>
      </c>
      <c r="C43">
        <v>2700</v>
      </c>
      <c r="D43" t="s">
        <v>8878</v>
      </c>
      <c r="E43" t="s">
        <v>166</v>
      </c>
      <c r="F43">
        <v>9</v>
      </c>
      <c r="G43">
        <v>1.1968908226114021</v>
      </c>
      <c r="H43" t="s">
        <v>97</v>
      </c>
      <c r="I43">
        <v>1</v>
      </c>
      <c r="J43">
        <v>0</v>
      </c>
      <c r="K43">
        <v>0</v>
      </c>
    </row>
    <row r="44" spans="1:11" x14ac:dyDescent="0.2">
      <c r="A44" t="s">
        <v>16</v>
      </c>
      <c r="B44" t="s">
        <v>347</v>
      </c>
      <c r="C44">
        <v>750</v>
      </c>
      <c r="D44" t="s">
        <v>8885</v>
      </c>
      <c r="E44" t="s">
        <v>166</v>
      </c>
      <c r="F44">
        <v>27</v>
      </c>
      <c r="G44">
        <v>0.20405588113590656</v>
      </c>
      <c r="H44" t="s">
        <v>98</v>
      </c>
      <c r="I44">
        <v>1</v>
      </c>
      <c r="J44">
        <v>0</v>
      </c>
      <c r="K44">
        <v>0</v>
      </c>
    </row>
    <row r="45" spans="1:11" x14ac:dyDescent="0.2">
      <c r="A45" t="s">
        <v>16</v>
      </c>
      <c r="B45" t="s">
        <v>347</v>
      </c>
      <c r="C45">
        <v>750</v>
      </c>
      <c r="D45" t="s">
        <v>8892</v>
      </c>
      <c r="E45" t="s">
        <v>166</v>
      </c>
      <c r="F45">
        <v>27</v>
      </c>
      <c r="G45">
        <v>0.20405588113590656</v>
      </c>
      <c r="H45" t="s">
        <v>99</v>
      </c>
      <c r="I45">
        <v>1</v>
      </c>
      <c r="J45">
        <v>0</v>
      </c>
      <c r="K45">
        <v>0</v>
      </c>
    </row>
    <row r="46" spans="1:11" x14ac:dyDescent="0.2">
      <c r="A46" t="s">
        <v>16</v>
      </c>
      <c r="B46" t="s">
        <v>347</v>
      </c>
      <c r="C46">
        <v>750</v>
      </c>
      <c r="D46" t="s">
        <v>8887</v>
      </c>
      <c r="E46" t="s">
        <v>166</v>
      </c>
      <c r="F46">
        <v>27</v>
      </c>
      <c r="G46">
        <v>0.20405588113590656</v>
      </c>
      <c r="H46" t="s">
        <v>100</v>
      </c>
      <c r="I46">
        <v>1</v>
      </c>
      <c r="J46">
        <v>0</v>
      </c>
      <c r="K46">
        <v>0</v>
      </c>
    </row>
    <row r="47" spans="1:11" x14ac:dyDescent="0.2">
      <c r="A47" t="s">
        <v>16</v>
      </c>
      <c r="B47" t="s">
        <v>347</v>
      </c>
      <c r="C47">
        <v>750</v>
      </c>
      <c r="D47" t="s">
        <v>8894</v>
      </c>
      <c r="E47" t="s">
        <v>166</v>
      </c>
      <c r="F47">
        <v>27</v>
      </c>
      <c r="G47">
        <v>0.20405588113590656</v>
      </c>
      <c r="H47" t="s">
        <v>101</v>
      </c>
      <c r="I47">
        <v>1</v>
      </c>
      <c r="J47">
        <v>0</v>
      </c>
      <c r="K47">
        <v>0</v>
      </c>
    </row>
    <row r="48" spans="1:11" x14ac:dyDescent="0.2">
      <c r="A48" t="s">
        <v>16</v>
      </c>
      <c r="B48" t="s">
        <v>347</v>
      </c>
      <c r="C48">
        <v>250</v>
      </c>
      <c r="D48" t="s">
        <v>8883</v>
      </c>
      <c r="E48" t="s">
        <v>166</v>
      </c>
      <c r="F48">
        <v>27</v>
      </c>
      <c r="G48">
        <v>6.8018627045302177E-2</v>
      </c>
      <c r="H48" t="s">
        <v>103</v>
      </c>
      <c r="I48">
        <v>1</v>
      </c>
      <c r="J48">
        <v>0</v>
      </c>
      <c r="K48">
        <v>0</v>
      </c>
    </row>
    <row r="49" spans="1:11" x14ac:dyDescent="0.2">
      <c r="A49" t="s">
        <v>16</v>
      </c>
      <c r="B49" t="s">
        <v>347</v>
      </c>
      <c r="C49">
        <v>750</v>
      </c>
      <c r="D49" t="s">
        <v>8891</v>
      </c>
      <c r="E49" t="s">
        <v>166</v>
      </c>
      <c r="F49">
        <v>27</v>
      </c>
      <c r="G49">
        <v>0.20405588113590656</v>
      </c>
      <c r="H49" t="s">
        <v>104</v>
      </c>
      <c r="I49">
        <v>1</v>
      </c>
      <c r="J49">
        <v>0</v>
      </c>
      <c r="K49">
        <v>0</v>
      </c>
    </row>
    <row r="50" spans="1:11" x14ac:dyDescent="0.2">
      <c r="A50" t="s">
        <v>16</v>
      </c>
      <c r="B50" t="s">
        <v>347</v>
      </c>
      <c r="C50">
        <v>250</v>
      </c>
      <c r="D50" t="s">
        <v>8895</v>
      </c>
      <c r="E50" t="s">
        <v>166</v>
      </c>
      <c r="F50">
        <v>27</v>
      </c>
      <c r="G50">
        <v>6.8018627045302177E-2</v>
      </c>
      <c r="H50" t="s">
        <v>105</v>
      </c>
      <c r="I50">
        <v>1</v>
      </c>
      <c r="J50">
        <v>0</v>
      </c>
      <c r="K50">
        <v>0</v>
      </c>
    </row>
    <row r="51" spans="1:11" x14ac:dyDescent="0.2">
      <c r="A51" t="s">
        <v>16</v>
      </c>
      <c r="B51" t="s">
        <v>347</v>
      </c>
      <c r="C51">
        <v>750</v>
      </c>
      <c r="D51" t="s">
        <v>8886</v>
      </c>
      <c r="E51" t="s">
        <v>166</v>
      </c>
      <c r="F51">
        <v>27</v>
      </c>
      <c r="G51">
        <v>0.20405588113590656</v>
      </c>
      <c r="H51" t="s">
        <v>103</v>
      </c>
      <c r="I51">
        <v>1</v>
      </c>
      <c r="J51">
        <v>0</v>
      </c>
      <c r="K51">
        <v>0</v>
      </c>
    </row>
    <row r="52" spans="1:11" x14ac:dyDescent="0.2">
      <c r="A52" t="s">
        <v>16</v>
      </c>
      <c r="B52" t="s">
        <v>347</v>
      </c>
      <c r="C52">
        <v>750</v>
      </c>
      <c r="D52" t="s">
        <v>8884</v>
      </c>
      <c r="E52" t="s">
        <v>166</v>
      </c>
      <c r="F52">
        <v>27</v>
      </c>
      <c r="G52">
        <v>0.20405588113590656</v>
      </c>
      <c r="H52" t="s">
        <v>105</v>
      </c>
      <c r="I52">
        <v>1</v>
      </c>
      <c r="J52">
        <v>0</v>
      </c>
      <c r="K52">
        <v>0</v>
      </c>
    </row>
    <row r="53" spans="1:11" x14ac:dyDescent="0.2">
      <c r="A53" t="s">
        <v>16</v>
      </c>
      <c r="B53" t="s">
        <v>347</v>
      </c>
      <c r="C53">
        <v>500</v>
      </c>
      <c r="D53" t="s">
        <v>8889</v>
      </c>
      <c r="E53" t="s">
        <v>166</v>
      </c>
      <c r="F53">
        <v>27</v>
      </c>
      <c r="G53">
        <v>0.13603725409060435</v>
      </c>
      <c r="H53" t="s">
        <v>98</v>
      </c>
      <c r="I53">
        <v>1</v>
      </c>
      <c r="J53">
        <v>0</v>
      </c>
      <c r="K53">
        <v>0</v>
      </c>
    </row>
    <row r="54" spans="1:11" x14ac:dyDescent="0.2">
      <c r="A54" t="s">
        <v>16</v>
      </c>
      <c r="B54" t="s">
        <v>347</v>
      </c>
      <c r="C54">
        <v>750</v>
      </c>
      <c r="D54" t="s">
        <v>8888</v>
      </c>
      <c r="E54" t="s">
        <v>166</v>
      </c>
      <c r="F54">
        <v>27</v>
      </c>
      <c r="G54">
        <v>0.20405588113590656</v>
      </c>
      <c r="H54" t="s">
        <v>99</v>
      </c>
      <c r="I54">
        <v>1</v>
      </c>
      <c r="J54">
        <v>0</v>
      </c>
      <c r="K54">
        <v>0</v>
      </c>
    </row>
    <row r="55" spans="1:11" x14ac:dyDescent="0.2">
      <c r="A55" t="s">
        <v>16</v>
      </c>
      <c r="B55" t="s">
        <v>347</v>
      </c>
      <c r="C55">
        <v>750</v>
      </c>
      <c r="D55" t="s">
        <v>8890</v>
      </c>
      <c r="E55" t="s">
        <v>166</v>
      </c>
      <c r="F55">
        <v>27</v>
      </c>
      <c r="G55">
        <v>0.20405588113590656</v>
      </c>
      <c r="H55" t="s">
        <v>100</v>
      </c>
      <c r="I55">
        <v>1</v>
      </c>
      <c r="J55">
        <v>0</v>
      </c>
      <c r="K55">
        <v>0</v>
      </c>
    </row>
    <row r="56" spans="1:11" x14ac:dyDescent="0.2">
      <c r="A56" t="s">
        <v>16</v>
      </c>
      <c r="B56" t="s">
        <v>347</v>
      </c>
      <c r="C56">
        <v>750</v>
      </c>
      <c r="D56" t="s">
        <v>8893</v>
      </c>
      <c r="E56" t="s">
        <v>166</v>
      </c>
      <c r="F56">
        <v>27</v>
      </c>
      <c r="G56">
        <v>0.20405588113590656</v>
      </c>
      <c r="H56" t="s">
        <v>101</v>
      </c>
      <c r="I56">
        <v>1</v>
      </c>
      <c r="J56">
        <v>0</v>
      </c>
      <c r="K56">
        <v>0</v>
      </c>
    </row>
    <row r="57" spans="1:11" x14ac:dyDescent="0.2">
      <c r="A57" t="s">
        <v>16</v>
      </c>
      <c r="B57" t="s">
        <v>355</v>
      </c>
      <c r="C57">
        <v>1050</v>
      </c>
      <c r="D57" t="s">
        <v>8904</v>
      </c>
      <c r="E57" t="s">
        <v>166</v>
      </c>
      <c r="F57">
        <v>71</v>
      </c>
      <c r="G57">
        <v>0.70963172224455284</v>
      </c>
      <c r="H57" t="s">
        <v>104</v>
      </c>
      <c r="I57">
        <v>1</v>
      </c>
      <c r="J57">
        <v>0</v>
      </c>
      <c r="K57">
        <v>0</v>
      </c>
    </row>
    <row r="58" spans="1:11" x14ac:dyDescent="0.2">
      <c r="A58" t="s">
        <v>16</v>
      </c>
      <c r="B58" t="s">
        <v>355</v>
      </c>
      <c r="C58">
        <v>350</v>
      </c>
      <c r="D58" t="s">
        <v>8899</v>
      </c>
      <c r="E58" t="s">
        <v>166</v>
      </c>
      <c r="F58">
        <v>71</v>
      </c>
      <c r="G58">
        <v>0.23654390741485096</v>
      </c>
      <c r="H58" t="s">
        <v>103</v>
      </c>
      <c r="I58">
        <v>1</v>
      </c>
      <c r="J58">
        <v>0</v>
      </c>
      <c r="K58">
        <v>0</v>
      </c>
    </row>
    <row r="59" spans="1:11" x14ac:dyDescent="0.2">
      <c r="A59" t="s">
        <v>16</v>
      </c>
      <c r="B59" t="s">
        <v>355</v>
      </c>
      <c r="C59">
        <v>1050</v>
      </c>
      <c r="D59" t="s">
        <v>8912</v>
      </c>
      <c r="E59" t="s">
        <v>166</v>
      </c>
      <c r="F59">
        <v>71</v>
      </c>
      <c r="G59">
        <v>0.70963172224455284</v>
      </c>
      <c r="H59" t="s">
        <v>105</v>
      </c>
      <c r="I59">
        <v>1</v>
      </c>
      <c r="J59">
        <v>0</v>
      </c>
      <c r="K59">
        <v>0</v>
      </c>
    </row>
    <row r="60" spans="1:11" x14ac:dyDescent="0.2">
      <c r="A60" t="s">
        <v>16</v>
      </c>
      <c r="B60" t="s">
        <v>355</v>
      </c>
      <c r="C60">
        <v>1050</v>
      </c>
      <c r="D60" t="s">
        <v>8901</v>
      </c>
      <c r="E60" t="s">
        <v>166</v>
      </c>
      <c r="F60">
        <v>71</v>
      </c>
      <c r="G60">
        <v>0.70963172224455284</v>
      </c>
      <c r="H60" t="s">
        <v>98</v>
      </c>
      <c r="I60">
        <v>1</v>
      </c>
      <c r="J60">
        <v>0</v>
      </c>
      <c r="K60">
        <v>0</v>
      </c>
    </row>
    <row r="61" spans="1:11" x14ac:dyDescent="0.2">
      <c r="A61" t="s">
        <v>16</v>
      </c>
      <c r="B61" t="s">
        <v>355</v>
      </c>
      <c r="C61">
        <v>1050</v>
      </c>
      <c r="D61" t="s">
        <v>8906</v>
      </c>
      <c r="E61" t="s">
        <v>166</v>
      </c>
      <c r="F61">
        <v>71</v>
      </c>
      <c r="G61">
        <v>0.70963172224455284</v>
      </c>
      <c r="H61" t="s">
        <v>94</v>
      </c>
      <c r="I61">
        <v>1</v>
      </c>
      <c r="J61">
        <v>0</v>
      </c>
      <c r="K61">
        <v>0</v>
      </c>
    </row>
    <row r="62" spans="1:11" x14ac:dyDescent="0.2">
      <c r="A62" t="s">
        <v>16</v>
      </c>
      <c r="B62" t="s">
        <v>355</v>
      </c>
      <c r="C62">
        <v>1050</v>
      </c>
      <c r="D62" t="s">
        <v>8898</v>
      </c>
      <c r="E62" t="s">
        <v>166</v>
      </c>
      <c r="F62">
        <v>71</v>
      </c>
      <c r="G62">
        <v>0.70963172224455284</v>
      </c>
      <c r="H62" t="s">
        <v>99</v>
      </c>
      <c r="I62">
        <v>1</v>
      </c>
      <c r="J62">
        <v>0</v>
      </c>
      <c r="K62">
        <v>0</v>
      </c>
    </row>
    <row r="63" spans="1:11" x14ac:dyDescent="0.2">
      <c r="A63" t="s">
        <v>16</v>
      </c>
      <c r="B63" t="s">
        <v>355</v>
      </c>
      <c r="C63">
        <v>1050</v>
      </c>
      <c r="D63" t="s">
        <v>8911</v>
      </c>
      <c r="E63" t="s">
        <v>166</v>
      </c>
      <c r="F63">
        <v>71</v>
      </c>
      <c r="G63">
        <v>0.70963172224455284</v>
      </c>
      <c r="H63" t="s">
        <v>100</v>
      </c>
      <c r="I63">
        <v>1</v>
      </c>
      <c r="J63">
        <v>0</v>
      </c>
      <c r="K63">
        <v>0</v>
      </c>
    </row>
    <row r="64" spans="1:11" x14ac:dyDescent="0.2">
      <c r="A64" t="s">
        <v>16</v>
      </c>
      <c r="B64" t="s">
        <v>355</v>
      </c>
      <c r="C64">
        <v>350</v>
      </c>
      <c r="D64" t="s">
        <v>8909</v>
      </c>
      <c r="E64" t="s">
        <v>166</v>
      </c>
      <c r="F64">
        <v>71</v>
      </c>
      <c r="G64">
        <v>0.23654390741485096</v>
      </c>
      <c r="H64" t="s">
        <v>101</v>
      </c>
      <c r="I64">
        <v>1</v>
      </c>
      <c r="J64">
        <v>0</v>
      </c>
      <c r="K64">
        <v>0</v>
      </c>
    </row>
    <row r="65" spans="1:11" x14ac:dyDescent="0.2">
      <c r="A65" t="s">
        <v>16</v>
      </c>
      <c r="B65" t="s">
        <v>355</v>
      </c>
      <c r="C65">
        <v>1050</v>
      </c>
      <c r="D65" t="s">
        <v>8907</v>
      </c>
      <c r="E65" t="s">
        <v>166</v>
      </c>
      <c r="F65">
        <v>71</v>
      </c>
      <c r="G65">
        <v>0.70963172224455284</v>
      </c>
      <c r="H65" t="s">
        <v>103</v>
      </c>
      <c r="I65">
        <v>1</v>
      </c>
      <c r="J65">
        <v>0</v>
      </c>
      <c r="K65">
        <v>0</v>
      </c>
    </row>
    <row r="66" spans="1:11" x14ac:dyDescent="0.2">
      <c r="A66" t="s">
        <v>16</v>
      </c>
      <c r="B66" t="s">
        <v>355</v>
      </c>
      <c r="C66">
        <v>1050</v>
      </c>
      <c r="D66" t="s">
        <v>8903</v>
      </c>
      <c r="E66" t="s">
        <v>166</v>
      </c>
      <c r="F66">
        <v>71</v>
      </c>
      <c r="G66">
        <v>0.70963172224455284</v>
      </c>
      <c r="H66" t="s">
        <v>92</v>
      </c>
      <c r="I66">
        <v>1</v>
      </c>
      <c r="J66">
        <v>0</v>
      </c>
      <c r="K66">
        <v>0</v>
      </c>
    </row>
    <row r="67" spans="1:11" x14ac:dyDescent="0.2">
      <c r="A67" t="s">
        <v>16</v>
      </c>
      <c r="B67" t="s">
        <v>355</v>
      </c>
      <c r="C67">
        <v>1050</v>
      </c>
      <c r="D67" t="s">
        <v>8897</v>
      </c>
      <c r="E67" t="s">
        <v>166</v>
      </c>
      <c r="F67">
        <v>71</v>
      </c>
      <c r="G67">
        <v>0.70963172224455284</v>
      </c>
      <c r="H67" t="s">
        <v>101</v>
      </c>
      <c r="I67">
        <v>1</v>
      </c>
      <c r="J67">
        <v>0</v>
      </c>
      <c r="K67">
        <v>0</v>
      </c>
    </row>
    <row r="68" spans="1:11" x14ac:dyDescent="0.2">
      <c r="A68" t="s">
        <v>16</v>
      </c>
      <c r="B68" t="s">
        <v>355</v>
      </c>
      <c r="C68">
        <v>1050</v>
      </c>
      <c r="D68" t="s">
        <v>8896</v>
      </c>
      <c r="E68" t="s">
        <v>166</v>
      </c>
      <c r="F68">
        <v>71</v>
      </c>
      <c r="G68">
        <v>0.70963172224455284</v>
      </c>
      <c r="H68" t="s">
        <v>104</v>
      </c>
      <c r="I68">
        <v>1</v>
      </c>
      <c r="J68">
        <v>0</v>
      </c>
      <c r="K68">
        <v>0</v>
      </c>
    </row>
    <row r="69" spans="1:11" x14ac:dyDescent="0.2">
      <c r="A69" t="s">
        <v>16</v>
      </c>
      <c r="B69" t="s">
        <v>355</v>
      </c>
      <c r="C69">
        <v>1050</v>
      </c>
      <c r="D69" t="s">
        <v>8910</v>
      </c>
      <c r="E69" t="s">
        <v>166</v>
      </c>
      <c r="F69">
        <v>71</v>
      </c>
      <c r="G69">
        <v>0.70963172224455284</v>
      </c>
      <c r="H69" t="s">
        <v>105</v>
      </c>
      <c r="I69">
        <v>1</v>
      </c>
      <c r="J69">
        <v>0</v>
      </c>
      <c r="K69">
        <v>0</v>
      </c>
    </row>
    <row r="70" spans="1:11" x14ac:dyDescent="0.2">
      <c r="A70" t="s">
        <v>16</v>
      </c>
      <c r="B70" t="s">
        <v>355</v>
      </c>
      <c r="C70">
        <v>1050</v>
      </c>
      <c r="D70" t="s">
        <v>8900</v>
      </c>
      <c r="E70" t="s">
        <v>166</v>
      </c>
      <c r="F70">
        <v>71</v>
      </c>
      <c r="G70">
        <v>0.70963172224455284</v>
      </c>
      <c r="H70" t="s">
        <v>98</v>
      </c>
      <c r="I70">
        <v>1</v>
      </c>
      <c r="J70">
        <v>0</v>
      </c>
      <c r="K70">
        <v>0</v>
      </c>
    </row>
    <row r="71" spans="1:11" x14ac:dyDescent="0.2">
      <c r="A71" t="s">
        <v>16</v>
      </c>
      <c r="B71" t="s">
        <v>355</v>
      </c>
      <c r="C71">
        <v>1050</v>
      </c>
      <c r="D71" t="s">
        <v>8905</v>
      </c>
      <c r="E71" t="s">
        <v>166</v>
      </c>
      <c r="F71">
        <v>71</v>
      </c>
      <c r="G71">
        <v>0.70963172224455284</v>
      </c>
      <c r="H71" t="s">
        <v>94</v>
      </c>
      <c r="I71">
        <v>1</v>
      </c>
      <c r="J71">
        <v>0</v>
      </c>
      <c r="K71">
        <v>0</v>
      </c>
    </row>
    <row r="72" spans="1:11" x14ac:dyDescent="0.2">
      <c r="A72" t="s">
        <v>16</v>
      </c>
      <c r="B72" t="s">
        <v>355</v>
      </c>
      <c r="C72">
        <v>1050</v>
      </c>
      <c r="D72" t="s">
        <v>8902</v>
      </c>
      <c r="E72" t="s">
        <v>166</v>
      </c>
      <c r="F72">
        <v>71</v>
      </c>
      <c r="G72">
        <v>0.70963172224455284</v>
      </c>
      <c r="H72" t="s">
        <v>99</v>
      </c>
      <c r="I72">
        <v>1</v>
      </c>
      <c r="J72">
        <v>0</v>
      </c>
      <c r="K72">
        <v>0</v>
      </c>
    </row>
    <row r="73" spans="1:11" x14ac:dyDescent="0.2">
      <c r="A73" t="s">
        <v>16</v>
      </c>
      <c r="B73" t="s">
        <v>355</v>
      </c>
      <c r="C73">
        <v>1050</v>
      </c>
      <c r="D73" t="s">
        <v>8908</v>
      </c>
      <c r="E73" t="s">
        <v>166</v>
      </c>
      <c r="F73">
        <v>71</v>
      </c>
      <c r="G73">
        <v>0.70963172224455284</v>
      </c>
      <c r="H73" t="s">
        <v>100</v>
      </c>
      <c r="I73">
        <v>1</v>
      </c>
      <c r="J73">
        <v>0</v>
      </c>
      <c r="K73">
        <v>0</v>
      </c>
    </row>
    <row r="74" spans="1:11" x14ac:dyDescent="0.2">
      <c r="A74" t="s">
        <v>16</v>
      </c>
      <c r="B74" t="s">
        <v>2730</v>
      </c>
      <c r="C74">
        <v>300</v>
      </c>
      <c r="D74" t="s">
        <v>8921</v>
      </c>
      <c r="E74" t="s">
        <v>166</v>
      </c>
      <c r="F74">
        <v>4</v>
      </c>
      <c r="G74">
        <v>0.1636056616397886</v>
      </c>
      <c r="H74" t="s">
        <v>93</v>
      </c>
      <c r="I74">
        <v>1</v>
      </c>
      <c r="J74">
        <v>0</v>
      </c>
      <c r="K74">
        <v>0</v>
      </c>
    </row>
    <row r="75" spans="1:11" x14ac:dyDescent="0.2">
      <c r="A75" t="s">
        <v>16</v>
      </c>
      <c r="B75" t="s">
        <v>2730</v>
      </c>
      <c r="C75">
        <v>900</v>
      </c>
      <c r="D75" t="s">
        <v>8917</v>
      </c>
      <c r="E75" t="s">
        <v>166</v>
      </c>
      <c r="F75">
        <v>4</v>
      </c>
      <c r="G75">
        <v>0.49081698491936576</v>
      </c>
      <c r="H75" t="s">
        <v>95</v>
      </c>
      <c r="I75">
        <v>1</v>
      </c>
      <c r="J75">
        <v>0</v>
      </c>
      <c r="K75">
        <v>0</v>
      </c>
    </row>
    <row r="76" spans="1:11" x14ac:dyDescent="0.2">
      <c r="A76" t="s">
        <v>16</v>
      </c>
      <c r="B76" t="s">
        <v>2730</v>
      </c>
      <c r="C76">
        <v>900</v>
      </c>
      <c r="D76" t="s">
        <v>8913</v>
      </c>
      <c r="E76" t="s">
        <v>166</v>
      </c>
      <c r="F76">
        <v>4</v>
      </c>
      <c r="G76">
        <v>0.49081698491936576</v>
      </c>
      <c r="H76" t="s">
        <v>96</v>
      </c>
      <c r="I76">
        <v>1</v>
      </c>
      <c r="J76">
        <v>0</v>
      </c>
      <c r="K76">
        <v>0</v>
      </c>
    </row>
    <row r="77" spans="1:11" x14ac:dyDescent="0.2">
      <c r="A77" t="s">
        <v>16</v>
      </c>
      <c r="B77" t="s">
        <v>2730</v>
      </c>
      <c r="C77">
        <v>900</v>
      </c>
      <c r="D77" t="s">
        <v>8922</v>
      </c>
      <c r="E77" t="s">
        <v>166</v>
      </c>
      <c r="F77">
        <v>4</v>
      </c>
      <c r="G77">
        <v>0.49081698491936576</v>
      </c>
      <c r="H77" t="s">
        <v>97</v>
      </c>
      <c r="I77">
        <v>1</v>
      </c>
      <c r="J77">
        <v>0</v>
      </c>
      <c r="K77">
        <v>0</v>
      </c>
    </row>
    <row r="78" spans="1:11" x14ac:dyDescent="0.2">
      <c r="A78" t="s">
        <v>16</v>
      </c>
      <c r="B78" t="s">
        <v>2730</v>
      </c>
      <c r="C78">
        <v>900</v>
      </c>
      <c r="D78" t="s">
        <v>8919</v>
      </c>
      <c r="E78" t="s">
        <v>166</v>
      </c>
      <c r="F78">
        <v>4</v>
      </c>
      <c r="G78">
        <v>0.49081698491936576</v>
      </c>
      <c r="H78" t="s">
        <v>93</v>
      </c>
      <c r="I78">
        <v>1</v>
      </c>
      <c r="J78">
        <v>0</v>
      </c>
      <c r="K78">
        <v>0</v>
      </c>
    </row>
    <row r="79" spans="1:11" x14ac:dyDescent="0.2">
      <c r="A79" t="s">
        <v>16</v>
      </c>
      <c r="B79" t="s">
        <v>2730</v>
      </c>
      <c r="C79">
        <v>900</v>
      </c>
      <c r="D79" t="s">
        <v>8920</v>
      </c>
      <c r="E79" t="s">
        <v>166</v>
      </c>
      <c r="F79">
        <v>4</v>
      </c>
      <c r="G79">
        <v>0.49081698491936576</v>
      </c>
      <c r="H79" t="s">
        <v>95</v>
      </c>
      <c r="I79">
        <v>1</v>
      </c>
      <c r="J79">
        <v>0</v>
      </c>
      <c r="K79">
        <v>0</v>
      </c>
    </row>
    <row r="80" spans="1:11" x14ac:dyDescent="0.2">
      <c r="A80" t="s">
        <v>16</v>
      </c>
      <c r="B80" t="s">
        <v>2730</v>
      </c>
      <c r="C80">
        <v>300</v>
      </c>
      <c r="D80" t="s">
        <v>8914</v>
      </c>
      <c r="E80" t="s">
        <v>166</v>
      </c>
      <c r="F80">
        <v>4</v>
      </c>
      <c r="G80">
        <v>0.1636056616397886</v>
      </c>
      <c r="H80" t="s">
        <v>96</v>
      </c>
      <c r="I80">
        <v>1</v>
      </c>
      <c r="J80">
        <v>0</v>
      </c>
      <c r="K80">
        <v>0</v>
      </c>
    </row>
    <row r="81" spans="1:11" x14ac:dyDescent="0.2">
      <c r="A81" t="s">
        <v>16</v>
      </c>
      <c r="B81" t="s">
        <v>2730</v>
      </c>
      <c r="C81">
        <v>300</v>
      </c>
      <c r="D81" t="s">
        <v>8924</v>
      </c>
      <c r="E81" t="s">
        <v>166</v>
      </c>
      <c r="F81">
        <v>4</v>
      </c>
      <c r="G81">
        <v>0.1636056616397886</v>
      </c>
      <c r="H81" t="s">
        <v>97</v>
      </c>
      <c r="I81">
        <v>1</v>
      </c>
      <c r="J81">
        <v>0</v>
      </c>
      <c r="K81">
        <v>0</v>
      </c>
    </row>
    <row r="82" spans="1:11" x14ac:dyDescent="0.2">
      <c r="A82" t="s">
        <v>16</v>
      </c>
      <c r="B82" t="s">
        <v>2730</v>
      </c>
      <c r="C82">
        <v>900</v>
      </c>
      <c r="D82" t="s">
        <v>8916</v>
      </c>
      <c r="E82" t="s">
        <v>166</v>
      </c>
      <c r="F82">
        <v>4</v>
      </c>
      <c r="G82">
        <v>0.49081698491936576</v>
      </c>
      <c r="H82" t="s">
        <v>93</v>
      </c>
      <c r="I82">
        <v>1</v>
      </c>
      <c r="J82">
        <v>0</v>
      </c>
      <c r="K82">
        <v>0</v>
      </c>
    </row>
    <row r="83" spans="1:11" x14ac:dyDescent="0.2">
      <c r="A83" t="s">
        <v>16</v>
      </c>
      <c r="B83" t="s">
        <v>2730</v>
      </c>
      <c r="C83">
        <v>900</v>
      </c>
      <c r="D83" t="s">
        <v>8915</v>
      </c>
      <c r="E83" t="s">
        <v>166</v>
      </c>
      <c r="F83">
        <v>4</v>
      </c>
      <c r="G83">
        <v>0.49081698491936576</v>
      </c>
      <c r="H83" t="s">
        <v>96</v>
      </c>
      <c r="I83">
        <v>1</v>
      </c>
      <c r="J83">
        <v>0</v>
      </c>
      <c r="K83">
        <v>0</v>
      </c>
    </row>
    <row r="84" spans="1:11" x14ac:dyDescent="0.2">
      <c r="A84" t="s">
        <v>16</v>
      </c>
      <c r="B84" t="s">
        <v>2730</v>
      </c>
      <c r="C84">
        <v>900</v>
      </c>
      <c r="D84" t="s">
        <v>8918</v>
      </c>
      <c r="E84" t="s">
        <v>166</v>
      </c>
      <c r="F84">
        <v>4</v>
      </c>
      <c r="G84">
        <v>0.49081698491936576</v>
      </c>
      <c r="H84" t="s">
        <v>97</v>
      </c>
      <c r="I84">
        <v>1</v>
      </c>
      <c r="J84">
        <v>0</v>
      </c>
      <c r="K84">
        <v>0</v>
      </c>
    </row>
    <row r="85" spans="1:11" x14ac:dyDescent="0.2">
      <c r="A85" t="s">
        <v>16</v>
      </c>
      <c r="B85" t="s">
        <v>2730</v>
      </c>
      <c r="C85">
        <v>900</v>
      </c>
      <c r="D85" t="s">
        <v>8923</v>
      </c>
      <c r="E85" t="s">
        <v>166</v>
      </c>
      <c r="F85">
        <v>4</v>
      </c>
      <c r="G85">
        <v>0.49081698491936576</v>
      </c>
      <c r="H85" t="s">
        <v>95</v>
      </c>
      <c r="I85">
        <v>1</v>
      </c>
      <c r="J85">
        <v>0</v>
      </c>
      <c r="K85">
        <v>0</v>
      </c>
    </row>
    <row r="86" spans="1:11" x14ac:dyDescent="0.2">
      <c r="A86" t="s">
        <v>16</v>
      </c>
      <c r="B86" t="s">
        <v>255</v>
      </c>
      <c r="C86">
        <v>280</v>
      </c>
      <c r="D86" t="s">
        <v>8945</v>
      </c>
      <c r="E86" t="s">
        <v>166</v>
      </c>
      <c r="F86">
        <v>15</v>
      </c>
      <c r="G86">
        <v>0.27072459042688996</v>
      </c>
      <c r="H86" t="s">
        <v>103</v>
      </c>
      <c r="I86">
        <v>1</v>
      </c>
      <c r="J86">
        <v>0</v>
      </c>
      <c r="K86">
        <v>0</v>
      </c>
    </row>
    <row r="87" spans="1:11" x14ac:dyDescent="0.2">
      <c r="A87" t="s">
        <v>16</v>
      </c>
      <c r="B87" t="s">
        <v>255</v>
      </c>
      <c r="C87">
        <v>420</v>
      </c>
      <c r="D87" t="s">
        <v>8928</v>
      </c>
      <c r="E87" t="s">
        <v>166</v>
      </c>
      <c r="F87">
        <v>15</v>
      </c>
      <c r="G87">
        <v>0.4060868856403349</v>
      </c>
      <c r="H87" t="s">
        <v>92</v>
      </c>
      <c r="I87">
        <v>1</v>
      </c>
      <c r="J87">
        <v>0</v>
      </c>
      <c r="K87">
        <v>0</v>
      </c>
    </row>
    <row r="88" spans="1:11" x14ac:dyDescent="0.2">
      <c r="A88" t="s">
        <v>16</v>
      </c>
      <c r="B88" t="s">
        <v>255</v>
      </c>
      <c r="C88">
        <v>420</v>
      </c>
      <c r="D88" t="s">
        <v>8940</v>
      </c>
      <c r="E88" t="s">
        <v>166</v>
      </c>
      <c r="F88">
        <v>15</v>
      </c>
      <c r="G88">
        <v>0.4060868856403349</v>
      </c>
      <c r="H88" t="s">
        <v>101</v>
      </c>
      <c r="I88">
        <v>1</v>
      </c>
      <c r="J88">
        <v>0</v>
      </c>
      <c r="K88">
        <v>0</v>
      </c>
    </row>
    <row r="89" spans="1:11" x14ac:dyDescent="0.2">
      <c r="A89" t="s">
        <v>16</v>
      </c>
      <c r="B89" t="s">
        <v>255</v>
      </c>
      <c r="C89">
        <v>420</v>
      </c>
      <c r="D89" t="s">
        <v>8946</v>
      </c>
      <c r="E89" t="s">
        <v>166</v>
      </c>
      <c r="F89">
        <v>15</v>
      </c>
      <c r="G89">
        <v>0.4060868856403349</v>
      </c>
      <c r="H89" t="s">
        <v>103</v>
      </c>
      <c r="I89">
        <v>1</v>
      </c>
      <c r="J89">
        <v>0</v>
      </c>
      <c r="K89">
        <v>0</v>
      </c>
    </row>
    <row r="90" spans="1:11" x14ac:dyDescent="0.2">
      <c r="A90" t="s">
        <v>16</v>
      </c>
      <c r="B90" t="s">
        <v>255</v>
      </c>
      <c r="C90">
        <v>420</v>
      </c>
      <c r="D90" t="s">
        <v>8936</v>
      </c>
      <c r="E90" t="s">
        <v>166</v>
      </c>
      <c r="F90">
        <v>15</v>
      </c>
      <c r="G90">
        <v>0.4060868856403349</v>
      </c>
      <c r="H90" t="s">
        <v>104</v>
      </c>
      <c r="I90">
        <v>1</v>
      </c>
      <c r="J90">
        <v>0</v>
      </c>
      <c r="K90">
        <v>0</v>
      </c>
    </row>
    <row r="91" spans="1:11" x14ac:dyDescent="0.2">
      <c r="A91" t="s">
        <v>16</v>
      </c>
      <c r="B91" t="s">
        <v>255</v>
      </c>
      <c r="C91">
        <v>420</v>
      </c>
      <c r="D91" t="s">
        <v>8965</v>
      </c>
      <c r="E91" t="s">
        <v>166</v>
      </c>
      <c r="F91">
        <v>15</v>
      </c>
      <c r="G91">
        <v>0.4060868856403349</v>
      </c>
      <c r="H91" t="s">
        <v>92</v>
      </c>
      <c r="I91">
        <v>1</v>
      </c>
      <c r="J91">
        <v>0</v>
      </c>
      <c r="K91">
        <v>0</v>
      </c>
    </row>
    <row r="92" spans="1:11" x14ac:dyDescent="0.2">
      <c r="A92" t="s">
        <v>16</v>
      </c>
      <c r="B92" t="s">
        <v>255</v>
      </c>
      <c r="C92">
        <v>420</v>
      </c>
      <c r="D92" t="s">
        <v>8954</v>
      </c>
      <c r="E92" t="s">
        <v>166</v>
      </c>
      <c r="F92">
        <v>15</v>
      </c>
      <c r="G92">
        <v>0.4060868856403349</v>
      </c>
      <c r="H92" t="s">
        <v>105</v>
      </c>
      <c r="I92">
        <v>1</v>
      </c>
      <c r="J92">
        <v>0</v>
      </c>
      <c r="K92">
        <v>0</v>
      </c>
    </row>
    <row r="93" spans="1:11" x14ac:dyDescent="0.2">
      <c r="A93" t="s">
        <v>16</v>
      </c>
      <c r="B93" t="s">
        <v>255</v>
      </c>
      <c r="C93">
        <v>420</v>
      </c>
      <c r="D93" t="s">
        <v>8930</v>
      </c>
      <c r="E93" t="s">
        <v>166</v>
      </c>
      <c r="F93">
        <v>15</v>
      </c>
      <c r="G93">
        <v>0.4060868856403349</v>
      </c>
      <c r="H93" t="s">
        <v>98</v>
      </c>
      <c r="I93">
        <v>1</v>
      </c>
      <c r="J93">
        <v>0</v>
      </c>
      <c r="K93">
        <v>0</v>
      </c>
    </row>
    <row r="94" spans="1:11" x14ac:dyDescent="0.2">
      <c r="A94" t="s">
        <v>16</v>
      </c>
      <c r="B94" t="s">
        <v>255</v>
      </c>
      <c r="C94">
        <v>420</v>
      </c>
      <c r="D94" t="s">
        <v>8948</v>
      </c>
      <c r="E94" t="s">
        <v>166</v>
      </c>
      <c r="F94">
        <v>15</v>
      </c>
      <c r="G94">
        <v>0.4060868856403349</v>
      </c>
      <c r="H94" t="s">
        <v>101</v>
      </c>
      <c r="I94">
        <v>1</v>
      </c>
      <c r="J94">
        <v>0</v>
      </c>
      <c r="K94">
        <v>0</v>
      </c>
    </row>
    <row r="95" spans="1:11" x14ac:dyDescent="0.2">
      <c r="A95" t="s">
        <v>16</v>
      </c>
      <c r="B95" t="s">
        <v>255</v>
      </c>
      <c r="C95">
        <v>420</v>
      </c>
      <c r="D95" t="s">
        <v>8927</v>
      </c>
      <c r="E95" t="s">
        <v>166</v>
      </c>
      <c r="F95">
        <v>15</v>
      </c>
      <c r="G95">
        <v>0.4060868856403349</v>
      </c>
      <c r="H95" t="s">
        <v>94</v>
      </c>
      <c r="I95">
        <v>1</v>
      </c>
      <c r="J95">
        <v>0</v>
      </c>
      <c r="K95">
        <v>0</v>
      </c>
    </row>
    <row r="96" spans="1:11" x14ac:dyDescent="0.2">
      <c r="A96" t="s">
        <v>16</v>
      </c>
      <c r="B96" t="s">
        <v>255</v>
      </c>
      <c r="C96">
        <v>140</v>
      </c>
      <c r="D96" t="s">
        <v>8939</v>
      </c>
      <c r="E96" t="s">
        <v>166</v>
      </c>
      <c r="F96">
        <v>15</v>
      </c>
      <c r="G96">
        <v>0.13536229521344498</v>
      </c>
      <c r="H96" t="s">
        <v>99</v>
      </c>
      <c r="I96">
        <v>1</v>
      </c>
      <c r="J96">
        <v>0</v>
      </c>
      <c r="K96">
        <v>0</v>
      </c>
    </row>
    <row r="97" spans="1:11" x14ac:dyDescent="0.2">
      <c r="A97" t="s">
        <v>16</v>
      </c>
      <c r="B97" t="s">
        <v>255</v>
      </c>
      <c r="C97">
        <v>420</v>
      </c>
      <c r="D97" t="s">
        <v>8956</v>
      </c>
      <c r="E97" t="s">
        <v>166</v>
      </c>
      <c r="F97">
        <v>15</v>
      </c>
      <c r="G97">
        <v>0.4060868856403349</v>
      </c>
      <c r="H97" t="s">
        <v>100</v>
      </c>
      <c r="I97">
        <v>1</v>
      </c>
      <c r="J97">
        <v>0</v>
      </c>
      <c r="K97">
        <v>0</v>
      </c>
    </row>
    <row r="98" spans="1:11" x14ac:dyDescent="0.2">
      <c r="A98" t="s">
        <v>16</v>
      </c>
      <c r="B98" t="s">
        <v>255</v>
      </c>
      <c r="C98">
        <v>420</v>
      </c>
      <c r="D98" t="s">
        <v>8929</v>
      </c>
      <c r="E98" t="s">
        <v>166</v>
      </c>
      <c r="F98">
        <v>15</v>
      </c>
      <c r="G98">
        <v>0.4060868856403349</v>
      </c>
      <c r="H98" t="s">
        <v>103</v>
      </c>
      <c r="I98">
        <v>1</v>
      </c>
      <c r="J98">
        <v>0</v>
      </c>
      <c r="K98">
        <v>0</v>
      </c>
    </row>
    <row r="99" spans="1:11" x14ac:dyDescent="0.2">
      <c r="A99" t="s">
        <v>16</v>
      </c>
      <c r="B99" t="s">
        <v>255</v>
      </c>
      <c r="C99">
        <v>420</v>
      </c>
      <c r="D99" t="s">
        <v>8931</v>
      </c>
      <c r="E99" t="s">
        <v>166</v>
      </c>
      <c r="F99">
        <v>15</v>
      </c>
      <c r="G99">
        <v>0.4060868856403349</v>
      </c>
      <c r="H99" t="s">
        <v>99</v>
      </c>
      <c r="I99">
        <v>1</v>
      </c>
      <c r="J99">
        <v>0</v>
      </c>
      <c r="K99">
        <v>0</v>
      </c>
    </row>
    <row r="100" spans="1:11" x14ac:dyDescent="0.2">
      <c r="A100" t="s">
        <v>16</v>
      </c>
      <c r="B100" t="s">
        <v>255</v>
      </c>
      <c r="C100">
        <v>420</v>
      </c>
      <c r="D100" t="s">
        <v>8932</v>
      </c>
      <c r="E100" t="s">
        <v>166</v>
      </c>
      <c r="F100">
        <v>15</v>
      </c>
      <c r="G100">
        <v>0.4060868856403349</v>
      </c>
      <c r="H100" t="s">
        <v>104</v>
      </c>
      <c r="I100">
        <v>1</v>
      </c>
      <c r="J100">
        <v>0</v>
      </c>
      <c r="K100">
        <v>0</v>
      </c>
    </row>
    <row r="101" spans="1:11" x14ac:dyDescent="0.2">
      <c r="A101" t="s">
        <v>16</v>
      </c>
      <c r="B101" t="s">
        <v>255</v>
      </c>
      <c r="C101">
        <v>420</v>
      </c>
      <c r="D101" t="s">
        <v>8926</v>
      </c>
      <c r="E101" t="s">
        <v>166</v>
      </c>
      <c r="F101">
        <v>15</v>
      </c>
      <c r="G101">
        <v>0.4060868856403349</v>
      </c>
      <c r="H101" t="s">
        <v>92</v>
      </c>
      <c r="I101">
        <v>1</v>
      </c>
      <c r="J101">
        <v>0</v>
      </c>
      <c r="K101">
        <v>0</v>
      </c>
    </row>
    <row r="102" spans="1:11" x14ac:dyDescent="0.2">
      <c r="A102" t="s">
        <v>16</v>
      </c>
      <c r="B102" t="s">
        <v>255</v>
      </c>
      <c r="C102">
        <v>420</v>
      </c>
      <c r="D102" t="s">
        <v>8957</v>
      </c>
      <c r="E102" t="s">
        <v>166</v>
      </c>
      <c r="F102">
        <v>15</v>
      </c>
      <c r="G102">
        <v>0.4060868856403349</v>
      </c>
      <c r="H102" t="s">
        <v>105</v>
      </c>
      <c r="I102">
        <v>1</v>
      </c>
      <c r="J102">
        <v>0</v>
      </c>
      <c r="K102">
        <v>0</v>
      </c>
    </row>
    <row r="103" spans="1:11" x14ac:dyDescent="0.2">
      <c r="A103" t="s">
        <v>16</v>
      </c>
      <c r="B103" t="s">
        <v>255</v>
      </c>
      <c r="C103">
        <v>420</v>
      </c>
      <c r="D103" t="s">
        <v>8962</v>
      </c>
      <c r="E103" t="s">
        <v>166</v>
      </c>
      <c r="F103">
        <v>15</v>
      </c>
      <c r="G103">
        <v>0.4060868856403349</v>
      </c>
      <c r="H103" t="s">
        <v>98</v>
      </c>
      <c r="I103">
        <v>1</v>
      </c>
      <c r="J103">
        <v>0</v>
      </c>
      <c r="K103">
        <v>0</v>
      </c>
    </row>
    <row r="104" spans="1:11" x14ac:dyDescent="0.2">
      <c r="A104" t="s">
        <v>16</v>
      </c>
      <c r="B104" t="s">
        <v>255</v>
      </c>
      <c r="C104">
        <v>420</v>
      </c>
      <c r="D104" t="s">
        <v>8955</v>
      </c>
      <c r="E104" t="s">
        <v>166</v>
      </c>
      <c r="F104">
        <v>15</v>
      </c>
      <c r="G104">
        <v>0.4060868856403349</v>
      </c>
      <c r="H104" t="s">
        <v>101</v>
      </c>
      <c r="I104">
        <v>1</v>
      </c>
      <c r="J104">
        <v>0</v>
      </c>
      <c r="K104">
        <v>0</v>
      </c>
    </row>
    <row r="105" spans="1:11" x14ac:dyDescent="0.2">
      <c r="A105" t="s">
        <v>16</v>
      </c>
      <c r="B105" t="s">
        <v>255</v>
      </c>
      <c r="C105">
        <v>420</v>
      </c>
      <c r="D105" t="s">
        <v>8959</v>
      </c>
      <c r="E105" t="s">
        <v>166</v>
      </c>
      <c r="F105">
        <v>15</v>
      </c>
      <c r="G105">
        <v>0.4060868856403349</v>
      </c>
      <c r="H105" t="s">
        <v>94</v>
      </c>
      <c r="I105">
        <v>1</v>
      </c>
      <c r="J105">
        <v>0</v>
      </c>
      <c r="K105">
        <v>0</v>
      </c>
    </row>
    <row r="106" spans="1:11" x14ac:dyDescent="0.2">
      <c r="A106" t="s">
        <v>16</v>
      </c>
      <c r="B106" t="s">
        <v>255</v>
      </c>
      <c r="C106">
        <v>420</v>
      </c>
      <c r="D106" t="s">
        <v>8952</v>
      </c>
      <c r="E106" t="s">
        <v>166</v>
      </c>
      <c r="F106">
        <v>15</v>
      </c>
      <c r="G106">
        <v>0.4060868856403349</v>
      </c>
      <c r="H106" t="s">
        <v>100</v>
      </c>
      <c r="I106">
        <v>1</v>
      </c>
      <c r="J106">
        <v>0</v>
      </c>
      <c r="K106">
        <v>0</v>
      </c>
    </row>
    <row r="107" spans="1:11" x14ac:dyDescent="0.2">
      <c r="A107" t="s">
        <v>16</v>
      </c>
      <c r="B107" t="s">
        <v>255</v>
      </c>
      <c r="C107">
        <v>420</v>
      </c>
      <c r="D107" t="s">
        <v>8947</v>
      </c>
      <c r="E107" t="s">
        <v>166</v>
      </c>
      <c r="F107">
        <v>15</v>
      </c>
      <c r="G107">
        <v>0.4060868856403349</v>
      </c>
      <c r="H107" t="s">
        <v>103</v>
      </c>
      <c r="I107">
        <v>1</v>
      </c>
      <c r="J107">
        <v>0</v>
      </c>
      <c r="K107">
        <v>0</v>
      </c>
    </row>
    <row r="108" spans="1:11" x14ac:dyDescent="0.2">
      <c r="A108" t="s">
        <v>16</v>
      </c>
      <c r="B108" t="s">
        <v>255</v>
      </c>
      <c r="C108">
        <v>420</v>
      </c>
      <c r="D108" t="s">
        <v>8961</v>
      </c>
      <c r="E108" t="s">
        <v>166</v>
      </c>
      <c r="F108">
        <v>15</v>
      </c>
      <c r="G108">
        <v>0.4060868856403349</v>
      </c>
      <c r="H108" t="s">
        <v>93</v>
      </c>
      <c r="I108">
        <v>1</v>
      </c>
      <c r="J108">
        <v>0</v>
      </c>
      <c r="K108">
        <v>0</v>
      </c>
    </row>
    <row r="109" spans="1:11" x14ac:dyDescent="0.2">
      <c r="A109" t="s">
        <v>16</v>
      </c>
      <c r="B109" t="s">
        <v>255</v>
      </c>
      <c r="C109">
        <v>420</v>
      </c>
      <c r="D109" t="s">
        <v>8963</v>
      </c>
      <c r="E109" t="s">
        <v>166</v>
      </c>
      <c r="F109">
        <v>15</v>
      </c>
      <c r="G109">
        <v>0.4060868856403349</v>
      </c>
      <c r="H109" t="s">
        <v>96</v>
      </c>
      <c r="I109">
        <v>1</v>
      </c>
      <c r="J109">
        <v>0</v>
      </c>
      <c r="K109">
        <v>0</v>
      </c>
    </row>
    <row r="110" spans="1:11" x14ac:dyDescent="0.2">
      <c r="A110" t="s">
        <v>16</v>
      </c>
      <c r="B110" t="s">
        <v>255</v>
      </c>
      <c r="C110">
        <v>420</v>
      </c>
      <c r="D110" t="s">
        <v>8944</v>
      </c>
      <c r="E110" t="s">
        <v>166</v>
      </c>
      <c r="F110">
        <v>15</v>
      </c>
      <c r="G110">
        <v>0.4060868856403349</v>
      </c>
      <c r="H110" t="s">
        <v>97</v>
      </c>
      <c r="I110">
        <v>1</v>
      </c>
      <c r="J110">
        <v>0</v>
      </c>
      <c r="K110">
        <v>0</v>
      </c>
    </row>
    <row r="111" spans="1:11" x14ac:dyDescent="0.2">
      <c r="A111" t="s">
        <v>16</v>
      </c>
      <c r="B111" t="s">
        <v>255</v>
      </c>
      <c r="C111">
        <v>420</v>
      </c>
      <c r="D111" t="s">
        <v>8937</v>
      </c>
      <c r="E111" t="s">
        <v>166</v>
      </c>
      <c r="F111">
        <v>15</v>
      </c>
      <c r="G111">
        <v>0.4060868856403349</v>
      </c>
      <c r="H111" t="s">
        <v>99</v>
      </c>
      <c r="I111">
        <v>1</v>
      </c>
      <c r="J111">
        <v>0</v>
      </c>
      <c r="K111">
        <v>0</v>
      </c>
    </row>
    <row r="112" spans="1:11" x14ac:dyDescent="0.2">
      <c r="A112" t="s">
        <v>16</v>
      </c>
      <c r="B112" t="s">
        <v>255</v>
      </c>
      <c r="C112">
        <v>420</v>
      </c>
      <c r="D112" t="s">
        <v>8949</v>
      </c>
      <c r="E112" t="s">
        <v>166</v>
      </c>
      <c r="F112">
        <v>15</v>
      </c>
      <c r="G112">
        <v>0.4060868856403349</v>
      </c>
      <c r="H112" t="s">
        <v>104</v>
      </c>
      <c r="I112">
        <v>1</v>
      </c>
      <c r="J112">
        <v>0</v>
      </c>
      <c r="K112">
        <v>0</v>
      </c>
    </row>
    <row r="113" spans="1:11" x14ac:dyDescent="0.2">
      <c r="A113" t="s">
        <v>16</v>
      </c>
      <c r="B113" t="s">
        <v>255</v>
      </c>
      <c r="C113">
        <v>420</v>
      </c>
      <c r="D113" t="s">
        <v>8942</v>
      </c>
      <c r="E113" t="s">
        <v>166</v>
      </c>
      <c r="F113">
        <v>15</v>
      </c>
      <c r="G113">
        <v>0.4060868856403349</v>
      </c>
      <c r="H113" t="s">
        <v>92</v>
      </c>
      <c r="I113">
        <v>1</v>
      </c>
      <c r="J113">
        <v>0</v>
      </c>
      <c r="K113">
        <v>0</v>
      </c>
    </row>
    <row r="114" spans="1:11" x14ac:dyDescent="0.2">
      <c r="A114" t="s">
        <v>16</v>
      </c>
      <c r="B114" t="s">
        <v>255</v>
      </c>
      <c r="C114">
        <v>420</v>
      </c>
      <c r="D114" t="s">
        <v>8933</v>
      </c>
      <c r="E114" t="s">
        <v>166</v>
      </c>
      <c r="F114">
        <v>15</v>
      </c>
      <c r="G114">
        <v>0.4060868856403349</v>
      </c>
      <c r="H114" t="s">
        <v>105</v>
      </c>
      <c r="I114">
        <v>1</v>
      </c>
      <c r="J114">
        <v>0</v>
      </c>
      <c r="K114">
        <v>0</v>
      </c>
    </row>
    <row r="115" spans="1:11" x14ac:dyDescent="0.2">
      <c r="A115" t="s">
        <v>16</v>
      </c>
      <c r="B115" t="s">
        <v>255</v>
      </c>
      <c r="C115">
        <v>420</v>
      </c>
      <c r="D115" t="s">
        <v>8964</v>
      </c>
      <c r="E115" t="s">
        <v>166</v>
      </c>
      <c r="F115">
        <v>15</v>
      </c>
      <c r="G115">
        <v>0.4060868856403349</v>
      </c>
      <c r="H115" t="s">
        <v>98</v>
      </c>
      <c r="I115">
        <v>1</v>
      </c>
      <c r="J115">
        <v>0</v>
      </c>
      <c r="K115">
        <v>0</v>
      </c>
    </row>
    <row r="116" spans="1:11" x14ac:dyDescent="0.2">
      <c r="A116" t="s">
        <v>16</v>
      </c>
      <c r="B116" t="s">
        <v>255</v>
      </c>
      <c r="C116">
        <v>420</v>
      </c>
      <c r="D116" t="s">
        <v>8960</v>
      </c>
      <c r="E116" t="s">
        <v>166</v>
      </c>
      <c r="F116">
        <v>15</v>
      </c>
      <c r="G116">
        <v>0.4060868856403349</v>
      </c>
      <c r="H116" t="s">
        <v>101</v>
      </c>
      <c r="I116">
        <v>1</v>
      </c>
      <c r="J116">
        <v>0</v>
      </c>
      <c r="K116">
        <v>0</v>
      </c>
    </row>
    <row r="117" spans="1:11" x14ac:dyDescent="0.2">
      <c r="A117" t="s">
        <v>16</v>
      </c>
      <c r="B117" t="s">
        <v>255</v>
      </c>
      <c r="C117">
        <v>420</v>
      </c>
      <c r="D117" t="s">
        <v>8934</v>
      </c>
      <c r="E117" t="s">
        <v>166</v>
      </c>
      <c r="F117">
        <v>15</v>
      </c>
      <c r="G117">
        <v>0.4060868856403349</v>
      </c>
      <c r="H117" t="s">
        <v>94</v>
      </c>
      <c r="I117">
        <v>1</v>
      </c>
      <c r="J117">
        <v>0</v>
      </c>
      <c r="K117">
        <v>0</v>
      </c>
    </row>
    <row r="118" spans="1:11" x14ac:dyDescent="0.2">
      <c r="A118" t="s">
        <v>16</v>
      </c>
      <c r="B118" t="s">
        <v>255</v>
      </c>
      <c r="C118">
        <v>420</v>
      </c>
      <c r="D118" t="s">
        <v>8950</v>
      </c>
      <c r="E118" t="s">
        <v>166</v>
      </c>
      <c r="F118">
        <v>15</v>
      </c>
      <c r="G118">
        <v>0.4060868856403349</v>
      </c>
      <c r="H118" t="s">
        <v>100</v>
      </c>
      <c r="I118">
        <v>1</v>
      </c>
      <c r="J118">
        <v>0</v>
      </c>
      <c r="K118">
        <v>0</v>
      </c>
    </row>
    <row r="119" spans="1:11" x14ac:dyDescent="0.2">
      <c r="A119" t="s">
        <v>16</v>
      </c>
      <c r="B119" t="s">
        <v>255</v>
      </c>
      <c r="C119">
        <v>420</v>
      </c>
      <c r="D119" t="s">
        <v>8951</v>
      </c>
      <c r="E119" t="s">
        <v>166</v>
      </c>
      <c r="F119">
        <v>15</v>
      </c>
      <c r="G119">
        <v>0.4060868856403349</v>
      </c>
      <c r="H119" t="s">
        <v>95</v>
      </c>
      <c r="I119">
        <v>1</v>
      </c>
      <c r="J119">
        <v>0</v>
      </c>
      <c r="K119">
        <v>0</v>
      </c>
    </row>
    <row r="120" spans="1:11" x14ac:dyDescent="0.2">
      <c r="A120" t="s">
        <v>16</v>
      </c>
      <c r="B120" t="s">
        <v>255</v>
      </c>
      <c r="C120">
        <v>420</v>
      </c>
      <c r="D120" t="s">
        <v>8941</v>
      </c>
      <c r="E120" t="s">
        <v>166</v>
      </c>
      <c r="F120">
        <v>15</v>
      </c>
      <c r="G120">
        <v>0.4060868856403349</v>
      </c>
      <c r="H120" t="s">
        <v>103</v>
      </c>
      <c r="I120">
        <v>1</v>
      </c>
      <c r="J120">
        <v>0</v>
      </c>
      <c r="K120">
        <v>0</v>
      </c>
    </row>
    <row r="121" spans="1:11" x14ac:dyDescent="0.2">
      <c r="A121" t="s">
        <v>16</v>
      </c>
      <c r="B121" t="s">
        <v>255</v>
      </c>
      <c r="C121">
        <v>420</v>
      </c>
      <c r="D121" t="s">
        <v>8938</v>
      </c>
      <c r="E121" t="s">
        <v>166</v>
      </c>
      <c r="F121">
        <v>15</v>
      </c>
      <c r="G121">
        <v>0.4060868856403349</v>
      </c>
      <c r="H121" t="s">
        <v>93</v>
      </c>
      <c r="I121">
        <v>1</v>
      </c>
      <c r="J121">
        <v>0</v>
      </c>
      <c r="K121">
        <v>0</v>
      </c>
    </row>
    <row r="122" spans="1:11" x14ac:dyDescent="0.2">
      <c r="A122" t="s">
        <v>16</v>
      </c>
      <c r="B122" t="s">
        <v>255</v>
      </c>
      <c r="C122">
        <v>420</v>
      </c>
      <c r="D122" t="s">
        <v>8943</v>
      </c>
      <c r="E122" t="s">
        <v>166</v>
      </c>
      <c r="F122">
        <v>15</v>
      </c>
      <c r="G122">
        <v>0.4060868856403349</v>
      </c>
      <c r="H122" t="s">
        <v>96</v>
      </c>
      <c r="I122">
        <v>1</v>
      </c>
      <c r="J122">
        <v>0</v>
      </c>
      <c r="K122">
        <v>0</v>
      </c>
    </row>
    <row r="123" spans="1:11" x14ac:dyDescent="0.2">
      <c r="A123" t="s">
        <v>16</v>
      </c>
      <c r="B123" t="s">
        <v>255</v>
      </c>
      <c r="C123">
        <v>420</v>
      </c>
      <c r="D123" t="s">
        <v>8925</v>
      </c>
      <c r="E123" t="s">
        <v>166</v>
      </c>
      <c r="F123">
        <v>15</v>
      </c>
      <c r="G123">
        <v>0.4060868856403349</v>
      </c>
      <c r="H123" t="s">
        <v>97</v>
      </c>
      <c r="I123">
        <v>1</v>
      </c>
      <c r="J123">
        <v>0</v>
      </c>
      <c r="K123">
        <v>0</v>
      </c>
    </row>
    <row r="124" spans="1:11" x14ac:dyDescent="0.2">
      <c r="A124" t="s">
        <v>16</v>
      </c>
      <c r="B124" t="s">
        <v>255</v>
      </c>
      <c r="C124">
        <v>420</v>
      </c>
      <c r="D124" t="s">
        <v>8935</v>
      </c>
      <c r="E124" t="s">
        <v>166</v>
      </c>
      <c r="F124">
        <v>15</v>
      </c>
      <c r="G124">
        <v>0.4060868856403349</v>
      </c>
      <c r="H124" t="s">
        <v>99</v>
      </c>
      <c r="I124">
        <v>1</v>
      </c>
      <c r="J124">
        <v>0</v>
      </c>
      <c r="K124">
        <v>0</v>
      </c>
    </row>
    <row r="125" spans="1:11" x14ac:dyDescent="0.2">
      <c r="A125" t="s">
        <v>16</v>
      </c>
      <c r="B125" t="s">
        <v>255</v>
      </c>
      <c r="C125">
        <v>420</v>
      </c>
      <c r="D125" t="s">
        <v>8958</v>
      </c>
      <c r="E125" t="s">
        <v>166</v>
      </c>
      <c r="F125">
        <v>15</v>
      </c>
      <c r="G125">
        <v>0.4060868856403349</v>
      </c>
      <c r="H125" t="s">
        <v>104</v>
      </c>
      <c r="I125">
        <v>1</v>
      </c>
      <c r="J125">
        <v>0</v>
      </c>
      <c r="K125">
        <v>0</v>
      </c>
    </row>
    <row r="126" spans="1:11" x14ac:dyDescent="0.2">
      <c r="A126" t="s">
        <v>16</v>
      </c>
      <c r="B126" t="s">
        <v>255</v>
      </c>
      <c r="C126">
        <v>420</v>
      </c>
      <c r="D126" t="s">
        <v>8953</v>
      </c>
      <c r="E126" t="s">
        <v>166</v>
      </c>
      <c r="F126">
        <v>15</v>
      </c>
      <c r="G126">
        <v>0.4060868856403349</v>
      </c>
      <c r="H126" t="s">
        <v>92</v>
      </c>
      <c r="I126">
        <v>1</v>
      </c>
      <c r="J126">
        <v>0</v>
      </c>
      <c r="K126">
        <v>0</v>
      </c>
    </row>
    <row r="127" spans="1:11" x14ac:dyDescent="0.2">
      <c r="A127" t="s">
        <v>16</v>
      </c>
      <c r="B127" t="s">
        <v>256</v>
      </c>
      <c r="C127">
        <v>1080</v>
      </c>
      <c r="D127" t="s">
        <v>8980</v>
      </c>
      <c r="E127" t="s">
        <v>166</v>
      </c>
      <c r="F127">
        <v>37</v>
      </c>
      <c r="G127">
        <v>0.30185528044233273</v>
      </c>
      <c r="H127" t="s">
        <v>105</v>
      </c>
      <c r="I127">
        <v>1</v>
      </c>
      <c r="J127">
        <v>0</v>
      </c>
      <c r="K127">
        <v>0</v>
      </c>
    </row>
    <row r="128" spans="1:11" x14ac:dyDescent="0.2">
      <c r="A128" t="s">
        <v>16</v>
      </c>
      <c r="B128" t="s">
        <v>256</v>
      </c>
      <c r="C128">
        <v>1080</v>
      </c>
      <c r="D128" t="s">
        <v>8968</v>
      </c>
      <c r="E128" t="s">
        <v>166</v>
      </c>
      <c r="F128">
        <v>37</v>
      </c>
      <c r="G128">
        <v>0.30185528044233273</v>
      </c>
      <c r="H128" t="s">
        <v>98</v>
      </c>
      <c r="I128">
        <v>1</v>
      </c>
      <c r="J128">
        <v>0</v>
      </c>
      <c r="K128">
        <v>0</v>
      </c>
    </row>
    <row r="129" spans="1:11" x14ac:dyDescent="0.2">
      <c r="A129" t="s">
        <v>16</v>
      </c>
      <c r="B129" t="s">
        <v>256</v>
      </c>
      <c r="C129">
        <v>1080</v>
      </c>
      <c r="D129" t="s">
        <v>8971</v>
      </c>
      <c r="E129" t="s">
        <v>166</v>
      </c>
      <c r="F129">
        <v>37</v>
      </c>
      <c r="G129">
        <v>0.30185528044233273</v>
      </c>
      <c r="H129" t="s">
        <v>101</v>
      </c>
      <c r="I129">
        <v>1</v>
      </c>
      <c r="J129">
        <v>0</v>
      </c>
      <c r="K129">
        <v>0</v>
      </c>
    </row>
    <row r="130" spans="1:11" x14ac:dyDescent="0.2">
      <c r="A130" t="s">
        <v>16</v>
      </c>
      <c r="B130" t="s">
        <v>256</v>
      </c>
      <c r="C130">
        <v>1080</v>
      </c>
      <c r="D130" t="s">
        <v>8966</v>
      </c>
      <c r="E130" t="s">
        <v>166</v>
      </c>
      <c r="F130">
        <v>37</v>
      </c>
      <c r="G130">
        <v>0.30185528044233273</v>
      </c>
      <c r="H130" t="s">
        <v>94</v>
      </c>
      <c r="I130">
        <v>1</v>
      </c>
      <c r="J130">
        <v>0</v>
      </c>
      <c r="K130">
        <v>0</v>
      </c>
    </row>
    <row r="131" spans="1:11" x14ac:dyDescent="0.2">
      <c r="A131" t="s">
        <v>16</v>
      </c>
      <c r="B131" t="s">
        <v>256</v>
      </c>
      <c r="C131">
        <v>1080</v>
      </c>
      <c r="D131" t="s">
        <v>8969</v>
      </c>
      <c r="E131" t="s">
        <v>166</v>
      </c>
      <c r="F131">
        <v>37</v>
      </c>
      <c r="G131">
        <v>0.30185528044233273</v>
      </c>
      <c r="H131" t="s">
        <v>100</v>
      </c>
      <c r="I131">
        <v>1</v>
      </c>
      <c r="J131">
        <v>0</v>
      </c>
      <c r="K131">
        <v>0</v>
      </c>
    </row>
    <row r="132" spans="1:11" x14ac:dyDescent="0.2">
      <c r="A132" t="s">
        <v>16</v>
      </c>
      <c r="B132" t="s">
        <v>256</v>
      </c>
      <c r="C132">
        <v>1080</v>
      </c>
      <c r="D132" t="s">
        <v>8978</v>
      </c>
      <c r="E132" t="s">
        <v>166</v>
      </c>
      <c r="F132">
        <v>37</v>
      </c>
      <c r="G132">
        <v>0.30185528044233273</v>
      </c>
      <c r="H132" t="s">
        <v>95</v>
      </c>
      <c r="I132">
        <v>1</v>
      </c>
      <c r="J132">
        <v>0</v>
      </c>
      <c r="K132">
        <v>0</v>
      </c>
    </row>
    <row r="133" spans="1:11" x14ac:dyDescent="0.2">
      <c r="A133" t="s">
        <v>16</v>
      </c>
      <c r="B133" t="s">
        <v>256</v>
      </c>
      <c r="C133">
        <v>1080</v>
      </c>
      <c r="D133" t="s">
        <v>8970</v>
      </c>
      <c r="E133" t="s">
        <v>166</v>
      </c>
      <c r="F133">
        <v>37</v>
      </c>
      <c r="G133">
        <v>0.30185528044233273</v>
      </c>
      <c r="H133" t="s">
        <v>103</v>
      </c>
      <c r="I133">
        <v>1</v>
      </c>
      <c r="J133">
        <v>0</v>
      </c>
      <c r="K133">
        <v>0</v>
      </c>
    </row>
    <row r="134" spans="1:11" x14ac:dyDescent="0.2">
      <c r="A134" t="s">
        <v>16</v>
      </c>
      <c r="B134" t="s">
        <v>256</v>
      </c>
      <c r="C134">
        <v>1080</v>
      </c>
      <c r="D134" t="s">
        <v>8983</v>
      </c>
      <c r="E134" t="s">
        <v>166</v>
      </c>
      <c r="F134">
        <v>37</v>
      </c>
      <c r="G134">
        <v>0.30185528044233273</v>
      </c>
      <c r="H134" t="s">
        <v>93</v>
      </c>
      <c r="I134">
        <v>1</v>
      </c>
      <c r="J134">
        <v>0</v>
      </c>
      <c r="K134">
        <v>0</v>
      </c>
    </row>
    <row r="135" spans="1:11" x14ac:dyDescent="0.2">
      <c r="A135" t="s">
        <v>16</v>
      </c>
      <c r="B135" t="s">
        <v>256</v>
      </c>
      <c r="C135">
        <v>1080</v>
      </c>
      <c r="D135" t="s">
        <v>8981</v>
      </c>
      <c r="E135" t="s">
        <v>166</v>
      </c>
      <c r="F135">
        <v>37</v>
      </c>
      <c r="G135">
        <v>0.30185528044233273</v>
      </c>
      <c r="H135" t="s">
        <v>96</v>
      </c>
      <c r="I135">
        <v>1</v>
      </c>
      <c r="J135">
        <v>0</v>
      </c>
      <c r="K135">
        <v>0</v>
      </c>
    </row>
    <row r="136" spans="1:11" x14ac:dyDescent="0.2">
      <c r="A136" t="s">
        <v>16</v>
      </c>
      <c r="B136" t="s">
        <v>256</v>
      </c>
      <c r="C136">
        <v>1080</v>
      </c>
      <c r="D136" t="s">
        <v>8974</v>
      </c>
      <c r="E136" t="s">
        <v>166</v>
      </c>
      <c r="F136">
        <v>37</v>
      </c>
      <c r="G136">
        <v>0.30185528044233273</v>
      </c>
      <c r="H136" t="s">
        <v>97</v>
      </c>
      <c r="I136">
        <v>1</v>
      </c>
      <c r="J136">
        <v>0</v>
      </c>
      <c r="K136">
        <v>0</v>
      </c>
    </row>
    <row r="137" spans="1:11" x14ac:dyDescent="0.2">
      <c r="A137" t="s">
        <v>16</v>
      </c>
      <c r="B137" t="s">
        <v>256</v>
      </c>
      <c r="C137">
        <v>1080</v>
      </c>
      <c r="D137" t="s">
        <v>8977</v>
      </c>
      <c r="E137" t="s">
        <v>166</v>
      </c>
      <c r="F137">
        <v>37</v>
      </c>
      <c r="G137">
        <v>0.30185528044233273</v>
      </c>
      <c r="H137" t="s">
        <v>99</v>
      </c>
      <c r="I137">
        <v>1</v>
      </c>
      <c r="J137">
        <v>0</v>
      </c>
      <c r="K137">
        <v>0</v>
      </c>
    </row>
    <row r="138" spans="1:11" x14ac:dyDescent="0.2">
      <c r="A138" t="s">
        <v>16</v>
      </c>
      <c r="B138" t="s">
        <v>256</v>
      </c>
      <c r="C138">
        <v>1080</v>
      </c>
      <c r="D138" t="s">
        <v>8989</v>
      </c>
      <c r="E138" t="s">
        <v>166</v>
      </c>
      <c r="F138">
        <v>37</v>
      </c>
      <c r="G138">
        <v>0.30185528044233273</v>
      </c>
      <c r="H138" t="s">
        <v>105</v>
      </c>
      <c r="I138">
        <v>1</v>
      </c>
      <c r="J138">
        <v>0</v>
      </c>
      <c r="K138">
        <v>0</v>
      </c>
    </row>
    <row r="139" spans="1:11" x14ac:dyDescent="0.2">
      <c r="A139" t="s">
        <v>16</v>
      </c>
      <c r="B139" t="s">
        <v>256</v>
      </c>
      <c r="C139">
        <v>1080</v>
      </c>
      <c r="D139" t="s">
        <v>8992</v>
      </c>
      <c r="E139" t="s">
        <v>166</v>
      </c>
      <c r="F139">
        <v>37</v>
      </c>
      <c r="G139">
        <v>0.30185528044233273</v>
      </c>
      <c r="H139" t="s">
        <v>104</v>
      </c>
      <c r="I139">
        <v>1</v>
      </c>
      <c r="J139">
        <v>0</v>
      </c>
      <c r="K139">
        <v>0</v>
      </c>
    </row>
    <row r="140" spans="1:11" x14ac:dyDescent="0.2">
      <c r="A140" t="s">
        <v>16</v>
      </c>
      <c r="B140" t="s">
        <v>256</v>
      </c>
      <c r="C140">
        <v>1080</v>
      </c>
      <c r="D140" t="s">
        <v>8976</v>
      </c>
      <c r="E140" t="s">
        <v>166</v>
      </c>
      <c r="F140">
        <v>37</v>
      </c>
      <c r="G140">
        <v>0.30185528044233273</v>
      </c>
      <c r="H140" t="s">
        <v>98</v>
      </c>
      <c r="I140">
        <v>1</v>
      </c>
      <c r="J140">
        <v>0</v>
      </c>
      <c r="K140">
        <v>0</v>
      </c>
    </row>
    <row r="141" spans="1:11" x14ac:dyDescent="0.2">
      <c r="A141" t="s">
        <v>16</v>
      </c>
      <c r="B141" t="s">
        <v>256</v>
      </c>
      <c r="C141">
        <v>1080</v>
      </c>
      <c r="D141" t="s">
        <v>8985</v>
      </c>
      <c r="E141" t="s">
        <v>166</v>
      </c>
      <c r="F141">
        <v>37</v>
      </c>
      <c r="G141">
        <v>0.30185528044233273</v>
      </c>
      <c r="H141" t="s">
        <v>101</v>
      </c>
      <c r="I141">
        <v>1</v>
      </c>
      <c r="J141">
        <v>0</v>
      </c>
      <c r="K141">
        <v>0</v>
      </c>
    </row>
    <row r="142" spans="1:11" x14ac:dyDescent="0.2">
      <c r="A142" t="s">
        <v>16</v>
      </c>
      <c r="B142" t="s">
        <v>256</v>
      </c>
      <c r="C142">
        <v>1080</v>
      </c>
      <c r="D142" t="s">
        <v>8987</v>
      </c>
      <c r="E142" t="s">
        <v>166</v>
      </c>
      <c r="F142">
        <v>37</v>
      </c>
      <c r="G142">
        <v>0.30185528044233273</v>
      </c>
      <c r="H142" t="s">
        <v>92</v>
      </c>
      <c r="I142">
        <v>1</v>
      </c>
      <c r="J142">
        <v>0</v>
      </c>
      <c r="K142">
        <v>0</v>
      </c>
    </row>
    <row r="143" spans="1:11" x14ac:dyDescent="0.2">
      <c r="A143" t="s">
        <v>16</v>
      </c>
      <c r="B143" t="s">
        <v>256</v>
      </c>
      <c r="C143">
        <v>1080</v>
      </c>
      <c r="D143" t="s">
        <v>8988</v>
      </c>
      <c r="E143" t="s">
        <v>166</v>
      </c>
      <c r="F143">
        <v>37</v>
      </c>
      <c r="G143">
        <v>0.30185528044233273</v>
      </c>
      <c r="H143" t="s">
        <v>94</v>
      </c>
      <c r="I143">
        <v>1</v>
      </c>
      <c r="J143">
        <v>0</v>
      </c>
      <c r="K143">
        <v>0</v>
      </c>
    </row>
    <row r="144" spans="1:11" x14ac:dyDescent="0.2">
      <c r="A144" t="s">
        <v>16</v>
      </c>
      <c r="B144" t="s">
        <v>256</v>
      </c>
      <c r="C144">
        <v>1080</v>
      </c>
      <c r="D144" t="s">
        <v>8984</v>
      </c>
      <c r="E144" t="s">
        <v>166</v>
      </c>
      <c r="F144">
        <v>37</v>
      </c>
      <c r="G144">
        <v>0.30185528044233273</v>
      </c>
      <c r="H144" t="s">
        <v>100</v>
      </c>
      <c r="I144">
        <v>1</v>
      </c>
      <c r="J144">
        <v>0</v>
      </c>
      <c r="K144">
        <v>0</v>
      </c>
    </row>
    <row r="145" spans="1:11" x14ac:dyDescent="0.2">
      <c r="A145" t="s">
        <v>16</v>
      </c>
      <c r="B145" t="s">
        <v>256</v>
      </c>
      <c r="C145">
        <v>1080</v>
      </c>
      <c r="D145" t="s">
        <v>8979</v>
      </c>
      <c r="E145" t="s">
        <v>166</v>
      </c>
      <c r="F145">
        <v>37</v>
      </c>
      <c r="G145">
        <v>0.30185528044233273</v>
      </c>
      <c r="H145" t="s">
        <v>95</v>
      </c>
      <c r="I145">
        <v>1</v>
      </c>
      <c r="J145">
        <v>0</v>
      </c>
      <c r="K145">
        <v>0</v>
      </c>
    </row>
    <row r="146" spans="1:11" x14ac:dyDescent="0.2">
      <c r="A146" t="s">
        <v>16</v>
      </c>
      <c r="B146" t="s">
        <v>256</v>
      </c>
      <c r="C146">
        <v>1080</v>
      </c>
      <c r="D146" t="s">
        <v>8986</v>
      </c>
      <c r="E146" t="s">
        <v>166</v>
      </c>
      <c r="F146">
        <v>37</v>
      </c>
      <c r="G146">
        <v>0.30185528044233273</v>
      </c>
      <c r="H146" t="s">
        <v>103</v>
      </c>
      <c r="I146">
        <v>1</v>
      </c>
      <c r="J146">
        <v>0</v>
      </c>
      <c r="K146">
        <v>0</v>
      </c>
    </row>
    <row r="147" spans="1:11" x14ac:dyDescent="0.2">
      <c r="A147" t="s">
        <v>16</v>
      </c>
      <c r="B147" t="s">
        <v>256</v>
      </c>
      <c r="C147">
        <v>1080</v>
      </c>
      <c r="D147" t="s">
        <v>8990</v>
      </c>
      <c r="E147" t="s">
        <v>166</v>
      </c>
      <c r="F147">
        <v>37</v>
      </c>
      <c r="G147">
        <v>0.30185528044233273</v>
      </c>
      <c r="H147" t="s">
        <v>87</v>
      </c>
      <c r="I147">
        <v>1</v>
      </c>
      <c r="J147">
        <v>0</v>
      </c>
      <c r="K147">
        <v>0</v>
      </c>
    </row>
    <row r="148" spans="1:11" x14ac:dyDescent="0.2">
      <c r="A148" t="s">
        <v>16</v>
      </c>
      <c r="B148" t="s">
        <v>256</v>
      </c>
      <c r="C148">
        <v>1080</v>
      </c>
      <c r="D148" t="s">
        <v>8975</v>
      </c>
      <c r="E148" t="s">
        <v>166</v>
      </c>
      <c r="F148">
        <v>37</v>
      </c>
      <c r="G148">
        <v>0.30185528044233273</v>
      </c>
      <c r="H148" t="s">
        <v>88</v>
      </c>
      <c r="I148">
        <v>1</v>
      </c>
      <c r="J148">
        <v>0</v>
      </c>
      <c r="K148">
        <v>0</v>
      </c>
    </row>
    <row r="149" spans="1:11" x14ac:dyDescent="0.2">
      <c r="A149" t="s">
        <v>16</v>
      </c>
      <c r="B149" t="s">
        <v>256</v>
      </c>
      <c r="C149">
        <v>1080</v>
      </c>
      <c r="D149" t="s">
        <v>8967</v>
      </c>
      <c r="E149" t="s">
        <v>166</v>
      </c>
      <c r="F149">
        <v>37</v>
      </c>
      <c r="G149">
        <v>0.30185528044233273</v>
      </c>
      <c r="H149" t="s">
        <v>89</v>
      </c>
      <c r="I149">
        <v>1</v>
      </c>
      <c r="J149">
        <v>0</v>
      </c>
      <c r="K149">
        <v>0</v>
      </c>
    </row>
    <row r="150" spans="1:11" x14ac:dyDescent="0.2">
      <c r="A150" t="s">
        <v>16</v>
      </c>
      <c r="B150" t="s">
        <v>256</v>
      </c>
      <c r="C150">
        <v>1080</v>
      </c>
      <c r="D150" t="s">
        <v>8982</v>
      </c>
      <c r="E150" t="s">
        <v>166</v>
      </c>
      <c r="F150">
        <v>37</v>
      </c>
      <c r="G150">
        <v>0.30185528044233273</v>
      </c>
      <c r="H150" t="s">
        <v>90</v>
      </c>
      <c r="I150">
        <v>1</v>
      </c>
      <c r="J150">
        <v>0</v>
      </c>
      <c r="K150">
        <v>0</v>
      </c>
    </row>
    <row r="151" spans="1:11" x14ac:dyDescent="0.2">
      <c r="A151" t="s">
        <v>16</v>
      </c>
      <c r="B151" t="s">
        <v>256</v>
      </c>
      <c r="C151">
        <v>360</v>
      </c>
      <c r="D151" t="s">
        <v>8972</v>
      </c>
      <c r="E151" t="s">
        <v>166</v>
      </c>
      <c r="F151">
        <v>37</v>
      </c>
      <c r="G151">
        <v>0.10061842681411091</v>
      </c>
      <c r="H151" t="s">
        <v>91</v>
      </c>
      <c r="I151">
        <v>1</v>
      </c>
      <c r="J151">
        <v>0</v>
      </c>
      <c r="K151">
        <v>0</v>
      </c>
    </row>
    <row r="152" spans="1:11" x14ac:dyDescent="0.2">
      <c r="A152" t="s">
        <v>16</v>
      </c>
      <c r="B152" t="s">
        <v>256</v>
      </c>
      <c r="C152">
        <v>1080</v>
      </c>
      <c r="D152" t="s">
        <v>8973</v>
      </c>
      <c r="E152" t="s">
        <v>166</v>
      </c>
      <c r="F152">
        <v>37</v>
      </c>
      <c r="G152">
        <v>0.30185528044233273</v>
      </c>
      <c r="H152" t="s">
        <v>93</v>
      </c>
      <c r="I152">
        <v>1</v>
      </c>
      <c r="J152">
        <v>0</v>
      </c>
      <c r="K152">
        <v>0</v>
      </c>
    </row>
    <row r="153" spans="1:11" x14ac:dyDescent="0.2">
      <c r="A153" t="s">
        <v>16</v>
      </c>
      <c r="B153" t="s">
        <v>256</v>
      </c>
      <c r="C153">
        <v>1080</v>
      </c>
      <c r="D153" t="s">
        <v>8991</v>
      </c>
      <c r="E153" t="s">
        <v>166</v>
      </c>
      <c r="F153">
        <v>37</v>
      </c>
      <c r="G153">
        <v>0.30185528044233273</v>
      </c>
      <c r="H153" t="s">
        <v>96</v>
      </c>
      <c r="I153">
        <v>1</v>
      </c>
      <c r="J153">
        <v>0</v>
      </c>
      <c r="K153">
        <v>0</v>
      </c>
    </row>
    <row r="154" spans="1:11" x14ac:dyDescent="0.2">
      <c r="A154" t="s">
        <v>16</v>
      </c>
      <c r="B154" t="s">
        <v>670</v>
      </c>
      <c r="C154">
        <v>255</v>
      </c>
      <c r="D154" t="s">
        <v>8996</v>
      </c>
      <c r="E154" t="s">
        <v>166</v>
      </c>
      <c r="F154">
        <v>2</v>
      </c>
      <c r="G154">
        <v>0.20079487563960791</v>
      </c>
      <c r="H154" t="s">
        <v>97</v>
      </c>
      <c r="I154">
        <v>1</v>
      </c>
      <c r="J154">
        <v>0</v>
      </c>
      <c r="K154">
        <v>0</v>
      </c>
    </row>
    <row r="155" spans="1:11" x14ac:dyDescent="0.2">
      <c r="A155" t="s">
        <v>16</v>
      </c>
      <c r="B155" t="s">
        <v>670</v>
      </c>
      <c r="C155">
        <v>255</v>
      </c>
      <c r="D155" t="s">
        <v>8993</v>
      </c>
      <c r="E155" t="s">
        <v>166</v>
      </c>
      <c r="F155">
        <v>2</v>
      </c>
      <c r="G155">
        <v>0.20079487563960791</v>
      </c>
      <c r="H155" t="s">
        <v>99</v>
      </c>
      <c r="I155">
        <v>1</v>
      </c>
      <c r="J155">
        <v>0</v>
      </c>
      <c r="K155">
        <v>0</v>
      </c>
    </row>
    <row r="156" spans="1:11" x14ac:dyDescent="0.2">
      <c r="A156" t="s">
        <v>16</v>
      </c>
      <c r="B156" t="s">
        <v>670</v>
      </c>
      <c r="C156">
        <v>255</v>
      </c>
      <c r="D156" t="s">
        <v>8995</v>
      </c>
      <c r="E156" t="s">
        <v>166</v>
      </c>
      <c r="F156">
        <v>2</v>
      </c>
      <c r="G156">
        <v>0.20079487563960791</v>
      </c>
      <c r="H156" t="s">
        <v>97</v>
      </c>
      <c r="I156">
        <v>1</v>
      </c>
      <c r="J156">
        <v>0</v>
      </c>
      <c r="K156">
        <v>0</v>
      </c>
    </row>
    <row r="157" spans="1:11" x14ac:dyDescent="0.2">
      <c r="A157" t="s">
        <v>16</v>
      </c>
      <c r="B157" t="s">
        <v>670</v>
      </c>
      <c r="C157">
        <v>85</v>
      </c>
      <c r="D157" t="s">
        <v>8997</v>
      </c>
      <c r="E157" t="s">
        <v>166</v>
      </c>
      <c r="F157">
        <v>2</v>
      </c>
      <c r="G157">
        <v>6.6931625213202645E-2</v>
      </c>
      <c r="H157" t="s">
        <v>99</v>
      </c>
      <c r="I157">
        <v>1</v>
      </c>
      <c r="J157">
        <v>0</v>
      </c>
      <c r="K157">
        <v>0</v>
      </c>
    </row>
    <row r="158" spans="1:11" x14ac:dyDescent="0.2">
      <c r="A158" t="s">
        <v>16</v>
      </c>
      <c r="B158" t="s">
        <v>670</v>
      </c>
      <c r="C158">
        <v>255</v>
      </c>
      <c r="D158" t="s">
        <v>8994</v>
      </c>
      <c r="E158" t="s">
        <v>166</v>
      </c>
      <c r="F158">
        <v>2</v>
      </c>
      <c r="G158">
        <v>0.20079487563960791</v>
      </c>
      <c r="H158" t="s">
        <v>99</v>
      </c>
      <c r="I158">
        <v>1</v>
      </c>
      <c r="J158">
        <v>0</v>
      </c>
      <c r="K158">
        <v>0</v>
      </c>
    </row>
    <row r="159" spans="1:11" x14ac:dyDescent="0.2">
      <c r="A159" t="s">
        <v>16</v>
      </c>
      <c r="B159" t="s">
        <v>928</v>
      </c>
      <c r="C159">
        <v>480</v>
      </c>
      <c r="D159" t="s">
        <v>9000</v>
      </c>
      <c r="E159" t="s">
        <v>166</v>
      </c>
      <c r="F159">
        <v>3</v>
      </c>
      <c r="G159">
        <v>0.47705358342169235</v>
      </c>
      <c r="H159" t="s">
        <v>105</v>
      </c>
      <c r="I159">
        <v>1</v>
      </c>
      <c r="J159">
        <v>0</v>
      </c>
      <c r="K159">
        <v>0</v>
      </c>
    </row>
    <row r="160" spans="1:11" x14ac:dyDescent="0.2">
      <c r="A160" t="s">
        <v>16</v>
      </c>
      <c r="B160" t="s">
        <v>928</v>
      </c>
      <c r="C160">
        <v>480</v>
      </c>
      <c r="D160" t="s">
        <v>8998</v>
      </c>
      <c r="E160" t="s">
        <v>166</v>
      </c>
      <c r="F160">
        <v>3</v>
      </c>
      <c r="G160">
        <v>0.47705358342169235</v>
      </c>
      <c r="H160" t="s">
        <v>91</v>
      </c>
      <c r="I160">
        <v>1</v>
      </c>
      <c r="J160">
        <v>0</v>
      </c>
      <c r="K160">
        <v>0</v>
      </c>
    </row>
    <row r="161" spans="1:11" x14ac:dyDescent="0.2">
      <c r="A161" t="s">
        <v>16</v>
      </c>
      <c r="B161" t="s">
        <v>928</v>
      </c>
      <c r="C161">
        <v>160</v>
      </c>
      <c r="D161" t="s">
        <v>8999</v>
      </c>
      <c r="E161" t="s">
        <v>166</v>
      </c>
      <c r="F161">
        <v>3</v>
      </c>
      <c r="G161">
        <v>0.1590178611405641</v>
      </c>
      <c r="H161" t="s">
        <v>104</v>
      </c>
      <c r="I161">
        <v>1</v>
      </c>
      <c r="J161">
        <v>0</v>
      </c>
      <c r="K161">
        <v>0</v>
      </c>
    </row>
    <row r="162" spans="1:11" x14ac:dyDescent="0.2">
      <c r="A162" t="s">
        <v>16</v>
      </c>
      <c r="B162" t="s">
        <v>927</v>
      </c>
      <c r="C162">
        <v>200</v>
      </c>
      <c r="D162" t="s">
        <v>9001</v>
      </c>
      <c r="E162" t="s">
        <v>166</v>
      </c>
      <c r="F162">
        <v>3</v>
      </c>
      <c r="G162">
        <v>0.15828483920367536</v>
      </c>
      <c r="H162" t="s">
        <v>98</v>
      </c>
      <c r="I162">
        <v>1</v>
      </c>
      <c r="J162">
        <v>0</v>
      </c>
      <c r="K162">
        <v>0</v>
      </c>
    </row>
    <row r="163" spans="1:11" x14ac:dyDescent="0.2">
      <c r="A163" t="s">
        <v>16</v>
      </c>
      <c r="B163" t="s">
        <v>410</v>
      </c>
      <c r="C163">
        <v>150</v>
      </c>
      <c r="D163" t="s">
        <v>9014</v>
      </c>
      <c r="E163" t="s">
        <v>166</v>
      </c>
      <c r="F163">
        <v>18</v>
      </c>
      <c r="G163">
        <v>0.20473771732740642</v>
      </c>
      <c r="H163" t="s">
        <v>101</v>
      </c>
      <c r="I163">
        <v>1</v>
      </c>
      <c r="J163">
        <v>0</v>
      </c>
      <c r="K163">
        <v>0</v>
      </c>
    </row>
    <row r="164" spans="1:11" x14ac:dyDescent="0.2">
      <c r="A164" t="s">
        <v>16</v>
      </c>
      <c r="B164" t="s">
        <v>410</v>
      </c>
      <c r="C164">
        <v>300</v>
      </c>
      <c r="D164" t="s">
        <v>9008</v>
      </c>
      <c r="E164" t="s">
        <v>166</v>
      </c>
      <c r="F164">
        <v>18</v>
      </c>
      <c r="G164">
        <v>0.40947543465481284</v>
      </c>
      <c r="H164" t="s">
        <v>92</v>
      </c>
      <c r="I164">
        <v>1</v>
      </c>
      <c r="J164">
        <v>0</v>
      </c>
      <c r="K164">
        <v>0</v>
      </c>
    </row>
    <row r="165" spans="1:11" x14ac:dyDescent="0.2">
      <c r="A165" t="s">
        <v>16</v>
      </c>
      <c r="B165" t="s">
        <v>410</v>
      </c>
      <c r="C165">
        <v>450</v>
      </c>
      <c r="D165" t="s">
        <v>9013</v>
      </c>
      <c r="E165" t="s">
        <v>166</v>
      </c>
      <c r="F165">
        <v>18</v>
      </c>
      <c r="G165">
        <v>0.61421315198221926</v>
      </c>
      <c r="H165" t="s">
        <v>94</v>
      </c>
      <c r="I165">
        <v>1</v>
      </c>
      <c r="J165">
        <v>0</v>
      </c>
      <c r="K165">
        <v>0</v>
      </c>
    </row>
    <row r="166" spans="1:11" x14ac:dyDescent="0.2">
      <c r="A166" t="s">
        <v>16</v>
      </c>
      <c r="B166" t="s">
        <v>410</v>
      </c>
      <c r="C166">
        <v>450</v>
      </c>
      <c r="D166" t="s">
        <v>9009</v>
      </c>
      <c r="E166" t="s">
        <v>166</v>
      </c>
      <c r="F166">
        <v>18</v>
      </c>
      <c r="G166">
        <v>0.61421315198221926</v>
      </c>
      <c r="H166" t="s">
        <v>100</v>
      </c>
      <c r="I166">
        <v>1</v>
      </c>
      <c r="J166">
        <v>0</v>
      </c>
      <c r="K166">
        <v>0</v>
      </c>
    </row>
    <row r="167" spans="1:11" x14ac:dyDescent="0.2">
      <c r="A167" t="s">
        <v>16</v>
      </c>
      <c r="B167" t="s">
        <v>410</v>
      </c>
      <c r="C167">
        <v>450</v>
      </c>
      <c r="D167" t="s">
        <v>9011</v>
      </c>
      <c r="E167" t="s">
        <v>166</v>
      </c>
      <c r="F167">
        <v>18</v>
      </c>
      <c r="G167">
        <v>0.61421315198221926</v>
      </c>
      <c r="H167" t="s">
        <v>95</v>
      </c>
      <c r="I167">
        <v>1</v>
      </c>
      <c r="J167">
        <v>0</v>
      </c>
      <c r="K167">
        <v>0</v>
      </c>
    </row>
    <row r="168" spans="1:11" x14ac:dyDescent="0.2">
      <c r="A168" t="s">
        <v>16</v>
      </c>
      <c r="B168" t="s">
        <v>410</v>
      </c>
      <c r="C168">
        <v>450</v>
      </c>
      <c r="D168" t="s">
        <v>9002</v>
      </c>
      <c r="E168" t="s">
        <v>166</v>
      </c>
      <c r="F168">
        <v>18</v>
      </c>
      <c r="G168">
        <v>0.61421315198221926</v>
      </c>
      <c r="H168" t="s">
        <v>104</v>
      </c>
      <c r="I168">
        <v>1</v>
      </c>
      <c r="J168">
        <v>0</v>
      </c>
      <c r="K168">
        <v>0</v>
      </c>
    </row>
    <row r="169" spans="1:11" x14ac:dyDescent="0.2">
      <c r="A169" t="s">
        <v>16</v>
      </c>
      <c r="B169" t="s">
        <v>410</v>
      </c>
      <c r="C169">
        <v>450</v>
      </c>
      <c r="D169" t="s">
        <v>9006</v>
      </c>
      <c r="E169" t="s">
        <v>166</v>
      </c>
      <c r="F169">
        <v>18</v>
      </c>
      <c r="G169">
        <v>0.61421315198221926</v>
      </c>
      <c r="H169" t="s">
        <v>103</v>
      </c>
      <c r="I169">
        <v>1</v>
      </c>
      <c r="J169">
        <v>0</v>
      </c>
      <c r="K169">
        <v>0</v>
      </c>
    </row>
    <row r="170" spans="1:11" x14ac:dyDescent="0.2">
      <c r="A170" t="s">
        <v>16</v>
      </c>
      <c r="B170" t="s">
        <v>410</v>
      </c>
      <c r="C170">
        <v>450</v>
      </c>
      <c r="D170" t="s">
        <v>9010</v>
      </c>
      <c r="E170" t="s">
        <v>166</v>
      </c>
      <c r="F170">
        <v>18</v>
      </c>
      <c r="G170">
        <v>0.61421315198221926</v>
      </c>
      <c r="H170" t="s">
        <v>84</v>
      </c>
      <c r="I170">
        <v>1</v>
      </c>
      <c r="J170">
        <v>0</v>
      </c>
      <c r="K170">
        <v>0</v>
      </c>
    </row>
    <row r="171" spans="1:11" x14ac:dyDescent="0.2">
      <c r="A171" t="s">
        <v>16</v>
      </c>
      <c r="B171" t="s">
        <v>410</v>
      </c>
      <c r="C171">
        <v>450</v>
      </c>
      <c r="D171" t="s">
        <v>9016</v>
      </c>
      <c r="E171" t="s">
        <v>166</v>
      </c>
      <c r="F171">
        <v>18</v>
      </c>
      <c r="G171">
        <v>0.61421315198221926</v>
      </c>
      <c r="H171" t="s">
        <v>87</v>
      </c>
      <c r="I171">
        <v>1</v>
      </c>
      <c r="J171">
        <v>0</v>
      </c>
      <c r="K171">
        <v>0</v>
      </c>
    </row>
    <row r="172" spans="1:11" x14ac:dyDescent="0.2">
      <c r="A172" t="s">
        <v>16</v>
      </c>
      <c r="B172" t="s">
        <v>410</v>
      </c>
      <c r="C172">
        <v>300</v>
      </c>
      <c r="D172" t="s">
        <v>9005</v>
      </c>
      <c r="E172" t="s">
        <v>166</v>
      </c>
      <c r="F172">
        <v>18</v>
      </c>
      <c r="G172">
        <v>0.40947543465481284</v>
      </c>
      <c r="H172" t="s">
        <v>88</v>
      </c>
      <c r="I172">
        <v>1</v>
      </c>
      <c r="J172">
        <v>0</v>
      </c>
      <c r="K172">
        <v>0</v>
      </c>
    </row>
    <row r="173" spans="1:11" x14ac:dyDescent="0.2">
      <c r="A173" t="s">
        <v>16</v>
      </c>
      <c r="B173" t="s">
        <v>410</v>
      </c>
      <c r="C173">
        <v>450</v>
      </c>
      <c r="D173" t="s">
        <v>9004</v>
      </c>
      <c r="E173" t="s">
        <v>166</v>
      </c>
      <c r="F173">
        <v>18</v>
      </c>
      <c r="G173">
        <v>0.61421315198221926</v>
      </c>
      <c r="H173" t="s">
        <v>89</v>
      </c>
      <c r="I173">
        <v>1</v>
      </c>
      <c r="J173">
        <v>0</v>
      </c>
      <c r="K173">
        <v>0</v>
      </c>
    </row>
    <row r="174" spans="1:11" x14ac:dyDescent="0.2">
      <c r="A174" t="s">
        <v>16</v>
      </c>
      <c r="B174" t="s">
        <v>410</v>
      </c>
      <c r="C174">
        <v>450</v>
      </c>
      <c r="D174" t="s">
        <v>9003</v>
      </c>
      <c r="E174" t="s">
        <v>166</v>
      </c>
      <c r="F174">
        <v>18</v>
      </c>
      <c r="G174">
        <v>0.61421315198221926</v>
      </c>
      <c r="H174" t="s">
        <v>90</v>
      </c>
      <c r="I174">
        <v>1</v>
      </c>
      <c r="J174">
        <v>0</v>
      </c>
      <c r="K174">
        <v>0</v>
      </c>
    </row>
    <row r="175" spans="1:11" x14ac:dyDescent="0.2">
      <c r="A175" t="s">
        <v>16</v>
      </c>
      <c r="B175" t="s">
        <v>410</v>
      </c>
      <c r="C175">
        <v>450</v>
      </c>
      <c r="D175" t="s">
        <v>9012</v>
      </c>
      <c r="E175" t="s">
        <v>166</v>
      </c>
      <c r="F175">
        <v>18</v>
      </c>
      <c r="G175">
        <v>0.61421315198221926</v>
      </c>
      <c r="H175" t="s">
        <v>98</v>
      </c>
      <c r="I175">
        <v>1</v>
      </c>
      <c r="J175">
        <v>0</v>
      </c>
      <c r="K175">
        <v>0</v>
      </c>
    </row>
    <row r="176" spans="1:11" x14ac:dyDescent="0.2">
      <c r="A176" t="s">
        <v>16</v>
      </c>
      <c r="B176" t="s">
        <v>410</v>
      </c>
      <c r="C176">
        <v>450</v>
      </c>
      <c r="D176" t="s">
        <v>9017</v>
      </c>
      <c r="E176" t="s">
        <v>166</v>
      </c>
      <c r="F176">
        <v>18</v>
      </c>
      <c r="G176">
        <v>0.61421315198221926</v>
      </c>
      <c r="H176" t="s">
        <v>93</v>
      </c>
      <c r="I176">
        <v>1</v>
      </c>
      <c r="J176">
        <v>0</v>
      </c>
      <c r="K176">
        <v>0</v>
      </c>
    </row>
    <row r="177" spans="1:11" x14ac:dyDescent="0.2">
      <c r="A177" t="s">
        <v>16</v>
      </c>
      <c r="B177" t="s">
        <v>410</v>
      </c>
      <c r="C177">
        <v>150</v>
      </c>
      <c r="D177" t="s">
        <v>9007</v>
      </c>
      <c r="E177" t="s">
        <v>166</v>
      </c>
      <c r="F177">
        <v>18</v>
      </c>
      <c r="G177">
        <v>0.20473771732740642</v>
      </c>
      <c r="H177" t="s">
        <v>96</v>
      </c>
      <c r="I177">
        <v>1</v>
      </c>
      <c r="J177">
        <v>0</v>
      </c>
      <c r="K177">
        <v>0</v>
      </c>
    </row>
    <row r="178" spans="1:11" x14ac:dyDescent="0.2">
      <c r="A178" t="s">
        <v>16</v>
      </c>
      <c r="B178" t="s">
        <v>410</v>
      </c>
      <c r="C178">
        <v>450</v>
      </c>
      <c r="D178" t="s">
        <v>9015</v>
      </c>
      <c r="E178" t="s">
        <v>166</v>
      </c>
      <c r="F178">
        <v>18</v>
      </c>
      <c r="G178">
        <v>0.61421315198221926</v>
      </c>
      <c r="H178" t="s">
        <v>101</v>
      </c>
      <c r="I178">
        <v>1</v>
      </c>
      <c r="J178">
        <v>0</v>
      </c>
      <c r="K178">
        <v>0</v>
      </c>
    </row>
    <row r="179" spans="1:11" x14ac:dyDescent="0.2">
      <c r="A179" t="s">
        <v>16</v>
      </c>
      <c r="B179" t="s">
        <v>411</v>
      </c>
      <c r="C179">
        <v>1140</v>
      </c>
      <c r="D179" t="s">
        <v>9021</v>
      </c>
      <c r="E179" t="s">
        <v>166</v>
      </c>
      <c r="F179">
        <v>20</v>
      </c>
      <c r="G179">
        <v>0.99068667704631197</v>
      </c>
      <c r="H179" t="s">
        <v>97</v>
      </c>
      <c r="I179">
        <v>1</v>
      </c>
      <c r="J179">
        <v>0</v>
      </c>
      <c r="K179">
        <v>0</v>
      </c>
    </row>
    <row r="180" spans="1:11" x14ac:dyDescent="0.2">
      <c r="A180" t="s">
        <v>16</v>
      </c>
      <c r="B180" t="s">
        <v>411</v>
      </c>
      <c r="C180">
        <v>1140</v>
      </c>
      <c r="D180" t="s">
        <v>9020</v>
      </c>
      <c r="E180" t="s">
        <v>166</v>
      </c>
      <c r="F180">
        <v>20</v>
      </c>
      <c r="G180">
        <v>0.99068667704631197</v>
      </c>
      <c r="H180" t="s">
        <v>99</v>
      </c>
      <c r="I180">
        <v>1</v>
      </c>
      <c r="J180">
        <v>0</v>
      </c>
      <c r="K180">
        <v>0</v>
      </c>
    </row>
    <row r="181" spans="1:11" x14ac:dyDescent="0.2">
      <c r="A181" t="s">
        <v>16</v>
      </c>
      <c r="B181" t="s">
        <v>411</v>
      </c>
      <c r="C181">
        <v>1140</v>
      </c>
      <c r="D181" t="s">
        <v>9022</v>
      </c>
      <c r="E181" t="s">
        <v>166</v>
      </c>
      <c r="F181">
        <v>20</v>
      </c>
      <c r="G181">
        <v>0.99068667704631197</v>
      </c>
      <c r="H181" t="s">
        <v>96</v>
      </c>
      <c r="I181">
        <v>1</v>
      </c>
      <c r="J181">
        <v>0</v>
      </c>
      <c r="K181">
        <v>0</v>
      </c>
    </row>
    <row r="182" spans="1:11" x14ac:dyDescent="0.2">
      <c r="A182" t="s">
        <v>16</v>
      </c>
      <c r="B182" t="s">
        <v>411</v>
      </c>
      <c r="C182">
        <v>380</v>
      </c>
      <c r="D182" t="s">
        <v>9023</v>
      </c>
      <c r="E182" t="s">
        <v>166</v>
      </c>
      <c r="F182">
        <v>20</v>
      </c>
      <c r="G182">
        <v>0.33022889234877068</v>
      </c>
      <c r="H182" t="s">
        <v>105</v>
      </c>
      <c r="I182">
        <v>1</v>
      </c>
      <c r="J182">
        <v>0</v>
      </c>
      <c r="K182">
        <v>0</v>
      </c>
    </row>
    <row r="183" spans="1:11" x14ac:dyDescent="0.2">
      <c r="A183" t="s">
        <v>16</v>
      </c>
      <c r="B183" t="s">
        <v>411</v>
      </c>
      <c r="C183">
        <v>380</v>
      </c>
      <c r="D183" t="s">
        <v>9018</v>
      </c>
      <c r="E183" t="s">
        <v>166</v>
      </c>
      <c r="F183">
        <v>20</v>
      </c>
      <c r="G183">
        <v>0.33022889234877068</v>
      </c>
      <c r="H183" t="s">
        <v>92</v>
      </c>
      <c r="I183">
        <v>1</v>
      </c>
      <c r="J183">
        <v>0</v>
      </c>
      <c r="K183">
        <v>0</v>
      </c>
    </row>
    <row r="184" spans="1:11" x14ac:dyDescent="0.2">
      <c r="A184" t="s">
        <v>16</v>
      </c>
      <c r="B184" t="s">
        <v>411</v>
      </c>
      <c r="C184">
        <v>1140</v>
      </c>
      <c r="D184" t="s">
        <v>9024</v>
      </c>
      <c r="E184" t="s">
        <v>166</v>
      </c>
      <c r="F184">
        <v>20</v>
      </c>
      <c r="G184">
        <v>0.99068667704631197</v>
      </c>
      <c r="H184" t="s">
        <v>91</v>
      </c>
      <c r="I184">
        <v>1</v>
      </c>
      <c r="J184">
        <v>0</v>
      </c>
      <c r="K184">
        <v>0</v>
      </c>
    </row>
    <row r="185" spans="1:11" x14ac:dyDescent="0.2">
      <c r="A185" t="s">
        <v>16</v>
      </c>
      <c r="B185" t="s">
        <v>411</v>
      </c>
      <c r="C185">
        <v>760</v>
      </c>
      <c r="D185" t="s">
        <v>9019</v>
      </c>
      <c r="E185" t="s">
        <v>166</v>
      </c>
      <c r="F185">
        <v>20</v>
      </c>
      <c r="G185">
        <v>0.66045778469754135</v>
      </c>
      <c r="H185" t="s">
        <v>88</v>
      </c>
      <c r="I185">
        <v>1</v>
      </c>
      <c r="J185">
        <v>0</v>
      </c>
      <c r="K185">
        <v>0</v>
      </c>
    </row>
    <row r="186" spans="1:11" x14ac:dyDescent="0.2">
      <c r="A186" t="s">
        <v>16</v>
      </c>
      <c r="B186" t="s">
        <v>259</v>
      </c>
      <c r="C186">
        <v>250</v>
      </c>
      <c r="D186" t="s">
        <v>9040</v>
      </c>
      <c r="E186" t="s">
        <v>166</v>
      </c>
      <c r="F186">
        <v>4</v>
      </c>
      <c r="G186">
        <v>0.26764391238898383</v>
      </c>
      <c r="H186" t="s">
        <v>94</v>
      </c>
      <c r="I186">
        <v>1</v>
      </c>
      <c r="J186">
        <v>0</v>
      </c>
      <c r="K186">
        <v>0</v>
      </c>
    </row>
    <row r="187" spans="1:11" x14ac:dyDescent="0.2">
      <c r="A187" t="s">
        <v>16</v>
      </c>
      <c r="B187" t="s">
        <v>259</v>
      </c>
      <c r="C187">
        <v>750</v>
      </c>
      <c r="D187" t="s">
        <v>9038</v>
      </c>
      <c r="E187" t="s">
        <v>166</v>
      </c>
      <c r="F187">
        <v>4</v>
      </c>
      <c r="G187">
        <v>0.80293173716695154</v>
      </c>
      <c r="H187" t="s">
        <v>100</v>
      </c>
      <c r="I187">
        <v>1</v>
      </c>
      <c r="J187">
        <v>0</v>
      </c>
      <c r="K187">
        <v>0</v>
      </c>
    </row>
    <row r="188" spans="1:11" x14ac:dyDescent="0.2">
      <c r="A188" t="s">
        <v>16</v>
      </c>
      <c r="B188" t="s">
        <v>259</v>
      </c>
      <c r="C188">
        <v>750</v>
      </c>
      <c r="D188" t="s">
        <v>9039</v>
      </c>
      <c r="E188" t="s">
        <v>166</v>
      </c>
      <c r="F188">
        <v>4</v>
      </c>
      <c r="G188">
        <v>0.80293173716695154</v>
      </c>
      <c r="H188" t="s">
        <v>95</v>
      </c>
      <c r="I188">
        <v>1</v>
      </c>
      <c r="J188">
        <v>0</v>
      </c>
      <c r="K188">
        <v>0</v>
      </c>
    </row>
    <row r="189" spans="1:11" x14ac:dyDescent="0.2">
      <c r="A189" t="s">
        <v>16</v>
      </c>
      <c r="B189" t="s">
        <v>259</v>
      </c>
      <c r="C189">
        <v>750</v>
      </c>
      <c r="D189" t="s">
        <v>9047</v>
      </c>
      <c r="E189" t="s">
        <v>166</v>
      </c>
      <c r="F189">
        <v>4</v>
      </c>
      <c r="G189">
        <v>0.80293173716695154</v>
      </c>
      <c r="H189" t="s">
        <v>105</v>
      </c>
      <c r="I189">
        <v>1</v>
      </c>
      <c r="J189">
        <v>0</v>
      </c>
      <c r="K189">
        <v>0</v>
      </c>
    </row>
    <row r="190" spans="1:11" x14ac:dyDescent="0.2">
      <c r="A190" t="s">
        <v>16</v>
      </c>
      <c r="B190" t="s">
        <v>259</v>
      </c>
      <c r="C190">
        <v>750</v>
      </c>
      <c r="D190" t="s">
        <v>9045</v>
      </c>
      <c r="E190" t="s">
        <v>166</v>
      </c>
      <c r="F190">
        <v>4</v>
      </c>
      <c r="G190">
        <v>0.80293173716695154</v>
      </c>
      <c r="H190" t="s">
        <v>94</v>
      </c>
      <c r="I190">
        <v>1</v>
      </c>
      <c r="J190">
        <v>0</v>
      </c>
      <c r="K190">
        <v>0</v>
      </c>
    </row>
    <row r="191" spans="1:11" x14ac:dyDescent="0.2">
      <c r="A191" t="s">
        <v>16</v>
      </c>
      <c r="B191" t="s">
        <v>259</v>
      </c>
      <c r="C191">
        <v>750</v>
      </c>
      <c r="D191" t="s">
        <v>9037</v>
      </c>
      <c r="E191" t="s">
        <v>166</v>
      </c>
      <c r="F191">
        <v>4</v>
      </c>
      <c r="G191">
        <v>0.80293173716695154</v>
      </c>
      <c r="H191" t="s">
        <v>100</v>
      </c>
      <c r="I191">
        <v>1</v>
      </c>
      <c r="J191">
        <v>0</v>
      </c>
      <c r="K191">
        <v>0</v>
      </c>
    </row>
    <row r="192" spans="1:11" x14ac:dyDescent="0.2">
      <c r="A192" t="s">
        <v>16</v>
      </c>
      <c r="B192" t="s">
        <v>259</v>
      </c>
      <c r="C192">
        <v>750</v>
      </c>
      <c r="D192" t="s">
        <v>9031</v>
      </c>
      <c r="E192" t="s">
        <v>166</v>
      </c>
      <c r="F192">
        <v>4</v>
      </c>
      <c r="G192">
        <v>0.80293173716695154</v>
      </c>
      <c r="H192" t="s">
        <v>95</v>
      </c>
      <c r="I192">
        <v>1</v>
      </c>
      <c r="J192">
        <v>0</v>
      </c>
      <c r="K192">
        <v>0</v>
      </c>
    </row>
    <row r="193" spans="1:11" x14ac:dyDescent="0.2">
      <c r="A193" t="s">
        <v>16</v>
      </c>
      <c r="B193" t="s">
        <v>259</v>
      </c>
      <c r="C193">
        <v>750</v>
      </c>
      <c r="D193" t="s">
        <v>9032</v>
      </c>
      <c r="E193" t="s">
        <v>166</v>
      </c>
      <c r="F193">
        <v>4</v>
      </c>
      <c r="G193">
        <v>0.80293173716695154</v>
      </c>
      <c r="H193" t="s">
        <v>105</v>
      </c>
      <c r="I193">
        <v>1</v>
      </c>
      <c r="J193">
        <v>0</v>
      </c>
      <c r="K193">
        <v>0</v>
      </c>
    </row>
    <row r="194" spans="1:11" x14ac:dyDescent="0.2">
      <c r="A194" t="s">
        <v>16</v>
      </c>
      <c r="B194" t="s">
        <v>259</v>
      </c>
      <c r="C194">
        <v>750</v>
      </c>
      <c r="D194" t="s">
        <v>9029</v>
      </c>
      <c r="E194" t="s">
        <v>166</v>
      </c>
      <c r="F194">
        <v>4</v>
      </c>
      <c r="G194">
        <v>0.80293173716695154</v>
      </c>
      <c r="H194" t="s">
        <v>94</v>
      </c>
      <c r="I194">
        <v>1</v>
      </c>
      <c r="J194">
        <v>0</v>
      </c>
      <c r="K194">
        <v>0</v>
      </c>
    </row>
    <row r="195" spans="1:11" x14ac:dyDescent="0.2">
      <c r="A195" t="s">
        <v>16</v>
      </c>
      <c r="B195" t="s">
        <v>259</v>
      </c>
      <c r="C195">
        <v>750</v>
      </c>
      <c r="D195" t="s">
        <v>9048</v>
      </c>
      <c r="E195" t="s">
        <v>166</v>
      </c>
      <c r="F195">
        <v>4</v>
      </c>
      <c r="G195">
        <v>0.80293173716695154</v>
      </c>
      <c r="H195" t="s">
        <v>100</v>
      </c>
      <c r="I195">
        <v>1</v>
      </c>
      <c r="J195">
        <v>0</v>
      </c>
      <c r="K195">
        <v>0</v>
      </c>
    </row>
    <row r="196" spans="1:11" x14ac:dyDescent="0.2">
      <c r="A196" t="s">
        <v>16</v>
      </c>
      <c r="B196" t="s">
        <v>259</v>
      </c>
      <c r="C196">
        <v>750</v>
      </c>
      <c r="D196" t="s">
        <v>9035</v>
      </c>
      <c r="E196" t="s">
        <v>166</v>
      </c>
      <c r="F196">
        <v>4</v>
      </c>
      <c r="G196">
        <v>0.80293173716695154</v>
      </c>
      <c r="H196" t="s">
        <v>95</v>
      </c>
      <c r="I196">
        <v>1</v>
      </c>
      <c r="J196">
        <v>0</v>
      </c>
      <c r="K196">
        <v>0</v>
      </c>
    </row>
    <row r="197" spans="1:11" x14ac:dyDescent="0.2">
      <c r="A197" t="s">
        <v>16</v>
      </c>
      <c r="B197" t="s">
        <v>259</v>
      </c>
      <c r="C197">
        <v>750</v>
      </c>
      <c r="D197" t="s">
        <v>9026</v>
      </c>
      <c r="E197" t="s">
        <v>166</v>
      </c>
      <c r="F197">
        <v>4</v>
      </c>
      <c r="G197">
        <v>0.80293173716695154</v>
      </c>
      <c r="H197" t="s">
        <v>105</v>
      </c>
      <c r="I197">
        <v>1</v>
      </c>
      <c r="J197">
        <v>0</v>
      </c>
      <c r="K197">
        <v>0</v>
      </c>
    </row>
    <row r="198" spans="1:11" x14ac:dyDescent="0.2">
      <c r="A198" t="s">
        <v>16</v>
      </c>
      <c r="B198" t="s">
        <v>259</v>
      </c>
      <c r="C198">
        <v>750</v>
      </c>
      <c r="D198" t="s">
        <v>9027</v>
      </c>
      <c r="E198" t="s">
        <v>166</v>
      </c>
      <c r="F198">
        <v>4</v>
      </c>
      <c r="G198">
        <v>0.80293173716695154</v>
      </c>
      <c r="H198" t="s">
        <v>94</v>
      </c>
      <c r="I198">
        <v>1</v>
      </c>
      <c r="J198">
        <v>0</v>
      </c>
      <c r="K198">
        <v>0</v>
      </c>
    </row>
    <row r="199" spans="1:11" x14ac:dyDescent="0.2">
      <c r="A199" t="s">
        <v>16</v>
      </c>
      <c r="B199" t="s">
        <v>259</v>
      </c>
      <c r="C199">
        <v>750</v>
      </c>
      <c r="D199" t="s">
        <v>9041</v>
      </c>
      <c r="E199" t="s">
        <v>166</v>
      </c>
      <c r="F199">
        <v>4</v>
      </c>
      <c r="G199">
        <v>0.80293173716695154</v>
      </c>
      <c r="H199" t="s">
        <v>100</v>
      </c>
      <c r="I199">
        <v>1</v>
      </c>
      <c r="J199">
        <v>0</v>
      </c>
      <c r="K199">
        <v>0</v>
      </c>
    </row>
    <row r="200" spans="1:11" x14ac:dyDescent="0.2">
      <c r="A200" t="s">
        <v>16</v>
      </c>
      <c r="B200" t="s">
        <v>259</v>
      </c>
      <c r="C200">
        <v>750</v>
      </c>
      <c r="D200" t="s">
        <v>9043</v>
      </c>
      <c r="E200" t="s">
        <v>166</v>
      </c>
      <c r="F200">
        <v>4</v>
      </c>
      <c r="G200">
        <v>0.80293173716695154</v>
      </c>
      <c r="H200" t="s">
        <v>95</v>
      </c>
      <c r="I200">
        <v>1</v>
      </c>
      <c r="J200">
        <v>0</v>
      </c>
      <c r="K200">
        <v>0</v>
      </c>
    </row>
    <row r="201" spans="1:11" x14ac:dyDescent="0.2">
      <c r="A201" t="s">
        <v>16</v>
      </c>
      <c r="B201" t="s">
        <v>259</v>
      </c>
      <c r="C201">
        <v>750</v>
      </c>
      <c r="D201" t="s">
        <v>9042</v>
      </c>
      <c r="E201" t="s">
        <v>166</v>
      </c>
      <c r="F201">
        <v>4</v>
      </c>
      <c r="G201">
        <v>0.80293173716695154</v>
      </c>
      <c r="H201" t="s">
        <v>105</v>
      </c>
      <c r="I201">
        <v>1</v>
      </c>
      <c r="J201">
        <v>0</v>
      </c>
      <c r="K201">
        <v>0</v>
      </c>
    </row>
    <row r="202" spans="1:11" x14ac:dyDescent="0.2">
      <c r="A202" t="s">
        <v>16</v>
      </c>
      <c r="B202" t="s">
        <v>259</v>
      </c>
      <c r="C202">
        <v>750</v>
      </c>
      <c r="D202" t="s">
        <v>9044</v>
      </c>
      <c r="E202" t="s">
        <v>166</v>
      </c>
      <c r="F202">
        <v>4</v>
      </c>
      <c r="G202">
        <v>0.80293173716695154</v>
      </c>
      <c r="H202" t="s">
        <v>94</v>
      </c>
      <c r="I202">
        <v>1</v>
      </c>
      <c r="J202">
        <v>0</v>
      </c>
      <c r="K202">
        <v>0</v>
      </c>
    </row>
    <row r="203" spans="1:11" x14ac:dyDescent="0.2">
      <c r="A203" t="s">
        <v>16</v>
      </c>
      <c r="B203" t="s">
        <v>259</v>
      </c>
      <c r="C203">
        <v>750</v>
      </c>
      <c r="D203" t="s">
        <v>9046</v>
      </c>
      <c r="E203" t="s">
        <v>166</v>
      </c>
      <c r="F203">
        <v>4</v>
      </c>
      <c r="G203">
        <v>0.80293173716695154</v>
      </c>
      <c r="H203" t="s">
        <v>100</v>
      </c>
      <c r="I203">
        <v>1</v>
      </c>
      <c r="J203">
        <v>0</v>
      </c>
      <c r="K203">
        <v>0</v>
      </c>
    </row>
    <row r="204" spans="1:11" x14ac:dyDescent="0.2">
      <c r="A204" t="s">
        <v>16</v>
      </c>
      <c r="B204" t="s">
        <v>259</v>
      </c>
      <c r="C204">
        <v>750</v>
      </c>
      <c r="D204" t="s">
        <v>9030</v>
      </c>
      <c r="E204" t="s">
        <v>166</v>
      </c>
      <c r="F204">
        <v>4</v>
      </c>
      <c r="G204">
        <v>0.80293173716695154</v>
      </c>
      <c r="H204" t="s">
        <v>95</v>
      </c>
      <c r="I204">
        <v>1</v>
      </c>
      <c r="J204">
        <v>0</v>
      </c>
      <c r="K204">
        <v>0</v>
      </c>
    </row>
    <row r="205" spans="1:11" x14ac:dyDescent="0.2">
      <c r="A205" t="s">
        <v>16</v>
      </c>
      <c r="B205" t="s">
        <v>259</v>
      </c>
      <c r="C205">
        <v>250</v>
      </c>
      <c r="D205" t="s">
        <v>9028</v>
      </c>
      <c r="E205" t="s">
        <v>166</v>
      </c>
      <c r="F205">
        <v>4</v>
      </c>
      <c r="G205">
        <v>0.26764391238898383</v>
      </c>
      <c r="H205" t="s">
        <v>105</v>
      </c>
      <c r="I205">
        <v>1</v>
      </c>
      <c r="J205">
        <v>0</v>
      </c>
      <c r="K205">
        <v>0</v>
      </c>
    </row>
    <row r="206" spans="1:11" x14ac:dyDescent="0.2">
      <c r="A206" t="s">
        <v>16</v>
      </c>
      <c r="B206" t="s">
        <v>259</v>
      </c>
      <c r="C206">
        <v>750</v>
      </c>
      <c r="D206" t="s">
        <v>9033</v>
      </c>
      <c r="E206" t="s">
        <v>166</v>
      </c>
      <c r="F206">
        <v>4</v>
      </c>
      <c r="G206">
        <v>0.80293173716695154</v>
      </c>
      <c r="H206" t="s">
        <v>94</v>
      </c>
      <c r="I206">
        <v>1</v>
      </c>
      <c r="J206">
        <v>0</v>
      </c>
      <c r="K206">
        <v>0</v>
      </c>
    </row>
    <row r="207" spans="1:11" x14ac:dyDescent="0.2">
      <c r="A207" t="s">
        <v>16</v>
      </c>
      <c r="B207" t="s">
        <v>259</v>
      </c>
      <c r="C207">
        <v>750</v>
      </c>
      <c r="D207" t="s">
        <v>9034</v>
      </c>
      <c r="E207" t="s">
        <v>166</v>
      </c>
      <c r="F207">
        <v>4</v>
      </c>
      <c r="G207">
        <v>0.80293173716695154</v>
      </c>
      <c r="H207" t="s">
        <v>105</v>
      </c>
      <c r="I207">
        <v>1</v>
      </c>
      <c r="J207">
        <v>0</v>
      </c>
      <c r="K207">
        <v>0</v>
      </c>
    </row>
    <row r="208" spans="1:11" x14ac:dyDescent="0.2">
      <c r="A208" t="s">
        <v>16</v>
      </c>
      <c r="B208" t="s">
        <v>259</v>
      </c>
      <c r="C208">
        <v>750</v>
      </c>
      <c r="D208" t="s">
        <v>9025</v>
      </c>
      <c r="E208" t="s">
        <v>166</v>
      </c>
      <c r="F208">
        <v>4</v>
      </c>
      <c r="G208">
        <v>0.80293173716695154</v>
      </c>
      <c r="H208" t="s">
        <v>100</v>
      </c>
      <c r="I208">
        <v>1</v>
      </c>
      <c r="J208">
        <v>0</v>
      </c>
      <c r="K208">
        <v>0</v>
      </c>
    </row>
    <row r="209" spans="1:11" x14ac:dyDescent="0.2">
      <c r="A209" t="s">
        <v>16</v>
      </c>
      <c r="B209" t="s">
        <v>259</v>
      </c>
      <c r="C209">
        <v>750</v>
      </c>
      <c r="D209" t="s">
        <v>9036</v>
      </c>
      <c r="E209" t="s">
        <v>166</v>
      </c>
      <c r="F209">
        <v>4</v>
      </c>
      <c r="G209">
        <v>0.80293173716695154</v>
      </c>
      <c r="H209" t="s">
        <v>95</v>
      </c>
      <c r="I209">
        <v>1</v>
      </c>
      <c r="J209">
        <v>0</v>
      </c>
      <c r="K209">
        <v>0</v>
      </c>
    </row>
    <row r="210" spans="1:11" x14ac:dyDescent="0.2">
      <c r="A210" t="s">
        <v>16</v>
      </c>
      <c r="B210" t="s">
        <v>674</v>
      </c>
      <c r="C210">
        <v>200</v>
      </c>
      <c r="D210" t="s">
        <v>9050</v>
      </c>
      <c r="E210" t="s">
        <v>166</v>
      </c>
      <c r="F210">
        <v>2</v>
      </c>
      <c r="G210">
        <v>0.41567799718570975</v>
      </c>
      <c r="H210" t="s">
        <v>104</v>
      </c>
      <c r="I210">
        <v>1</v>
      </c>
      <c r="J210">
        <v>0</v>
      </c>
      <c r="K210">
        <v>0</v>
      </c>
    </row>
    <row r="211" spans="1:11" x14ac:dyDescent="0.2">
      <c r="A211" t="s">
        <v>16</v>
      </c>
      <c r="B211" t="s">
        <v>674</v>
      </c>
      <c r="C211">
        <v>600</v>
      </c>
      <c r="D211" t="s">
        <v>9049</v>
      </c>
      <c r="E211" t="s">
        <v>166</v>
      </c>
      <c r="F211">
        <v>2</v>
      </c>
      <c r="G211">
        <v>1.2470339915571294</v>
      </c>
      <c r="H211" t="s">
        <v>103</v>
      </c>
      <c r="I211">
        <v>1</v>
      </c>
      <c r="J211">
        <v>0</v>
      </c>
      <c r="K211">
        <v>0</v>
      </c>
    </row>
    <row r="212" spans="1:11" x14ac:dyDescent="0.2">
      <c r="A212" t="s">
        <v>16</v>
      </c>
      <c r="B212" t="s">
        <v>672</v>
      </c>
      <c r="C212">
        <v>640</v>
      </c>
      <c r="D212" t="s">
        <v>9052</v>
      </c>
      <c r="E212" t="s">
        <v>166</v>
      </c>
      <c r="F212">
        <v>2</v>
      </c>
      <c r="G212">
        <v>0.86913713610987331</v>
      </c>
      <c r="H212" t="s">
        <v>92</v>
      </c>
      <c r="I212">
        <v>1</v>
      </c>
      <c r="J212">
        <v>0</v>
      </c>
      <c r="K212">
        <v>0</v>
      </c>
    </row>
    <row r="213" spans="1:11" x14ac:dyDescent="0.2">
      <c r="A213" t="s">
        <v>16</v>
      </c>
      <c r="B213" t="s">
        <v>672</v>
      </c>
      <c r="C213">
        <v>320</v>
      </c>
      <c r="D213" t="s">
        <v>9051</v>
      </c>
      <c r="E213" t="s">
        <v>166</v>
      </c>
      <c r="F213">
        <v>2</v>
      </c>
      <c r="G213">
        <v>0.43456856805493665</v>
      </c>
      <c r="H213" t="s">
        <v>84</v>
      </c>
      <c r="I213">
        <v>1</v>
      </c>
      <c r="J213">
        <v>0</v>
      </c>
      <c r="K213">
        <v>0</v>
      </c>
    </row>
    <row r="214" spans="1:11" x14ac:dyDescent="0.2">
      <c r="A214" t="s">
        <v>16</v>
      </c>
      <c r="B214" t="s">
        <v>5990</v>
      </c>
      <c r="C214">
        <v>400</v>
      </c>
      <c r="D214" t="s">
        <v>9053</v>
      </c>
      <c r="E214" t="s">
        <v>166</v>
      </c>
      <c r="F214">
        <v>3</v>
      </c>
      <c r="G214">
        <v>0.79831761666603029</v>
      </c>
      <c r="H214" t="s">
        <v>87</v>
      </c>
      <c r="I214">
        <v>1</v>
      </c>
      <c r="J214">
        <v>0</v>
      </c>
      <c r="K214">
        <v>0</v>
      </c>
    </row>
    <row r="215" spans="1:11" x14ac:dyDescent="0.2">
      <c r="A215" t="s">
        <v>16</v>
      </c>
      <c r="B215" t="s">
        <v>5615</v>
      </c>
      <c r="C215">
        <v>600</v>
      </c>
      <c r="D215" t="s">
        <v>8490</v>
      </c>
      <c r="E215" t="s">
        <v>49</v>
      </c>
      <c r="F215">
        <v>40</v>
      </c>
      <c r="G215">
        <v>0.7958941979071823</v>
      </c>
      <c r="H215" t="s">
        <v>84</v>
      </c>
      <c r="I215">
        <v>0</v>
      </c>
      <c r="J215">
        <v>0</v>
      </c>
      <c r="K215">
        <v>1</v>
      </c>
    </row>
    <row r="216" spans="1:11" x14ac:dyDescent="0.2">
      <c r="A216" t="s">
        <v>16</v>
      </c>
      <c r="B216" t="s">
        <v>5615</v>
      </c>
      <c r="C216">
        <v>600</v>
      </c>
      <c r="D216" t="s">
        <v>8528</v>
      </c>
      <c r="E216" t="s">
        <v>49</v>
      </c>
      <c r="F216">
        <v>40</v>
      </c>
      <c r="G216">
        <v>0.7958941979071823</v>
      </c>
      <c r="H216" t="s">
        <v>87</v>
      </c>
      <c r="I216">
        <v>0</v>
      </c>
      <c r="J216">
        <v>0</v>
      </c>
      <c r="K216">
        <v>1</v>
      </c>
    </row>
    <row r="217" spans="1:11" x14ac:dyDescent="0.2">
      <c r="A217" t="s">
        <v>16</v>
      </c>
      <c r="B217" t="s">
        <v>5615</v>
      </c>
      <c r="C217">
        <v>600</v>
      </c>
      <c r="D217" t="s">
        <v>8532</v>
      </c>
      <c r="E217" t="s">
        <v>49</v>
      </c>
      <c r="F217">
        <v>40</v>
      </c>
      <c r="G217">
        <v>0.7958941979071823</v>
      </c>
      <c r="H217" t="s">
        <v>88</v>
      </c>
      <c r="I217">
        <v>0</v>
      </c>
      <c r="J217">
        <v>0</v>
      </c>
      <c r="K217">
        <v>1</v>
      </c>
    </row>
    <row r="218" spans="1:11" x14ac:dyDescent="0.2">
      <c r="A218" t="s">
        <v>16</v>
      </c>
      <c r="B218" t="s">
        <v>5615</v>
      </c>
      <c r="C218">
        <v>600</v>
      </c>
      <c r="D218" t="s">
        <v>8491</v>
      </c>
      <c r="E218" t="s">
        <v>49</v>
      </c>
      <c r="F218">
        <v>40</v>
      </c>
      <c r="G218">
        <v>0.7958941979071823</v>
      </c>
      <c r="H218" t="s">
        <v>89</v>
      </c>
      <c r="I218">
        <v>0</v>
      </c>
      <c r="J218">
        <v>0</v>
      </c>
      <c r="K218">
        <v>1</v>
      </c>
    </row>
    <row r="219" spans="1:11" x14ac:dyDescent="0.2">
      <c r="A219" t="s">
        <v>16</v>
      </c>
      <c r="B219" t="s">
        <v>5615</v>
      </c>
      <c r="C219">
        <v>600</v>
      </c>
      <c r="D219" t="s">
        <v>8516</v>
      </c>
      <c r="E219" t="s">
        <v>49</v>
      </c>
      <c r="F219">
        <v>40</v>
      </c>
      <c r="G219">
        <v>0.7958941979071823</v>
      </c>
      <c r="H219" t="s">
        <v>90</v>
      </c>
      <c r="I219">
        <v>0</v>
      </c>
      <c r="J219">
        <v>0</v>
      </c>
      <c r="K219">
        <v>1</v>
      </c>
    </row>
    <row r="220" spans="1:11" x14ac:dyDescent="0.2">
      <c r="A220" t="s">
        <v>16</v>
      </c>
      <c r="B220" t="s">
        <v>5615</v>
      </c>
      <c r="C220">
        <v>600</v>
      </c>
      <c r="D220" t="s">
        <v>8520</v>
      </c>
      <c r="E220" t="s">
        <v>49</v>
      </c>
      <c r="F220">
        <v>40</v>
      </c>
      <c r="G220">
        <v>0.7958941979071823</v>
      </c>
      <c r="H220" t="s">
        <v>91</v>
      </c>
      <c r="I220">
        <v>0</v>
      </c>
      <c r="J220">
        <v>0</v>
      </c>
      <c r="K220">
        <v>1</v>
      </c>
    </row>
    <row r="221" spans="1:11" x14ac:dyDescent="0.2">
      <c r="A221" t="s">
        <v>16</v>
      </c>
      <c r="B221" t="s">
        <v>5615</v>
      </c>
      <c r="C221">
        <v>600</v>
      </c>
      <c r="D221" t="s">
        <v>8509</v>
      </c>
      <c r="E221" t="s">
        <v>49</v>
      </c>
      <c r="F221">
        <v>40</v>
      </c>
      <c r="G221">
        <v>0.7958941979071823</v>
      </c>
      <c r="H221" t="s">
        <v>92</v>
      </c>
      <c r="I221">
        <v>0</v>
      </c>
      <c r="J221">
        <v>0</v>
      </c>
      <c r="K221">
        <v>1</v>
      </c>
    </row>
    <row r="222" spans="1:11" x14ac:dyDescent="0.2">
      <c r="A222" t="s">
        <v>16</v>
      </c>
      <c r="B222" t="s">
        <v>5615</v>
      </c>
      <c r="C222">
        <v>600</v>
      </c>
      <c r="D222" t="s">
        <v>8494</v>
      </c>
      <c r="E222" t="s">
        <v>49</v>
      </c>
      <c r="F222">
        <v>40</v>
      </c>
      <c r="G222">
        <v>0.7958941979071823</v>
      </c>
      <c r="H222" t="s">
        <v>93</v>
      </c>
      <c r="I222">
        <v>0</v>
      </c>
      <c r="J222">
        <v>0</v>
      </c>
      <c r="K222">
        <v>1</v>
      </c>
    </row>
    <row r="223" spans="1:11" x14ac:dyDescent="0.2">
      <c r="A223" t="s">
        <v>16</v>
      </c>
      <c r="B223" t="s">
        <v>5615</v>
      </c>
      <c r="C223">
        <v>600</v>
      </c>
      <c r="D223" t="s">
        <v>8510</v>
      </c>
      <c r="E223" t="s">
        <v>49</v>
      </c>
      <c r="F223">
        <v>40</v>
      </c>
      <c r="G223">
        <v>0.7958941979071823</v>
      </c>
      <c r="H223" t="s">
        <v>94</v>
      </c>
      <c r="I223">
        <v>0</v>
      </c>
      <c r="J223">
        <v>0</v>
      </c>
      <c r="K223">
        <v>1</v>
      </c>
    </row>
    <row r="224" spans="1:11" x14ac:dyDescent="0.2">
      <c r="A224" t="s">
        <v>16</v>
      </c>
      <c r="B224" t="s">
        <v>5615</v>
      </c>
      <c r="C224">
        <v>600</v>
      </c>
      <c r="D224" t="s">
        <v>8492</v>
      </c>
      <c r="E224" t="s">
        <v>49</v>
      </c>
      <c r="F224">
        <v>40</v>
      </c>
      <c r="G224">
        <v>0.7958941979071823</v>
      </c>
      <c r="H224" t="s">
        <v>95</v>
      </c>
      <c r="I224">
        <v>0</v>
      </c>
      <c r="J224">
        <v>0</v>
      </c>
      <c r="K224">
        <v>1</v>
      </c>
    </row>
    <row r="225" spans="1:11" x14ac:dyDescent="0.2">
      <c r="A225" t="s">
        <v>16</v>
      </c>
      <c r="B225" t="s">
        <v>5615</v>
      </c>
      <c r="C225">
        <v>600</v>
      </c>
      <c r="D225" t="s">
        <v>8504</v>
      </c>
      <c r="E225" t="s">
        <v>49</v>
      </c>
      <c r="F225">
        <v>40</v>
      </c>
      <c r="G225">
        <v>0.7958941979071823</v>
      </c>
      <c r="H225" t="s">
        <v>96</v>
      </c>
      <c r="I225">
        <v>0</v>
      </c>
      <c r="J225">
        <v>0</v>
      </c>
      <c r="K225">
        <v>1</v>
      </c>
    </row>
    <row r="226" spans="1:11" x14ac:dyDescent="0.2">
      <c r="A226" t="s">
        <v>16</v>
      </c>
      <c r="B226" t="s">
        <v>5615</v>
      </c>
      <c r="C226">
        <v>200</v>
      </c>
      <c r="D226" t="s">
        <v>8496</v>
      </c>
      <c r="E226" t="s">
        <v>49</v>
      </c>
      <c r="F226">
        <v>40</v>
      </c>
      <c r="G226">
        <v>0.2652980659690608</v>
      </c>
      <c r="H226" t="s">
        <v>97</v>
      </c>
      <c r="I226">
        <v>0</v>
      </c>
      <c r="J226">
        <v>0</v>
      </c>
      <c r="K226">
        <v>1</v>
      </c>
    </row>
    <row r="227" spans="1:11" x14ac:dyDescent="0.2">
      <c r="A227" t="s">
        <v>16</v>
      </c>
      <c r="B227" t="s">
        <v>5615</v>
      </c>
      <c r="C227">
        <v>600</v>
      </c>
      <c r="D227" t="s">
        <v>8486</v>
      </c>
      <c r="E227" t="s">
        <v>49</v>
      </c>
      <c r="F227">
        <v>40</v>
      </c>
      <c r="G227">
        <v>0.7958941979071823</v>
      </c>
      <c r="H227" t="s">
        <v>98</v>
      </c>
      <c r="I227">
        <v>0</v>
      </c>
      <c r="J227">
        <v>0</v>
      </c>
      <c r="K227">
        <v>1</v>
      </c>
    </row>
    <row r="228" spans="1:11" x14ac:dyDescent="0.2">
      <c r="A228" t="s">
        <v>16</v>
      </c>
      <c r="B228" t="s">
        <v>5615</v>
      </c>
      <c r="C228">
        <v>600</v>
      </c>
      <c r="D228" t="s">
        <v>8500</v>
      </c>
      <c r="E228" t="s">
        <v>49</v>
      </c>
      <c r="F228">
        <v>40</v>
      </c>
      <c r="G228">
        <v>0.7958941979071823</v>
      </c>
      <c r="H228" t="s">
        <v>99</v>
      </c>
      <c r="I228">
        <v>0</v>
      </c>
      <c r="J228">
        <v>0</v>
      </c>
      <c r="K228">
        <v>1</v>
      </c>
    </row>
    <row r="229" spans="1:11" x14ac:dyDescent="0.2">
      <c r="A229" t="s">
        <v>16</v>
      </c>
      <c r="B229" t="s">
        <v>5615</v>
      </c>
      <c r="C229">
        <v>600</v>
      </c>
      <c r="D229" t="s">
        <v>8502</v>
      </c>
      <c r="E229" t="s">
        <v>49</v>
      </c>
      <c r="F229">
        <v>40</v>
      </c>
      <c r="G229">
        <v>0.7958941979071823</v>
      </c>
      <c r="H229" t="s">
        <v>100</v>
      </c>
      <c r="I229">
        <v>0</v>
      </c>
      <c r="J229">
        <v>0</v>
      </c>
      <c r="K229">
        <v>1</v>
      </c>
    </row>
    <row r="230" spans="1:11" x14ac:dyDescent="0.2">
      <c r="A230" t="s">
        <v>16</v>
      </c>
      <c r="B230" t="s">
        <v>5615</v>
      </c>
      <c r="C230">
        <v>600</v>
      </c>
      <c r="D230" t="s">
        <v>8517</v>
      </c>
      <c r="E230" t="s">
        <v>49</v>
      </c>
      <c r="F230">
        <v>40</v>
      </c>
      <c r="G230">
        <v>0.7958941979071823</v>
      </c>
      <c r="H230" t="s">
        <v>101</v>
      </c>
      <c r="I230">
        <v>0</v>
      </c>
      <c r="J230">
        <v>0</v>
      </c>
      <c r="K230">
        <v>1</v>
      </c>
    </row>
    <row r="231" spans="1:11" x14ac:dyDescent="0.2">
      <c r="A231" t="s">
        <v>16</v>
      </c>
      <c r="B231" t="s">
        <v>5615</v>
      </c>
      <c r="C231">
        <v>600</v>
      </c>
      <c r="D231" t="s">
        <v>8506</v>
      </c>
      <c r="E231" t="s">
        <v>49</v>
      </c>
      <c r="F231">
        <v>40</v>
      </c>
      <c r="G231">
        <v>0.7958941979071823</v>
      </c>
      <c r="H231" t="s">
        <v>103</v>
      </c>
      <c r="I231">
        <v>0</v>
      </c>
      <c r="J231">
        <v>0</v>
      </c>
      <c r="K231">
        <v>1</v>
      </c>
    </row>
    <row r="232" spans="1:11" x14ac:dyDescent="0.2">
      <c r="A232" t="s">
        <v>16</v>
      </c>
      <c r="B232" t="s">
        <v>5615</v>
      </c>
      <c r="C232">
        <v>600</v>
      </c>
      <c r="D232" t="s">
        <v>8531</v>
      </c>
      <c r="E232" t="s">
        <v>49</v>
      </c>
      <c r="F232">
        <v>40</v>
      </c>
      <c r="G232">
        <v>0.7958941979071823</v>
      </c>
      <c r="H232" t="s">
        <v>104</v>
      </c>
      <c r="I232">
        <v>0</v>
      </c>
      <c r="J232">
        <v>0</v>
      </c>
      <c r="K232">
        <v>1</v>
      </c>
    </row>
    <row r="233" spans="1:11" x14ac:dyDescent="0.2">
      <c r="A233" t="s">
        <v>16</v>
      </c>
      <c r="B233" t="s">
        <v>5615</v>
      </c>
      <c r="C233">
        <v>600</v>
      </c>
      <c r="D233" t="s">
        <v>8519</v>
      </c>
      <c r="E233" t="s">
        <v>49</v>
      </c>
      <c r="F233">
        <v>40</v>
      </c>
      <c r="G233">
        <v>0.7958941979071823</v>
      </c>
      <c r="H233" t="s">
        <v>105</v>
      </c>
      <c r="I233">
        <v>0</v>
      </c>
      <c r="J233">
        <v>0</v>
      </c>
      <c r="K233">
        <v>1</v>
      </c>
    </row>
    <row r="234" spans="1:11" x14ac:dyDescent="0.2">
      <c r="A234" t="s">
        <v>16</v>
      </c>
      <c r="B234" t="s">
        <v>5615</v>
      </c>
      <c r="C234">
        <v>600</v>
      </c>
      <c r="D234" t="s">
        <v>8523</v>
      </c>
      <c r="E234" t="s">
        <v>49</v>
      </c>
      <c r="F234">
        <v>40</v>
      </c>
      <c r="G234">
        <v>0.7958941979071823</v>
      </c>
      <c r="H234" t="s">
        <v>97</v>
      </c>
      <c r="I234">
        <v>0</v>
      </c>
      <c r="J234">
        <v>0</v>
      </c>
      <c r="K234">
        <v>1</v>
      </c>
    </row>
    <row r="235" spans="1:11" x14ac:dyDescent="0.2">
      <c r="A235" t="s">
        <v>16</v>
      </c>
      <c r="B235" t="s">
        <v>5615</v>
      </c>
      <c r="C235">
        <v>600</v>
      </c>
      <c r="D235" t="s">
        <v>8534</v>
      </c>
      <c r="E235" t="s">
        <v>49</v>
      </c>
      <c r="F235">
        <v>40</v>
      </c>
      <c r="G235">
        <v>0.7958941979071823</v>
      </c>
      <c r="H235" t="s">
        <v>84</v>
      </c>
      <c r="I235">
        <v>0</v>
      </c>
      <c r="J235">
        <v>0</v>
      </c>
      <c r="K235">
        <v>1</v>
      </c>
    </row>
    <row r="236" spans="1:11" x14ac:dyDescent="0.2">
      <c r="A236" t="s">
        <v>16</v>
      </c>
      <c r="B236" t="s">
        <v>5615</v>
      </c>
      <c r="C236">
        <v>600</v>
      </c>
      <c r="D236" t="s">
        <v>8530</v>
      </c>
      <c r="E236" t="s">
        <v>49</v>
      </c>
      <c r="F236">
        <v>40</v>
      </c>
      <c r="G236">
        <v>0.7958941979071823</v>
      </c>
      <c r="H236" t="s">
        <v>87</v>
      </c>
      <c r="I236">
        <v>0</v>
      </c>
      <c r="J236">
        <v>0</v>
      </c>
      <c r="K236">
        <v>1</v>
      </c>
    </row>
    <row r="237" spans="1:11" x14ac:dyDescent="0.2">
      <c r="A237" t="s">
        <v>16</v>
      </c>
      <c r="B237" t="s">
        <v>5615</v>
      </c>
      <c r="C237">
        <v>600</v>
      </c>
      <c r="D237" t="s">
        <v>8513</v>
      </c>
      <c r="E237" t="s">
        <v>49</v>
      </c>
      <c r="F237">
        <v>40</v>
      </c>
      <c r="G237">
        <v>0.7958941979071823</v>
      </c>
      <c r="H237" t="s">
        <v>88</v>
      </c>
      <c r="I237">
        <v>0</v>
      </c>
      <c r="J237">
        <v>0</v>
      </c>
      <c r="K237">
        <v>1</v>
      </c>
    </row>
    <row r="238" spans="1:11" x14ac:dyDescent="0.2">
      <c r="A238" t="s">
        <v>16</v>
      </c>
      <c r="B238" t="s">
        <v>5615</v>
      </c>
      <c r="C238">
        <v>600</v>
      </c>
      <c r="D238" t="s">
        <v>8515</v>
      </c>
      <c r="E238" t="s">
        <v>49</v>
      </c>
      <c r="F238">
        <v>40</v>
      </c>
      <c r="G238">
        <v>0.7958941979071823</v>
      </c>
      <c r="H238" t="s">
        <v>89</v>
      </c>
      <c r="I238">
        <v>0</v>
      </c>
      <c r="J238">
        <v>0</v>
      </c>
      <c r="K238">
        <v>1</v>
      </c>
    </row>
    <row r="239" spans="1:11" x14ac:dyDescent="0.2">
      <c r="A239" t="s">
        <v>16</v>
      </c>
      <c r="B239" t="s">
        <v>5615</v>
      </c>
      <c r="C239">
        <v>600</v>
      </c>
      <c r="D239" t="s">
        <v>8522</v>
      </c>
      <c r="E239" t="s">
        <v>49</v>
      </c>
      <c r="F239">
        <v>40</v>
      </c>
      <c r="G239">
        <v>0.7958941979071823</v>
      </c>
      <c r="H239" t="s">
        <v>90</v>
      </c>
      <c r="I239">
        <v>0</v>
      </c>
      <c r="J239">
        <v>0</v>
      </c>
      <c r="K239">
        <v>1</v>
      </c>
    </row>
    <row r="240" spans="1:11" x14ac:dyDescent="0.2">
      <c r="A240" t="s">
        <v>16</v>
      </c>
      <c r="B240" t="s">
        <v>5615</v>
      </c>
      <c r="C240">
        <v>600</v>
      </c>
      <c r="D240" t="s">
        <v>8533</v>
      </c>
      <c r="E240" t="s">
        <v>49</v>
      </c>
      <c r="F240">
        <v>40</v>
      </c>
      <c r="G240">
        <v>0.7958941979071823</v>
      </c>
      <c r="H240" t="s">
        <v>91</v>
      </c>
      <c r="I240">
        <v>0</v>
      </c>
      <c r="J240">
        <v>0</v>
      </c>
      <c r="K240">
        <v>1</v>
      </c>
    </row>
    <row r="241" spans="1:11" x14ac:dyDescent="0.2">
      <c r="A241" t="s">
        <v>16</v>
      </c>
      <c r="B241" t="s">
        <v>5615</v>
      </c>
      <c r="C241">
        <v>600</v>
      </c>
      <c r="D241" t="s">
        <v>8488</v>
      </c>
      <c r="E241" t="s">
        <v>49</v>
      </c>
      <c r="F241">
        <v>40</v>
      </c>
      <c r="G241">
        <v>0.7958941979071823</v>
      </c>
      <c r="H241" t="s">
        <v>92</v>
      </c>
      <c r="I241">
        <v>0</v>
      </c>
      <c r="J241">
        <v>0</v>
      </c>
      <c r="K241">
        <v>1</v>
      </c>
    </row>
    <row r="242" spans="1:11" x14ac:dyDescent="0.2">
      <c r="A242" t="s">
        <v>16</v>
      </c>
      <c r="B242" t="s">
        <v>5615</v>
      </c>
      <c r="C242">
        <v>600</v>
      </c>
      <c r="D242" t="s">
        <v>8521</v>
      </c>
      <c r="E242" t="s">
        <v>49</v>
      </c>
      <c r="F242">
        <v>40</v>
      </c>
      <c r="G242">
        <v>0.7958941979071823</v>
      </c>
      <c r="H242" t="s">
        <v>93</v>
      </c>
      <c r="I242">
        <v>0</v>
      </c>
      <c r="J242">
        <v>0</v>
      </c>
      <c r="K242">
        <v>1</v>
      </c>
    </row>
    <row r="243" spans="1:11" x14ac:dyDescent="0.2">
      <c r="A243" t="s">
        <v>16</v>
      </c>
      <c r="B243" t="s">
        <v>5615</v>
      </c>
      <c r="C243">
        <v>600</v>
      </c>
      <c r="D243" t="s">
        <v>8489</v>
      </c>
      <c r="E243" t="s">
        <v>49</v>
      </c>
      <c r="F243">
        <v>40</v>
      </c>
      <c r="G243">
        <v>0.7958941979071823</v>
      </c>
      <c r="H243" t="s">
        <v>94</v>
      </c>
      <c r="I243">
        <v>0</v>
      </c>
      <c r="J243">
        <v>0</v>
      </c>
      <c r="K243">
        <v>1</v>
      </c>
    </row>
    <row r="244" spans="1:11" x14ac:dyDescent="0.2">
      <c r="A244" t="s">
        <v>16</v>
      </c>
      <c r="B244" t="s">
        <v>5615</v>
      </c>
      <c r="C244">
        <v>400</v>
      </c>
      <c r="D244" t="s">
        <v>8518</v>
      </c>
      <c r="E244" t="s">
        <v>49</v>
      </c>
      <c r="F244">
        <v>40</v>
      </c>
      <c r="G244">
        <v>0.53059613193812161</v>
      </c>
      <c r="H244" t="s">
        <v>95</v>
      </c>
      <c r="I244">
        <v>0</v>
      </c>
      <c r="J244">
        <v>0</v>
      </c>
      <c r="K244">
        <v>1</v>
      </c>
    </row>
    <row r="245" spans="1:11" x14ac:dyDescent="0.2">
      <c r="A245" t="s">
        <v>16</v>
      </c>
      <c r="B245" t="s">
        <v>5615</v>
      </c>
      <c r="C245">
        <v>600</v>
      </c>
      <c r="D245" t="s">
        <v>8527</v>
      </c>
      <c r="E245" t="s">
        <v>49</v>
      </c>
      <c r="F245">
        <v>40</v>
      </c>
      <c r="G245">
        <v>0.7958941979071823</v>
      </c>
      <c r="H245" t="s">
        <v>96</v>
      </c>
      <c r="I245">
        <v>0</v>
      </c>
      <c r="J245">
        <v>0</v>
      </c>
      <c r="K245">
        <v>1</v>
      </c>
    </row>
    <row r="246" spans="1:11" x14ac:dyDescent="0.2">
      <c r="A246" t="s">
        <v>16</v>
      </c>
      <c r="B246" t="s">
        <v>5615</v>
      </c>
      <c r="C246">
        <v>600</v>
      </c>
      <c r="D246" t="s">
        <v>8524</v>
      </c>
      <c r="E246" t="s">
        <v>49</v>
      </c>
      <c r="F246">
        <v>40</v>
      </c>
      <c r="G246">
        <v>0.7958941979071823</v>
      </c>
      <c r="H246" t="s">
        <v>98</v>
      </c>
      <c r="I246">
        <v>0</v>
      </c>
      <c r="J246">
        <v>0</v>
      </c>
      <c r="K246">
        <v>1</v>
      </c>
    </row>
    <row r="247" spans="1:11" x14ac:dyDescent="0.2">
      <c r="A247" t="s">
        <v>16</v>
      </c>
      <c r="B247" t="s">
        <v>5615</v>
      </c>
      <c r="C247">
        <v>600</v>
      </c>
      <c r="D247" t="s">
        <v>8499</v>
      </c>
      <c r="E247" t="s">
        <v>49</v>
      </c>
      <c r="F247">
        <v>40</v>
      </c>
      <c r="G247">
        <v>0.7958941979071823</v>
      </c>
      <c r="H247" t="s">
        <v>99</v>
      </c>
      <c r="I247">
        <v>0</v>
      </c>
      <c r="J247">
        <v>0</v>
      </c>
      <c r="K247">
        <v>1</v>
      </c>
    </row>
    <row r="248" spans="1:11" x14ac:dyDescent="0.2">
      <c r="A248" t="s">
        <v>16</v>
      </c>
      <c r="B248" t="s">
        <v>5615</v>
      </c>
      <c r="C248">
        <v>600</v>
      </c>
      <c r="D248" t="s">
        <v>8505</v>
      </c>
      <c r="E248" t="s">
        <v>49</v>
      </c>
      <c r="F248">
        <v>40</v>
      </c>
      <c r="G248">
        <v>0.7958941979071823</v>
      </c>
      <c r="H248" t="s">
        <v>100</v>
      </c>
      <c r="I248">
        <v>0</v>
      </c>
      <c r="J248">
        <v>0</v>
      </c>
      <c r="K248">
        <v>1</v>
      </c>
    </row>
    <row r="249" spans="1:11" x14ac:dyDescent="0.2">
      <c r="A249" t="s">
        <v>16</v>
      </c>
      <c r="B249" t="s">
        <v>5615</v>
      </c>
      <c r="C249">
        <v>600</v>
      </c>
      <c r="D249" t="s">
        <v>8512</v>
      </c>
      <c r="E249" t="s">
        <v>49</v>
      </c>
      <c r="F249">
        <v>40</v>
      </c>
      <c r="G249">
        <v>0.7958941979071823</v>
      </c>
      <c r="H249" t="s">
        <v>101</v>
      </c>
      <c r="I249">
        <v>0</v>
      </c>
      <c r="J249">
        <v>0</v>
      </c>
      <c r="K249">
        <v>1</v>
      </c>
    </row>
    <row r="250" spans="1:11" x14ac:dyDescent="0.2">
      <c r="A250" t="s">
        <v>16</v>
      </c>
      <c r="B250" t="s">
        <v>5615</v>
      </c>
      <c r="C250">
        <v>600</v>
      </c>
      <c r="D250" t="s">
        <v>8493</v>
      </c>
      <c r="E250" t="s">
        <v>49</v>
      </c>
      <c r="F250">
        <v>40</v>
      </c>
      <c r="G250">
        <v>0.7958941979071823</v>
      </c>
      <c r="H250" t="s">
        <v>103</v>
      </c>
      <c r="I250">
        <v>0</v>
      </c>
      <c r="J250">
        <v>0</v>
      </c>
      <c r="K250">
        <v>1</v>
      </c>
    </row>
    <row r="251" spans="1:11" x14ac:dyDescent="0.2">
      <c r="A251" t="s">
        <v>16</v>
      </c>
      <c r="B251" t="s">
        <v>5615</v>
      </c>
      <c r="C251">
        <v>600</v>
      </c>
      <c r="D251" t="s">
        <v>8501</v>
      </c>
      <c r="E251" t="s">
        <v>49</v>
      </c>
      <c r="F251">
        <v>40</v>
      </c>
      <c r="G251">
        <v>0.7958941979071823</v>
      </c>
      <c r="H251" t="s">
        <v>104</v>
      </c>
      <c r="I251">
        <v>0</v>
      </c>
      <c r="J251">
        <v>0</v>
      </c>
      <c r="K251">
        <v>1</v>
      </c>
    </row>
    <row r="252" spans="1:11" x14ac:dyDescent="0.2">
      <c r="A252" t="s">
        <v>16</v>
      </c>
      <c r="B252" t="s">
        <v>5615</v>
      </c>
      <c r="C252">
        <v>600</v>
      </c>
      <c r="D252" t="s">
        <v>8503</v>
      </c>
      <c r="E252" t="s">
        <v>49</v>
      </c>
      <c r="F252">
        <v>40</v>
      </c>
      <c r="G252">
        <v>0.7958941979071823</v>
      </c>
      <c r="H252" t="s">
        <v>105</v>
      </c>
      <c r="I252">
        <v>0</v>
      </c>
      <c r="J252">
        <v>0</v>
      </c>
      <c r="K252">
        <v>1</v>
      </c>
    </row>
    <row r="253" spans="1:11" x14ac:dyDescent="0.2">
      <c r="A253" t="s">
        <v>16</v>
      </c>
      <c r="B253" t="s">
        <v>5615</v>
      </c>
      <c r="C253">
        <v>200</v>
      </c>
      <c r="D253" t="s">
        <v>8487</v>
      </c>
      <c r="E253" t="s">
        <v>49</v>
      </c>
      <c r="F253">
        <v>40</v>
      </c>
      <c r="G253">
        <v>0.2652980659690608</v>
      </c>
      <c r="H253" t="s">
        <v>97</v>
      </c>
      <c r="I253">
        <v>0</v>
      </c>
      <c r="J253">
        <v>0</v>
      </c>
      <c r="K253">
        <v>1</v>
      </c>
    </row>
    <row r="254" spans="1:11" x14ac:dyDescent="0.2">
      <c r="A254" t="s">
        <v>16</v>
      </c>
      <c r="B254" t="s">
        <v>5615</v>
      </c>
      <c r="C254">
        <v>600</v>
      </c>
      <c r="D254" t="s">
        <v>8485</v>
      </c>
      <c r="E254" t="s">
        <v>49</v>
      </c>
      <c r="F254">
        <v>40</v>
      </c>
      <c r="G254">
        <v>0.7958941979071823</v>
      </c>
      <c r="H254" t="s">
        <v>95</v>
      </c>
      <c r="I254">
        <v>0</v>
      </c>
      <c r="J254">
        <v>0</v>
      </c>
      <c r="K254">
        <v>1</v>
      </c>
    </row>
    <row r="255" spans="1:11" x14ac:dyDescent="0.2">
      <c r="A255" t="s">
        <v>16</v>
      </c>
      <c r="B255" t="s">
        <v>5615</v>
      </c>
      <c r="C255">
        <v>600</v>
      </c>
      <c r="D255" t="s">
        <v>8495</v>
      </c>
      <c r="E255" t="s">
        <v>49</v>
      </c>
      <c r="F255">
        <v>40</v>
      </c>
      <c r="G255">
        <v>0.7958941979071823</v>
      </c>
      <c r="H255" t="s">
        <v>97</v>
      </c>
      <c r="I255">
        <v>0</v>
      </c>
      <c r="J255">
        <v>0</v>
      </c>
      <c r="K255">
        <v>1</v>
      </c>
    </row>
    <row r="256" spans="1:11" x14ac:dyDescent="0.2">
      <c r="A256" t="s">
        <v>16</v>
      </c>
      <c r="B256" t="s">
        <v>5615</v>
      </c>
      <c r="C256">
        <v>600</v>
      </c>
      <c r="D256" t="s">
        <v>8508</v>
      </c>
      <c r="E256" t="s">
        <v>49</v>
      </c>
      <c r="F256">
        <v>40</v>
      </c>
      <c r="G256">
        <v>0.7958941979071823</v>
      </c>
      <c r="H256" t="s">
        <v>84</v>
      </c>
      <c r="I256">
        <v>0</v>
      </c>
      <c r="J256">
        <v>0</v>
      </c>
      <c r="K256">
        <v>1</v>
      </c>
    </row>
    <row r="257" spans="1:11" x14ac:dyDescent="0.2">
      <c r="A257" t="s">
        <v>16</v>
      </c>
      <c r="B257" t="s">
        <v>5615</v>
      </c>
      <c r="C257">
        <v>600</v>
      </c>
      <c r="D257" t="s">
        <v>8498</v>
      </c>
      <c r="E257" t="s">
        <v>49</v>
      </c>
      <c r="F257">
        <v>40</v>
      </c>
      <c r="G257">
        <v>0.7958941979071823</v>
      </c>
      <c r="H257" t="s">
        <v>87</v>
      </c>
      <c r="I257">
        <v>0</v>
      </c>
      <c r="J257">
        <v>0</v>
      </c>
      <c r="K257">
        <v>1</v>
      </c>
    </row>
    <row r="258" spans="1:11" x14ac:dyDescent="0.2">
      <c r="A258" t="s">
        <v>16</v>
      </c>
      <c r="B258" t="s">
        <v>5615</v>
      </c>
      <c r="C258">
        <v>600</v>
      </c>
      <c r="D258" t="s">
        <v>8511</v>
      </c>
      <c r="E258" t="s">
        <v>49</v>
      </c>
      <c r="F258">
        <v>40</v>
      </c>
      <c r="G258">
        <v>0.7958941979071823</v>
      </c>
      <c r="H258" t="s">
        <v>88</v>
      </c>
      <c r="I258">
        <v>0</v>
      </c>
      <c r="J258">
        <v>0</v>
      </c>
      <c r="K258">
        <v>1</v>
      </c>
    </row>
    <row r="259" spans="1:11" x14ac:dyDescent="0.2">
      <c r="A259" t="s">
        <v>16</v>
      </c>
      <c r="B259" t="s">
        <v>5615</v>
      </c>
      <c r="C259">
        <v>200</v>
      </c>
      <c r="D259" t="s">
        <v>8514</v>
      </c>
      <c r="E259" t="s">
        <v>49</v>
      </c>
      <c r="F259">
        <v>40</v>
      </c>
      <c r="G259">
        <v>0.2652980659690608</v>
      </c>
      <c r="H259" t="s">
        <v>89</v>
      </c>
      <c r="I259">
        <v>0</v>
      </c>
      <c r="J259">
        <v>0</v>
      </c>
      <c r="K259">
        <v>1</v>
      </c>
    </row>
    <row r="260" spans="1:11" x14ac:dyDescent="0.2">
      <c r="A260" t="s">
        <v>16</v>
      </c>
      <c r="B260" t="s">
        <v>5615</v>
      </c>
      <c r="C260">
        <v>600</v>
      </c>
      <c r="D260" t="s">
        <v>8526</v>
      </c>
      <c r="E260" t="s">
        <v>49</v>
      </c>
      <c r="F260">
        <v>40</v>
      </c>
      <c r="G260">
        <v>0.7958941979071823</v>
      </c>
      <c r="H260" t="s">
        <v>90</v>
      </c>
      <c r="I260">
        <v>0</v>
      </c>
      <c r="J260">
        <v>0</v>
      </c>
      <c r="K260">
        <v>1</v>
      </c>
    </row>
    <row r="261" spans="1:11" x14ac:dyDescent="0.2">
      <c r="A261" t="s">
        <v>16</v>
      </c>
      <c r="B261" t="s">
        <v>5615</v>
      </c>
      <c r="C261">
        <v>600</v>
      </c>
      <c r="D261" t="s">
        <v>8497</v>
      </c>
      <c r="E261" t="s">
        <v>49</v>
      </c>
      <c r="F261">
        <v>40</v>
      </c>
      <c r="G261">
        <v>0.7958941979071823</v>
      </c>
      <c r="H261" t="s">
        <v>91</v>
      </c>
      <c r="I261">
        <v>0</v>
      </c>
      <c r="J261">
        <v>0</v>
      </c>
      <c r="K261">
        <v>1</v>
      </c>
    </row>
    <row r="262" spans="1:11" x14ac:dyDescent="0.2">
      <c r="A262" t="s">
        <v>16</v>
      </c>
      <c r="B262" t="s">
        <v>5615</v>
      </c>
      <c r="C262">
        <v>600</v>
      </c>
      <c r="D262" t="s">
        <v>8535</v>
      </c>
      <c r="E262" t="s">
        <v>49</v>
      </c>
      <c r="F262">
        <v>40</v>
      </c>
      <c r="G262">
        <v>0.7958941979071823</v>
      </c>
      <c r="H262" t="s">
        <v>92</v>
      </c>
      <c r="I262">
        <v>0</v>
      </c>
      <c r="J262">
        <v>0</v>
      </c>
      <c r="K262">
        <v>1</v>
      </c>
    </row>
    <row r="263" spans="1:11" x14ac:dyDescent="0.2">
      <c r="A263" t="s">
        <v>16</v>
      </c>
      <c r="B263" t="s">
        <v>5615</v>
      </c>
      <c r="C263">
        <v>600</v>
      </c>
      <c r="D263" t="s">
        <v>8525</v>
      </c>
      <c r="E263" t="s">
        <v>49</v>
      </c>
      <c r="F263">
        <v>40</v>
      </c>
      <c r="G263">
        <v>0.7958941979071823</v>
      </c>
      <c r="H263" t="s">
        <v>93</v>
      </c>
      <c r="I263">
        <v>0</v>
      </c>
      <c r="J263">
        <v>0</v>
      </c>
      <c r="K263">
        <v>1</v>
      </c>
    </row>
    <row r="264" spans="1:11" x14ac:dyDescent="0.2">
      <c r="A264" t="s">
        <v>16</v>
      </c>
      <c r="B264" t="s">
        <v>5615</v>
      </c>
      <c r="C264">
        <v>600</v>
      </c>
      <c r="D264" t="s">
        <v>8507</v>
      </c>
      <c r="E264" t="s">
        <v>49</v>
      </c>
      <c r="F264">
        <v>40</v>
      </c>
      <c r="G264">
        <v>0.7958941979071823</v>
      </c>
      <c r="H264" t="s">
        <v>94</v>
      </c>
      <c r="I264">
        <v>0</v>
      </c>
      <c r="J264">
        <v>0</v>
      </c>
      <c r="K264">
        <v>1</v>
      </c>
    </row>
    <row r="265" spans="1:11" x14ac:dyDescent="0.2">
      <c r="A265" t="s">
        <v>16</v>
      </c>
      <c r="B265" t="s">
        <v>5615</v>
      </c>
      <c r="C265">
        <v>600</v>
      </c>
      <c r="D265" t="s">
        <v>8529</v>
      </c>
      <c r="E265" t="s">
        <v>49</v>
      </c>
      <c r="F265">
        <v>40</v>
      </c>
      <c r="G265">
        <v>0.7958941979071823</v>
      </c>
      <c r="H265" t="s">
        <v>96</v>
      </c>
      <c r="I265">
        <v>0</v>
      </c>
      <c r="J265">
        <v>0</v>
      </c>
      <c r="K265">
        <v>1</v>
      </c>
    </row>
    <row r="266" spans="1:11" x14ac:dyDescent="0.2">
      <c r="A266" t="s">
        <v>16</v>
      </c>
      <c r="B266" t="s">
        <v>416</v>
      </c>
      <c r="C266">
        <v>450</v>
      </c>
      <c r="D266" t="s">
        <v>9144</v>
      </c>
      <c r="E266" t="s">
        <v>50</v>
      </c>
      <c r="F266">
        <v>3</v>
      </c>
      <c r="G266">
        <v>0.40709542430926898</v>
      </c>
      <c r="H266" t="s">
        <v>93</v>
      </c>
      <c r="I266">
        <v>0</v>
      </c>
      <c r="J266">
        <v>31050</v>
      </c>
      <c r="K266">
        <v>0</v>
      </c>
    </row>
    <row r="267" spans="1:11" x14ac:dyDescent="0.2">
      <c r="A267" t="s">
        <v>16</v>
      </c>
      <c r="B267" t="s">
        <v>416</v>
      </c>
      <c r="C267">
        <v>450</v>
      </c>
      <c r="D267" t="s">
        <v>9145</v>
      </c>
      <c r="E267" t="s">
        <v>50</v>
      </c>
      <c r="F267">
        <v>3</v>
      </c>
      <c r="G267">
        <v>0.40709542430926898</v>
      </c>
      <c r="H267" t="s">
        <v>94</v>
      </c>
      <c r="I267">
        <v>0</v>
      </c>
      <c r="J267">
        <v>31050</v>
      </c>
      <c r="K267">
        <v>0</v>
      </c>
    </row>
    <row r="268" spans="1:11" x14ac:dyDescent="0.2">
      <c r="A268" t="s">
        <v>16</v>
      </c>
      <c r="B268" t="s">
        <v>416</v>
      </c>
      <c r="C268">
        <v>450</v>
      </c>
      <c r="D268" t="s">
        <v>9143</v>
      </c>
      <c r="E268" t="s">
        <v>50</v>
      </c>
      <c r="F268">
        <v>3</v>
      </c>
      <c r="G268">
        <v>0.40709542430926898</v>
      </c>
      <c r="H268" t="s">
        <v>95</v>
      </c>
      <c r="I268">
        <v>0</v>
      </c>
      <c r="J268">
        <v>31050</v>
      </c>
      <c r="K268">
        <v>0</v>
      </c>
    </row>
    <row r="269" spans="1:11" x14ac:dyDescent="0.2">
      <c r="A269" t="s">
        <v>16</v>
      </c>
      <c r="B269" t="s">
        <v>416</v>
      </c>
      <c r="C269">
        <v>450</v>
      </c>
      <c r="D269" t="s">
        <v>9140</v>
      </c>
      <c r="E269" t="s">
        <v>50</v>
      </c>
      <c r="F269">
        <v>3</v>
      </c>
      <c r="G269">
        <v>0.40709542430926898</v>
      </c>
      <c r="H269" t="s">
        <v>93</v>
      </c>
      <c r="I269">
        <v>0</v>
      </c>
      <c r="J269">
        <v>31050</v>
      </c>
      <c r="K269">
        <v>0</v>
      </c>
    </row>
    <row r="270" spans="1:11" x14ac:dyDescent="0.2">
      <c r="A270" t="s">
        <v>16</v>
      </c>
      <c r="B270" t="s">
        <v>416</v>
      </c>
      <c r="C270">
        <v>450</v>
      </c>
      <c r="D270" t="s">
        <v>9146</v>
      </c>
      <c r="E270" t="s">
        <v>50</v>
      </c>
      <c r="F270">
        <v>3</v>
      </c>
      <c r="G270">
        <v>0.40709542430926898</v>
      </c>
      <c r="H270" t="s">
        <v>94</v>
      </c>
      <c r="I270">
        <v>0</v>
      </c>
      <c r="J270">
        <v>31050</v>
      </c>
      <c r="K270">
        <v>0</v>
      </c>
    </row>
    <row r="271" spans="1:11" x14ac:dyDescent="0.2">
      <c r="A271" t="s">
        <v>16</v>
      </c>
      <c r="B271" t="s">
        <v>300</v>
      </c>
      <c r="C271">
        <v>540</v>
      </c>
      <c r="D271" t="s">
        <v>9877</v>
      </c>
      <c r="E271" t="s">
        <v>50</v>
      </c>
      <c r="F271">
        <v>10</v>
      </c>
      <c r="G271">
        <v>0.90337157029917836</v>
      </c>
      <c r="H271" t="s">
        <v>96</v>
      </c>
      <c r="I271">
        <v>0</v>
      </c>
      <c r="J271">
        <v>24840</v>
      </c>
      <c r="K271">
        <v>0</v>
      </c>
    </row>
    <row r="272" spans="1:11" x14ac:dyDescent="0.2">
      <c r="A272" t="s">
        <v>16</v>
      </c>
      <c r="B272" t="s">
        <v>300</v>
      </c>
      <c r="C272">
        <v>540</v>
      </c>
      <c r="D272" t="s">
        <v>9879</v>
      </c>
      <c r="E272" t="s">
        <v>50</v>
      </c>
      <c r="F272">
        <v>10</v>
      </c>
      <c r="G272">
        <v>0.90337157029917836</v>
      </c>
      <c r="H272" t="s">
        <v>97</v>
      </c>
      <c r="I272">
        <v>0</v>
      </c>
      <c r="J272">
        <v>24840</v>
      </c>
      <c r="K272">
        <v>0</v>
      </c>
    </row>
    <row r="273" spans="1:11" x14ac:dyDescent="0.2">
      <c r="A273" t="s">
        <v>16</v>
      </c>
      <c r="B273" t="s">
        <v>300</v>
      </c>
      <c r="C273">
        <v>540</v>
      </c>
      <c r="D273" t="s">
        <v>9878</v>
      </c>
      <c r="E273" t="s">
        <v>50</v>
      </c>
      <c r="F273">
        <v>10</v>
      </c>
      <c r="G273">
        <v>0.90337157029917836</v>
      </c>
      <c r="H273" t="s">
        <v>98</v>
      </c>
      <c r="I273">
        <v>0</v>
      </c>
      <c r="J273">
        <v>24840</v>
      </c>
      <c r="K273">
        <v>0</v>
      </c>
    </row>
    <row r="274" spans="1:11" x14ac:dyDescent="0.2">
      <c r="A274" t="s">
        <v>16</v>
      </c>
      <c r="B274" t="s">
        <v>300</v>
      </c>
      <c r="C274">
        <v>540</v>
      </c>
      <c r="D274" t="s">
        <v>9876</v>
      </c>
      <c r="E274" t="s">
        <v>50</v>
      </c>
      <c r="F274">
        <v>10</v>
      </c>
      <c r="G274">
        <v>0.90337157029917836</v>
      </c>
      <c r="H274" t="s">
        <v>99</v>
      </c>
      <c r="I274">
        <v>0</v>
      </c>
      <c r="J274">
        <v>24840</v>
      </c>
      <c r="K274">
        <v>0</v>
      </c>
    </row>
    <row r="275" spans="1:11" x14ac:dyDescent="0.2">
      <c r="A275" t="s">
        <v>16</v>
      </c>
      <c r="B275" t="s">
        <v>300</v>
      </c>
      <c r="C275">
        <v>540</v>
      </c>
      <c r="D275" t="s">
        <v>9883</v>
      </c>
      <c r="E275" t="s">
        <v>50</v>
      </c>
      <c r="F275">
        <v>10</v>
      </c>
      <c r="G275">
        <v>0.90337157029917836</v>
      </c>
      <c r="H275" t="s">
        <v>100</v>
      </c>
      <c r="I275">
        <v>0</v>
      </c>
      <c r="J275">
        <v>24840</v>
      </c>
      <c r="K275">
        <v>0</v>
      </c>
    </row>
    <row r="276" spans="1:11" x14ac:dyDescent="0.2">
      <c r="A276" t="s">
        <v>16</v>
      </c>
      <c r="B276" t="s">
        <v>300</v>
      </c>
      <c r="C276">
        <v>540</v>
      </c>
      <c r="D276" t="s">
        <v>9881</v>
      </c>
      <c r="E276" t="s">
        <v>50</v>
      </c>
      <c r="F276">
        <v>10</v>
      </c>
      <c r="G276">
        <v>0.90337157029917836</v>
      </c>
      <c r="H276" t="s">
        <v>101</v>
      </c>
      <c r="I276">
        <v>0</v>
      </c>
      <c r="J276">
        <v>24840</v>
      </c>
      <c r="K276">
        <v>0</v>
      </c>
    </row>
    <row r="277" spans="1:11" x14ac:dyDescent="0.2">
      <c r="A277" t="s">
        <v>16</v>
      </c>
      <c r="B277" t="s">
        <v>300</v>
      </c>
      <c r="C277">
        <v>540</v>
      </c>
      <c r="D277" t="s">
        <v>9880</v>
      </c>
      <c r="E277" t="s">
        <v>50</v>
      </c>
      <c r="F277">
        <v>10</v>
      </c>
      <c r="G277">
        <v>0.90337157029917836</v>
      </c>
      <c r="H277" t="s">
        <v>103</v>
      </c>
      <c r="I277">
        <v>0</v>
      </c>
      <c r="J277">
        <v>24840</v>
      </c>
      <c r="K277">
        <v>0</v>
      </c>
    </row>
    <row r="278" spans="1:11" x14ac:dyDescent="0.2">
      <c r="A278" t="s">
        <v>16</v>
      </c>
      <c r="B278" t="s">
        <v>1729</v>
      </c>
      <c r="C278">
        <v>300</v>
      </c>
      <c r="D278" t="s">
        <v>9154</v>
      </c>
      <c r="E278" t="s">
        <v>50</v>
      </c>
      <c r="F278">
        <v>7</v>
      </c>
      <c r="G278">
        <v>0.4705522410891847</v>
      </c>
      <c r="H278" t="s">
        <v>104</v>
      </c>
      <c r="I278">
        <v>0</v>
      </c>
      <c r="J278">
        <v>24600</v>
      </c>
      <c r="K278">
        <v>0</v>
      </c>
    </row>
    <row r="279" spans="1:11" x14ac:dyDescent="0.2">
      <c r="A279" t="s">
        <v>16</v>
      </c>
      <c r="B279" t="s">
        <v>1729</v>
      </c>
      <c r="C279">
        <v>300</v>
      </c>
      <c r="D279" t="s">
        <v>9150</v>
      </c>
      <c r="E279" t="s">
        <v>50</v>
      </c>
      <c r="F279">
        <v>7</v>
      </c>
      <c r="G279">
        <v>0.4705522410891847</v>
      </c>
      <c r="H279" t="s">
        <v>105</v>
      </c>
      <c r="I279">
        <v>0</v>
      </c>
      <c r="J279">
        <v>24600</v>
      </c>
      <c r="K279">
        <v>0</v>
      </c>
    </row>
    <row r="280" spans="1:11" x14ac:dyDescent="0.2">
      <c r="A280" t="s">
        <v>16</v>
      </c>
      <c r="B280" t="s">
        <v>1729</v>
      </c>
      <c r="C280">
        <v>300</v>
      </c>
      <c r="D280" t="s">
        <v>9149</v>
      </c>
      <c r="E280" t="s">
        <v>50</v>
      </c>
      <c r="F280">
        <v>7</v>
      </c>
      <c r="G280">
        <v>0.4705522410891847</v>
      </c>
      <c r="H280" t="s">
        <v>92</v>
      </c>
      <c r="I280">
        <v>0</v>
      </c>
      <c r="J280">
        <v>24600</v>
      </c>
      <c r="K280">
        <v>0</v>
      </c>
    </row>
    <row r="281" spans="1:11" x14ac:dyDescent="0.2">
      <c r="A281" t="s">
        <v>16</v>
      </c>
      <c r="B281" t="s">
        <v>1729</v>
      </c>
      <c r="C281">
        <v>300</v>
      </c>
      <c r="D281" t="s">
        <v>9151</v>
      </c>
      <c r="E281" t="s">
        <v>50</v>
      </c>
      <c r="F281">
        <v>7</v>
      </c>
      <c r="G281">
        <v>0.4705522410891847</v>
      </c>
      <c r="H281" t="s">
        <v>87</v>
      </c>
      <c r="I281">
        <v>0</v>
      </c>
      <c r="J281">
        <v>24600</v>
      </c>
      <c r="K281">
        <v>0</v>
      </c>
    </row>
    <row r="282" spans="1:11" x14ac:dyDescent="0.2">
      <c r="A282" t="s">
        <v>16</v>
      </c>
      <c r="B282" t="s">
        <v>1729</v>
      </c>
      <c r="C282">
        <v>300</v>
      </c>
      <c r="D282" t="s">
        <v>9148</v>
      </c>
      <c r="E282" t="s">
        <v>50</v>
      </c>
      <c r="F282">
        <v>7</v>
      </c>
      <c r="G282">
        <v>0.4705522410891847</v>
      </c>
      <c r="H282" t="s">
        <v>88</v>
      </c>
      <c r="I282">
        <v>0</v>
      </c>
      <c r="J282">
        <v>24600</v>
      </c>
      <c r="K282">
        <v>0</v>
      </c>
    </row>
    <row r="283" spans="1:11" x14ac:dyDescent="0.2">
      <c r="A283" t="s">
        <v>16</v>
      </c>
      <c r="B283" t="s">
        <v>1729</v>
      </c>
      <c r="C283">
        <v>300</v>
      </c>
      <c r="D283" t="s">
        <v>9147</v>
      </c>
      <c r="E283" t="s">
        <v>50</v>
      </c>
      <c r="F283">
        <v>7</v>
      </c>
      <c r="G283">
        <v>0.4705522410891847</v>
      </c>
      <c r="H283" t="s">
        <v>89</v>
      </c>
      <c r="I283">
        <v>0</v>
      </c>
      <c r="J283">
        <v>24600</v>
      </c>
      <c r="K283">
        <v>0</v>
      </c>
    </row>
    <row r="284" spans="1:11" x14ac:dyDescent="0.2">
      <c r="A284" t="s">
        <v>16</v>
      </c>
      <c r="B284" t="s">
        <v>1729</v>
      </c>
      <c r="C284">
        <v>300</v>
      </c>
      <c r="D284" t="s">
        <v>9152</v>
      </c>
      <c r="E284" t="s">
        <v>50</v>
      </c>
      <c r="F284">
        <v>7</v>
      </c>
      <c r="G284">
        <v>0.4705522410891847</v>
      </c>
      <c r="H284" t="s">
        <v>90</v>
      </c>
      <c r="I284">
        <v>0</v>
      </c>
      <c r="J284">
        <v>24600</v>
      </c>
      <c r="K284">
        <v>0</v>
      </c>
    </row>
    <row r="285" spans="1:11" x14ac:dyDescent="0.2">
      <c r="A285" t="s">
        <v>16</v>
      </c>
      <c r="B285" t="s">
        <v>1729</v>
      </c>
      <c r="C285">
        <v>300</v>
      </c>
      <c r="D285" t="s">
        <v>9156</v>
      </c>
      <c r="E285" t="s">
        <v>50</v>
      </c>
      <c r="F285">
        <v>7</v>
      </c>
      <c r="G285">
        <v>0.4705522410891847</v>
      </c>
      <c r="H285" t="s">
        <v>104</v>
      </c>
      <c r="I285">
        <v>0</v>
      </c>
      <c r="J285">
        <v>24600</v>
      </c>
      <c r="K285">
        <v>0</v>
      </c>
    </row>
    <row r="286" spans="1:11" x14ac:dyDescent="0.2">
      <c r="A286" t="s">
        <v>16</v>
      </c>
      <c r="B286" t="s">
        <v>1729</v>
      </c>
      <c r="C286">
        <v>300</v>
      </c>
      <c r="D286" t="s">
        <v>9153</v>
      </c>
      <c r="E286" t="s">
        <v>50</v>
      </c>
      <c r="F286">
        <v>7</v>
      </c>
      <c r="G286">
        <v>0.4705522410891847</v>
      </c>
      <c r="H286" t="s">
        <v>105</v>
      </c>
      <c r="I286">
        <v>0</v>
      </c>
      <c r="J286">
        <v>24600</v>
      </c>
      <c r="K286">
        <v>0</v>
      </c>
    </row>
    <row r="287" spans="1:11" x14ac:dyDescent="0.2">
      <c r="A287" t="s">
        <v>16</v>
      </c>
      <c r="B287" t="s">
        <v>1729</v>
      </c>
      <c r="C287">
        <v>300</v>
      </c>
      <c r="D287" t="s">
        <v>9155</v>
      </c>
      <c r="E287" t="s">
        <v>50</v>
      </c>
      <c r="F287">
        <v>7</v>
      </c>
      <c r="G287">
        <v>0.4705522410891847</v>
      </c>
      <c r="H287" t="s">
        <v>92</v>
      </c>
      <c r="I287">
        <v>0</v>
      </c>
      <c r="J287">
        <v>24600</v>
      </c>
      <c r="K287">
        <v>0</v>
      </c>
    </row>
    <row r="288" spans="1:11" x14ac:dyDescent="0.2">
      <c r="A288" t="s">
        <v>16</v>
      </c>
      <c r="B288" t="s">
        <v>2622</v>
      </c>
      <c r="C288">
        <v>300</v>
      </c>
      <c r="D288" t="s">
        <v>9353</v>
      </c>
      <c r="E288" t="s">
        <v>50</v>
      </c>
      <c r="F288">
        <v>7</v>
      </c>
      <c r="G288">
        <v>0.25677180471828021</v>
      </c>
      <c r="H288" t="s">
        <v>91</v>
      </c>
      <c r="I288">
        <v>0</v>
      </c>
      <c r="J288">
        <v>23100</v>
      </c>
      <c r="K288">
        <v>0</v>
      </c>
    </row>
    <row r="289" spans="1:11" x14ac:dyDescent="0.2">
      <c r="A289" t="s">
        <v>16</v>
      </c>
      <c r="B289" t="s">
        <v>2622</v>
      </c>
      <c r="C289">
        <v>300</v>
      </c>
      <c r="D289" t="s">
        <v>9374</v>
      </c>
      <c r="E289" t="s">
        <v>50</v>
      </c>
      <c r="F289">
        <v>7</v>
      </c>
      <c r="G289">
        <v>0.25677180471828021</v>
      </c>
      <c r="H289" t="s">
        <v>84</v>
      </c>
      <c r="I289">
        <v>0</v>
      </c>
      <c r="J289">
        <v>23100</v>
      </c>
      <c r="K289">
        <v>0</v>
      </c>
    </row>
    <row r="290" spans="1:11" x14ac:dyDescent="0.2">
      <c r="A290" t="s">
        <v>16</v>
      </c>
      <c r="B290" t="s">
        <v>2622</v>
      </c>
      <c r="C290">
        <v>300</v>
      </c>
      <c r="D290" t="s">
        <v>9379</v>
      </c>
      <c r="E290" t="s">
        <v>50</v>
      </c>
      <c r="F290">
        <v>7</v>
      </c>
      <c r="G290">
        <v>0.25677180471828021</v>
      </c>
      <c r="H290" t="s">
        <v>96</v>
      </c>
      <c r="I290">
        <v>0</v>
      </c>
      <c r="J290">
        <v>23100</v>
      </c>
      <c r="K290">
        <v>0</v>
      </c>
    </row>
    <row r="291" spans="1:11" x14ac:dyDescent="0.2">
      <c r="A291" t="s">
        <v>16</v>
      </c>
      <c r="B291" t="s">
        <v>2622</v>
      </c>
      <c r="C291">
        <v>300</v>
      </c>
      <c r="D291" t="s">
        <v>9364</v>
      </c>
      <c r="E291" t="s">
        <v>50</v>
      </c>
      <c r="F291">
        <v>7</v>
      </c>
      <c r="G291">
        <v>0.25677180471828021</v>
      </c>
      <c r="H291" t="s">
        <v>97</v>
      </c>
      <c r="I291">
        <v>0</v>
      </c>
      <c r="J291">
        <v>23100</v>
      </c>
      <c r="K291">
        <v>0</v>
      </c>
    </row>
    <row r="292" spans="1:11" x14ac:dyDescent="0.2">
      <c r="A292" t="s">
        <v>16</v>
      </c>
      <c r="B292" t="s">
        <v>2622</v>
      </c>
      <c r="C292">
        <v>300</v>
      </c>
      <c r="D292" t="s">
        <v>9351</v>
      </c>
      <c r="E292" t="s">
        <v>50</v>
      </c>
      <c r="F292">
        <v>7</v>
      </c>
      <c r="G292">
        <v>0.25677180471828021</v>
      </c>
      <c r="H292" t="s">
        <v>98</v>
      </c>
      <c r="I292">
        <v>0</v>
      </c>
      <c r="J292">
        <v>23100</v>
      </c>
      <c r="K292">
        <v>0</v>
      </c>
    </row>
    <row r="293" spans="1:11" x14ac:dyDescent="0.2">
      <c r="A293" t="s">
        <v>16</v>
      </c>
      <c r="B293" t="s">
        <v>2622</v>
      </c>
      <c r="C293">
        <v>300</v>
      </c>
      <c r="D293" t="s">
        <v>9355</v>
      </c>
      <c r="E293" t="s">
        <v>50</v>
      </c>
      <c r="F293">
        <v>7</v>
      </c>
      <c r="G293">
        <v>0.25677180471828021</v>
      </c>
      <c r="H293" t="s">
        <v>99</v>
      </c>
      <c r="I293">
        <v>0</v>
      </c>
      <c r="J293">
        <v>23100</v>
      </c>
      <c r="K293">
        <v>0</v>
      </c>
    </row>
    <row r="294" spans="1:11" x14ac:dyDescent="0.2">
      <c r="A294" t="s">
        <v>16</v>
      </c>
      <c r="B294" t="s">
        <v>2622</v>
      </c>
      <c r="C294">
        <v>300</v>
      </c>
      <c r="D294" t="s">
        <v>9423</v>
      </c>
      <c r="E294" t="s">
        <v>50</v>
      </c>
      <c r="F294">
        <v>7</v>
      </c>
      <c r="G294">
        <v>0.25677180471828021</v>
      </c>
      <c r="H294" t="s">
        <v>100</v>
      </c>
      <c r="I294">
        <v>0</v>
      </c>
      <c r="J294">
        <v>23100</v>
      </c>
      <c r="K294">
        <v>0</v>
      </c>
    </row>
    <row r="295" spans="1:11" x14ac:dyDescent="0.2">
      <c r="A295" t="s">
        <v>16</v>
      </c>
      <c r="B295" t="s">
        <v>2622</v>
      </c>
      <c r="C295">
        <v>300</v>
      </c>
      <c r="D295" t="s">
        <v>9362</v>
      </c>
      <c r="E295" t="s">
        <v>50</v>
      </c>
      <c r="F295">
        <v>7</v>
      </c>
      <c r="G295">
        <v>0.25677180471828021</v>
      </c>
      <c r="H295" t="s">
        <v>91</v>
      </c>
      <c r="I295">
        <v>0</v>
      </c>
      <c r="J295">
        <v>23100</v>
      </c>
      <c r="K295">
        <v>0</v>
      </c>
    </row>
    <row r="296" spans="1:11" x14ac:dyDescent="0.2">
      <c r="A296" t="s">
        <v>16</v>
      </c>
      <c r="B296" t="s">
        <v>2622</v>
      </c>
      <c r="C296">
        <v>300</v>
      </c>
      <c r="D296" t="s">
        <v>9363</v>
      </c>
      <c r="E296" t="s">
        <v>50</v>
      </c>
      <c r="F296">
        <v>7</v>
      </c>
      <c r="G296">
        <v>0.25677180471828021</v>
      </c>
      <c r="H296" t="s">
        <v>84</v>
      </c>
      <c r="I296">
        <v>0</v>
      </c>
      <c r="J296">
        <v>23100</v>
      </c>
      <c r="K296">
        <v>0</v>
      </c>
    </row>
    <row r="297" spans="1:11" x14ac:dyDescent="0.2">
      <c r="A297" t="s">
        <v>16</v>
      </c>
      <c r="B297" t="s">
        <v>2622</v>
      </c>
      <c r="C297">
        <v>300</v>
      </c>
      <c r="D297" t="s">
        <v>9360</v>
      </c>
      <c r="E297" t="s">
        <v>50</v>
      </c>
      <c r="F297">
        <v>7</v>
      </c>
      <c r="G297">
        <v>0.25677180471828021</v>
      </c>
      <c r="H297" t="s">
        <v>96</v>
      </c>
      <c r="I297">
        <v>0</v>
      </c>
      <c r="J297">
        <v>23100</v>
      </c>
      <c r="K297">
        <v>0</v>
      </c>
    </row>
    <row r="298" spans="1:11" x14ac:dyDescent="0.2">
      <c r="A298" t="s">
        <v>16</v>
      </c>
      <c r="B298" t="s">
        <v>2622</v>
      </c>
      <c r="C298">
        <v>300</v>
      </c>
      <c r="D298" t="s">
        <v>9414</v>
      </c>
      <c r="E298" t="s">
        <v>50</v>
      </c>
      <c r="F298">
        <v>7</v>
      </c>
      <c r="G298">
        <v>0.25677180471828021</v>
      </c>
      <c r="H298" t="s">
        <v>97</v>
      </c>
      <c r="I298">
        <v>0</v>
      </c>
      <c r="J298">
        <v>23100</v>
      </c>
      <c r="K298">
        <v>0</v>
      </c>
    </row>
    <row r="299" spans="1:11" x14ac:dyDescent="0.2">
      <c r="A299" t="s">
        <v>16</v>
      </c>
      <c r="B299" t="s">
        <v>2622</v>
      </c>
      <c r="C299">
        <v>300</v>
      </c>
      <c r="D299" t="s">
        <v>9352</v>
      </c>
      <c r="E299" t="s">
        <v>50</v>
      </c>
      <c r="F299">
        <v>7</v>
      </c>
      <c r="G299">
        <v>0.25677180471828021</v>
      </c>
      <c r="H299" t="s">
        <v>98</v>
      </c>
      <c r="I299">
        <v>0</v>
      </c>
      <c r="J299">
        <v>23100</v>
      </c>
      <c r="K299">
        <v>0</v>
      </c>
    </row>
    <row r="300" spans="1:11" x14ac:dyDescent="0.2">
      <c r="A300" t="s">
        <v>16</v>
      </c>
      <c r="B300" t="s">
        <v>2622</v>
      </c>
      <c r="C300">
        <v>300</v>
      </c>
      <c r="D300" t="s">
        <v>9425</v>
      </c>
      <c r="E300" t="s">
        <v>50</v>
      </c>
      <c r="F300">
        <v>7</v>
      </c>
      <c r="G300">
        <v>0.25677180471828021</v>
      </c>
      <c r="H300" t="s">
        <v>99</v>
      </c>
      <c r="I300">
        <v>0</v>
      </c>
      <c r="J300">
        <v>23100</v>
      </c>
      <c r="K300">
        <v>0</v>
      </c>
    </row>
    <row r="301" spans="1:11" x14ac:dyDescent="0.2">
      <c r="A301" t="s">
        <v>16</v>
      </c>
      <c r="B301" t="s">
        <v>2622</v>
      </c>
      <c r="C301">
        <v>300</v>
      </c>
      <c r="D301" t="s">
        <v>9420</v>
      </c>
      <c r="E301" t="s">
        <v>50</v>
      </c>
      <c r="F301">
        <v>7</v>
      </c>
      <c r="G301">
        <v>0.25677180471828021</v>
      </c>
      <c r="H301" t="s">
        <v>100</v>
      </c>
      <c r="I301">
        <v>0</v>
      </c>
      <c r="J301">
        <v>23100</v>
      </c>
      <c r="K301">
        <v>0</v>
      </c>
    </row>
    <row r="302" spans="1:11" x14ac:dyDescent="0.2">
      <c r="A302" t="s">
        <v>16</v>
      </c>
      <c r="B302" t="s">
        <v>2622</v>
      </c>
      <c r="C302">
        <v>300</v>
      </c>
      <c r="D302" t="s">
        <v>9356</v>
      </c>
      <c r="E302" t="s">
        <v>50</v>
      </c>
      <c r="F302">
        <v>7</v>
      </c>
      <c r="G302">
        <v>0.25677180471828021</v>
      </c>
      <c r="H302" t="s">
        <v>91</v>
      </c>
      <c r="I302">
        <v>0</v>
      </c>
      <c r="J302">
        <v>23100</v>
      </c>
      <c r="K302">
        <v>0</v>
      </c>
    </row>
    <row r="303" spans="1:11" x14ac:dyDescent="0.2">
      <c r="A303" t="s">
        <v>16</v>
      </c>
      <c r="B303" t="s">
        <v>2622</v>
      </c>
      <c r="C303">
        <v>300</v>
      </c>
      <c r="D303" t="s">
        <v>9357</v>
      </c>
      <c r="E303" t="s">
        <v>50</v>
      </c>
      <c r="F303">
        <v>7</v>
      </c>
      <c r="G303">
        <v>0.25677180471828021</v>
      </c>
      <c r="H303" t="s">
        <v>84</v>
      </c>
      <c r="I303">
        <v>0</v>
      </c>
      <c r="J303">
        <v>23100</v>
      </c>
      <c r="K303">
        <v>0</v>
      </c>
    </row>
    <row r="304" spans="1:11" x14ac:dyDescent="0.2">
      <c r="A304" t="s">
        <v>16</v>
      </c>
      <c r="B304" t="s">
        <v>2622</v>
      </c>
      <c r="C304">
        <v>300</v>
      </c>
      <c r="D304" t="s">
        <v>9378</v>
      </c>
      <c r="E304" t="s">
        <v>50</v>
      </c>
      <c r="F304">
        <v>7</v>
      </c>
      <c r="G304">
        <v>0.25677180471828021</v>
      </c>
      <c r="H304" t="s">
        <v>96</v>
      </c>
      <c r="I304">
        <v>0</v>
      </c>
      <c r="J304">
        <v>23100</v>
      </c>
      <c r="K304">
        <v>0</v>
      </c>
    </row>
    <row r="305" spans="1:11" x14ac:dyDescent="0.2">
      <c r="A305" t="s">
        <v>16</v>
      </c>
      <c r="B305" t="s">
        <v>2622</v>
      </c>
      <c r="C305">
        <v>300</v>
      </c>
      <c r="D305" t="s">
        <v>9361</v>
      </c>
      <c r="E305" t="s">
        <v>50</v>
      </c>
      <c r="F305">
        <v>7</v>
      </c>
      <c r="G305">
        <v>0.25677180471828021</v>
      </c>
      <c r="H305" t="s">
        <v>97</v>
      </c>
      <c r="I305">
        <v>0</v>
      </c>
      <c r="J305">
        <v>23100</v>
      </c>
      <c r="K305">
        <v>0</v>
      </c>
    </row>
    <row r="306" spans="1:11" x14ac:dyDescent="0.2">
      <c r="A306" t="s">
        <v>16</v>
      </c>
      <c r="B306" t="s">
        <v>2622</v>
      </c>
      <c r="C306">
        <v>300</v>
      </c>
      <c r="D306" t="s">
        <v>9358</v>
      </c>
      <c r="E306" t="s">
        <v>50</v>
      </c>
      <c r="F306">
        <v>7</v>
      </c>
      <c r="G306">
        <v>0.25677180471828021</v>
      </c>
      <c r="H306" t="s">
        <v>98</v>
      </c>
      <c r="I306">
        <v>0</v>
      </c>
      <c r="J306">
        <v>23100</v>
      </c>
      <c r="K306">
        <v>0</v>
      </c>
    </row>
    <row r="307" spans="1:11" x14ac:dyDescent="0.2">
      <c r="A307" t="s">
        <v>16</v>
      </c>
      <c r="B307" t="s">
        <v>2622</v>
      </c>
      <c r="C307">
        <v>300</v>
      </c>
      <c r="D307" t="s">
        <v>9390</v>
      </c>
      <c r="E307" t="s">
        <v>50</v>
      </c>
      <c r="F307">
        <v>7</v>
      </c>
      <c r="G307">
        <v>0.25677180471828021</v>
      </c>
      <c r="H307" t="s">
        <v>99</v>
      </c>
      <c r="I307">
        <v>0</v>
      </c>
      <c r="J307">
        <v>23100</v>
      </c>
      <c r="K307">
        <v>0</v>
      </c>
    </row>
    <row r="308" spans="1:11" x14ac:dyDescent="0.2">
      <c r="A308" t="s">
        <v>16</v>
      </c>
      <c r="B308" t="s">
        <v>2622</v>
      </c>
      <c r="C308">
        <v>300</v>
      </c>
      <c r="D308" t="s">
        <v>9367</v>
      </c>
      <c r="E308" t="s">
        <v>50</v>
      </c>
      <c r="F308">
        <v>7</v>
      </c>
      <c r="G308">
        <v>0.25677180471828021</v>
      </c>
      <c r="H308" t="s">
        <v>100</v>
      </c>
      <c r="I308">
        <v>0</v>
      </c>
      <c r="J308">
        <v>23100</v>
      </c>
      <c r="K308">
        <v>0</v>
      </c>
    </row>
    <row r="309" spans="1:11" x14ac:dyDescent="0.2">
      <c r="A309" t="s">
        <v>16</v>
      </c>
      <c r="B309" t="s">
        <v>2622</v>
      </c>
      <c r="C309">
        <v>300</v>
      </c>
      <c r="D309" t="s">
        <v>9383</v>
      </c>
      <c r="E309" t="s">
        <v>50</v>
      </c>
      <c r="F309">
        <v>7</v>
      </c>
      <c r="G309">
        <v>0.25677180471828021</v>
      </c>
      <c r="H309" t="s">
        <v>91</v>
      </c>
      <c r="I309">
        <v>0</v>
      </c>
      <c r="J309">
        <v>23100</v>
      </c>
      <c r="K309">
        <v>0</v>
      </c>
    </row>
    <row r="310" spans="1:11" x14ac:dyDescent="0.2">
      <c r="A310" t="s">
        <v>16</v>
      </c>
      <c r="B310" t="s">
        <v>2622</v>
      </c>
      <c r="C310">
        <v>300</v>
      </c>
      <c r="D310" t="s">
        <v>9366</v>
      </c>
      <c r="E310" t="s">
        <v>50</v>
      </c>
      <c r="F310">
        <v>7</v>
      </c>
      <c r="G310">
        <v>0.25677180471828021</v>
      </c>
      <c r="H310" t="s">
        <v>84</v>
      </c>
      <c r="I310">
        <v>0</v>
      </c>
      <c r="J310">
        <v>23100</v>
      </c>
      <c r="K310">
        <v>0</v>
      </c>
    </row>
    <row r="311" spans="1:11" x14ac:dyDescent="0.2">
      <c r="A311" t="s">
        <v>16</v>
      </c>
      <c r="B311" t="s">
        <v>2622</v>
      </c>
      <c r="C311">
        <v>300</v>
      </c>
      <c r="D311" t="s">
        <v>9369</v>
      </c>
      <c r="E311" t="s">
        <v>50</v>
      </c>
      <c r="F311">
        <v>7</v>
      </c>
      <c r="G311">
        <v>0.25677180471828021</v>
      </c>
      <c r="H311" t="s">
        <v>96</v>
      </c>
      <c r="I311">
        <v>0</v>
      </c>
      <c r="J311">
        <v>23100</v>
      </c>
      <c r="K311">
        <v>0</v>
      </c>
    </row>
    <row r="312" spans="1:11" x14ac:dyDescent="0.2">
      <c r="A312" t="s">
        <v>16</v>
      </c>
      <c r="B312" t="s">
        <v>2622</v>
      </c>
      <c r="C312">
        <v>300</v>
      </c>
      <c r="D312" t="s">
        <v>9403</v>
      </c>
      <c r="E312" t="s">
        <v>50</v>
      </c>
      <c r="F312">
        <v>7</v>
      </c>
      <c r="G312">
        <v>0.25677180471828021</v>
      </c>
      <c r="H312" t="s">
        <v>97</v>
      </c>
      <c r="I312">
        <v>0</v>
      </c>
      <c r="J312">
        <v>23100</v>
      </c>
      <c r="K312">
        <v>0</v>
      </c>
    </row>
    <row r="313" spans="1:11" x14ac:dyDescent="0.2">
      <c r="A313" t="s">
        <v>16</v>
      </c>
      <c r="B313" t="s">
        <v>2622</v>
      </c>
      <c r="C313">
        <v>300</v>
      </c>
      <c r="D313" t="s">
        <v>9349</v>
      </c>
      <c r="E313" t="s">
        <v>50</v>
      </c>
      <c r="F313">
        <v>7</v>
      </c>
      <c r="G313">
        <v>0.25677180471828021</v>
      </c>
      <c r="H313" t="s">
        <v>98</v>
      </c>
      <c r="I313">
        <v>0</v>
      </c>
      <c r="J313">
        <v>23100</v>
      </c>
      <c r="K313">
        <v>0</v>
      </c>
    </row>
    <row r="314" spans="1:11" x14ac:dyDescent="0.2">
      <c r="A314" t="s">
        <v>16</v>
      </c>
      <c r="B314" t="s">
        <v>2622</v>
      </c>
      <c r="C314">
        <v>300</v>
      </c>
      <c r="D314" t="s">
        <v>9398</v>
      </c>
      <c r="E314" t="s">
        <v>50</v>
      </c>
      <c r="F314">
        <v>7</v>
      </c>
      <c r="G314">
        <v>0.25677180471828021</v>
      </c>
      <c r="H314" t="s">
        <v>99</v>
      </c>
      <c r="I314">
        <v>0</v>
      </c>
      <c r="J314">
        <v>23100</v>
      </c>
      <c r="K314">
        <v>0</v>
      </c>
    </row>
    <row r="315" spans="1:11" x14ac:dyDescent="0.2">
      <c r="A315" t="s">
        <v>16</v>
      </c>
      <c r="B315" t="s">
        <v>2622</v>
      </c>
      <c r="C315">
        <v>300</v>
      </c>
      <c r="D315" t="s">
        <v>9377</v>
      </c>
      <c r="E315" t="s">
        <v>50</v>
      </c>
      <c r="F315">
        <v>7</v>
      </c>
      <c r="G315">
        <v>0.25677180471828021</v>
      </c>
      <c r="H315" t="s">
        <v>100</v>
      </c>
      <c r="I315">
        <v>0</v>
      </c>
      <c r="J315">
        <v>23100</v>
      </c>
      <c r="K315">
        <v>0</v>
      </c>
    </row>
    <row r="316" spans="1:11" x14ac:dyDescent="0.2">
      <c r="A316" t="s">
        <v>16</v>
      </c>
      <c r="B316" t="s">
        <v>2622</v>
      </c>
      <c r="C316">
        <v>300</v>
      </c>
      <c r="D316" t="s">
        <v>9396</v>
      </c>
      <c r="E316" t="s">
        <v>50</v>
      </c>
      <c r="F316">
        <v>7</v>
      </c>
      <c r="G316">
        <v>0.25677180471828021</v>
      </c>
      <c r="H316" t="s">
        <v>91</v>
      </c>
      <c r="I316">
        <v>0</v>
      </c>
      <c r="J316">
        <v>23100</v>
      </c>
      <c r="K316">
        <v>0</v>
      </c>
    </row>
    <row r="317" spans="1:11" x14ac:dyDescent="0.2">
      <c r="A317" t="s">
        <v>16</v>
      </c>
      <c r="B317" t="s">
        <v>2622</v>
      </c>
      <c r="C317">
        <v>300</v>
      </c>
      <c r="D317" t="s">
        <v>9401</v>
      </c>
      <c r="E317" t="s">
        <v>50</v>
      </c>
      <c r="F317">
        <v>7</v>
      </c>
      <c r="G317">
        <v>0.25677180471828021</v>
      </c>
      <c r="H317" t="s">
        <v>84</v>
      </c>
      <c r="I317">
        <v>0</v>
      </c>
      <c r="J317">
        <v>23100</v>
      </c>
      <c r="K317">
        <v>0</v>
      </c>
    </row>
    <row r="318" spans="1:11" x14ac:dyDescent="0.2">
      <c r="A318" t="s">
        <v>16</v>
      </c>
      <c r="B318" t="s">
        <v>2622</v>
      </c>
      <c r="C318">
        <v>300</v>
      </c>
      <c r="D318" t="s">
        <v>9418</v>
      </c>
      <c r="E318" t="s">
        <v>50</v>
      </c>
      <c r="F318">
        <v>7</v>
      </c>
      <c r="G318">
        <v>0.25677180471828021</v>
      </c>
      <c r="H318" t="s">
        <v>96</v>
      </c>
      <c r="I318">
        <v>0</v>
      </c>
      <c r="J318">
        <v>23100</v>
      </c>
      <c r="K318">
        <v>0</v>
      </c>
    </row>
    <row r="319" spans="1:11" x14ac:dyDescent="0.2">
      <c r="A319" t="s">
        <v>16</v>
      </c>
      <c r="B319" t="s">
        <v>2622</v>
      </c>
      <c r="C319">
        <v>300</v>
      </c>
      <c r="D319" t="s">
        <v>9407</v>
      </c>
      <c r="E319" t="s">
        <v>50</v>
      </c>
      <c r="F319">
        <v>7</v>
      </c>
      <c r="G319">
        <v>0.25677180471828021</v>
      </c>
      <c r="H319" t="s">
        <v>97</v>
      </c>
      <c r="I319">
        <v>0</v>
      </c>
      <c r="J319">
        <v>23100</v>
      </c>
      <c r="K319">
        <v>0</v>
      </c>
    </row>
    <row r="320" spans="1:11" x14ac:dyDescent="0.2">
      <c r="A320" t="s">
        <v>16</v>
      </c>
      <c r="B320" t="s">
        <v>2622</v>
      </c>
      <c r="C320">
        <v>300</v>
      </c>
      <c r="D320" t="s">
        <v>9408</v>
      </c>
      <c r="E320" t="s">
        <v>50</v>
      </c>
      <c r="F320">
        <v>7</v>
      </c>
      <c r="G320">
        <v>0.25677180471828021</v>
      </c>
      <c r="H320" t="s">
        <v>98</v>
      </c>
      <c r="I320">
        <v>0</v>
      </c>
      <c r="J320">
        <v>23100</v>
      </c>
      <c r="K320">
        <v>0</v>
      </c>
    </row>
    <row r="321" spans="1:11" x14ac:dyDescent="0.2">
      <c r="A321" t="s">
        <v>16</v>
      </c>
      <c r="B321" t="s">
        <v>2622</v>
      </c>
      <c r="C321">
        <v>300</v>
      </c>
      <c r="D321" t="s">
        <v>9400</v>
      </c>
      <c r="E321" t="s">
        <v>50</v>
      </c>
      <c r="F321">
        <v>7</v>
      </c>
      <c r="G321">
        <v>0.25677180471828021</v>
      </c>
      <c r="H321" t="s">
        <v>99</v>
      </c>
      <c r="I321">
        <v>0</v>
      </c>
      <c r="J321">
        <v>23100</v>
      </c>
      <c r="K321">
        <v>0</v>
      </c>
    </row>
    <row r="322" spans="1:11" x14ac:dyDescent="0.2">
      <c r="A322" t="s">
        <v>16</v>
      </c>
      <c r="B322" t="s">
        <v>2622</v>
      </c>
      <c r="C322">
        <v>300</v>
      </c>
      <c r="D322" t="s">
        <v>9422</v>
      </c>
      <c r="E322" t="s">
        <v>50</v>
      </c>
      <c r="F322">
        <v>7</v>
      </c>
      <c r="G322">
        <v>0.25677180471828021</v>
      </c>
      <c r="H322" t="s">
        <v>100</v>
      </c>
      <c r="I322">
        <v>0</v>
      </c>
      <c r="J322">
        <v>23100</v>
      </c>
      <c r="K322">
        <v>0</v>
      </c>
    </row>
    <row r="323" spans="1:11" x14ac:dyDescent="0.2">
      <c r="A323" t="s">
        <v>16</v>
      </c>
      <c r="B323" t="s">
        <v>2622</v>
      </c>
      <c r="C323">
        <v>300</v>
      </c>
      <c r="D323" t="s">
        <v>9413</v>
      </c>
      <c r="E323" t="s">
        <v>50</v>
      </c>
      <c r="F323">
        <v>7</v>
      </c>
      <c r="G323">
        <v>0.25677180471828021</v>
      </c>
      <c r="H323" t="s">
        <v>91</v>
      </c>
      <c r="I323">
        <v>0</v>
      </c>
      <c r="J323">
        <v>23100</v>
      </c>
      <c r="K323">
        <v>0</v>
      </c>
    </row>
    <row r="324" spans="1:11" x14ac:dyDescent="0.2">
      <c r="A324" t="s">
        <v>16</v>
      </c>
      <c r="B324" t="s">
        <v>2622</v>
      </c>
      <c r="C324">
        <v>300</v>
      </c>
      <c r="D324" t="s">
        <v>9405</v>
      </c>
      <c r="E324" t="s">
        <v>50</v>
      </c>
      <c r="F324">
        <v>7</v>
      </c>
      <c r="G324">
        <v>0.25677180471828021</v>
      </c>
      <c r="H324" t="s">
        <v>84</v>
      </c>
      <c r="I324">
        <v>0</v>
      </c>
      <c r="J324">
        <v>23100</v>
      </c>
      <c r="K324">
        <v>0</v>
      </c>
    </row>
    <row r="325" spans="1:11" x14ac:dyDescent="0.2">
      <c r="A325" t="s">
        <v>16</v>
      </c>
      <c r="B325" t="s">
        <v>2622</v>
      </c>
      <c r="C325">
        <v>300</v>
      </c>
      <c r="D325" t="s">
        <v>9406</v>
      </c>
      <c r="E325" t="s">
        <v>50</v>
      </c>
      <c r="F325">
        <v>7</v>
      </c>
      <c r="G325">
        <v>0.25677180471828021</v>
      </c>
      <c r="H325" t="s">
        <v>96</v>
      </c>
      <c r="I325">
        <v>0</v>
      </c>
      <c r="J325">
        <v>23100</v>
      </c>
      <c r="K325">
        <v>0</v>
      </c>
    </row>
    <row r="326" spans="1:11" x14ac:dyDescent="0.2">
      <c r="A326" t="s">
        <v>16</v>
      </c>
      <c r="B326" t="s">
        <v>2622</v>
      </c>
      <c r="C326">
        <v>300</v>
      </c>
      <c r="D326" t="s">
        <v>9380</v>
      </c>
      <c r="E326" t="s">
        <v>50</v>
      </c>
      <c r="F326">
        <v>7</v>
      </c>
      <c r="G326">
        <v>0.25677180471828021</v>
      </c>
      <c r="H326" t="s">
        <v>97</v>
      </c>
      <c r="I326">
        <v>0</v>
      </c>
      <c r="J326">
        <v>23100</v>
      </c>
      <c r="K326">
        <v>0</v>
      </c>
    </row>
    <row r="327" spans="1:11" x14ac:dyDescent="0.2">
      <c r="A327" t="s">
        <v>16</v>
      </c>
      <c r="B327" t="s">
        <v>2622</v>
      </c>
      <c r="C327">
        <v>300</v>
      </c>
      <c r="D327" t="s">
        <v>9409</v>
      </c>
      <c r="E327" t="s">
        <v>50</v>
      </c>
      <c r="F327">
        <v>7</v>
      </c>
      <c r="G327">
        <v>0.25677180471828021</v>
      </c>
      <c r="H327" t="s">
        <v>98</v>
      </c>
      <c r="I327">
        <v>0</v>
      </c>
      <c r="J327">
        <v>23100</v>
      </c>
      <c r="K327">
        <v>0</v>
      </c>
    </row>
    <row r="328" spans="1:11" x14ac:dyDescent="0.2">
      <c r="A328" t="s">
        <v>16</v>
      </c>
      <c r="B328" t="s">
        <v>2622</v>
      </c>
      <c r="C328">
        <v>300</v>
      </c>
      <c r="D328" t="s">
        <v>9410</v>
      </c>
      <c r="E328" t="s">
        <v>50</v>
      </c>
      <c r="F328">
        <v>7</v>
      </c>
      <c r="G328">
        <v>0.25677180471828021</v>
      </c>
      <c r="H328" t="s">
        <v>99</v>
      </c>
      <c r="I328">
        <v>0</v>
      </c>
      <c r="J328">
        <v>23100</v>
      </c>
      <c r="K328">
        <v>0</v>
      </c>
    </row>
    <row r="329" spans="1:11" x14ac:dyDescent="0.2">
      <c r="A329" t="s">
        <v>16</v>
      </c>
      <c r="B329" t="s">
        <v>2622</v>
      </c>
      <c r="C329">
        <v>300</v>
      </c>
      <c r="D329" t="s">
        <v>9391</v>
      </c>
      <c r="E329" t="s">
        <v>50</v>
      </c>
      <c r="F329">
        <v>7</v>
      </c>
      <c r="G329">
        <v>0.25677180471828021</v>
      </c>
      <c r="H329" t="s">
        <v>100</v>
      </c>
      <c r="I329">
        <v>0</v>
      </c>
      <c r="J329">
        <v>23100</v>
      </c>
      <c r="K329">
        <v>0</v>
      </c>
    </row>
    <row r="330" spans="1:11" x14ac:dyDescent="0.2">
      <c r="A330" t="s">
        <v>16</v>
      </c>
      <c r="B330" t="s">
        <v>2622</v>
      </c>
      <c r="C330">
        <v>300</v>
      </c>
      <c r="D330" t="s">
        <v>9376</v>
      </c>
      <c r="E330" t="s">
        <v>50</v>
      </c>
      <c r="F330">
        <v>7</v>
      </c>
      <c r="G330">
        <v>0.25677180471828021</v>
      </c>
      <c r="H330" t="s">
        <v>91</v>
      </c>
      <c r="I330">
        <v>0</v>
      </c>
      <c r="J330">
        <v>23100</v>
      </c>
      <c r="K330">
        <v>0</v>
      </c>
    </row>
    <row r="331" spans="1:11" x14ac:dyDescent="0.2">
      <c r="A331" t="s">
        <v>16</v>
      </c>
      <c r="B331" t="s">
        <v>2622</v>
      </c>
      <c r="C331">
        <v>300</v>
      </c>
      <c r="D331" t="s">
        <v>9416</v>
      </c>
      <c r="E331" t="s">
        <v>50</v>
      </c>
      <c r="F331">
        <v>7</v>
      </c>
      <c r="G331">
        <v>0.25677180471828021</v>
      </c>
      <c r="H331" t="s">
        <v>84</v>
      </c>
      <c r="I331">
        <v>0</v>
      </c>
      <c r="J331">
        <v>23100</v>
      </c>
      <c r="K331">
        <v>0</v>
      </c>
    </row>
    <row r="332" spans="1:11" x14ac:dyDescent="0.2">
      <c r="A332" t="s">
        <v>16</v>
      </c>
      <c r="B332" t="s">
        <v>2622</v>
      </c>
      <c r="C332">
        <v>300</v>
      </c>
      <c r="D332" t="s">
        <v>9386</v>
      </c>
      <c r="E332" t="s">
        <v>50</v>
      </c>
      <c r="F332">
        <v>7</v>
      </c>
      <c r="G332">
        <v>0.25677180471828021</v>
      </c>
      <c r="H332" t="s">
        <v>96</v>
      </c>
      <c r="I332">
        <v>0</v>
      </c>
      <c r="J332">
        <v>23100</v>
      </c>
      <c r="K332">
        <v>0</v>
      </c>
    </row>
    <row r="333" spans="1:11" x14ac:dyDescent="0.2">
      <c r="A333" t="s">
        <v>16</v>
      </c>
      <c r="B333" t="s">
        <v>2622</v>
      </c>
      <c r="C333">
        <v>300</v>
      </c>
      <c r="D333" t="s">
        <v>9417</v>
      </c>
      <c r="E333" t="s">
        <v>50</v>
      </c>
      <c r="F333">
        <v>7</v>
      </c>
      <c r="G333">
        <v>0.25677180471828021</v>
      </c>
      <c r="H333" t="s">
        <v>97</v>
      </c>
      <c r="I333">
        <v>0</v>
      </c>
      <c r="J333">
        <v>23100</v>
      </c>
      <c r="K333">
        <v>0</v>
      </c>
    </row>
    <row r="334" spans="1:11" x14ac:dyDescent="0.2">
      <c r="A334" t="s">
        <v>16</v>
      </c>
      <c r="B334" t="s">
        <v>2622</v>
      </c>
      <c r="C334">
        <v>300</v>
      </c>
      <c r="D334" t="s">
        <v>9411</v>
      </c>
      <c r="E334" t="s">
        <v>50</v>
      </c>
      <c r="F334">
        <v>7</v>
      </c>
      <c r="G334">
        <v>0.25677180471828021</v>
      </c>
      <c r="H334" t="s">
        <v>98</v>
      </c>
      <c r="I334">
        <v>0</v>
      </c>
      <c r="J334">
        <v>23100</v>
      </c>
      <c r="K334">
        <v>0</v>
      </c>
    </row>
    <row r="335" spans="1:11" x14ac:dyDescent="0.2">
      <c r="A335" t="s">
        <v>16</v>
      </c>
      <c r="B335" t="s">
        <v>2622</v>
      </c>
      <c r="C335">
        <v>300</v>
      </c>
      <c r="D335" t="s">
        <v>9419</v>
      </c>
      <c r="E335" t="s">
        <v>50</v>
      </c>
      <c r="F335">
        <v>7</v>
      </c>
      <c r="G335">
        <v>0.25677180471828021</v>
      </c>
      <c r="H335" t="s">
        <v>99</v>
      </c>
      <c r="I335">
        <v>0</v>
      </c>
      <c r="J335">
        <v>23100</v>
      </c>
      <c r="K335">
        <v>0</v>
      </c>
    </row>
    <row r="336" spans="1:11" x14ac:dyDescent="0.2">
      <c r="A336" t="s">
        <v>16</v>
      </c>
      <c r="B336" t="s">
        <v>2622</v>
      </c>
      <c r="C336">
        <v>300</v>
      </c>
      <c r="D336" t="s">
        <v>9385</v>
      </c>
      <c r="E336" t="s">
        <v>50</v>
      </c>
      <c r="F336">
        <v>7</v>
      </c>
      <c r="G336">
        <v>0.25677180471828021</v>
      </c>
      <c r="H336" t="s">
        <v>100</v>
      </c>
      <c r="I336">
        <v>0</v>
      </c>
      <c r="J336">
        <v>23100</v>
      </c>
      <c r="K336">
        <v>0</v>
      </c>
    </row>
    <row r="337" spans="1:11" x14ac:dyDescent="0.2">
      <c r="A337" t="s">
        <v>16</v>
      </c>
      <c r="B337" t="s">
        <v>2622</v>
      </c>
      <c r="C337">
        <v>300</v>
      </c>
      <c r="D337" t="s">
        <v>9381</v>
      </c>
      <c r="E337" t="s">
        <v>50</v>
      </c>
      <c r="F337">
        <v>7</v>
      </c>
      <c r="G337">
        <v>0.25677180471828021</v>
      </c>
      <c r="H337" t="s">
        <v>91</v>
      </c>
      <c r="I337">
        <v>0</v>
      </c>
      <c r="J337">
        <v>23100</v>
      </c>
      <c r="K337">
        <v>0</v>
      </c>
    </row>
    <row r="338" spans="1:11" x14ac:dyDescent="0.2">
      <c r="A338" t="s">
        <v>16</v>
      </c>
      <c r="B338" t="s">
        <v>2622</v>
      </c>
      <c r="C338">
        <v>300</v>
      </c>
      <c r="D338" t="s">
        <v>9421</v>
      </c>
      <c r="E338" t="s">
        <v>50</v>
      </c>
      <c r="F338">
        <v>7</v>
      </c>
      <c r="G338">
        <v>0.25677180471828021</v>
      </c>
      <c r="H338" t="s">
        <v>84</v>
      </c>
      <c r="I338">
        <v>0</v>
      </c>
      <c r="J338">
        <v>23100</v>
      </c>
      <c r="K338">
        <v>0</v>
      </c>
    </row>
    <row r="339" spans="1:11" x14ac:dyDescent="0.2">
      <c r="A339" t="s">
        <v>16</v>
      </c>
      <c r="B339" t="s">
        <v>2622</v>
      </c>
      <c r="C339">
        <v>300</v>
      </c>
      <c r="D339" t="s">
        <v>9415</v>
      </c>
      <c r="E339" t="s">
        <v>50</v>
      </c>
      <c r="F339">
        <v>7</v>
      </c>
      <c r="G339">
        <v>0.25677180471828021</v>
      </c>
      <c r="H339" t="s">
        <v>96</v>
      </c>
      <c r="I339">
        <v>0</v>
      </c>
      <c r="J339">
        <v>23100</v>
      </c>
      <c r="K339">
        <v>0</v>
      </c>
    </row>
    <row r="340" spans="1:11" x14ac:dyDescent="0.2">
      <c r="A340" t="s">
        <v>16</v>
      </c>
      <c r="B340" t="s">
        <v>2622</v>
      </c>
      <c r="C340">
        <v>300</v>
      </c>
      <c r="D340" t="s">
        <v>9412</v>
      </c>
      <c r="E340" t="s">
        <v>50</v>
      </c>
      <c r="F340">
        <v>7</v>
      </c>
      <c r="G340">
        <v>0.25677180471828021</v>
      </c>
      <c r="H340" t="s">
        <v>97</v>
      </c>
      <c r="I340">
        <v>0</v>
      </c>
      <c r="J340">
        <v>23100</v>
      </c>
      <c r="K340">
        <v>0</v>
      </c>
    </row>
    <row r="341" spans="1:11" x14ac:dyDescent="0.2">
      <c r="A341" t="s">
        <v>16</v>
      </c>
      <c r="B341" t="s">
        <v>2622</v>
      </c>
      <c r="C341">
        <v>300</v>
      </c>
      <c r="D341" t="s">
        <v>9393</v>
      </c>
      <c r="E341" t="s">
        <v>50</v>
      </c>
      <c r="F341">
        <v>7</v>
      </c>
      <c r="G341">
        <v>0.25677180471828021</v>
      </c>
      <c r="H341" t="s">
        <v>98</v>
      </c>
      <c r="I341">
        <v>0</v>
      </c>
      <c r="J341">
        <v>23100</v>
      </c>
      <c r="K341">
        <v>0</v>
      </c>
    </row>
    <row r="342" spans="1:11" x14ac:dyDescent="0.2">
      <c r="A342" t="s">
        <v>16</v>
      </c>
      <c r="B342" t="s">
        <v>2622</v>
      </c>
      <c r="C342">
        <v>300</v>
      </c>
      <c r="D342" t="s">
        <v>9424</v>
      </c>
      <c r="E342" t="s">
        <v>50</v>
      </c>
      <c r="F342">
        <v>7</v>
      </c>
      <c r="G342">
        <v>0.25677180471828021</v>
      </c>
      <c r="H342" t="s">
        <v>99</v>
      </c>
      <c r="I342">
        <v>0</v>
      </c>
      <c r="J342">
        <v>23100</v>
      </c>
      <c r="K342">
        <v>0</v>
      </c>
    </row>
    <row r="343" spans="1:11" x14ac:dyDescent="0.2">
      <c r="A343" t="s">
        <v>16</v>
      </c>
      <c r="B343" t="s">
        <v>2622</v>
      </c>
      <c r="C343">
        <v>300</v>
      </c>
      <c r="D343" t="s">
        <v>9354</v>
      </c>
      <c r="E343" t="s">
        <v>50</v>
      </c>
      <c r="F343">
        <v>7</v>
      </c>
      <c r="G343">
        <v>0.25677180471828021</v>
      </c>
      <c r="H343" t="s">
        <v>100</v>
      </c>
      <c r="I343">
        <v>0</v>
      </c>
      <c r="J343">
        <v>23100</v>
      </c>
      <c r="K343">
        <v>0</v>
      </c>
    </row>
    <row r="344" spans="1:11" x14ac:dyDescent="0.2">
      <c r="A344" t="s">
        <v>16</v>
      </c>
      <c r="B344" t="s">
        <v>2622</v>
      </c>
      <c r="C344">
        <v>300</v>
      </c>
      <c r="D344" t="s">
        <v>9350</v>
      </c>
      <c r="E344" t="s">
        <v>50</v>
      </c>
      <c r="F344">
        <v>7</v>
      </c>
      <c r="G344">
        <v>0.25677180471828021</v>
      </c>
      <c r="H344" t="s">
        <v>91</v>
      </c>
      <c r="I344">
        <v>0</v>
      </c>
      <c r="J344">
        <v>23100</v>
      </c>
      <c r="K344">
        <v>0</v>
      </c>
    </row>
    <row r="345" spans="1:11" x14ac:dyDescent="0.2">
      <c r="A345" t="s">
        <v>16</v>
      </c>
      <c r="B345" t="s">
        <v>2622</v>
      </c>
      <c r="C345">
        <v>300</v>
      </c>
      <c r="D345" t="s">
        <v>9384</v>
      </c>
      <c r="E345" t="s">
        <v>50</v>
      </c>
      <c r="F345">
        <v>7</v>
      </c>
      <c r="G345">
        <v>0.25677180471828021</v>
      </c>
      <c r="H345" t="s">
        <v>84</v>
      </c>
      <c r="I345">
        <v>0</v>
      </c>
      <c r="J345">
        <v>23100</v>
      </c>
      <c r="K345">
        <v>0</v>
      </c>
    </row>
    <row r="346" spans="1:11" x14ac:dyDescent="0.2">
      <c r="A346" t="s">
        <v>16</v>
      </c>
      <c r="B346" t="s">
        <v>2622</v>
      </c>
      <c r="C346">
        <v>300</v>
      </c>
      <c r="D346" t="s">
        <v>9399</v>
      </c>
      <c r="E346" t="s">
        <v>50</v>
      </c>
      <c r="F346">
        <v>7</v>
      </c>
      <c r="G346">
        <v>0.25677180471828021</v>
      </c>
      <c r="H346" t="s">
        <v>96</v>
      </c>
      <c r="I346">
        <v>0</v>
      </c>
      <c r="J346">
        <v>23100</v>
      </c>
      <c r="K346">
        <v>0</v>
      </c>
    </row>
    <row r="347" spans="1:11" x14ac:dyDescent="0.2">
      <c r="A347" t="s">
        <v>16</v>
      </c>
      <c r="B347" t="s">
        <v>2622</v>
      </c>
      <c r="C347">
        <v>300</v>
      </c>
      <c r="D347" t="s">
        <v>9392</v>
      </c>
      <c r="E347" t="s">
        <v>50</v>
      </c>
      <c r="F347">
        <v>7</v>
      </c>
      <c r="G347">
        <v>0.25677180471828021</v>
      </c>
      <c r="H347" t="s">
        <v>97</v>
      </c>
      <c r="I347">
        <v>0</v>
      </c>
      <c r="J347">
        <v>23100</v>
      </c>
      <c r="K347">
        <v>0</v>
      </c>
    </row>
    <row r="348" spans="1:11" x14ac:dyDescent="0.2">
      <c r="A348" t="s">
        <v>16</v>
      </c>
      <c r="B348" t="s">
        <v>2622</v>
      </c>
      <c r="C348">
        <v>300</v>
      </c>
      <c r="D348" t="s">
        <v>9404</v>
      </c>
      <c r="E348" t="s">
        <v>50</v>
      </c>
      <c r="F348">
        <v>7</v>
      </c>
      <c r="G348">
        <v>0.25677180471828021</v>
      </c>
      <c r="H348" t="s">
        <v>98</v>
      </c>
      <c r="I348">
        <v>0</v>
      </c>
      <c r="J348">
        <v>23100</v>
      </c>
      <c r="K348">
        <v>0</v>
      </c>
    </row>
    <row r="349" spans="1:11" x14ac:dyDescent="0.2">
      <c r="A349" t="s">
        <v>16</v>
      </c>
      <c r="B349" t="s">
        <v>2622</v>
      </c>
      <c r="C349">
        <v>300</v>
      </c>
      <c r="D349" t="s">
        <v>9394</v>
      </c>
      <c r="E349" t="s">
        <v>50</v>
      </c>
      <c r="F349">
        <v>7</v>
      </c>
      <c r="G349">
        <v>0.25677180471828021</v>
      </c>
      <c r="H349" t="s">
        <v>99</v>
      </c>
      <c r="I349">
        <v>0</v>
      </c>
      <c r="J349">
        <v>23100</v>
      </c>
      <c r="K349">
        <v>0</v>
      </c>
    </row>
    <row r="350" spans="1:11" x14ac:dyDescent="0.2">
      <c r="A350" t="s">
        <v>16</v>
      </c>
      <c r="B350" t="s">
        <v>2622</v>
      </c>
      <c r="C350">
        <v>300</v>
      </c>
      <c r="D350" t="s">
        <v>9395</v>
      </c>
      <c r="E350" t="s">
        <v>50</v>
      </c>
      <c r="F350">
        <v>7</v>
      </c>
      <c r="G350">
        <v>0.25677180471828021</v>
      </c>
      <c r="H350" t="s">
        <v>100</v>
      </c>
      <c r="I350">
        <v>0</v>
      </c>
      <c r="J350">
        <v>23100</v>
      </c>
      <c r="K350">
        <v>0</v>
      </c>
    </row>
    <row r="351" spans="1:11" x14ac:dyDescent="0.2">
      <c r="A351" t="s">
        <v>16</v>
      </c>
      <c r="B351" t="s">
        <v>2622</v>
      </c>
      <c r="C351">
        <v>300</v>
      </c>
      <c r="D351" t="s">
        <v>9397</v>
      </c>
      <c r="E351" t="s">
        <v>50</v>
      </c>
      <c r="F351">
        <v>7</v>
      </c>
      <c r="G351">
        <v>0.25677180471828021</v>
      </c>
      <c r="H351" t="s">
        <v>91</v>
      </c>
      <c r="I351">
        <v>0</v>
      </c>
      <c r="J351">
        <v>23100</v>
      </c>
      <c r="K351">
        <v>0</v>
      </c>
    </row>
    <row r="352" spans="1:11" x14ac:dyDescent="0.2">
      <c r="A352" t="s">
        <v>16</v>
      </c>
      <c r="B352" t="s">
        <v>2622</v>
      </c>
      <c r="C352">
        <v>300</v>
      </c>
      <c r="D352" t="s">
        <v>9387</v>
      </c>
      <c r="E352" t="s">
        <v>50</v>
      </c>
      <c r="F352">
        <v>7</v>
      </c>
      <c r="G352">
        <v>0.25677180471828021</v>
      </c>
      <c r="H352" t="s">
        <v>84</v>
      </c>
      <c r="I352">
        <v>0</v>
      </c>
      <c r="J352">
        <v>23100</v>
      </c>
      <c r="K352">
        <v>0</v>
      </c>
    </row>
    <row r="353" spans="1:11" x14ac:dyDescent="0.2">
      <c r="A353" t="s">
        <v>16</v>
      </c>
      <c r="B353" t="s">
        <v>2622</v>
      </c>
      <c r="C353">
        <v>300</v>
      </c>
      <c r="D353" t="s">
        <v>9388</v>
      </c>
      <c r="E353" t="s">
        <v>50</v>
      </c>
      <c r="F353">
        <v>7</v>
      </c>
      <c r="G353">
        <v>0.25677180471828021</v>
      </c>
      <c r="H353" t="s">
        <v>96</v>
      </c>
      <c r="I353">
        <v>0</v>
      </c>
      <c r="J353">
        <v>23100</v>
      </c>
      <c r="K353">
        <v>0</v>
      </c>
    </row>
    <row r="354" spans="1:11" x14ac:dyDescent="0.2">
      <c r="A354" t="s">
        <v>16</v>
      </c>
      <c r="B354" t="s">
        <v>2622</v>
      </c>
      <c r="C354">
        <v>300</v>
      </c>
      <c r="D354" t="s">
        <v>9370</v>
      </c>
      <c r="E354" t="s">
        <v>50</v>
      </c>
      <c r="F354">
        <v>7</v>
      </c>
      <c r="G354">
        <v>0.25677180471828021</v>
      </c>
      <c r="H354" t="s">
        <v>97</v>
      </c>
      <c r="I354">
        <v>0</v>
      </c>
      <c r="J354">
        <v>23100</v>
      </c>
      <c r="K354">
        <v>0</v>
      </c>
    </row>
    <row r="355" spans="1:11" x14ac:dyDescent="0.2">
      <c r="A355" t="s">
        <v>16</v>
      </c>
      <c r="B355" t="s">
        <v>2622</v>
      </c>
      <c r="C355">
        <v>300</v>
      </c>
      <c r="D355" t="s">
        <v>9371</v>
      </c>
      <c r="E355" t="s">
        <v>50</v>
      </c>
      <c r="F355">
        <v>7</v>
      </c>
      <c r="G355">
        <v>0.25677180471828021</v>
      </c>
      <c r="H355" t="s">
        <v>98</v>
      </c>
      <c r="I355">
        <v>0</v>
      </c>
      <c r="J355">
        <v>23100</v>
      </c>
      <c r="K355">
        <v>0</v>
      </c>
    </row>
    <row r="356" spans="1:11" x14ac:dyDescent="0.2">
      <c r="A356" t="s">
        <v>16</v>
      </c>
      <c r="B356" t="s">
        <v>2622</v>
      </c>
      <c r="C356">
        <v>300</v>
      </c>
      <c r="D356" t="s">
        <v>9372</v>
      </c>
      <c r="E356" t="s">
        <v>50</v>
      </c>
      <c r="F356">
        <v>7</v>
      </c>
      <c r="G356">
        <v>0.25677180471828021</v>
      </c>
      <c r="H356" t="s">
        <v>99</v>
      </c>
      <c r="I356">
        <v>0</v>
      </c>
      <c r="J356">
        <v>23100</v>
      </c>
      <c r="K356">
        <v>0</v>
      </c>
    </row>
    <row r="357" spans="1:11" x14ac:dyDescent="0.2">
      <c r="A357" t="s">
        <v>16</v>
      </c>
      <c r="B357" t="s">
        <v>2622</v>
      </c>
      <c r="C357">
        <v>300</v>
      </c>
      <c r="D357" t="s">
        <v>9402</v>
      </c>
      <c r="E357" t="s">
        <v>50</v>
      </c>
      <c r="F357">
        <v>7</v>
      </c>
      <c r="G357">
        <v>0.25677180471828021</v>
      </c>
      <c r="H357" t="s">
        <v>100</v>
      </c>
      <c r="I357">
        <v>0</v>
      </c>
      <c r="J357">
        <v>23100</v>
      </c>
      <c r="K357">
        <v>0</v>
      </c>
    </row>
    <row r="358" spans="1:11" x14ac:dyDescent="0.2">
      <c r="A358" t="s">
        <v>16</v>
      </c>
      <c r="B358" t="s">
        <v>2622</v>
      </c>
      <c r="C358">
        <v>300</v>
      </c>
      <c r="D358" t="s">
        <v>9373</v>
      </c>
      <c r="E358" t="s">
        <v>50</v>
      </c>
      <c r="F358">
        <v>7</v>
      </c>
      <c r="G358">
        <v>0.25677180471828021</v>
      </c>
      <c r="H358" t="s">
        <v>91</v>
      </c>
      <c r="I358">
        <v>0</v>
      </c>
      <c r="J358">
        <v>23100</v>
      </c>
      <c r="K358">
        <v>0</v>
      </c>
    </row>
    <row r="359" spans="1:11" x14ac:dyDescent="0.2">
      <c r="A359" t="s">
        <v>16</v>
      </c>
      <c r="B359" t="s">
        <v>2622</v>
      </c>
      <c r="C359">
        <v>300</v>
      </c>
      <c r="D359" t="s">
        <v>9365</v>
      </c>
      <c r="E359" t="s">
        <v>50</v>
      </c>
      <c r="F359">
        <v>7</v>
      </c>
      <c r="G359">
        <v>0.25677180471828021</v>
      </c>
      <c r="H359" t="s">
        <v>84</v>
      </c>
      <c r="I359">
        <v>0</v>
      </c>
      <c r="J359">
        <v>23100</v>
      </c>
      <c r="K359">
        <v>0</v>
      </c>
    </row>
    <row r="360" spans="1:11" x14ac:dyDescent="0.2">
      <c r="A360" t="s">
        <v>16</v>
      </c>
      <c r="B360" t="s">
        <v>2622</v>
      </c>
      <c r="C360">
        <v>300</v>
      </c>
      <c r="D360" t="s">
        <v>9368</v>
      </c>
      <c r="E360" t="s">
        <v>50</v>
      </c>
      <c r="F360">
        <v>7</v>
      </c>
      <c r="G360">
        <v>0.25677180471828021</v>
      </c>
      <c r="H360" t="s">
        <v>96</v>
      </c>
      <c r="I360">
        <v>0</v>
      </c>
      <c r="J360">
        <v>23100</v>
      </c>
      <c r="K360">
        <v>0</v>
      </c>
    </row>
    <row r="361" spans="1:11" x14ac:dyDescent="0.2">
      <c r="A361" t="s">
        <v>16</v>
      </c>
      <c r="B361" t="s">
        <v>2622</v>
      </c>
      <c r="C361">
        <v>300</v>
      </c>
      <c r="D361" t="s">
        <v>9375</v>
      </c>
      <c r="E361" t="s">
        <v>50</v>
      </c>
      <c r="F361">
        <v>7</v>
      </c>
      <c r="G361">
        <v>0.25677180471828021</v>
      </c>
      <c r="H361" t="s">
        <v>97</v>
      </c>
      <c r="I361">
        <v>0</v>
      </c>
      <c r="J361">
        <v>23100</v>
      </c>
      <c r="K361">
        <v>0</v>
      </c>
    </row>
    <row r="362" spans="1:11" x14ac:dyDescent="0.2">
      <c r="A362" t="s">
        <v>16</v>
      </c>
      <c r="B362" t="s">
        <v>2836</v>
      </c>
      <c r="C362">
        <v>225</v>
      </c>
      <c r="D362" t="s">
        <v>9437</v>
      </c>
      <c r="E362" t="s">
        <v>50</v>
      </c>
      <c r="F362">
        <v>2</v>
      </c>
      <c r="G362">
        <v>0.32947146174061692</v>
      </c>
      <c r="H362" t="s">
        <v>101</v>
      </c>
      <c r="I362">
        <v>0</v>
      </c>
      <c r="J362">
        <v>21600</v>
      </c>
      <c r="K362">
        <v>0</v>
      </c>
    </row>
    <row r="363" spans="1:11" x14ac:dyDescent="0.2">
      <c r="A363" t="s">
        <v>16</v>
      </c>
      <c r="B363" t="s">
        <v>2836</v>
      </c>
      <c r="C363">
        <v>225</v>
      </c>
      <c r="D363" t="s">
        <v>9441</v>
      </c>
      <c r="E363" t="s">
        <v>50</v>
      </c>
      <c r="F363">
        <v>2</v>
      </c>
      <c r="G363">
        <v>0.32947146174061692</v>
      </c>
      <c r="H363" t="s">
        <v>103</v>
      </c>
      <c r="I363">
        <v>0</v>
      </c>
      <c r="J363">
        <v>21600</v>
      </c>
      <c r="K363">
        <v>0</v>
      </c>
    </row>
    <row r="364" spans="1:11" x14ac:dyDescent="0.2">
      <c r="A364" t="s">
        <v>16</v>
      </c>
      <c r="B364" t="s">
        <v>2836</v>
      </c>
      <c r="C364">
        <v>225</v>
      </c>
      <c r="D364" t="s">
        <v>9442</v>
      </c>
      <c r="E364" t="s">
        <v>50</v>
      </c>
      <c r="F364">
        <v>2</v>
      </c>
      <c r="G364">
        <v>0.32947146174061692</v>
      </c>
      <c r="H364" t="s">
        <v>101</v>
      </c>
      <c r="I364">
        <v>0</v>
      </c>
      <c r="J364">
        <v>21600</v>
      </c>
      <c r="K364">
        <v>0</v>
      </c>
    </row>
    <row r="365" spans="1:11" x14ac:dyDescent="0.2">
      <c r="A365" t="s">
        <v>16</v>
      </c>
      <c r="B365" t="s">
        <v>2836</v>
      </c>
      <c r="C365">
        <v>225</v>
      </c>
      <c r="D365" t="s">
        <v>9438</v>
      </c>
      <c r="E365" t="s">
        <v>50</v>
      </c>
      <c r="F365">
        <v>2</v>
      </c>
      <c r="G365">
        <v>0.32947146174061692</v>
      </c>
      <c r="H365" t="s">
        <v>103</v>
      </c>
      <c r="I365">
        <v>0</v>
      </c>
      <c r="J365">
        <v>21600</v>
      </c>
      <c r="K365">
        <v>0</v>
      </c>
    </row>
    <row r="366" spans="1:11" x14ac:dyDescent="0.2">
      <c r="A366" t="s">
        <v>16</v>
      </c>
      <c r="B366" t="s">
        <v>2836</v>
      </c>
      <c r="C366">
        <v>225</v>
      </c>
      <c r="D366" t="s">
        <v>9440</v>
      </c>
      <c r="E366" t="s">
        <v>50</v>
      </c>
      <c r="F366">
        <v>2</v>
      </c>
      <c r="G366">
        <v>0.32947146174061692</v>
      </c>
      <c r="H366" t="s">
        <v>101</v>
      </c>
      <c r="I366">
        <v>0</v>
      </c>
      <c r="J366">
        <v>21600</v>
      </c>
      <c r="K366">
        <v>0</v>
      </c>
    </row>
    <row r="367" spans="1:11" x14ac:dyDescent="0.2">
      <c r="A367" t="s">
        <v>16</v>
      </c>
      <c r="B367" t="s">
        <v>2836</v>
      </c>
      <c r="C367">
        <v>225</v>
      </c>
      <c r="D367" t="s">
        <v>9436</v>
      </c>
      <c r="E367" t="s">
        <v>50</v>
      </c>
      <c r="F367">
        <v>2</v>
      </c>
      <c r="G367">
        <v>0.32947146174061692</v>
      </c>
      <c r="H367" t="s">
        <v>103</v>
      </c>
      <c r="I367">
        <v>0</v>
      </c>
      <c r="J367">
        <v>21600</v>
      </c>
      <c r="K367">
        <v>0</v>
      </c>
    </row>
    <row r="368" spans="1:11" x14ac:dyDescent="0.2">
      <c r="A368" t="s">
        <v>16</v>
      </c>
      <c r="B368" t="s">
        <v>2836</v>
      </c>
      <c r="C368">
        <v>225</v>
      </c>
      <c r="D368" t="s">
        <v>9444</v>
      </c>
      <c r="E368" t="s">
        <v>50</v>
      </c>
      <c r="F368">
        <v>2</v>
      </c>
      <c r="G368">
        <v>0.32947146174061692</v>
      </c>
      <c r="H368" t="s">
        <v>101</v>
      </c>
      <c r="I368">
        <v>0</v>
      </c>
      <c r="J368">
        <v>21600</v>
      </c>
      <c r="K368">
        <v>0</v>
      </c>
    </row>
    <row r="369" spans="1:11" x14ac:dyDescent="0.2">
      <c r="A369" t="s">
        <v>16</v>
      </c>
      <c r="B369" t="s">
        <v>2836</v>
      </c>
      <c r="C369">
        <v>225</v>
      </c>
      <c r="D369" t="s">
        <v>9445</v>
      </c>
      <c r="E369" t="s">
        <v>50</v>
      </c>
      <c r="F369">
        <v>2</v>
      </c>
      <c r="G369">
        <v>0.32947146174061692</v>
      </c>
      <c r="H369" t="s">
        <v>103</v>
      </c>
      <c r="I369">
        <v>0</v>
      </c>
      <c r="J369">
        <v>21600</v>
      </c>
      <c r="K369">
        <v>0</v>
      </c>
    </row>
    <row r="370" spans="1:11" x14ac:dyDescent="0.2">
      <c r="A370" t="s">
        <v>16</v>
      </c>
      <c r="B370" t="s">
        <v>2836</v>
      </c>
      <c r="C370">
        <v>225</v>
      </c>
      <c r="D370" t="s">
        <v>9446</v>
      </c>
      <c r="E370" t="s">
        <v>50</v>
      </c>
      <c r="F370">
        <v>2</v>
      </c>
      <c r="G370">
        <v>0.32947146174061692</v>
      </c>
      <c r="H370" t="s">
        <v>101</v>
      </c>
      <c r="I370">
        <v>0</v>
      </c>
      <c r="J370">
        <v>21600</v>
      </c>
      <c r="K370">
        <v>0</v>
      </c>
    </row>
    <row r="371" spans="1:11" x14ac:dyDescent="0.2">
      <c r="A371" t="s">
        <v>16</v>
      </c>
      <c r="B371" t="s">
        <v>2836</v>
      </c>
      <c r="C371">
        <v>225</v>
      </c>
      <c r="D371" t="s">
        <v>9435</v>
      </c>
      <c r="E371" t="s">
        <v>50</v>
      </c>
      <c r="F371">
        <v>2</v>
      </c>
      <c r="G371">
        <v>0.32947146174061692</v>
      </c>
      <c r="H371" t="s">
        <v>103</v>
      </c>
      <c r="I371">
        <v>0</v>
      </c>
      <c r="J371">
        <v>21600</v>
      </c>
      <c r="K371">
        <v>0</v>
      </c>
    </row>
    <row r="372" spans="1:11" x14ac:dyDescent="0.2">
      <c r="A372" t="s">
        <v>16</v>
      </c>
      <c r="B372" t="s">
        <v>770</v>
      </c>
      <c r="C372">
        <v>240</v>
      </c>
      <c r="D372" t="s">
        <v>9800</v>
      </c>
      <c r="E372" t="s">
        <v>50</v>
      </c>
      <c r="F372">
        <v>2</v>
      </c>
      <c r="G372">
        <v>0.30971631894416812</v>
      </c>
      <c r="H372" t="s">
        <v>87</v>
      </c>
      <c r="I372">
        <v>0</v>
      </c>
      <c r="J372">
        <v>21120</v>
      </c>
      <c r="K372">
        <v>0</v>
      </c>
    </row>
    <row r="373" spans="1:11" x14ac:dyDescent="0.2">
      <c r="A373" t="s">
        <v>16</v>
      </c>
      <c r="B373" t="s">
        <v>770</v>
      </c>
      <c r="C373">
        <v>240</v>
      </c>
      <c r="D373" t="s">
        <v>9799</v>
      </c>
      <c r="E373" t="s">
        <v>50</v>
      </c>
      <c r="F373">
        <v>2</v>
      </c>
      <c r="G373">
        <v>0.30971631894416812</v>
      </c>
      <c r="H373" t="s">
        <v>88</v>
      </c>
      <c r="I373">
        <v>0</v>
      </c>
      <c r="J373">
        <v>21120</v>
      </c>
      <c r="K373">
        <v>0</v>
      </c>
    </row>
    <row r="374" spans="1:11" x14ac:dyDescent="0.2">
      <c r="A374" t="s">
        <v>16</v>
      </c>
      <c r="B374" t="s">
        <v>770</v>
      </c>
      <c r="C374">
        <v>240</v>
      </c>
      <c r="D374" t="s">
        <v>9801</v>
      </c>
      <c r="E374" t="s">
        <v>50</v>
      </c>
      <c r="F374">
        <v>2</v>
      </c>
      <c r="G374">
        <v>0.30971631894416812</v>
      </c>
      <c r="H374" t="s">
        <v>87</v>
      </c>
      <c r="I374">
        <v>0</v>
      </c>
      <c r="J374">
        <v>21120</v>
      </c>
      <c r="K374">
        <v>0</v>
      </c>
    </row>
    <row r="375" spans="1:11" x14ac:dyDescent="0.2">
      <c r="A375" t="s">
        <v>16</v>
      </c>
      <c r="B375" t="s">
        <v>770</v>
      </c>
      <c r="C375">
        <v>240</v>
      </c>
      <c r="D375" t="s">
        <v>9798</v>
      </c>
      <c r="E375" t="s">
        <v>50</v>
      </c>
      <c r="F375">
        <v>2</v>
      </c>
      <c r="G375">
        <v>0.30971631894416812</v>
      </c>
      <c r="H375" t="s">
        <v>88</v>
      </c>
      <c r="I375">
        <v>0</v>
      </c>
      <c r="J375">
        <v>21120</v>
      </c>
      <c r="K375">
        <v>0</v>
      </c>
    </row>
    <row r="376" spans="1:11" x14ac:dyDescent="0.2">
      <c r="A376" t="s">
        <v>16</v>
      </c>
      <c r="B376" t="s">
        <v>416</v>
      </c>
      <c r="C376">
        <v>300</v>
      </c>
      <c r="D376" t="s">
        <v>9141</v>
      </c>
      <c r="E376" t="s">
        <v>50</v>
      </c>
      <c r="F376">
        <v>3</v>
      </c>
      <c r="G376">
        <v>0.27139694953951266</v>
      </c>
      <c r="H376" t="s">
        <v>95</v>
      </c>
      <c r="I376">
        <v>0</v>
      </c>
      <c r="J376">
        <v>20700</v>
      </c>
      <c r="K376">
        <v>0</v>
      </c>
    </row>
    <row r="377" spans="1:11" x14ac:dyDescent="0.2">
      <c r="A377" t="s">
        <v>16</v>
      </c>
      <c r="B377" t="s">
        <v>757</v>
      </c>
      <c r="C377">
        <v>150</v>
      </c>
      <c r="D377" t="s">
        <v>9872</v>
      </c>
      <c r="E377" t="s">
        <v>50</v>
      </c>
      <c r="F377">
        <v>4</v>
      </c>
      <c r="G377">
        <v>0.45129132910560227</v>
      </c>
      <c r="H377" t="s">
        <v>89</v>
      </c>
      <c r="I377">
        <v>0</v>
      </c>
      <c r="J377">
        <v>20400</v>
      </c>
      <c r="K377">
        <v>0</v>
      </c>
    </row>
    <row r="378" spans="1:11" x14ac:dyDescent="0.2">
      <c r="A378" t="s">
        <v>16</v>
      </c>
      <c r="B378" t="s">
        <v>294</v>
      </c>
      <c r="C378">
        <v>300</v>
      </c>
      <c r="D378" t="s">
        <v>9138</v>
      </c>
      <c r="E378" t="s">
        <v>50</v>
      </c>
      <c r="F378">
        <v>3</v>
      </c>
      <c r="G378">
        <v>0.30957475098644327</v>
      </c>
      <c r="H378" t="s">
        <v>90</v>
      </c>
      <c r="I378">
        <v>0</v>
      </c>
      <c r="J378">
        <v>19200</v>
      </c>
      <c r="K378">
        <v>0</v>
      </c>
    </row>
    <row r="379" spans="1:11" x14ac:dyDescent="0.2">
      <c r="A379" t="s">
        <v>16</v>
      </c>
      <c r="B379" t="s">
        <v>294</v>
      </c>
      <c r="C379">
        <v>300</v>
      </c>
      <c r="D379" t="s">
        <v>9139</v>
      </c>
      <c r="E379" t="s">
        <v>50</v>
      </c>
      <c r="F379">
        <v>3</v>
      </c>
      <c r="G379">
        <v>0.30957475098644327</v>
      </c>
      <c r="H379" t="s">
        <v>90</v>
      </c>
      <c r="I379">
        <v>0</v>
      </c>
      <c r="J379">
        <v>19200</v>
      </c>
      <c r="K379">
        <v>0</v>
      </c>
    </row>
    <row r="380" spans="1:11" x14ac:dyDescent="0.2">
      <c r="A380" t="s">
        <v>16</v>
      </c>
      <c r="B380" t="s">
        <v>294</v>
      </c>
      <c r="C380">
        <v>300</v>
      </c>
      <c r="D380" t="s">
        <v>9137</v>
      </c>
      <c r="E380" t="s">
        <v>50</v>
      </c>
      <c r="F380">
        <v>3</v>
      </c>
      <c r="G380">
        <v>0.30957475098644327</v>
      </c>
      <c r="H380" t="s">
        <v>104</v>
      </c>
      <c r="I380">
        <v>0</v>
      </c>
      <c r="J380">
        <v>19200</v>
      </c>
      <c r="K380">
        <v>0</v>
      </c>
    </row>
    <row r="381" spans="1:11" x14ac:dyDescent="0.2">
      <c r="A381" t="s">
        <v>16</v>
      </c>
      <c r="B381" t="s">
        <v>368</v>
      </c>
      <c r="C381">
        <v>240</v>
      </c>
      <c r="D381" t="s">
        <v>9120</v>
      </c>
      <c r="E381" t="s">
        <v>50</v>
      </c>
      <c r="F381">
        <v>2</v>
      </c>
      <c r="G381">
        <v>0.42564641282117643</v>
      </c>
      <c r="H381" t="s">
        <v>105</v>
      </c>
      <c r="I381">
        <v>0</v>
      </c>
      <c r="J381">
        <v>18720</v>
      </c>
      <c r="K381">
        <v>0</v>
      </c>
    </row>
    <row r="382" spans="1:11" x14ac:dyDescent="0.2">
      <c r="A382" t="s">
        <v>16</v>
      </c>
      <c r="B382" t="s">
        <v>368</v>
      </c>
      <c r="C382">
        <v>240</v>
      </c>
      <c r="D382" t="s">
        <v>9121</v>
      </c>
      <c r="E382" t="s">
        <v>50</v>
      </c>
      <c r="F382">
        <v>2</v>
      </c>
      <c r="G382">
        <v>0.42564641282117643</v>
      </c>
      <c r="H382" t="s">
        <v>92</v>
      </c>
      <c r="I382">
        <v>0</v>
      </c>
      <c r="J382">
        <v>18720</v>
      </c>
      <c r="K382">
        <v>0</v>
      </c>
    </row>
    <row r="383" spans="1:11" x14ac:dyDescent="0.2">
      <c r="A383" t="s">
        <v>16</v>
      </c>
      <c r="B383" t="s">
        <v>368</v>
      </c>
      <c r="C383">
        <v>240</v>
      </c>
      <c r="D383" t="s">
        <v>9119</v>
      </c>
      <c r="E383" t="s">
        <v>50</v>
      </c>
      <c r="F383">
        <v>2</v>
      </c>
      <c r="G383">
        <v>0.42564641282117643</v>
      </c>
      <c r="H383" t="s">
        <v>105</v>
      </c>
      <c r="I383">
        <v>0</v>
      </c>
      <c r="J383">
        <v>18720</v>
      </c>
      <c r="K383">
        <v>0</v>
      </c>
    </row>
    <row r="384" spans="1:11" x14ac:dyDescent="0.2">
      <c r="A384" t="s">
        <v>16</v>
      </c>
      <c r="B384" t="s">
        <v>368</v>
      </c>
      <c r="C384">
        <v>240</v>
      </c>
      <c r="D384" t="s">
        <v>9123</v>
      </c>
      <c r="E384" t="s">
        <v>50</v>
      </c>
      <c r="F384">
        <v>2</v>
      </c>
      <c r="G384">
        <v>0.42564641282117643</v>
      </c>
      <c r="H384" t="s">
        <v>92</v>
      </c>
      <c r="I384">
        <v>0</v>
      </c>
      <c r="J384">
        <v>18720</v>
      </c>
      <c r="K384">
        <v>0</v>
      </c>
    </row>
    <row r="385" spans="1:11" x14ac:dyDescent="0.2">
      <c r="A385" t="s">
        <v>16</v>
      </c>
      <c r="B385" t="s">
        <v>3948</v>
      </c>
      <c r="C385">
        <v>300</v>
      </c>
      <c r="D385" t="s">
        <v>9573</v>
      </c>
      <c r="E385" t="s">
        <v>50</v>
      </c>
      <c r="F385">
        <v>4</v>
      </c>
      <c r="G385">
        <v>0.56387801477131871</v>
      </c>
      <c r="H385" t="s">
        <v>89</v>
      </c>
      <c r="I385">
        <v>0</v>
      </c>
      <c r="J385">
        <v>18000</v>
      </c>
      <c r="K385">
        <v>0</v>
      </c>
    </row>
    <row r="386" spans="1:11" x14ac:dyDescent="0.2">
      <c r="A386" t="s">
        <v>16</v>
      </c>
      <c r="B386" t="s">
        <v>3948</v>
      </c>
      <c r="C386">
        <v>300</v>
      </c>
      <c r="D386" t="s">
        <v>9575</v>
      </c>
      <c r="E386" t="s">
        <v>50</v>
      </c>
      <c r="F386">
        <v>4</v>
      </c>
      <c r="G386">
        <v>0.56387801477131871</v>
      </c>
      <c r="H386" t="s">
        <v>95</v>
      </c>
      <c r="I386">
        <v>0</v>
      </c>
      <c r="J386">
        <v>18000</v>
      </c>
      <c r="K386">
        <v>0</v>
      </c>
    </row>
    <row r="387" spans="1:11" x14ac:dyDescent="0.2">
      <c r="A387" t="s">
        <v>16</v>
      </c>
      <c r="B387" t="s">
        <v>3948</v>
      </c>
      <c r="C387">
        <v>300</v>
      </c>
      <c r="D387" t="s">
        <v>9576</v>
      </c>
      <c r="E387" t="s">
        <v>50</v>
      </c>
      <c r="F387">
        <v>4</v>
      </c>
      <c r="G387">
        <v>0.56387801477131871</v>
      </c>
      <c r="H387" t="s">
        <v>93</v>
      </c>
      <c r="I387">
        <v>0</v>
      </c>
      <c r="J387">
        <v>18000</v>
      </c>
      <c r="K387">
        <v>0</v>
      </c>
    </row>
    <row r="388" spans="1:11" x14ac:dyDescent="0.2">
      <c r="A388" t="s">
        <v>16</v>
      </c>
      <c r="B388" t="s">
        <v>1479</v>
      </c>
      <c r="C388">
        <v>300</v>
      </c>
      <c r="D388" t="s">
        <v>9106</v>
      </c>
      <c r="E388" t="s">
        <v>50</v>
      </c>
      <c r="F388">
        <v>3</v>
      </c>
      <c r="G388">
        <v>0.18177039994249636</v>
      </c>
      <c r="H388" t="s">
        <v>94</v>
      </c>
      <c r="I388">
        <v>0</v>
      </c>
      <c r="J388">
        <v>17700</v>
      </c>
      <c r="K388">
        <v>0</v>
      </c>
    </row>
    <row r="389" spans="1:11" x14ac:dyDescent="0.2">
      <c r="A389" t="s">
        <v>16</v>
      </c>
      <c r="B389" t="s">
        <v>1479</v>
      </c>
      <c r="C389">
        <v>300</v>
      </c>
      <c r="D389" t="s">
        <v>9108</v>
      </c>
      <c r="E389" t="s">
        <v>50</v>
      </c>
      <c r="F389">
        <v>3</v>
      </c>
      <c r="G389">
        <v>0.18177039994249636</v>
      </c>
      <c r="H389" t="s">
        <v>89</v>
      </c>
      <c r="I389">
        <v>0</v>
      </c>
      <c r="J389">
        <v>17700</v>
      </c>
      <c r="K389">
        <v>0</v>
      </c>
    </row>
    <row r="390" spans="1:11" x14ac:dyDescent="0.2">
      <c r="A390" t="s">
        <v>16</v>
      </c>
      <c r="B390" t="s">
        <v>1479</v>
      </c>
      <c r="C390">
        <v>300</v>
      </c>
      <c r="D390" t="s">
        <v>9111</v>
      </c>
      <c r="E390" t="s">
        <v>50</v>
      </c>
      <c r="F390">
        <v>3</v>
      </c>
      <c r="G390">
        <v>0.18177039994249636</v>
      </c>
      <c r="H390" t="s">
        <v>90</v>
      </c>
      <c r="I390">
        <v>0</v>
      </c>
      <c r="J390">
        <v>17700</v>
      </c>
      <c r="K390">
        <v>0</v>
      </c>
    </row>
    <row r="391" spans="1:11" x14ac:dyDescent="0.2">
      <c r="A391" t="s">
        <v>16</v>
      </c>
      <c r="B391" t="s">
        <v>1479</v>
      </c>
      <c r="C391">
        <v>300</v>
      </c>
      <c r="D391" t="s">
        <v>9110</v>
      </c>
      <c r="E391" t="s">
        <v>50</v>
      </c>
      <c r="F391">
        <v>3</v>
      </c>
      <c r="G391">
        <v>0.18177039994249636</v>
      </c>
      <c r="H391" t="s">
        <v>94</v>
      </c>
      <c r="I391">
        <v>0</v>
      </c>
      <c r="J391">
        <v>17700</v>
      </c>
      <c r="K391">
        <v>0</v>
      </c>
    </row>
    <row r="392" spans="1:11" x14ac:dyDescent="0.2">
      <c r="A392" t="s">
        <v>16</v>
      </c>
      <c r="B392" t="s">
        <v>1479</v>
      </c>
      <c r="C392">
        <v>300</v>
      </c>
      <c r="D392" t="s">
        <v>9105</v>
      </c>
      <c r="E392" t="s">
        <v>50</v>
      </c>
      <c r="F392">
        <v>3</v>
      </c>
      <c r="G392">
        <v>0.18177039994249636</v>
      </c>
      <c r="H392" t="s">
        <v>89</v>
      </c>
      <c r="I392">
        <v>0</v>
      </c>
      <c r="J392">
        <v>17700</v>
      </c>
      <c r="K392">
        <v>0</v>
      </c>
    </row>
    <row r="393" spans="1:11" x14ac:dyDescent="0.2">
      <c r="A393" t="s">
        <v>16</v>
      </c>
      <c r="B393" t="s">
        <v>1479</v>
      </c>
      <c r="C393">
        <v>300</v>
      </c>
      <c r="D393" t="s">
        <v>9107</v>
      </c>
      <c r="E393" t="s">
        <v>50</v>
      </c>
      <c r="F393">
        <v>3</v>
      </c>
      <c r="G393">
        <v>0.18177039994249636</v>
      </c>
      <c r="H393" t="s">
        <v>90</v>
      </c>
      <c r="I393">
        <v>0</v>
      </c>
      <c r="J393">
        <v>17700</v>
      </c>
      <c r="K393">
        <v>0</v>
      </c>
    </row>
    <row r="394" spans="1:11" x14ac:dyDescent="0.2">
      <c r="A394" t="s">
        <v>16</v>
      </c>
      <c r="B394" t="s">
        <v>1480</v>
      </c>
      <c r="C394">
        <v>300</v>
      </c>
      <c r="D394" t="s">
        <v>9118</v>
      </c>
      <c r="E394" t="s">
        <v>50</v>
      </c>
      <c r="F394">
        <v>2</v>
      </c>
      <c r="G394">
        <v>0.21191015889084638</v>
      </c>
      <c r="H394" t="s">
        <v>104</v>
      </c>
      <c r="I394">
        <v>0</v>
      </c>
      <c r="J394">
        <v>17700</v>
      </c>
      <c r="K394">
        <v>0</v>
      </c>
    </row>
    <row r="395" spans="1:11" x14ac:dyDescent="0.2">
      <c r="A395" t="s">
        <v>16</v>
      </c>
      <c r="B395" t="s">
        <v>1480</v>
      </c>
      <c r="C395">
        <v>300</v>
      </c>
      <c r="D395" t="s">
        <v>9112</v>
      </c>
      <c r="E395" t="s">
        <v>50</v>
      </c>
      <c r="F395">
        <v>2</v>
      </c>
      <c r="G395">
        <v>0.21191015889084638</v>
      </c>
      <c r="H395" t="s">
        <v>95</v>
      </c>
      <c r="I395">
        <v>0</v>
      </c>
      <c r="J395">
        <v>17700</v>
      </c>
      <c r="K395">
        <v>0</v>
      </c>
    </row>
    <row r="396" spans="1:11" x14ac:dyDescent="0.2">
      <c r="A396" t="s">
        <v>16</v>
      </c>
      <c r="B396" t="s">
        <v>1480</v>
      </c>
      <c r="C396">
        <v>300</v>
      </c>
      <c r="D396" t="s">
        <v>9117</v>
      </c>
      <c r="E396" t="s">
        <v>50</v>
      </c>
      <c r="F396">
        <v>2</v>
      </c>
      <c r="G396">
        <v>0.21191015889084638</v>
      </c>
      <c r="H396" t="s">
        <v>104</v>
      </c>
      <c r="I396">
        <v>0</v>
      </c>
      <c r="J396">
        <v>17700</v>
      </c>
      <c r="K396">
        <v>0</v>
      </c>
    </row>
    <row r="397" spans="1:11" x14ac:dyDescent="0.2">
      <c r="A397" t="s">
        <v>16</v>
      </c>
      <c r="B397" t="s">
        <v>1480</v>
      </c>
      <c r="C397">
        <v>300</v>
      </c>
      <c r="D397" t="s">
        <v>9116</v>
      </c>
      <c r="E397" t="s">
        <v>50</v>
      </c>
      <c r="F397">
        <v>2</v>
      </c>
      <c r="G397">
        <v>0.21191015889084638</v>
      </c>
      <c r="H397" t="s">
        <v>95</v>
      </c>
      <c r="I397">
        <v>0</v>
      </c>
      <c r="J397">
        <v>17700</v>
      </c>
      <c r="K397">
        <v>0</v>
      </c>
    </row>
    <row r="398" spans="1:11" x14ac:dyDescent="0.2">
      <c r="A398" t="s">
        <v>16</v>
      </c>
      <c r="B398" t="s">
        <v>1480</v>
      </c>
      <c r="C398">
        <v>300</v>
      </c>
      <c r="D398" t="s">
        <v>9113</v>
      </c>
      <c r="E398" t="s">
        <v>50</v>
      </c>
      <c r="F398">
        <v>2</v>
      </c>
      <c r="G398">
        <v>0.21191015889084638</v>
      </c>
      <c r="H398" t="s">
        <v>104</v>
      </c>
      <c r="I398">
        <v>0</v>
      </c>
      <c r="J398">
        <v>17700</v>
      </c>
      <c r="K398">
        <v>0</v>
      </c>
    </row>
    <row r="399" spans="1:11" x14ac:dyDescent="0.2">
      <c r="A399" t="s">
        <v>16</v>
      </c>
      <c r="B399" t="s">
        <v>1480</v>
      </c>
      <c r="C399">
        <v>300</v>
      </c>
      <c r="D399" t="s">
        <v>9115</v>
      </c>
      <c r="E399" t="s">
        <v>50</v>
      </c>
      <c r="F399">
        <v>2</v>
      </c>
      <c r="G399">
        <v>0.21191015889084638</v>
      </c>
      <c r="H399" t="s">
        <v>95</v>
      </c>
      <c r="I399">
        <v>0</v>
      </c>
      <c r="J399">
        <v>17700</v>
      </c>
      <c r="K399">
        <v>0</v>
      </c>
    </row>
    <row r="400" spans="1:11" x14ac:dyDescent="0.2">
      <c r="A400" t="s">
        <v>16</v>
      </c>
      <c r="B400" t="s">
        <v>5807</v>
      </c>
      <c r="C400">
        <v>720</v>
      </c>
      <c r="D400" t="s">
        <v>10269</v>
      </c>
      <c r="E400" t="s">
        <v>50</v>
      </c>
      <c r="F400">
        <v>3</v>
      </c>
      <c r="G400">
        <v>1.5908862607053169</v>
      </c>
      <c r="H400" t="s">
        <v>87</v>
      </c>
      <c r="I400">
        <v>0</v>
      </c>
      <c r="J400">
        <v>17280</v>
      </c>
      <c r="K400">
        <v>0</v>
      </c>
    </row>
    <row r="401" spans="1:11" x14ac:dyDescent="0.2">
      <c r="A401" t="s">
        <v>16</v>
      </c>
      <c r="B401" t="s">
        <v>5807</v>
      </c>
      <c r="C401">
        <v>720</v>
      </c>
      <c r="D401" t="s">
        <v>10270</v>
      </c>
      <c r="E401" t="s">
        <v>50</v>
      </c>
      <c r="F401">
        <v>3</v>
      </c>
      <c r="G401">
        <v>1.5908862607053169</v>
      </c>
      <c r="H401" t="s">
        <v>88</v>
      </c>
      <c r="I401">
        <v>0</v>
      </c>
      <c r="J401">
        <v>17280</v>
      </c>
      <c r="K401">
        <v>0</v>
      </c>
    </row>
    <row r="402" spans="1:11" x14ac:dyDescent="0.2">
      <c r="A402" t="s">
        <v>16</v>
      </c>
      <c r="B402" t="s">
        <v>5807</v>
      </c>
      <c r="C402">
        <v>720</v>
      </c>
      <c r="D402" t="s">
        <v>10267</v>
      </c>
      <c r="E402" t="s">
        <v>50</v>
      </c>
      <c r="F402">
        <v>3</v>
      </c>
      <c r="G402">
        <v>1.5908862607053169</v>
      </c>
      <c r="H402" t="s">
        <v>93</v>
      </c>
      <c r="I402">
        <v>0</v>
      </c>
      <c r="J402">
        <v>17280</v>
      </c>
      <c r="K402">
        <v>0</v>
      </c>
    </row>
    <row r="403" spans="1:11" x14ac:dyDescent="0.2">
      <c r="A403" t="s">
        <v>16</v>
      </c>
      <c r="B403" t="s">
        <v>5807</v>
      </c>
      <c r="C403">
        <v>720</v>
      </c>
      <c r="D403" t="s">
        <v>10271</v>
      </c>
      <c r="E403" t="s">
        <v>50</v>
      </c>
      <c r="F403">
        <v>3</v>
      </c>
      <c r="G403">
        <v>1.5908862607053169</v>
      </c>
      <c r="H403" t="s">
        <v>87</v>
      </c>
      <c r="I403">
        <v>0</v>
      </c>
      <c r="J403">
        <v>17280</v>
      </c>
      <c r="K403">
        <v>0</v>
      </c>
    </row>
    <row r="404" spans="1:11" x14ac:dyDescent="0.2">
      <c r="A404" t="s">
        <v>16</v>
      </c>
      <c r="B404" t="s">
        <v>5807</v>
      </c>
      <c r="C404">
        <v>720</v>
      </c>
      <c r="D404" t="s">
        <v>10273</v>
      </c>
      <c r="E404" t="s">
        <v>50</v>
      </c>
      <c r="F404">
        <v>3</v>
      </c>
      <c r="G404">
        <v>1.5908862607053169</v>
      </c>
      <c r="H404" t="s">
        <v>88</v>
      </c>
      <c r="I404">
        <v>0</v>
      </c>
      <c r="J404">
        <v>17280</v>
      </c>
      <c r="K404">
        <v>0</v>
      </c>
    </row>
    <row r="405" spans="1:11" x14ac:dyDescent="0.2">
      <c r="A405" t="s">
        <v>16</v>
      </c>
      <c r="B405" t="s">
        <v>5807</v>
      </c>
      <c r="C405">
        <v>720</v>
      </c>
      <c r="D405" t="s">
        <v>10268</v>
      </c>
      <c r="E405" t="s">
        <v>50</v>
      </c>
      <c r="F405">
        <v>3</v>
      </c>
      <c r="G405">
        <v>1.5908862607053169</v>
      </c>
      <c r="H405" t="s">
        <v>93</v>
      </c>
      <c r="I405">
        <v>0</v>
      </c>
      <c r="J405">
        <v>17280</v>
      </c>
      <c r="K405">
        <v>0</v>
      </c>
    </row>
    <row r="406" spans="1:11" x14ac:dyDescent="0.2">
      <c r="A406" t="s">
        <v>16</v>
      </c>
      <c r="B406" t="s">
        <v>5807</v>
      </c>
      <c r="C406">
        <v>720</v>
      </c>
      <c r="D406" t="s">
        <v>10272</v>
      </c>
      <c r="E406" t="s">
        <v>50</v>
      </c>
      <c r="F406">
        <v>3</v>
      </c>
      <c r="G406">
        <v>1.5908862607053169</v>
      </c>
      <c r="H406" t="s">
        <v>87</v>
      </c>
      <c r="I406">
        <v>0</v>
      </c>
      <c r="J406">
        <v>17280</v>
      </c>
      <c r="K406">
        <v>0</v>
      </c>
    </row>
    <row r="407" spans="1:11" x14ac:dyDescent="0.2">
      <c r="A407" t="s">
        <v>16</v>
      </c>
      <c r="B407" t="s">
        <v>300</v>
      </c>
      <c r="C407">
        <v>360</v>
      </c>
      <c r="D407" t="s">
        <v>9882</v>
      </c>
      <c r="E407" t="s">
        <v>50</v>
      </c>
      <c r="F407">
        <v>10</v>
      </c>
      <c r="G407">
        <v>0.6022477135327855</v>
      </c>
      <c r="H407" t="s">
        <v>105</v>
      </c>
      <c r="I407">
        <v>0</v>
      </c>
      <c r="J407">
        <v>16560</v>
      </c>
      <c r="K407">
        <v>0</v>
      </c>
    </row>
    <row r="408" spans="1:11" x14ac:dyDescent="0.2">
      <c r="A408" t="s">
        <v>16</v>
      </c>
      <c r="B408" t="s">
        <v>5743</v>
      </c>
      <c r="C408">
        <v>360</v>
      </c>
      <c r="D408" t="s">
        <v>10257</v>
      </c>
      <c r="E408" t="s">
        <v>50</v>
      </c>
      <c r="F408">
        <v>5</v>
      </c>
      <c r="G408">
        <v>0.60873804701116396</v>
      </c>
      <c r="H408" t="s">
        <v>92</v>
      </c>
      <c r="I408">
        <v>0</v>
      </c>
      <c r="J408">
        <v>15480</v>
      </c>
      <c r="K408">
        <v>0</v>
      </c>
    </row>
    <row r="409" spans="1:11" x14ac:dyDescent="0.2">
      <c r="A409" t="s">
        <v>16</v>
      </c>
      <c r="B409" t="s">
        <v>5743</v>
      </c>
      <c r="C409">
        <v>360</v>
      </c>
      <c r="D409" t="s">
        <v>10253</v>
      </c>
      <c r="E409" t="s">
        <v>50</v>
      </c>
      <c r="F409">
        <v>5</v>
      </c>
      <c r="G409">
        <v>0.60873804701116396</v>
      </c>
      <c r="H409" t="s">
        <v>94</v>
      </c>
      <c r="I409">
        <v>0</v>
      </c>
      <c r="J409">
        <v>15480</v>
      </c>
      <c r="K409">
        <v>0</v>
      </c>
    </row>
    <row r="410" spans="1:11" x14ac:dyDescent="0.2">
      <c r="A410" t="s">
        <v>16</v>
      </c>
      <c r="B410" t="s">
        <v>5743</v>
      </c>
      <c r="C410">
        <v>360</v>
      </c>
      <c r="D410" t="s">
        <v>10262</v>
      </c>
      <c r="E410" t="s">
        <v>50</v>
      </c>
      <c r="F410">
        <v>5</v>
      </c>
      <c r="G410">
        <v>0.60873804701116396</v>
      </c>
      <c r="H410" t="s">
        <v>92</v>
      </c>
      <c r="I410">
        <v>0</v>
      </c>
      <c r="J410">
        <v>15480</v>
      </c>
      <c r="K410">
        <v>0</v>
      </c>
    </row>
    <row r="411" spans="1:11" x14ac:dyDescent="0.2">
      <c r="A411" t="s">
        <v>16</v>
      </c>
      <c r="B411" t="s">
        <v>5743</v>
      </c>
      <c r="C411">
        <v>360</v>
      </c>
      <c r="D411" t="s">
        <v>10259</v>
      </c>
      <c r="E411" t="s">
        <v>50</v>
      </c>
      <c r="F411">
        <v>5</v>
      </c>
      <c r="G411">
        <v>0.60873804701116396</v>
      </c>
      <c r="H411" t="s">
        <v>89</v>
      </c>
      <c r="I411">
        <v>0</v>
      </c>
      <c r="J411">
        <v>15480</v>
      </c>
      <c r="K411">
        <v>0</v>
      </c>
    </row>
    <row r="412" spans="1:11" x14ac:dyDescent="0.2">
      <c r="A412" t="s">
        <v>16</v>
      </c>
      <c r="B412" t="s">
        <v>5743</v>
      </c>
      <c r="C412">
        <v>360</v>
      </c>
      <c r="D412" t="s">
        <v>10255</v>
      </c>
      <c r="E412" t="s">
        <v>50</v>
      </c>
      <c r="F412">
        <v>5</v>
      </c>
      <c r="G412">
        <v>0.60873804701116396</v>
      </c>
      <c r="H412" t="s">
        <v>90</v>
      </c>
      <c r="I412">
        <v>0</v>
      </c>
      <c r="J412">
        <v>15480</v>
      </c>
      <c r="K412">
        <v>0</v>
      </c>
    </row>
    <row r="413" spans="1:11" x14ac:dyDescent="0.2">
      <c r="A413" t="s">
        <v>16</v>
      </c>
      <c r="B413" t="s">
        <v>5743</v>
      </c>
      <c r="C413">
        <v>360</v>
      </c>
      <c r="D413" t="s">
        <v>10258</v>
      </c>
      <c r="E413" t="s">
        <v>50</v>
      </c>
      <c r="F413">
        <v>5</v>
      </c>
      <c r="G413">
        <v>0.60873804701116396</v>
      </c>
      <c r="H413" t="s">
        <v>105</v>
      </c>
      <c r="I413">
        <v>0</v>
      </c>
      <c r="J413">
        <v>15480</v>
      </c>
      <c r="K413">
        <v>0</v>
      </c>
    </row>
    <row r="414" spans="1:11" x14ac:dyDescent="0.2">
      <c r="A414" t="s">
        <v>16</v>
      </c>
      <c r="B414" t="s">
        <v>5743</v>
      </c>
      <c r="C414">
        <v>360</v>
      </c>
      <c r="D414" t="s">
        <v>10266</v>
      </c>
      <c r="E414" t="s">
        <v>50</v>
      </c>
      <c r="F414">
        <v>5</v>
      </c>
      <c r="G414">
        <v>0.60873804701116396</v>
      </c>
      <c r="H414" t="s">
        <v>94</v>
      </c>
      <c r="I414">
        <v>0</v>
      </c>
      <c r="J414">
        <v>15480</v>
      </c>
      <c r="K414">
        <v>0</v>
      </c>
    </row>
    <row r="415" spans="1:11" x14ac:dyDescent="0.2">
      <c r="A415" t="s">
        <v>16</v>
      </c>
      <c r="B415" t="s">
        <v>5743</v>
      </c>
      <c r="C415">
        <v>360</v>
      </c>
      <c r="D415" t="s">
        <v>10264</v>
      </c>
      <c r="E415" t="s">
        <v>50</v>
      </c>
      <c r="F415">
        <v>5</v>
      </c>
      <c r="G415">
        <v>0.60873804701116396</v>
      </c>
      <c r="H415" t="s">
        <v>92</v>
      </c>
      <c r="I415">
        <v>0</v>
      </c>
      <c r="J415">
        <v>15480</v>
      </c>
      <c r="K415">
        <v>0</v>
      </c>
    </row>
    <row r="416" spans="1:11" x14ac:dyDescent="0.2">
      <c r="A416" t="s">
        <v>16</v>
      </c>
      <c r="B416" t="s">
        <v>5743</v>
      </c>
      <c r="C416">
        <v>360</v>
      </c>
      <c r="D416" t="s">
        <v>10260</v>
      </c>
      <c r="E416" t="s">
        <v>50</v>
      </c>
      <c r="F416">
        <v>5</v>
      </c>
      <c r="G416">
        <v>0.60873804701116396</v>
      </c>
      <c r="H416" t="s">
        <v>89</v>
      </c>
      <c r="I416">
        <v>0</v>
      </c>
      <c r="J416">
        <v>15480</v>
      </c>
      <c r="K416">
        <v>0</v>
      </c>
    </row>
    <row r="417" spans="1:11" x14ac:dyDescent="0.2">
      <c r="A417" t="s">
        <v>16</v>
      </c>
      <c r="B417" t="s">
        <v>5743</v>
      </c>
      <c r="C417">
        <v>360</v>
      </c>
      <c r="D417" t="s">
        <v>10265</v>
      </c>
      <c r="E417" t="s">
        <v>50</v>
      </c>
      <c r="F417">
        <v>5</v>
      </c>
      <c r="G417">
        <v>0.60873804701116396</v>
      </c>
      <c r="H417" t="s">
        <v>90</v>
      </c>
      <c r="I417">
        <v>0</v>
      </c>
      <c r="J417">
        <v>15480</v>
      </c>
      <c r="K417">
        <v>0</v>
      </c>
    </row>
    <row r="418" spans="1:11" x14ac:dyDescent="0.2">
      <c r="A418" t="s">
        <v>16</v>
      </c>
      <c r="B418" t="s">
        <v>5743</v>
      </c>
      <c r="C418">
        <v>360</v>
      </c>
      <c r="D418" t="s">
        <v>10261</v>
      </c>
      <c r="E418" t="s">
        <v>50</v>
      </c>
      <c r="F418">
        <v>5</v>
      </c>
      <c r="G418">
        <v>0.60873804701116396</v>
      </c>
      <c r="H418" t="s">
        <v>105</v>
      </c>
      <c r="I418">
        <v>0</v>
      </c>
      <c r="J418">
        <v>15480</v>
      </c>
      <c r="K418">
        <v>0</v>
      </c>
    </row>
    <row r="419" spans="1:11" x14ac:dyDescent="0.2">
      <c r="A419" t="s">
        <v>16</v>
      </c>
      <c r="B419" t="s">
        <v>2622</v>
      </c>
      <c r="C419">
        <v>200</v>
      </c>
      <c r="D419" t="s">
        <v>9389</v>
      </c>
      <c r="E419" t="s">
        <v>50</v>
      </c>
      <c r="F419">
        <v>7</v>
      </c>
      <c r="G419">
        <v>0.17118120314552013</v>
      </c>
      <c r="H419" t="s">
        <v>98</v>
      </c>
      <c r="I419">
        <v>0</v>
      </c>
      <c r="J419">
        <v>15400</v>
      </c>
      <c r="K419">
        <v>0</v>
      </c>
    </row>
    <row r="420" spans="1:11" x14ac:dyDescent="0.2">
      <c r="A420" t="s">
        <v>16</v>
      </c>
      <c r="B420" t="s">
        <v>1021</v>
      </c>
      <c r="C420">
        <v>225</v>
      </c>
      <c r="D420" t="s">
        <v>9997</v>
      </c>
      <c r="E420" t="s">
        <v>50</v>
      </c>
      <c r="F420">
        <v>4</v>
      </c>
      <c r="G420">
        <v>0.49145271987798683</v>
      </c>
      <c r="H420" t="s">
        <v>88</v>
      </c>
      <c r="I420">
        <v>0</v>
      </c>
      <c r="J420">
        <v>14625</v>
      </c>
      <c r="K420">
        <v>0</v>
      </c>
    </row>
    <row r="421" spans="1:11" x14ac:dyDescent="0.2">
      <c r="A421" t="s">
        <v>16</v>
      </c>
      <c r="B421" t="s">
        <v>1021</v>
      </c>
      <c r="C421">
        <v>225</v>
      </c>
      <c r="D421" t="s">
        <v>9999</v>
      </c>
      <c r="E421" t="s">
        <v>50</v>
      </c>
      <c r="F421">
        <v>4</v>
      </c>
      <c r="G421">
        <v>0.49145271987798683</v>
      </c>
      <c r="H421" t="s">
        <v>93</v>
      </c>
      <c r="I421">
        <v>0</v>
      </c>
      <c r="J421">
        <v>14625</v>
      </c>
      <c r="K421">
        <v>0</v>
      </c>
    </row>
    <row r="422" spans="1:11" x14ac:dyDescent="0.2">
      <c r="A422" t="s">
        <v>16</v>
      </c>
      <c r="B422" t="s">
        <v>1021</v>
      </c>
      <c r="C422">
        <v>225</v>
      </c>
      <c r="D422" t="s">
        <v>10004</v>
      </c>
      <c r="E422" t="s">
        <v>50</v>
      </c>
      <c r="F422">
        <v>4</v>
      </c>
      <c r="G422">
        <v>0.49145271987798683</v>
      </c>
      <c r="H422" t="s">
        <v>88</v>
      </c>
      <c r="I422">
        <v>0</v>
      </c>
      <c r="J422">
        <v>14625</v>
      </c>
      <c r="K422">
        <v>0</v>
      </c>
    </row>
    <row r="423" spans="1:11" x14ac:dyDescent="0.2">
      <c r="A423" t="s">
        <v>16</v>
      </c>
      <c r="B423" t="s">
        <v>1021</v>
      </c>
      <c r="C423">
        <v>225</v>
      </c>
      <c r="D423" t="s">
        <v>10002</v>
      </c>
      <c r="E423" t="s">
        <v>50</v>
      </c>
      <c r="F423">
        <v>4</v>
      </c>
      <c r="G423">
        <v>0.49145271987798683</v>
      </c>
      <c r="H423" t="s">
        <v>104</v>
      </c>
      <c r="I423">
        <v>0</v>
      </c>
      <c r="J423">
        <v>14625</v>
      </c>
      <c r="K423">
        <v>0</v>
      </c>
    </row>
    <row r="424" spans="1:11" x14ac:dyDescent="0.2">
      <c r="A424" t="s">
        <v>16</v>
      </c>
      <c r="B424" t="s">
        <v>1021</v>
      </c>
      <c r="C424">
        <v>225</v>
      </c>
      <c r="D424" t="s">
        <v>10001</v>
      </c>
      <c r="E424" t="s">
        <v>50</v>
      </c>
      <c r="F424">
        <v>4</v>
      </c>
      <c r="G424">
        <v>0.49145271987798683</v>
      </c>
      <c r="H424" t="s">
        <v>95</v>
      </c>
      <c r="I424">
        <v>0</v>
      </c>
      <c r="J424">
        <v>14625</v>
      </c>
      <c r="K424">
        <v>0</v>
      </c>
    </row>
    <row r="425" spans="1:11" x14ac:dyDescent="0.2">
      <c r="A425" t="s">
        <v>16</v>
      </c>
      <c r="B425" t="s">
        <v>1021</v>
      </c>
      <c r="C425">
        <v>225</v>
      </c>
      <c r="D425" t="s">
        <v>10003</v>
      </c>
      <c r="E425" t="s">
        <v>50</v>
      </c>
      <c r="F425">
        <v>4</v>
      </c>
      <c r="G425">
        <v>0.49145271987798683</v>
      </c>
      <c r="H425" t="s">
        <v>93</v>
      </c>
      <c r="I425">
        <v>0</v>
      </c>
      <c r="J425">
        <v>14625</v>
      </c>
      <c r="K425">
        <v>0</v>
      </c>
    </row>
    <row r="426" spans="1:11" x14ac:dyDescent="0.2">
      <c r="A426" t="s">
        <v>16</v>
      </c>
      <c r="B426" t="s">
        <v>2836</v>
      </c>
      <c r="C426">
        <v>150</v>
      </c>
      <c r="D426" t="s">
        <v>9434</v>
      </c>
      <c r="E426" t="s">
        <v>50</v>
      </c>
      <c r="F426">
        <v>2</v>
      </c>
      <c r="G426">
        <v>0.21964764116041127</v>
      </c>
      <c r="H426" t="s">
        <v>101</v>
      </c>
      <c r="I426">
        <v>0</v>
      </c>
      <c r="J426">
        <v>14400</v>
      </c>
      <c r="K426">
        <v>0</v>
      </c>
    </row>
    <row r="427" spans="1:11" x14ac:dyDescent="0.2">
      <c r="A427" t="s">
        <v>16</v>
      </c>
      <c r="B427" t="s">
        <v>2836</v>
      </c>
      <c r="C427">
        <v>150</v>
      </c>
      <c r="D427" t="s">
        <v>9439</v>
      </c>
      <c r="E427" t="s">
        <v>50</v>
      </c>
      <c r="F427">
        <v>2</v>
      </c>
      <c r="G427">
        <v>0.21964764116041127</v>
      </c>
      <c r="H427" t="s">
        <v>103</v>
      </c>
      <c r="I427">
        <v>0</v>
      </c>
      <c r="J427">
        <v>14400</v>
      </c>
      <c r="K427">
        <v>0</v>
      </c>
    </row>
    <row r="428" spans="1:11" x14ac:dyDescent="0.2">
      <c r="A428" t="s">
        <v>16</v>
      </c>
      <c r="B428" t="s">
        <v>2836</v>
      </c>
      <c r="C428">
        <v>150</v>
      </c>
      <c r="D428" t="s">
        <v>9443</v>
      </c>
      <c r="E428" t="s">
        <v>50</v>
      </c>
      <c r="F428">
        <v>2</v>
      </c>
      <c r="G428">
        <v>0.21964764116041127</v>
      </c>
      <c r="H428" t="s">
        <v>101</v>
      </c>
      <c r="I428">
        <v>0</v>
      </c>
      <c r="J428">
        <v>14400</v>
      </c>
      <c r="K428">
        <v>0</v>
      </c>
    </row>
    <row r="429" spans="1:11" x14ac:dyDescent="0.2">
      <c r="A429" t="s">
        <v>16</v>
      </c>
      <c r="B429" t="s">
        <v>292</v>
      </c>
      <c r="C429">
        <v>450</v>
      </c>
      <c r="D429" t="s">
        <v>9135</v>
      </c>
      <c r="E429" t="s">
        <v>50</v>
      </c>
      <c r="F429">
        <v>3</v>
      </c>
      <c r="G429">
        <v>0.57081252756477785</v>
      </c>
      <c r="H429" t="s">
        <v>87</v>
      </c>
      <c r="I429">
        <v>0</v>
      </c>
      <c r="J429">
        <v>13950</v>
      </c>
      <c r="K429">
        <v>0</v>
      </c>
    </row>
    <row r="430" spans="1:11" x14ac:dyDescent="0.2">
      <c r="A430" t="s">
        <v>16</v>
      </c>
      <c r="B430" t="s">
        <v>4524</v>
      </c>
      <c r="C430">
        <v>100</v>
      </c>
      <c r="D430" t="s">
        <v>9873</v>
      </c>
      <c r="E430" t="s">
        <v>50</v>
      </c>
      <c r="F430">
        <v>4</v>
      </c>
      <c r="G430">
        <v>0.30086088607040151</v>
      </c>
      <c r="H430" t="s">
        <v>94</v>
      </c>
      <c r="I430">
        <v>0</v>
      </c>
      <c r="J430">
        <v>13600</v>
      </c>
      <c r="K430">
        <v>0</v>
      </c>
    </row>
    <row r="431" spans="1:11" x14ac:dyDescent="0.2">
      <c r="A431" t="s">
        <v>16</v>
      </c>
      <c r="B431" t="s">
        <v>969</v>
      </c>
      <c r="C431">
        <v>360</v>
      </c>
      <c r="D431" t="s">
        <v>9064</v>
      </c>
      <c r="E431" t="s">
        <v>50</v>
      </c>
      <c r="F431">
        <v>4</v>
      </c>
      <c r="G431">
        <v>0.59841595404611614</v>
      </c>
      <c r="H431" t="s">
        <v>92</v>
      </c>
      <c r="I431">
        <v>0</v>
      </c>
      <c r="J431">
        <v>12960</v>
      </c>
      <c r="K431">
        <v>0</v>
      </c>
    </row>
    <row r="432" spans="1:11" x14ac:dyDescent="0.2">
      <c r="A432" t="s">
        <v>16</v>
      </c>
      <c r="B432" t="s">
        <v>969</v>
      </c>
      <c r="C432">
        <v>360</v>
      </c>
      <c r="D432" t="s">
        <v>9060</v>
      </c>
      <c r="E432" t="s">
        <v>50</v>
      </c>
      <c r="F432">
        <v>4</v>
      </c>
      <c r="G432">
        <v>0.59841595404611614</v>
      </c>
      <c r="H432" t="s">
        <v>89</v>
      </c>
      <c r="I432">
        <v>0</v>
      </c>
      <c r="J432">
        <v>12960</v>
      </c>
      <c r="K432">
        <v>0</v>
      </c>
    </row>
    <row r="433" spans="1:11" x14ac:dyDescent="0.2">
      <c r="A433" t="s">
        <v>16</v>
      </c>
      <c r="B433" t="s">
        <v>969</v>
      </c>
      <c r="C433">
        <v>360</v>
      </c>
      <c r="D433" t="s">
        <v>9059</v>
      </c>
      <c r="E433" t="s">
        <v>50</v>
      </c>
      <c r="F433">
        <v>4</v>
      </c>
      <c r="G433">
        <v>0.59841595404611614</v>
      </c>
      <c r="H433" t="s">
        <v>90</v>
      </c>
      <c r="I433">
        <v>0</v>
      </c>
      <c r="J433">
        <v>12960</v>
      </c>
      <c r="K433">
        <v>0</v>
      </c>
    </row>
    <row r="434" spans="1:11" x14ac:dyDescent="0.2">
      <c r="A434" t="s">
        <v>16</v>
      </c>
      <c r="B434" t="s">
        <v>969</v>
      </c>
      <c r="C434">
        <v>360</v>
      </c>
      <c r="D434" t="s">
        <v>9061</v>
      </c>
      <c r="E434" t="s">
        <v>50</v>
      </c>
      <c r="F434">
        <v>4</v>
      </c>
      <c r="G434">
        <v>0.59841595404611614</v>
      </c>
      <c r="H434" t="s">
        <v>105</v>
      </c>
      <c r="I434">
        <v>0</v>
      </c>
      <c r="J434">
        <v>12960</v>
      </c>
      <c r="K434">
        <v>0</v>
      </c>
    </row>
    <row r="435" spans="1:11" x14ac:dyDescent="0.2">
      <c r="A435" t="s">
        <v>16</v>
      </c>
      <c r="B435" t="s">
        <v>969</v>
      </c>
      <c r="C435">
        <v>360</v>
      </c>
      <c r="D435" t="s">
        <v>9063</v>
      </c>
      <c r="E435" t="s">
        <v>50</v>
      </c>
      <c r="F435">
        <v>4</v>
      </c>
      <c r="G435">
        <v>0.59841595404611614</v>
      </c>
      <c r="H435" t="s">
        <v>92</v>
      </c>
      <c r="I435">
        <v>0</v>
      </c>
      <c r="J435">
        <v>12960</v>
      </c>
      <c r="K435">
        <v>0</v>
      </c>
    </row>
    <row r="436" spans="1:11" x14ac:dyDescent="0.2">
      <c r="A436" t="s">
        <v>16</v>
      </c>
      <c r="B436" t="s">
        <v>969</v>
      </c>
      <c r="C436">
        <v>360</v>
      </c>
      <c r="D436" t="s">
        <v>9062</v>
      </c>
      <c r="E436" t="s">
        <v>50</v>
      </c>
      <c r="F436">
        <v>4</v>
      </c>
      <c r="G436">
        <v>0.59841595404611614</v>
      </c>
      <c r="H436" t="s">
        <v>89</v>
      </c>
      <c r="I436">
        <v>0</v>
      </c>
      <c r="J436">
        <v>12960</v>
      </c>
      <c r="K436">
        <v>0</v>
      </c>
    </row>
    <row r="437" spans="1:11" x14ac:dyDescent="0.2">
      <c r="A437" t="s">
        <v>16</v>
      </c>
      <c r="B437" t="s">
        <v>4515</v>
      </c>
      <c r="C437">
        <v>450</v>
      </c>
      <c r="D437" t="s">
        <v>9864</v>
      </c>
      <c r="E437" t="s">
        <v>50</v>
      </c>
      <c r="F437">
        <v>2</v>
      </c>
      <c r="G437">
        <v>0.81803033932818836</v>
      </c>
      <c r="H437" t="s">
        <v>88</v>
      </c>
      <c r="I437">
        <v>0</v>
      </c>
      <c r="J437">
        <v>12150</v>
      </c>
      <c r="K437">
        <v>0</v>
      </c>
    </row>
    <row r="438" spans="1:11" x14ac:dyDescent="0.2">
      <c r="A438" t="s">
        <v>16</v>
      </c>
      <c r="B438" t="s">
        <v>4515</v>
      </c>
      <c r="C438">
        <v>450</v>
      </c>
      <c r="D438" t="s">
        <v>9865</v>
      </c>
      <c r="E438" t="s">
        <v>50</v>
      </c>
      <c r="F438">
        <v>2</v>
      </c>
      <c r="G438">
        <v>0.81803033932818836</v>
      </c>
      <c r="H438" t="s">
        <v>104</v>
      </c>
      <c r="I438">
        <v>0</v>
      </c>
      <c r="J438">
        <v>12150</v>
      </c>
      <c r="K438">
        <v>0</v>
      </c>
    </row>
    <row r="439" spans="1:11" x14ac:dyDescent="0.2">
      <c r="A439" t="s">
        <v>16</v>
      </c>
      <c r="B439" t="s">
        <v>4517</v>
      </c>
      <c r="C439">
        <v>450</v>
      </c>
      <c r="D439" t="s">
        <v>9869</v>
      </c>
      <c r="E439" t="s">
        <v>50</v>
      </c>
      <c r="F439">
        <v>1</v>
      </c>
      <c r="G439">
        <v>0.57464028776978415</v>
      </c>
      <c r="H439" t="s">
        <v>87</v>
      </c>
      <c r="I439">
        <v>0</v>
      </c>
      <c r="J439">
        <v>12150</v>
      </c>
      <c r="K439">
        <v>0</v>
      </c>
    </row>
    <row r="440" spans="1:11" x14ac:dyDescent="0.2">
      <c r="A440" t="s">
        <v>16</v>
      </c>
      <c r="B440" t="s">
        <v>4517</v>
      </c>
      <c r="C440">
        <v>450</v>
      </c>
      <c r="D440" t="s">
        <v>9870</v>
      </c>
      <c r="E440" t="s">
        <v>50</v>
      </c>
      <c r="F440">
        <v>1</v>
      </c>
      <c r="G440">
        <v>0.57464028776978415</v>
      </c>
      <c r="H440" t="s">
        <v>87</v>
      </c>
      <c r="I440">
        <v>0</v>
      </c>
      <c r="J440">
        <v>12150</v>
      </c>
      <c r="K440">
        <v>0</v>
      </c>
    </row>
    <row r="441" spans="1:11" x14ac:dyDescent="0.2">
      <c r="A441" t="s">
        <v>16</v>
      </c>
      <c r="B441" t="s">
        <v>1479</v>
      </c>
      <c r="C441">
        <v>200</v>
      </c>
      <c r="D441" t="s">
        <v>9109</v>
      </c>
      <c r="E441" t="s">
        <v>50</v>
      </c>
      <c r="F441">
        <v>3</v>
      </c>
      <c r="G441">
        <v>0.1211802666283309</v>
      </c>
      <c r="H441" t="s">
        <v>94</v>
      </c>
      <c r="I441">
        <v>0</v>
      </c>
      <c r="J441">
        <v>11800</v>
      </c>
      <c r="K441">
        <v>0</v>
      </c>
    </row>
    <row r="442" spans="1:11" x14ac:dyDescent="0.2">
      <c r="A442" t="s">
        <v>16</v>
      </c>
      <c r="B442" t="s">
        <v>1480</v>
      </c>
      <c r="C442">
        <v>200</v>
      </c>
      <c r="D442" t="s">
        <v>9114</v>
      </c>
      <c r="E442" t="s">
        <v>50</v>
      </c>
      <c r="F442">
        <v>2</v>
      </c>
      <c r="G442">
        <v>0.14127343926056427</v>
      </c>
      <c r="H442" t="s">
        <v>95</v>
      </c>
      <c r="I442">
        <v>0</v>
      </c>
      <c r="J442">
        <v>11800</v>
      </c>
      <c r="K442">
        <v>0</v>
      </c>
    </row>
    <row r="443" spans="1:11" x14ac:dyDescent="0.2">
      <c r="A443" t="s">
        <v>16</v>
      </c>
      <c r="B443" t="s">
        <v>498</v>
      </c>
      <c r="C443">
        <v>225</v>
      </c>
      <c r="D443" t="s">
        <v>9565</v>
      </c>
      <c r="E443" t="s">
        <v>50</v>
      </c>
      <c r="F443">
        <v>3</v>
      </c>
      <c r="G443">
        <v>0.42062184985409856</v>
      </c>
      <c r="H443" t="s">
        <v>93</v>
      </c>
      <c r="I443">
        <v>0</v>
      </c>
      <c r="J443">
        <v>11700</v>
      </c>
      <c r="K443">
        <v>0</v>
      </c>
    </row>
    <row r="444" spans="1:11" x14ac:dyDescent="0.2">
      <c r="A444" t="s">
        <v>16</v>
      </c>
      <c r="B444" t="s">
        <v>498</v>
      </c>
      <c r="C444">
        <v>225</v>
      </c>
      <c r="D444" t="s">
        <v>9564</v>
      </c>
      <c r="E444" t="s">
        <v>50</v>
      </c>
      <c r="F444">
        <v>3</v>
      </c>
      <c r="G444">
        <v>0.42062184985409856</v>
      </c>
      <c r="H444" t="s">
        <v>90</v>
      </c>
      <c r="I444">
        <v>0</v>
      </c>
      <c r="J444">
        <v>11700</v>
      </c>
      <c r="K444">
        <v>0</v>
      </c>
    </row>
    <row r="445" spans="1:11" x14ac:dyDescent="0.2">
      <c r="A445" t="s">
        <v>16</v>
      </c>
      <c r="B445" t="s">
        <v>498</v>
      </c>
      <c r="C445">
        <v>225</v>
      </c>
      <c r="D445" t="s">
        <v>9563</v>
      </c>
      <c r="E445" t="s">
        <v>50</v>
      </c>
      <c r="F445">
        <v>3</v>
      </c>
      <c r="G445">
        <v>0.42062184985409856</v>
      </c>
      <c r="H445" t="s">
        <v>105</v>
      </c>
      <c r="I445">
        <v>0</v>
      </c>
      <c r="J445">
        <v>11700</v>
      </c>
      <c r="K445">
        <v>0</v>
      </c>
    </row>
    <row r="446" spans="1:11" x14ac:dyDescent="0.2">
      <c r="A446" t="s">
        <v>16</v>
      </c>
      <c r="B446" t="s">
        <v>498</v>
      </c>
      <c r="C446">
        <v>225</v>
      </c>
      <c r="D446" t="s">
        <v>9566</v>
      </c>
      <c r="E446" t="s">
        <v>50</v>
      </c>
      <c r="F446">
        <v>3</v>
      </c>
      <c r="G446">
        <v>0.42062184985409856</v>
      </c>
      <c r="H446" t="s">
        <v>93</v>
      </c>
      <c r="I446">
        <v>0</v>
      </c>
      <c r="J446">
        <v>11700</v>
      </c>
      <c r="K446">
        <v>0</v>
      </c>
    </row>
    <row r="447" spans="1:11" x14ac:dyDescent="0.2">
      <c r="A447" t="s">
        <v>16</v>
      </c>
      <c r="B447" t="s">
        <v>498</v>
      </c>
      <c r="C447">
        <v>225</v>
      </c>
      <c r="D447" t="s">
        <v>9567</v>
      </c>
      <c r="E447" t="s">
        <v>50</v>
      </c>
      <c r="F447">
        <v>3</v>
      </c>
      <c r="G447">
        <v>0.42062184985409856</v>
      </c>
      <c r="H447" t="s">
        <v>90</v>
      </c>
      <c r="I447">
        <v>0</v>
      </c>
      <c r="J447">
        <v>11700</v>
      </c>
      <c r="K447">
        <v>0</v>
      </c>
    </row>
    <row r="448" spans="1:11" x14ac:dyDescent="0.2">
      <c r="A448" t="s">
        <v>16</v>
      </c>
      <c r="B448" t="s">
        <v>498</v>
      </c>
      <c r="C448">
        <v>225</v>
      </c>
      <c r="D448" t="s">
        <v>9562</v>
      </c>
      <c r="E448" t="s">
        <v>50</v>
      </c>
      <c r="F448">
        <v>3</v>
      </c>
      <c r="G448">
        <v>0.42062184985409856</v>
      </c>
      <c r="H448" t="s">
        <v>105</v>
      </c>
      <c r="I448">
        <v>0</v>
      </c>
      <c r="J448">
        <v>11700</v>
      </c>
      <c r="K448">
        <v>0</v>
      </c>
    </row>
    <row r="449" spans="1:11" x14ac:dyDescent="0.2">
      <c r="A449" t="s">
        <v>16</v>
      </c>
      <c r="B449" t="s">
        <v>271</v>
      </c>
      <c r="C449">
        <v>360</v>
      </c>
      <c r="D449" t="s">
        <v>9284</v>
      </c>
      <c r="E449" t="s">
        <v>50</v>
      </c>
      <c r="F449">
        <v>2</v>
      </c>
      <c r="G449">
        <v>0.45592088634257316</v>
      </c>
      <c r="H449" t="s">
        <v>103</v>
      </c>
      <c r="I449">
        <v>0</v>
      </c>
      <c r="J449">
        <v>11160</v>
      </c>
      <c r="K449">
        <v>0</v>
      </c>
    </row>
    <row r="450" spans="1:11" x14ac:dyDescent="0.2">
      <c r="A450" t="s">
        <v>16</v>
      </c>
      <c r="B450" t="s">
        <v>271</v>
      </c>
      <c r="C450">
        <v>360</v>
      </c>
      <c r="D450" t="s">
        <v>9283</v>
      </c>
      <c r="E450" t="s">
        <v>50</v>
      </c>
      <c r="F450">
        <v>2</v>
      </c>
      <c r="G450">
        <v>0.45592088634257316</v>
      </c>
      <c r="H450" t="s">
        <v>88</v>
      </c>
      <c r="I450">
        <v>0</v>
      </c>
      <c r="J450">
        <v>11160</v>
      </c>
      <c r="K450">
        <v>0</v>
      </c>
    </row>
    <row r="451" spans="1:11" x14ac:dyDescent="0.2">
      <c r="A451" t="s">
        <v>16</v>
      </c>
      <c r="B451" t="s">
        <v>271</v>
      </c>
      <c r="C451">
        <v>360</v>
      </c>
      <c r="D451" t="s">
        <v>9282</v>
      </c>
      <c r="E451" t="s">
        <v>50</v>
      </c>
      <c r="F451">
        <v>2</v>
      </c>
      <c r="G451">
        <v>0.45592088634257316</v>
      </c>
      <c r="H451" t="s">
        <v>103</v>
      </c>
      <c r="I451">
        <v>0</v>
      </c>
      <c r="J451">
        <v>11160</v>
      </c>
      <c r="K451">
        <v>0</v>
      </c>
    </row>
    <row r="452" spans="1:11" x14ac:dyDescent="0.2">
      <c r="A452" t="s">
        <v>16</v>
      </c>
      <c r="B452" t="s">
        <v>271</v>
      </c>
      <c r="C452">
        <v>360</v>
      </c>
      <c r="D452" t="s">
        <v>9286</v>
      </c>
      <c r="E452" t="s">
        <v>50</v>
      </c>
      <c r="F452">
        <v>2</v>
      </c>
      <c r="G452">
        <v>0.45592088634257316</v>
      </c>
      <c r="H452" t="s">
        <v>88</v>
      </c>
      <c r="I452">
        <v>0</v>
      </c>
      <c r="J452">
        <v>11160</v>
      </c>
      <c r="K452">
        <v>0</v>
      </c>
    </row>
    <row r="453" spans="1:11" x14ac:dyDescent="0.2">
      <c r="A453" t="s">
        <v>16</v>
      </c>
      <c r="B453" t="s">
        <v>271</v>
      </c>
      <c r="C453">
        <v>360</v>
      </c>
      <c r="D453" t="s">
        <v>9287</v>
      </c>
      <c r="E453" t="s">
        <v>50</v>
      </c>
      <c r="F453">
        <v>2</v>
      </c>
      <c r="G453">
        <v>0.45592088634257316</v>
      </c>
      <c r="H453" t="s">
        <v>103</v>
      </c>
      <c r="I453">
        <v>0</v>
      </c>
      <c r="J453">
        <v>11160</v>
      </c>
      <c r="K453">
        <v>0</v>
      </c>
    </row>
    <row r="454" spans="1:11" x14ac:dyDescent="0.2">
      <c r="A454" t="s">
        <v>16</v>
      </c>
      <c r="B454" t="s">
        <v>271</v>
      </c>
      <c r="C454">
        <v>360</v>
      </c>
      <c r="D454" t="s">
        <v>9289</v>
      </c>
      <c r="E454" t="s">
        <v>50</v>
      </c>
      <c r="F454">
        <v>2</v>
      </c>
      <c r="G454">
        <v>0.45592088634257316</v>
      </c>
      <c r="H454" t="s">
        <v>88</v>
      </c>
      <c r="I454">
        <v>0</v>
      </c>
      <c r="J454">
        <v>11160</v>
      </c>
      <c r="K454">
        <v>0</v>
      </c>
    </row>
    <row r="455" spans="1:11" x14ac:dyDescent="0.2">
      <c r="A455" t="s">
        <v>16</v>
      </c>
      <c r="B455" t="s">
        <v>771</v>
      </c>
      <c r="C455">
        <v>180</v>
      </c>
      <c r="D455" t="s">
        <v>10010</v>
      </c>
      <c r="E455" t="s">
        <v>50</v>
      </c>
      <c r="F455">
        <v>2</v>
      </c>
      <c r="G455">
        <v>0.18746054373281745</v>
      </c>
      <c r="H455" t="s">
        <v>104</v>
      </c>
      <c r="I455">
        <v>0</v>
      </c>
      <c r="J455">
        <v>10440</v>
      </c>
      <c r="K455">
        <v>0</v>
      </c>
    </row>
    <row r="456" spans="1:11" x14ac:dyDescent="0.2">
      <c r="A456" t="s">
        <v>16</v>
      </c>
      <c r="B456" t="s">
        <v>771</v>
      </c>
      <c r="C456">
        <v>180</v>
      </c>
      <c r="D456" t="s">
        <v>10011</v>
      </c>
      <c r="E456" t="s">
        <v>50</v>
      </c>
      <c r="F456">
        <v>2</v>
      </c>
      <c r="G456">
        <v>0.18746054373281745</v>
      </c>
      <c r="H456" t="s">
        <v>95</v>
      </c>
      <c r="I456">
        <v>0</v>
      </c>
      <c r="J456">
        <v>10440</v>
      </c>
      <c r="K456">
        <v>0</v>
      </c>
    </row>
    <row r="457" spans="1:11" x14ac:dyDescent="0.2">
      <c r="A457" t="s">
        <v>16</v>
      </c>
      <c r="B457" t="s">
        <v>771</v>
      </c>
      <c r="C457">
        <v>180</v>
      </c>
      <c r="D457" t="s">
        <v>10016</v>
      </c>
      <c r="E457" t="s">
        <v>50</v>
      </c>
      <c r="F457">
        <v>2</v>
      </c>
      <c r="G457">
        <v>0.18746054373281745</v>
      </c>
      <c r="H457" t="s">
        <v>104</v>
      </c>
      <c r="I457">
        <v>0</v>
      </c>
      <c r="J457">
        <v>10440</v>
      </c>
      <c r="K457">
        <v>0</v>
      </c>
    </row>
    <row r="458" spans="1:11" x14ac:dyDescent="0.2">
      <c r="A458" t="s">
        <v>16</v>
      </c>
      <c r="B458" t="s">
        <v>771</v>
      </c>
      <c r="C458">
        <v>180</v>
      </c>
      <c r="D458" t="s">
        <v>10009</v>
      </c>
      <c r="E458" t="s">
        <v>50</v>
      </c>
      <c r="F458">
        <v>2</v>
      </c>
      <c r="G458">
        <v>0.18746054373281745</v>
      </c>
      <c r="H458" t="s">
        <v>95</v>
      </c>
      <c r="I458">
        <v>0</v>
      </c>
      <c r="J458">
        <v>10440</v>
      </c>
      <c r="K458">
        <v>0</v>
      </c>
    </row>
    <row r="459" spans="1:11" x14ac:dyDescent="0.2">
      <c r="A459" t="s">
        <v>16</v>
      </c>
      <c r="B459" t="s">
        <v>771</v>
      </c>
      <c r="C459">
        <v>180</v>
      </c>
      <c r="D459" t="s">
        <v>10007</v>
      </c>
      <c r="E459" t="s">
        <v>50</v>
      </c>
      <c r="F459">
        <v>2</v>
      </c>
      <c r="G459">
        <v>0.18746054373281745</v>
      </c>
      <c r="H459" t="s">
        <v>104</v>
      </c>
      <c r="I459">
        <v>0</v>
      </c>
      <c r="J459">
        <v>10440</v>
      </c>
      <c r="K459">
        <v>0</v>
      </c>
    </row>
    <row r="460" spans="1:11" x14ac:dyDescent="0.2">
      <c r="A460" t="s">
        <v>16</v>
      </c>
      <c r="B460" t="s">
        <v>771</v>
      </c>
      <c r="C460">
        <v>180</v>
      </c>
      <c r="D460" t="s">
        <v>10013</v>
      </c>
      <c r="E460" t="s">
        <v>50</v>
      </c>
      <c r="F460">
        <v>2</v>
      </c>
      <c r="G460">
        <v>0.18746054373281745</v>
      </c>
      <c r="H460" t="s">
        <v>95</v>
      </c>
      <c r="I460">
        <v>0</v>
      </c>
      <c r="J460">
        <v>10440</v>
      </c>
      <c r="K460">
        <v>0</v>
      </c>
    </row>
    <row r="461" spans="1:11" x14ac:dyDescent="0.2">
      <c r="A461" t="s">
        <v>16</v>
      </c>
      <c r="B461" t="s">
        <v>771</v>
      </c>
      <c r="C461">
        <v>180</v>
      </c>
      <c r="D461" t="s">
        <v>10019</v>
      </c>
      <c r="E461" t="s">
        <v>50</v>
      </c>
      <c r="F461">
        <v>2</v>
      </c>
      <c r="G461">
        <v>0.18746054373281745</v>
      </c>
      <c r="H461" t="s">
        <v>104</v>
      </c>
      <c r="I461">
        <v>0</v>
      </c>
      <c r="J461">
        <v>10440</v>
      </c>
      <c r="K461">
        <v>0</v>
      </c>
    </row>
    <row r="462" spans="1:11" x14ac:dyDescent="0.2">
      <c r="A462" t="s">
        <v>16</v>
      </c>
      <c r="B462" t="s">
        <v>771</v>
      </c>
      <c r="C462">
        <v>180</v>
      </c>
      <c r="D462" t="s">
        <v>10015</v>
      </c>
      <c r="E462" t="s">
        <v>50</v>
      </c>
      <c r="F462">
        <v>2</v>
      </c>
      <c r="G462">
        <v>0.18746054373281745</v>
      </c>
      <c r="H462" t="s">
        <v>95</v>
      </c>
      <c r="I462">
        <v>0</v>
      </c>
      <c r="J462">
        <v>10440</v>
      </c>
      <c r="K462">
        <v>0</v>
      </c>
    </row>
    <row r="463" spans="1:11" x14ac:dyDescent="0.2">
      <c r="A463" t="s">
        <v>16</v>
      </c>
      <c r="B463" t="s">
        <v>771</v>
      </c>
      <c r="C463">
        <v>180</v>
      </c>
      <c r="D463" t="s">
        <v>10017</v>
      </c>
      <c r="E463" t="s">
        <v>50</v>
      </c>
      <c r="F463">
        <v>2</v>
      </c>
      <c r="G463">
        <v>0.18746054373281745</v>
      </c>
      <c r="H463" t="s">
        <v>104</v>
      </c>
      <c r="I463">
        <v>0</v>
      </c>
      <c r="J463">
        <v>10440</v>
      </c>
      <c r="K463">
        <v>0</v>
      </c>
    </row>
    <row r="464" spans="1:11" x14ac:dyDescent="0.2">
      <c r="A464" t="s">
        <v>16</v>
      </c>
      <c r="B464" t="s">
        <v>771</v>
      </c>
      <c r="C464">
        <v>180</v>
      </c>
      <c r="D464" t="s">
        <v>10014</v>
      </c>
      <c r="E464" t="s">
        <v>50</v>
      </c>
      <c r="F464">
        <v>2</v>
      </c>
      <c r="G464">
        <v>0.18746054373281745</v>
      </c>
      <c r="H464" t="s">
        <v>95</v>
      </c>
      <c r="I464">
        <v>0</v>
      </c>
      <c r="J464">
        <v>10440</v>
      </c>
      <c r="K464">
        <v>0</v>
      </c>
    </row>
    <row r="465" spans="1:11" x14ac:dyDescent="0.2">
      <c r="A465" t="s">
        <v>16</v>
      </c>
      <c r="B465" t="s">
        <v>771</v>
      </c>
      <c r="C465">
        <v>180</v>
      </c>
      <c r="D465" t="s">
        <v>10018</v>
      </c>
      <c r="E465" t="s">
        <v>50</v>
      </c>
      <c r="F465">
        <v>2</v>
      </c>
      <c r="G465">
        <v>0.18746054373281745</v>
      </c>
      <c r="H465" t="s">
        <v>104</v>
      </c>
      <c r="I465">
        <v>0</v>
      </c>
      <c r="J465">
        <v>10440</v>
      </c>
      <c r="K465">
        <v>0</v>
      </c>
    </row>
    <row r="466" spans="1:11" x14ac:dyDescent="0.2">
      <c r="A466" t="s">
        <v>16</v>
      </c>
      <c r="B466" t="s">
        <v>771</v>
      </c>
      <c r="C466">
        <v>180</v>
      </c>
      <c r="D466" t="s">
        <v>10008</v>
      </c>
      <c r="E466" t="s">
        <v>50</v>
      </c>
      <c r="F466">
        <v>2</v>
      </c>
      <c r="G466">
        <v>0.18746054373281745</v>
      </c>
      <c r="H466" t="s">
        <v>95</v>
      </c>
      <c r="I466">
        <v>0</v>
      </c>
      <c r="J466">
        <v>10440</v>
      </c>
      <c r="K466">
        <v>0</v>
      </c>
    </row>
    <row r="467" spans="1:11" x14ac:dyDescent="0.2">
      <c r="A467" t="s">
        <v>16</v>
      </c>
      <c r="B467" t="s">
        <v>771</v>
      </c>
      <c r="C467">
        <v>180</v>
      </c>
      <c r="D467" t="s">
        <v>10012</v>
      </c>
      <c r="E467" t="s">
        <v>50</v>
      </c>
      <c r="F467">
        <v>2</v>
      </c>
      <c r="G467">
        <v>0.18746054373281745</v>
      </c>
      <c r="H467" t="s">
        <v>104</v>
      </c>
      <c r="I467">
        <v>0</v>
      </c>
      <c r="J467">
        <v>10440</v>
      </c>
      <c r="K467">
        <v>0</v>
      </c>
    </row>
    <row r="468" spans="1:11" x14ac:dyDescent="0.2">
      <c r="A468" t="s">
        <v>16</v>
      </c>
      <c r="B468" t="s">
        <v>416</v>
      </c>
      <c r="C468">
        <v>150</v>
      </c>
      <c r="D468" t="s">
        <v>9142</v>
      </c>
      <c r="E468" t="s">
        <v>50</v>
      </c>
      <c r="F468">
        <v>3</v>
      </c>
      <c r="G468">
        <v>0.13569847476975633</v>
      </c>
      <c r="H468" t="s">
        <v>94</v>
      </c>
      <c r="I468">
        <v>0</v>
      </c>
      <c r="J468">
        <v>10350</v>
      </c>
      <c r="K468">
        <v>0</v>
      </c>
    </row>
    <row r="469" spans="1:11" x14ac:dyDescent="0.2">
      <c r="A469" t="s">
        <v>16</v>
      </c>
      <c r="B469" t="s">
        <v>5743</v>
      </c>
      <c r="C469">
        <v>240</v>
      </c>
      <c r="D469" t="s">
        <v>10254</v>
      </c>
      <c r="E469" t="s">
        <v>50</v>
      </c>
      <c r="F469">
        <v>5</v>
      </c>
      <c r="G469">
        <v>0.40582536467410935</v>
      </c>
      <c r="H469" t="s">
        <v>92</v>
      </c>
      <c r="I469">
        <v>0</v>
      </c>
      <c r="J469">
        <v>10320</v>
      </c>
      <c r="K469">
        <v>0</v>
      </c>
    </row>
    <row r="470" spans="1:11" x14ac:dyDescent="0.2">
      <c r="A470" t="s">
        <v>16</v>
      </c>
      <c r="B470" t="s">
        <v>5743</v>
      </c>
      <c r="C470">
        <v>240</v>
      </c>
      <c r="D470" t="s">
        <v>10256</v>
      </c>
      <c r="E470" t="s">
        <v>50</v>
      </c>
      <c r="F470">
        <v>5</v>
      </c>
      <c r="G470">
        <v>0.40582536467410935</v>
      </c>
      <c r="H470" t="s">
        <v>89</v>
      </c>
      <c r="I470">
        <v>0</v>
      </c>
      <c r="J470">
        <v>10320</v>
      </c>
      <c r="K470">
        <v>0</v>
      </c>
    </row>
    <row r="471" spans="1:11" x14ac:dyDescent="0.2">
      <c r="A471" t="s">
        <v>16</v>
      </c>
      <c r="B471" t="s">
        <v>5743</v>
      </c>
      <c r="C471">
        <v>240</v>
      </c>
      <c r="D471" t="s">
        <v>10263</v>
      </c>
      <c r="E471" t="s">
        <v>50</v>
      </c>
      <c r="F471">
        <v>5</v>
      </c>
      <c r="G471">
        <v>0.40582536467410935</v>
      </c>
      <c r="H471" t="s">
        <v>94</v>
      </c>
      <c r="I471">
        <v>0</v>
      </c>
      <c r="J471">
        <v>10320</v>
      </c>
      <c r="K471">
        <v>0</v>
      </c>
    </row>
    <row r="472" spans="1:11" x14ac:dyDescent="0.2">
      <c r="A472" t="s">
        <v>16</v>
      </c>
      <c r="B472" t="s">
        <v>937</v>
      </c>
      <c r="C472">
        <v>390</v>
      </c>
      <c r="D472" t="s">
        <v>9803</v>
      </c>
      <c r="E472" t="s">
        <v>50</v>
      </c>
      <c r="F472">
        <v>5</v>
      </c>
      <c r="G472">
        <v>0.30422219021210706</v>
      </c>
      <c r="H472" t="s">
        <v>101</v>
      </c>
      <c r="I472">
        <v>0</v>
      </c>
      <c r="J472">
        <v>9750</v>
      </c>
      <c r="K472">
        <v>0</v>
      </c>
    </row>
    <row r="473" spans="1:11" x14ac:dyDescent="0.2">
      <c r="A473" t="s">
        <v>16</v>
      </c>
      <c r="B473" t="s">
        <v>1021</v>
      </c>
      <c r="C473">
        <v>150</v>
      </c>
      <c r="D473" t="s">
        <v>9998</v>
      </c>
      <c r="E473" t="s">
        <v>50</v>
      </c>
      <c r="F473">
        <v>4</v>
      </c>
      <c r="G473">
        <v>0.32763514658532455</v>
      </c>
      <c r="H473" t="s">
        <v>93</v>
      </c>
      <c r="I473">
        <v>0</v>
      </c>
      <c r="J473">
        <v>9750</v>
      </c>
      <c r="K473">
        <v>0</v>
      </c>
    </row>
    <row r="474" spans="1:11" x14ac:dyDescent="0.2">
      <c r="A474" t="s">
        <v>16</v>
      </c>
      <c r="B474" t="s">
        <v>1024</v>
      </c>
      <c r="C474">
        <v>600</v>
      </c>
      <c r="D474" t="s">
        <v>9072</v>
      </c>
      <c r="E474" t="s">
        <v>50</v>
      </c>
      <c r="F474">
        <v>5</v>
      </c>
      <c r="G474">
        <v>0.40156841945921878</v>
      </c>
      <c r="H474" t="s">
        <v>87</v>
      </c>
      <c r="I474">
        <v>0</v>
      </c>
      <c r="J474">
        <v>9600</v>
      </c>
      <c r="K474">
        <v>0</v>
      </c>
    </row>
    <row r="475" spans="1:11" x14ac:dyDescent="0.2">
      <c r="A475" t="s">
        <v>16</v>
      </c>
      <c r="B475" t="s">
        <v>1024</v>
      </c>
      <c r="C475">
        <v>600</v>
      </c>
      <c r="D475" t="s">
        <v>9073</v>
      </c>
      <c r="E475" t="s">
        <v>50</v>
      </c>
      <c r="F475">
        <v>5</v>
      </c>
      <c r="G475">
        <v>0.40156841945921878</v>
      </c>
      <c r="H475" t="s">
        <v>92</v>
      </c>
      <c r="I475">
        <v>0</v>
      </c>
      <c r="J475">
        <v>9600</v>
      </c>
      <c r="K475">
        <v>0</v>
      </c>
    </row>
    <row r="476" spans="1:11" x14ac:dyDescent="0.2">
      <c r="A476" t="s">
        <v>16</v>
      </c>
      <c r="B476" t="s">
        <v>1024</v>
      </c>
      <c r="C476">
        <v>600</v>
      </c>
      <c r="D476" t="s">
        <v>9075</v>
      </c>
      <c r="E476" t="s">
        <v>50</v>
      </c>
      <c r="F476">
        <v>5</v>
      </c>
      <c r="G476">
        <v>0.40156841945921878</v>
      </c>
      <c r="H476" t="s">
        <v>89</v>
      </c>
      <c r="I476">
        <v>0</v>
      </c>
      <c r="J476">
        <v>9600</v>
      </c>
      <c r="K476">
        <v>0</v>
      </c>
    </row>
    <row r="477" spans="1:11" x14ac:dyDescent="0.2">
      <c r="A477" t="s">
        <v>16</v>
      </c>
      <c r="B477" t="s">
        <v>1024</v>
      </c>
      <c r="C477">
        <v>600</v>
      </c>
      <c r="D477" t="s">
        <v>9071</v>
      </c>
      <c r="E477" t="s">
        <v>50</v>
      </c>
      <c r="F477">
        <v>5</v>
      </c>
      <c r="G477">
        <v>0.40156841945921878</v>
      </c>
      <c r="H477" t="s">
        <v>90</v>
      </c>
      <c r="I477">
        <v>0</v>
      </c>
      <c r="J477">
        <v>9600</v>
      </c>
      <c r="K477">
        <v>0</v>
      </c>
    </row>
    <row r="478" spans="1:11" x14ac:dyDescent="0.2">
      <c r="A478" t="s">
        <v>16</v>
      </c>
      <c r="B478" t="s">
        <v>1024</v>
      </c>
      <c r="C478">
        <v>600</v>
      </c>
      <c r="D478" t="s">
        <v>9077</v>
      </c>
      <c r="E478" t="s">
        <v>50</v>
      </c>
      <c r="F478">
        <v>5</v>
      </c>
      <c r="G478">
        <v>0.40156841945921878</v>
      </c>
      <c r="H478" t="s">
        <v>105</v>
      </c>
      <c r="I478">
        <v>0</v>
      </c>
      <c r="J478">
        <v>9600</v>
      </c>
      <c r="K478">
        <v>0</v>
      </c>
    </row>
    <row r="479" spans="1:11" x14ac:dyDescent="0.2">
      <c r="A479" t="s">
        <v>16</v>
      </c>
      <c r="B479" t="s">
        <v>1024</v>
      </c>
      <c r="C479">
        <v>600</v>
      </c>
      <c r="D479" t="s">
        <v>9078</v>
      </c>
      <c r="E479" t="s">
        <v>50</v>
      </c>
      <c r="F479">
        <v>5</v>
      </c>
      <c r="G479">
        <v>0.40156841945921878</v>
      </c>
      <c r="H479" t="s">
        <v>87</v>
      </c>
      <c r="I479">
        <v>0</v>
      </c>
      <c r="J479">
        <v>9600</v>
      </c>
      <c r="K479">
        <v>0</v>
      </c>
    </row>
    <row r="480" spans="1:11" x14ac:dyDescent="0.2">
      <c r="A480" t="s">
        <v>16</v>
      </c>
      <c r="B480" t="s">
        <v>1024</v>
      </c>
      <c r="C480">
        <v>600</v>
      </c>
      <c r="D480" t="s">
        <v>9076</v>
      </c>
      <c r="E480" t="s">
        <v>50</v>
      </c>
      <c r="F480">
        <v>5</v>
      </c>
      <c r="G480">
        <v>0.40156841945921878</v>
      </c>
      <c r="H480" t="s">
        <v>92</v>
      </c>
      <c r="I480">
        <v>0</v>
      </c>
      <c r="J480">
        <v>9600</v>
      </c>
      <c r="K480">
        <v>0</v>
      </c>
    </row>
    <row r="481" spans="1:11" x14ac:dyDescent="0.2">
      <c r="A481" t="s">
        <v>16</v>
      </c>
      <c r="B481" t="s">
        <v>1024</v>
      </c>
      <c r="C481">
        <v>600</v>
      </c>
      <c r="D481" t="s">
        <v>9074</v>
      </c>
      <c r="E481" t="s">
        <v>50</v>
      </c>
      <c r="F481">
        <v>5</v>
      </c>
      <c r="G481">
        <v>0.40156841945921878</v>
      </c>
      <c r="H481" t="s">
        <v>89</v>
      </c>
      <c r="I481">
        <v>0</v>
      </c>
      <c r="J481">
        <v>9600</v>
      </c>
      <c r="K481">
        <v>0</v>
      </c>
    </row>
    <row r="482" spans="1:11" x14ac:dyDescent="0.2">
      <c r="A482" t="s">
        <v>16</v>
      </c>
      <c r="B482" t="s">
        <v>1024</v>
      </c>
      <c r="C482">
        <v>600</v>
      </c>
      <c r="D482" t="s">
        <v>9079</v>
      </c>
      <c r="E482" t="s">
        <v>50</v>
      </c>
      <c r="F482">
        <v>5</v>
      </c>
      <c r="G482">
        <v>0.40156841945921878</v>
      </c>
      <c r="H482" t="s">
        <v>90</v>
      </c>
      <c r="I482">
        <v>0</v>
      </c>
      <c r="J482">
        <v>9600</v>
      </c>
      <c r="K482">
        <v>0</v>
      </c>
    </row>
    <row r="483" spans="1:11" x14ac:dyDescent="0.2">
      <c r="A483" t="s">
        <v>16</v>
      </c>
      <c r="B483" t="s">
        <v>762</v>
      </c>
      <c r="C483">
        <v>300</v>
      </c>
      <c r="D483" t="s">
        <v>9995</v>
      </c>
      <c r="E483" t="s">
        <v>50</v>
      </c>
      <c r="F483">
        <v>4</v>
      </c>
      <c r="G483">
        <v>0.56120098169353938</v>
      </c>
      <c r="H483" t="s">
        <v>101</v>
      </c>
      <c r="I483">
        <v>0</v>
      </c>
      <c r="J483">
        <v>9600</v>
      </c>
      <c r="K483">
        <v>0</v>
      </c>
    </row>
    <row r="484" spans="1:11" x14ac:dyDescent="0.2">
      <c r="A484" t="s">
        <v>16</v>
      </c>
      <c r="B484" t="s">
        <v>382</v>
      </c>
      <c r="C484">
        <v>225</v>
      </c>
      <c r="D484" t="s">
        <v>10052</v>
      </c>
      <c r="E484" t="s">
        <v>50</v>
      </c>
      <c r="F484">
        <v>2</v>
      </c>
      <c r="G484">
        <v>0.484480495123781</v>
      </c>
      <c r="H484" t="s">
        <v>94</v>
      </c>
      <c r="I484">
        <v>0</v>
      </c>
      <c r="J484">
        <v>9450</v>
      </c>
      <c r="K484">
        <v>0</v>
      </c>
    </row>
    <row r="485" spans="1:11" x14ac:dyDescent="0.2">
      <c r="A485" t="s">
        <v>16</v>
      </c>
      <c r="B485" t="s">
        <v>382</v>
      </c>
      <c r="C485">
        <v>225</v>
      </c>
      <c r="D485" t="s">
        <v>10049</v>
      </c>
      <c r="E485" t="s">
        <v>50</v>
      </c>
      <c r="F485">
        <v>2</v>
      </c>
      <c r="G485">
        <v>0.484480495123781</v>
      </c>
      <c r="H485" t="s">
        <v>93</v>
      </c>
      <c r="I485">
        <v>0</v>
      </c>
      <c r="J485">
        <v>9450</v>
      </c>
      <c r="K485">
        <v>0</v>
      </c>
    </row>
    <row r="486" spans="1:11" x14ac:dyDescent="0.2">
      <c r="A486" t="s">
        <v>16</v>
      </c>
      <c r="B486" t="s">
        <v>382</v>
      </c>
      <c r="C486">
        <v>225</v>
      </c>
      <c r="D486" t="s">
        <v>10054</v>
      </c>
      <c r="E486" t="s">
        <v>50</v>
      </c>
      <c r="F486">
        <v>2</v>
      </c>
      <c r="G486">
        <v>0.484480495123781</v>
      </c>
      <c r="H486" t="s">
        <v>94</v>
      </c>
      <c r="I486">
        <v>0</v>
      </c>
      <c r="J486">
        <v>9450</v>
      </c>
      <c r="K486">
        <v>0</v>
      </c>
    </row>
    <row r="487" spans="1:11" x14ac:dyDescent="0.2">
      <c r="A487" t="s">
        <v>16</v>
      </c>
      <c r="B487" t="s">
        <v>382</v>
      </c>
      <c r="C487">
        <v>225</v>
      </c>
      <c r="D487" t="s">
        <v>10051</v>
      </c>
      <c r="E487" t="s">
        <v>50</v>
      </c>
      <c r="F487">
        <v>2</v>
      </c>
      <c r="G487">
        <v>0.484480495123781</v>
      </c>
      <c r="H487" t="s">
        <v>93</v>
      </c>
      <c r="I487">
        <v>0</v>
      </c>
      <c r="J487">
        <v>9450</v>
      </c>
      <c r="K487">
        <v>0</v>
      </c>
    </row>
    <row r="488" spans="1:11" x14ac:dyDescent="0.2">
      <c r="A488" t="s">
        <v>16</v>
      </c>
      <c r="B488" t="s">
        <v>382</v>
      </c>
      <c r="C488">
        <v>225</v>
      </c>
      <c r="D488" t="s">
        <v>10055</v>
      </c>
      <c r="E488" t="s">
        <v>50</v>
      </c>
      <c r="F488">
        <v>2</v>
      </c>
      <c r="G488">
        <v>0.484480495123781</v>
      </c>
      <c r="H488" t="s">
        <v>94</v>
      </c>
      <c r="I488">
        <v>0</v>
      </c>
      <c r="J488">
        <v>9450</v>
      </c>
      <c r="K488">
        <v>0</v>
      </c>
    </row>
    <row r="489" spans="1:11" x14ac:dyDescent="0.2">
      <c r="A489" t="s">
        <v>16</v>
      </c>
      <c r="B489" t="s">
        <v>382</v>
      </c>
      <c r="C489">
        <v>225</v>
      </c>
      <c r="D489" t="s">
        <v>10050</v>
      </c>
      <c r="E489" t="s">
        <v>50</v>
      </c>
      <c r="F489">
        <v>2</v>
      </c>
      <c r="G489">
        <v>0.484480495123781</v>
      </c>
      <c r="H489" t="s">
        <v>93</v>
      </c>
      <c r="I489">
        <v>0</v>
      </c>
      <c r="J489">
        <v>9450</v>
      </c>
      <c r="K489">
        <v>0</v>
      </c>
    </row>
    <row r="490" spans="1:11" x14ac:dyDescent="0.2">
      <c r="A490" t="s">
        <v>16</v>
      </c>
      <c r="B490" t="s">
        <v>382</v>
      </c>
      <c r="C490">
        <v>225</v>
      </c>
      <c r="D490" t="s">
        <v>10053</v>
      </c>
      <c r="E490" t="s">
        <v>50</v>
      </c>
      <c r="F490">
        <v>2</v>
      </c>
      <c r="G490">
        <v>0.484480495123781</v>
      </c>
      <c r="H490" t="s">
        <v>94</v>
      </c>
      <c r="I490">
        <v>0</v>
      </c>
      <c r="J490">
        <v>9450</v>
      </c>
      <c r="K490">
        <v>0</v>
      </c>
    </row>
    <row r="491" spans="1:11" x14ac:dyDescent="0.2">
      <c r="A491" t="s">
        <v>16</v>
      </c>
      <c r="B491" t="s">
        <v>320</v>
      </c>
      <c r="C491">
        <v>300</v>
      </c>
      <c r="D491" t="s">
        <v>9429</v>
      </c>
      <c r="E491" t="s">
        <v>50</v>
      </c>
      <c r="F491">
        <v>5</v>
      </c>
      <c r="G491">
        <v>0.59483859174496401</v>
      </c>
      <c r="H491" t="s">
        <v>105</v>
      </c>
      <c r="I491">
        <v>0</v>
      </c>
      <c r="J491">
        <v>9300</v>
      </c>
      <c r="K491">
        <v>0</v>
      </c>
    </row>
    <row r="492" spans="1:11" x14ac:dyDescent="0.2">
      <c r="A492" t="s">
        <v>16</v>
      </c>
      <c r="B492" t="s">
        <v>320</v>
      </c>
      <c r="C492">
        <v>300</v>
      </c>
      <c r="D492" t="s">
        <v>9431</v>
      </c>
      <c r="E492" t="s">
        <v>50</v>
      </c>
      <c r="F492">
        <v>5</v>
      </c>
      <c r="G492">
        <v>0.59483859174496401</v>
      </c>
      <c r="H492" t="s">
        <v>103</v>
      </c>
      <c r="I492">
        <v>0</v>
      </c>
      <c r="J492">
        <v>9300</v>
      </c>
      <c r="K492">
        <v>0</v>
      </c>
    </row>
    <row r="493" spans="1:11" x14ac:dyDescent="0.2">
      <c r="A493" t="s">
        <v>16</v>
      </c>
      <c r="B493" t="s">
        <v>320</v>
      </c>
      <c r="C493">
        <v>300</v>
      </c>
      <c r="D493" t="s">
        <v>9427</v>
      </c>
      <c r="E493" t="s">
        <v>50</v>
      </c>
      <c r="F493">
        <v>5</v>
      </c>
      <c r="G493">
        <v>0.59483859174496401</v>
      </c>
      <c r="H493" t="s">
        <v>87</v>
      </c>
      <c r="I493">
        <v>0</v>
      </c>
      <c r="J493">
        <v>9300</v>
      </c>
      <c r="K493">
        <v>0</v>
      </c>
    </row>
    <row r="494" spans="1:11" x14ac:dyDescent="0.2">
      <c r="A494" t="s">
        <v>16</v>
      </c>
      <c r="B494" t="s">
        <v>320</v>
      </c>
      <c r="C494">
        <v>300</v>
      </c>
      <c r="D494" t="s">
        <v>9428</v>
      </c>
      <c r="E494" t="s">
        <v>50</v>
      </c>
      <c r="F494">
        <v>5</v>
      </c>
      <c r="G494">
        <v>0.59483859174496401</v>
      </c>
      <c r="H494" t="s">
        <v>101</v>
      </c>
      <c r="I494">
        <v>0</v>
      </c>
      <c r="J494">
        <v>9300</v>
      </c>
      <c r="K494">
        <v>0</v>
      </c>
    </row>
    <row r="495" spans="1:11" x14ac:dyDescent="0.2">
      <c r="A495" t="s">
        <v>16</v>
      </c>
      <c r="B495" t="s">
        <v>933</v>
      </c>
      <c r="C495">
        <v>450</v>
      </c>
      <c r="D495" t="s">
        <v>9757</v>
      </c>
      <c r="E495" t="s">
        <v>50</v>
      </c>
      <c r="F495">
        <v>15</v>
      </c>
      <c r="G495">
        <v>0.43645580324055944</v>
      </c>
      <c r="H495" t="s">
        <v>88</v>
      </c>
      <c r="I495">
        <v>0</v>
      </c>
      <c r="J495">
        <v>9000</v>
      </c>
      <c r="K495">
        <v>0</v>
      </c>
    </row>
    <row r="496" spans="1:11" x14ac:dyDescent="0.2">
      <c r="A496" t="s">
        <v>16</v>
      </c>
      <c r="B496" t="s">
        <v>933</v>
      </c>
      <c r="C496">
        <v>450</v>
      </c>
      <c r="D496" t="s">
        <v>9756</v>
      </c>
      <c r="E496" t="s">
        <v>50</v>
      </c>
      <c r="F496">
        <v>15</v>
      </c>
      <c r="G496">
        <v>0.43645580324055944</v>
      </c>
      <c r="H496" t="s">
        <v>92</v>
      </c>
      <c r="I496">
        <v>0</v>
      </c>
      <c r="J496">
        <v>9000</v>
      </c>
      <c r="K496">
        <v>0</v>
      </c>
    </row>
    <row r="497" spans="1:11" x14ac:dyDescent="0.2">
      <c r="A497" t="s">
        <v>16</v>
      </c>
      <c r="B497" t="s">
        <v>933</v>
      </c>
      <c r="C497">
        <v>450</v>
      </c>
      <c r="D497" t="s">
        <v>9760</v>
      </c>
      <c r="E497" t="s">
        <v>50</v>
      </c>
      <c r="F497">
        <v>15</v>
      </c>
      <c r="G497">
        <v>0.43645580324055944</v>
      </c>
      <c r="H497" t="s">
        <v>105</v>
      </c>
      <c r="I497">
        <v>0</v>
      </c>
      <c r="J497">
        <v>9000</v>
      </c>
      <c r="K497">
        <v>0</v>
      </c>
    </row>
    <row r="498" spans="1:11" x14ac:dyDescent="0.2">
      <c r="A498" t="s">
        <v>16</v>
      </c>
      <c r="B498" t="s">
        <v>933</v>
      </c>
      <c r="C498">
        <v>450</v>
      </c>
      <c r="D498" t="s">
        <v>9754</v>
      </c>
      <c r="E498" t="s">
        <v>50</v>
      </c>
      <c r="F498">
        <v>15</v>
      </c>
      <c r="G498">
        <v>0.43645580324055944</v>
      </c>
      <c r="H498" t="s">
        <v>89</v>
      </c>
      <c r="I498">
        <v>0</v>
      </c>
      <c r="J498">
        <v>9000</v>
      </c>
      <c r="K498">
        <v>0</v>
      </c>
    </row>
    <row r="499" spans="1:11" x14ac:dyDescent="0.2">
      <c r="A499" t="s">
        <v>16</v>
      </c>
      <c r="B499" t="s">
        <v>933</v>
      </c>
      <c r="C499">
        <v>450</v>
      </c>
      <c r="D499" t="s">
        <v>9755</v>
      </c>
      <c r="E499" t="s">
        <v>50</v>
      </c>
      <c r="F499">
        <v>15</v>
      </c>
      <c r="G499">
        <v>0.43645580324055944</v>
      </c>
      <c r="H499" t="s">
        <v>90</v>
      </c>
      <c r="I499">
        <v>0</v>
      </c>
      <c r="J499">
        <v>9000</v>
      </c>
      <c r="K499">
        <v>0</v>
      </c>
    </row>
    <row r="500" spans="1:11" x14ac:dyDescent="0.2">
      <c r="A500" t="s">
        <v>16</v>
      </c>
      <c r="B500" t="s">
        <v>933</v>
      </c>
      <c r="C500">
        <v>450</v>
      </c>
      <c r="D500" t="s">
        <v>9759</v>
      </c>
      <c r="E500" t="s">
        <v>50</v>
      </c>
      <c r="F500">
        <v>15</v>
      </c>
      <c r="G500">
        <v>0.43645580324055944</v>
      </c>
      <c r="H500" t="s">
        <v>103</v>
      </c>
      <c r="I500">
        <v>0</v>
      </c>
      <c r="J500">
        <v>9000</v>
      </c>
      <c r="K500">
        <v>0</v>
      </c>
    </row>
    <row r="501" spans="1:11" x14ac:dyDescent="0.2">
      <c r="A501" t="s">
        <v>16</v>
      </c>
      <c r="B501" t="s">
        <v>933</v>
      </c>
      <c r="C501">
        <v>450</v>
      </c>
      <c r="D501" t="s">
        <v>9753</v>
      </c>
      <c r="E501" t="s">
        <v>50</v>
      </c>
      <c r="F501">
        <v>15</v>
      </c>
      <c r="G501">
        <v>0.43645580324055944</v>
      </c>
      <c r="H501" t="s">
        <v>88</v>
      </c>
      <c r="I501">
        <v>0</v>
      </c>
      <c r="J501">
        <v>9000</v>
      </c>
      <c r="K501">
        <v>0</v>
      </c>
    </row>
    <row r="502" spans="1:11" x14ac:dyDescent="0.2">
      <c r="A502" t="s">
        <v>16</v>
      </c>
      <c r="B502" t="s">
        <v>933</v>
      </c>
      <c r="C502">
        <v>450</v>
      </c>
      <c r="D502" t="s">
        <v>9758</v>
      </c>
      <c r="E502" t="s">
        <v>50</v>
      </c>
      <c r="F502">
        <v>15</v>
      </c>
      <c r="G502">
        <v>0.43645580324055944</v>
      </c>
      <c r="H502" t="s">
        <v>87</v>
      </c>
      <c r="I502">
        <v>0</v>
      </c>
      <c r="J502">
        <v>9000</v>
      </c>
      <c r="K502">
        <v>0</v>
      </c>
    </row>
    <row r="503" spans="1:11" x14ac:dyDescent="0.2">
      <c r="A503" t="s">
        <v>16</v>
      </c>
      <c r="B503" t="s">
        <v>933</v>
      </c>
      <c r="C503">
        <v>450</v>
      </c>
      <c r="D503" t="s">
        <v>9752</v>
      </c>
      <c r="E503" t="s">
        <v>50</v>
      </c>
      <c r="F503">
        <v>15</v>
      </c>
      <c r="G503">
        <v>0.43645580324055944</v>
      </c>
      <c r="H503" t="s">
        <v>101</v>
      </c>
      <c r="I503">
        <v>0</v>
      </c>
      <c r="J503">
        <v>9000</v>
      </c>
      <c r="K503">
        <v>0</v>
      </c>
    </row>
    <row r="504" spans="1:11" x14ac:dyDescent="0.2">
      <c r="A504" t="s">
        <v>16</v>
      </c>
      <c r="B504" t="s">
        <v>1493</v>
      </c>
      <c r="C504">
        <v>300</v>
      </c>
      <c r="D504" t="s">
        <v>9128</v>
      </c>
      <c r="E504" t="s">
        <v>50</v>
      </c>
      <c r="F504">
        <v>45</v>
      </c>
      <c r="G504">
        <v>0.54709517923362172</v>
      </c>
      <c r="H504" t="s">
        <v>92</v>
      </c>
      <c r="I504">
        <v>0</v>
      </c>
      <c r="J504">
        <v>8700</v>
      </c>
      <c r="K504">
        <v>0</v>
      </c>
    </row>
    <row r="505" spans="1:11" x14ac:dyDescent="0.2">
      <c r="A505" t="s">
        <v>16</v>
      </c>
      <c r="B505" t="s">
        <v>1493</v>
      </c>
      <c r="C505">
        <v>300</v>
      </c>
      <c r="D505" t="s">
        <v>9125</v>
      </c>
      <c r="E505" t="s">
        <v>50</v>
      </c>
      <c r="F505">
        <v>45</v>
      </c>
      <c r="G505">
        <v>0.54709517923362172</v>
      </c>
      <c r="H505" t="s">
        <v>105</v>
      </c>
      <c r="I505">
        <v>0</v>
      </c>
      <c r="J505">
        <v>8700</v>
      </c>
      <c r="K505">
        <v>0</v>
      </c>
    </row>
    <row r="506" spans="1:11" x14ac:dyDescent="0.2">
      <c r="A506" t="s">
        <v>16</v>
      </c>
      <c r="B506" t="s">
        <v>1493</v>
      </c>
      <c r="C506">
        <v>300</v>
      </c>
      <c r="D506" t="s">
        <v>9131</v>
      </c>
      <c r="E506" t="s">
        <v>50</v>
      </c>
      <c r="F506">
        <v>45</v>
      </c>
      <c r="G506">
        <v>0.54709517923362172</v>
      </c>
      <c r="H506" t="s">
        <v>89</v>
      </c>
      <c r="I506">
        <v>0</v>
      </c>
      <c r="J506">
        <v>8700</v>
      </c>
      <c r="K506">
        <v>0</v>
      </c>
    </row>
    <row r="507" spans="1:11" x14ac:dyDescent="0.2">
      <c r="A507" t="s">
        <v>16</v>
      </c>
      <c r="B507" t="s">
        <v>1493</v>
      </c>
      <c r="C507">
        <v>300</v>
      </c>
      <c r="D507" t="s">
        <v>9129</v>
      </c>
      <c r="E507" t="s">
        <v>50</v>
      </c>
      <c r="F507">
        <v>45</v>
      </c>
      <c r="G507">
        <v>0.54709517923362172</v>
      </c>
      <c r="H507" t="s">
        <v>90</v>
      </c>
      <c r="I507">
        <v>0</v>
      </c>
      <c r="J507">
        <v>8700</v>
      </c>
      <c r="K507">
        <v>0</v>
      </c>
    </row>
    <row r="508" spans="1:11" x14ac:dyDescent="0.2">
      <c r="A508" t="s">
        <v>16</v>
      </c>
      <c r="B508" t="s">
        <v>1493</v>
      </c>
      <c r="C508">
        <v>300</v>
      </c>
      <c r="D508" t="s">
        <v>9130</v>
      </c>
      <c r="E508" t="s">
        <v>50</v>
      </c>
      <c r="F508">
        <v>45</v>
      </c>
      <c r="G508">
        <v>0.54709517923362172</v>
      </c>
      <c r="H508" t="s">
        <v>103</v>
      </c>
      <c r="I508">
        <v>0</v>
      </c>
      <c r="J508">
        <v>8700</v>
      </c>
      <c r="K508">
        <v>0</v>
      </c>
    </row>
    <row r="509" spans="1:11" x14ac:dyDescent="0.2">
      <c r="A509" t="s">
        <v>16</v>
      </c>
      <c r="B509" t="s">
        <v>1493</v>
      </c>
      <c r="C509">
        <v>300</v>
      </c>
      <c r="D509" t="s">
        <v>9127</v>
      </c>
      <c r="E509" t="s">
        <v>50</v>
      </c>
      <c r="F509">
        <v>45</v>
      </c>
      <c r="G509">
        <v>0.54709517923362172</v>
      </c>
      <c r="H509" t="s">
        <v>88</v>
      </c>
      <c r="I509">
        <v>0</v>
      </c>
      <c r="J509">
        <v>8700</v>
      </c>
      <c r="K509">
        <v>0</v>
      </c>
    </row>
    <row r="510" spans="1:11" x14ac:dyDescent="0.2">
      <c r="A510" t="s">
        <v>16</v>
      </c>
      <c r="B510" t="s">
        <v>1493</v>
      </c>
      <c r="C510">
        <v>300</v>
      </c>
      <c r="D510" t="s">
        <v>9126</v>
      </c>
      <c r="E510" t="s">
        <v>50</v>
      </c>
      <c r="F510">
        <v>45</v>
      </c>
      <c r="G510">
        <v>0.54709517923362172</v>
      </c>
      <c r="H510" t="s">
        <v>87</v>
      </c>
      <c r="I510">
        <v>0</v>
      </c>
      <c r="J510">
        <v>8700</v>
      </c>
      <c r="K510">
        <v>0</v>
      </c>
    </row>
    <row r="511" spans="1:11" x14ac:dyDescent="0.2">
      <c r="A511" t="s">
        <v>16</v>
      </c>
      <c r="B511" t="s">
        <v>4701</v>
      </c>
      <c r="C511">
        <v>180</v>
      </c>
      <c r="D511" t="s">
        <v>10145</v>
      </c>
      <c r="E511" t="s">
        <v>50</v>
      </c>
      <c r="F511">
        <v>3</v>
      </c>
      <c r="G511">
        <v>0.43767110175169904</v>
      </c>
      <c r="H511" t="s">
        <v>101</v>
      </c>
      <c r="I511">
        <v>0</v>
      </c>
      <c r="J511">
        <v>8280</v>
      </c>
      <c r="K511">
        <v>0</v>
      </c>
    </row>
    <row r="512" spans="1:11" x14ac:dyDescent="0.2">
      <c r="A512" t="s">
        <v>16</v>
      </c>
      <c r="B512" t="s">
        <v>4701</v>
      </c>
      <c r="C512">
        <v>180</v>
      </c>
      <c r="D512" t="s">
        <v>10144</v>
      </c>
      <c r="E512" t="s">
        <v>50</v>
      </c>
      <c r="F512">
        <v>3</v>
      </c>
      <c r="G512">
        <v>0.43767110175169904</v>
      </c>
      <c r="H512" t="s">
        <v>93</v>
      </c>
      <c r="I512">
        <v>0</v>
      </c>
      <c r="J512">
        <v>8280</v>
      </c>
      <c r="K512">
        <v>0</v>
      </c>
    </row>
    <row r="513" spans="1:11" x14ac:dyDescent="0.2">
      <c r="A513" t="s">
        <v>16</v>
      </c>
      <c r="B513" t="s">
        <v>4701</v>
      </c>
      <c r="C513">
        <v>180</v>
      </c>
      <c r="D513" t="s">
        <v>10147</v>
      </c>
      <c r="E513" t="s">
        <v>50</v>
      </c>
      <c r="F513">
        <v>3</v>
      </c>
      <c r="G513">
        <v>0.43767110175169904</v>
      </c>
      <c r="H513" t="s">
        <v>92</v>
      </c>
      <c r="I513">
        <v>0</v>
      </c>
      <c r="J513">
        <v>8280</v>
      </c>
      <c r="K513">
        <v>0</v>
      </c>
    </row>
    <row r="514" spans="1:11" x14ac:dyDescent="0.2">
      <c r="A514" t="s">
        <v>16</v>
      </c>
      <c r="B514" t="s">
        <v>4701</v>
      </c>
      <c r="C514">
        <v>180</v>
      </c>
      <c r="D514" t="s">
        <v>10146</v>
      </c>
      <c r="E514" t="s">
        <v>50</v>
      </c>
      <c r="F514">
        <v>3</v>
      </c>
      <c r="G514">
        <v>0.43767110175169904</v>
      </c>
      <c r="H514" t="s">
        <v>101</v>
      </c>
      <c r="I514">
        <v>0</v>
      </c>
      <c r="J514">
        <v>8280</v>
      </c>
      <c r="K514">
        <v>0</v>
      </c>
    </row>
    <row r="515" spans="1:11" x14ac:dyDescent="0.2">
      <c r="A515" t="s">
        <v>16</v>
      </c>
      <c r="B515" t="s">
        <v>4701</v>
      </c>
      <c r="C515">
        <v>180</v>
      </c>
      <c r="D515" t="s">
        <v>10143</v>
      </c>
      <c r="E515" t="s">
        <v>50</v>
      </c>
      <c r="F515">
        <v>3</v>
      </c>
      <c r="G515">
        <v>0.43767110175169904</v>
      </c>
      <c r="H515" t="s">
        <v>93</v>
      </c>
      <c r="I515">
        <v>0</v>
      </c>
      <c r="J515">
        <v>8280</v>
      </c>
      <c r="K515">
        <v>0</v>
      </c>
    </row>
    <row r="516" spans="1:11" x14ac:dyDescent="0.2">
      <c r="A516" t="s">
        <v>16</v>
      </c>
      <c r="B516" t="s">
        <v>5138</v>
      </c>
      <c r="C516">
        <v>480</v>
      </c>
      <c r="D516" t="s">
        <v>10181</v>
      </c>
      <c r="E516" t="s">
        <v>50</v>
      </c>
      <c r="F516">
        <v>3</v>
      </c>
      <c r="G516">
        <v>1.3128233131291069</v>
      </c>
      <c r="H516" t="s">
        <v>105</v>
      </c>
      <c r="I516">
        <v>0</v>
      </c>
      <c r="J516">
        <v>8160</v>
      </c>
      <c r="K516">
        <v>0</v>
      </c>
    </row>
    <row r="517" spans="1:11" x14ac:dyDescent="0.2">
      <c r="A517" t="s">
        <v>16</v>
      </c>
      <c r="B517" t="s">
        <v>5138</v>
      </c>
      <c r="C517">
        <v>480</v>
      </c>
      <c r="D517" t="s">
        <v>10184</v>
      </c>
      <c r="E517" t="s">
        <v>50</v>
      </c>
      <c r="F517">
        <v>3</v>
      </c>
      <c r="G517">
        <v>1.3128233131291069</v>
      </c>
      <c r="H517" t="s">
        <v>89</v>
      </c>
      <c r="I517">
        <v>0</v>
      </c>
      <c r="J517">
        <v>8160</v>
      </c>
      <c r="K517">
        <v>0</v>
      </c>
    </row>
    <row r="518" spans="1:11" x14ac:dyDescent="0.2">
      <c r="A518" t="s">
        <v>16</v>
      </c>
      <c r="B518" t="s">
        <v>5138</v>
      </c>
      <c r="C518">
        <v>480</v>
      </c>
      <c r="D518" t="s">
        <v>10183</v>
      </c>
      <c r="E518" t="s">
        <v>50</v>
      </c>
      <c r="F518">
        <v>3</v>
      </c>
      <c r="G518">
        <v>1.3128233131291069</v>
      </c>
      <c r="H518" t="s">
        <v>90</v>
      </c>
      <c r="I518">
        <v>0</v>
      </c>
      <c r="J518">
        <v>8160</v>
      </c>
      <c r="K518">
        <v>0</v>
      </c>
    </row>
    <row r="519" spans="1:11" x14ac:dyDescent="0.2">
      <c r="A519" t="s">
        <v>16</v>
      </c>
      <c r="B519" t="s">
        <v>4515</v>
      </c>
      <c r="C519">
        <v>300</v>
      </c>
      <c r="D519" t="s">
        <v>9863</v>
      </c>
      <c r="E519" t="s">
        <v>50</v>
      </c>
      <c r="F519">
        <v>2</v>
      </c>
      <c r="G519">
        <v>0.54535355955212561</v>
      </c>
      <c r="H519" t="s">
        <v>88</v>
      </c>
      <c r="I519">
        <v>0</v>
      </c>
      <c r="J519">
        <v>8100</v>
      </c>
      <c r="K519">
        <v>0</v>
      </c>
    </row>
    <row r="520" spans="1:11" x14ac:dyDescent="0.2">
      <c r="A520" t="s">
        <v>16</v>
      </c>
      <c r="B520" t="s">
        <v>4517</v>
      </c>
      <c r="C520">
        <v>300</v>
      </c>
      <c r="D520" t="s">
        <v>9867</v>
      </c>
      <c r="E520" t="s">
        <v>50</v>
      </c>
      <c r="F520">
        <v>1</v>
      </c>
      <c r="G520">
        <v>0.38309352517985612</v>
      </c>
      <c r="H520" t="s">
        <v>87</v>
      </c>
      <c r="I520">
        <v>0</v>
      </c>
      <c r="J520">
        <v>8100</v>
      </c>
      <c r="K520">
        <v>0</v>
      </c>
    </row>
    <row r="521" spans="1:11" x14ac:dyDescent="0.2">
      <c r="A521" t="s">
        <v>16</v>
      </c>
      <c r="B521" t="s">
        <v>680</v>
      </c>
      <c r="C521">
        <v>180</v>
      </c>
      <c r="D521" t="s">
        <v>9844</v>
      </c>
      <c r="E521" t="s">
        <v>50</v>
      </c>
      <c r="F521">
        <v>4</v>
      </c>
      <c r="G521">
        <v>0.2184967850677321</v>
      </c>
      <c r="H521" t="s">
        <v>103</v>
      </c>
      <c r="I521">
        <v>0</v>
      </c>
      <c r="J521">
        <v>7920</v>
      </c>
      <c r="K521">
        <v>0</v>
      </c>
    </row>
    <row r="522" spans="1:11" x14ac:dyDescent="0.2">
      <c r="A522" t="s">
        <v>16</v>
      </c>
      <c r="B522" t="s">
        <v>680</v>
      </c>
      <c r="C522">
        <v>180</v>
      </c>
      <c r="D522" t="s">
        <v>9822</v>
      </c>
      <c r="E522" t="s">
        <v>50</v>
      </c>
      <c r="F522">
        <v>4</v>
      </c>
      <c r="G522">
        <v>0.2184967850677321</v>
      </c>
      <c r="H522" t="s">
        <v>95</v>
      </c>
      <c r="I522">
        <v>0</v>
      </c>
      <c r="J522">
        <v>7920</v>
      </c>
      <c r="K522">
        <v>0</v>
      </c>
    </row>
    <row r="523" spans="1:11" x14ac:dyDescent="0.2">
      <c r="A523" t="s">
        <v>16</v>
      </c>
      <c r="B523" t="s">
        <v>680</v>
      </c>
      <c r="C523">
        <v>180</v>
      </c>
      <c r="D523" t="s">
        <v>9831</v>
      </c>
      <c r="E523" t="s">
        <v>50</v>
      </c>
      <c r="F523">
        <v>4</v>
      </c>
      <c r="G523">
        <v>0.2184967850677321</v>
      </c>
      <c r="H523" t="s">
        <v>94</v>
      </c>
      <c r="I523">
        <v>0</v>
      </c>
      <c r="J523">
        <v>7920</v>
      </c>
      <c r="K523">
        <v>0</v>
      </c>
    </row>
    <row r="524" spans="1:11" x14ac:dyDescent="0.2">
      <c r="A524" t="s">
        <v>16</v>
      </c>
      <c r="B524" t="s">
        <v>680</v>
      </c>
      <c r="C524">
        <v>180</v>
      </c>
      <c r="D524" t="s">
        <v>9817</v>
      </c>
      <c r="E524" t="s">
        <v>50</v>
      </c>
      <c r="F524">
        <v>4</v>
      </c>
      <c r="G524">
        <v>0.2184967850677321</v>
      </c>
      <c r="H524" t="s">
        <v>92</v>
      </c>
      <c r="I524">
        <v>0</v>
      </c>
      <c r="J524">
        <v>7920</v>
      </c>
      <c r="K524">
        <v>0</v>
      </c>
    </row>
    <row r="525" spans="1:11" x14ac:dyDescent="0.2">
      <c r="A525" t="s">
        <v>16</v>
      </c>
      <c r="B525" t="s">
        <v>680</v>
      </c>
      <c r="C525">
        <v>180</v>
      </c>
      <c r="D525" t="s">
        <v>9825</v>
      </c>
      <c r="E525" t="s">
        <v>50</v>
      </c>
      <c r="F525">
        <v>4</v>
      </c>
      <c r="G525">
        <v>0.2184967850677321</v>
      </c>
      <c r="H525" t="s">
        <v>103</v>
      </c>
      <c r="I525">
        <v>0</v>
      </c>
      <c r="J525">
        <v>7920</v>
      </c>
      <c r="K525">
        <v>0</v>
      </c>
    </row>
    <row r="526" spans="1:11" x14ac:dyDescent="0.2">
      <c r="A526" t="s">
        <v>16</v>
      </c>
      <c r="B526" t="s">
        <v>680</v>
      </c>
      <c r="C526">
        <v>180</v>
      </c>
      <c r="D526" t="s">
        <v>9841</v>
      </c>
      <c r="E526" t="s">
        <v>50</v>
      </c>
      <c r="F526">
        <v>4</v>
      </c>
      <c r="G526">
        <v>0.2184967850677321</v>
      </c>
      <c r="H526" t="s">
        <v>95</v>
      </c>
      <c r="I526">
        <v>0</v>
      </c>
      <c r="J526">
        <v>7920</v>
      </c>
      <c r="K526">
        <v>0</v>
      </c>
    </row>
    <row r="527" spans="1:11" x14ac:dyDescent="0.2">
      <c r="A527" t="s">
        <v>16</v>
      </c>
      <c r="B527" t="s">
        <v>680</v>
      </c>
      <c r="C527">
        <v>180</v>
      </c>
      <c r="D527" t="s">
        <v>9847</v>
      </c>
      <c r="E527" t="s">
        <v>50</v>
      </c>
      <c r="F527">
        <v>4</v>
      </c>
      <c r="G527">
        <v>0.2184967850677321</v>
      </c>
      <c r="H527" t="s">
        <v>94</v>
      </c>
      <c r="I527">
        <v>0</v>
      </c>
      <c r="J527">
        <v>7920</v>
      </c>
      <c r="K527">
        <v>0</v>
      </c>
    </row>
    <row r="528" spans="1:11" x14ac:dyDescent="0.2">
      <c r="A528" t="s">
        <v>16</v>
      </c>
      <c r="B528" t="s">
        <v>680</v>
      </c>
      <c r="C528">
        <v>180</v>
      </c>
      <c r="D528" t="s">
        <v>9832</v>
      </c>
      <c r="E528" t="s">
        <v>50</v>
      </c>
      <c r="F528">
        <v>4</v>
      </c>
      <c r="G528">
        <v>0.2184967850677321</v>
      </c>
      <c r="H528" t="s">
        <v>92</v>
      </c>
      <c r="I528">
        <v>0</v>
      </c>
      <c r="J528">
        <v>7920</v>
      </c>
      <c r="K528">
        <v>0</v>
      </c>
    </row>
    <row r="529" spans="1:11" x14ac:dyDescent="0.2">
      <c r="A529" t="s">
        <v>16</v>
      </c>
      <c r="B529" t="s">
        <v>680</v>
      </c>
      <c r="C529">
        <v>180</v>
      </c>
      <c r="D529" t="s">
        <v>9818</v>
      </c>
      <c r="E529" t="s">
        <v>50</v>
      </c>
      <c r="F529">
        <v>4</v>
      </c>
      <c r="G529">
        <v>0.2184967850677321</v>
      </c>
      <c r="H529" t="s">
        <v>103</v>
      </c>
      <c r="I529">
        <v>0</v>
      </c>
      <c r="J529">
        <v>7920</v>
      </c>
      <c r="K529">
        <v>0</v>
      </c>
    </row>
    <row r="530" spans="1:11" x14ac:dyDescent="0.2">
      <c r="A530" t="s">
        <v>16</v>
      </c>
      <c r="B530" t="s">
        <v>680</v>
      </c>
      <c r="C530">
        <v>180</v>
      </c>
      <c r="D530" t="s">
        <v>9833</v>
      </c>
      <c r="E530" t="s">
        <v>50</v>
      </c>
      <c r="F530">
        <v>4</v>
      </c>
      <c r="G530">
        <v>0.2184967850677321</v>
      </c>
      <c r="H530" t="s">
        <v>95</v>
      </c>
      <c r="I530">
        <v>0</v>
      </c>
      <c r="J530">
        <v>7920</v>
      </c>
      <c r="K530">
        <v>0</v>
      </c>
    </row>
    <row r="531" spans="1:11" x14ac:dyDescent="0.2">
      <c r="A531" t="s">
        <v>16</v>
      </c>
      <c r="B531" t="s">
        <v>680</v>
      </c>
      <c r="C531">
        <v>180</v>
      </c>
      <c r="D531" t="s">
        <v>9819</v>
      </c>
      <c r="E531" t="s">
        <v>50</v>
      </c>
      <c r="F531">
        <v>4</v>
      </c>
      <c r="G531">
        <v>0.2184967850677321</v>
      </c>
      <c r="H531" t="s">
        <v>94</v>
      </c>
      <c r="I531">
        <v>0</v>
      </c>
      <c r="J531">
        <v>7920</v>
      </c>
      <c r="K531">
        <v>0</v>
      </c>
    </row>
    <row r="532" spans="1:11" x14ac:dyDescent="0.2">
      <c r="A532" t="s">
        <v>16</v>
      </c>
      <c r="B532" t="s">
        <v>680</v>
      </c>
      <c r="C532">
        <v>180</v>
      </c>
      <c r="D532" t="s">
        <v>9834</v>
      </c>
      <c r="E532" t="s">
        <v>50</v>
      </c>
      <c r="F532">
        <v>4</v>
      </c>
      <c r="G532">
        <v>0.2184967850677321</v>
      </c>
      <c r="H532" t="s">
        <v>92</v>
      </c>
      <c r="I532">
        <v>0</v>
      </c>
      <c r="J532">
        <v>7920</v>
      </c>
      <c r="K532">
        <v>0</v>
      </c>
    </row>
    <row r="533" spans="1:11" x14ac:dyDescent="0.2">
      <c r="A533" t="s">
        <v>16</v>
      </c>
      <c r="B533" t="s">
        <v>680</v>
      </c>
      <c r="C533">
        <v>180</v>
      </c>
      <c r="D533" t="s">
        <v>9836</v>
      </c>
      <c r="E533" t="s">
        <v>50</v>
      </c>
      <c r="F533">
        <v>4</v>
      </c>
      <c r="G533">
        <v>0.2184967850677321</v>
      </c>
      <c r="H533" t="s">
        <v>103</v>
      </c>
      <c r="I533">
        <v>0</v>
      </c>
      <c r="J533">
        <v>7920</v>
      </c>
      <c r="K533">
        <v>0</v>
      </c>
    </row>
    <row r="534" spans="1:11" x14ac:dyDescent="0.2">
      <c r="A534" t="s">
        <v>16</v>
      </c>
      <c r="B534" t="s">
        <v>680</v>
      </c>
      <c r="C534">
        <v>180</v>
      </c>
      <c r="D534" t="s">
        <v>9829</v>
      </c>
      <c r="E534" t="s">
        <v>50</v>
      </c>
      <c r="F534">
        <v>4</v>
      </c>
      <c r="G534">
        <v>0.2184967850677321</v>
      </c>
      <c r="H534" t="s">
        <v>95</v>
      </c>
      <c r="I534">
        <v>0</v>
      </c>
      <c r="J534">
        <v>7920</v>
      </c>
      <c r="K534">
        <v>0</v>
      </c>
    </row>
    <row r="535" spans="1:11" x14ac:dyDescent="0.2">
      <c r="A535" t="s">
        <v>16</v>
      </c>
      <c r="B535" t="s">
        <v>680</v>
      </c>
      <c r="C535">
        <v>180</v>
      </c>
      <c r="D535" t="s">
        <v>9827</v>
      </c>
      <c r="E535" t="s">
        <v>50</v>
      </c>
      <c r="F535">
        <v>4</v>
      </c>
      <c r="G535">
        <v>0.2184967850677321</v>
      </c>
      <c r="H535" t="s">
        <v>94</v>
      </c>
      <c r="I535">
        <v>0</v>
      </c>
      <c r="J535">
        <v>7920</v>
      </c>
      <c r="K535">
        <v>0</v>
      </c>
    </row>
    <row r="536" spans="1:11" x14ac:dyDescent="0.2">
      <c r="A536" t="s">
        <v>16</v>
      </c>
      <c r="B536" t="s">
        <v>680</v>
      </c>
      <c r="C536">
        <v>180</v>
      </c>
      <c r="D536" t="s">
        <v>9828</v>
      </c>
      <c r="E536" t="s">
        <v>50</v>
      </c>
      <c r="F536">
        <v>4</v>
      </c>
      <c r="G536">
        <v>0.2184967850677321</v>
      </c>
      <c r="H536" t="s">
        <v>92</v>
      </c>
      <c r="I536">
        <v>0</v>
      </c>
      <c r="J536">
        <v>7920</v>
      </c>
      <c r="K536">
        <v>0</v>
      </c>
    </row>
    <row r="537" spans="1:11" x14ac:dyDescent="0.2">
      <c r="A537" t="s">
        <v>16</v>
      </c>
      <c r="B537" t="s">
        <v>680</v>
      </c>
      <c r="C537">
        <v>180</v>
      </c>
      <c r="D537" t="s">
        <v>9812</v>
      </c>
      <c r="E537" t="s">
        <v>50</v>
      </c>
      <c r="F537">
        <v>4</v>
      </c>
      <c r="G537">
        <v>0.2184967850677321</v>
      </c>
      <c r="H537" t="s">
        <v>103</v>
      </c>
      <c r="I537">
        <v>0</v>
      </c>
      <c r="J537">
        <v>7920</v>
      </c>
      <c r="K537">
        <v>0</v>
      </c>
    </row>
    <row r="538" spans="1:11" x14ac:dyDescent="0.2">
      <c r="A538" t="s">
        <v>16</v>
      </c>
      <c r="B538" t="s">
        <v>680</v>
      </c>
      <c r="C538">
        <v>180</v>
      </c>
      <c r="D538" t="s">
        <v>9839</v>
      </c>
      <c r="E538" t="s">
        <v>50</v>
      </c>
      <c r="F538">
        <v>4</v>
      </c>
      <c r="G538">
        <v>0.2184967850677321</v>
      </c>
      <c r="H538" t="s">
        <v>95</v>
      </c>
      <c r="I538">
        <v>0</v>
      </c>
      <c r="J538">
        <v>7920</v>
      </c>
      <c r="K538">
        <v>0</v>
      </c>
    </row>
    <row r="539" spans="1:11" x14ac:dyDescent="0.2">
      <c r="A539" t="s">
        <v>16</v>
      </c>
      <c r="B539" t="s">
        <v>680</v>
      </c>
      <c r="C539">
        <v>180</v>
      </c>
      <c r="D539" t="s">
        <v>9840</v>
      </c>
      <c r="E539" t="s">
        <v>50</v>
      </c>
      <c r="F539">
        <v>4</v>
      </c>
      <c r="G539">
        <v>0.2184967850677321</v>
      </c>
      <c r="H539" t="s">
        <v>94</v>
      </c>
      <c r="I539">
        <v>0</v>
      </c>
      <c r="J539">
        <v>7920</v>
      </c>
      <c r="K539">
        <v>0</v>
      </c>
    </row>
    <row r="540" spans="1:11" x14ac:dyDescent="0.2">
      <c r="A540" t="s">
        <v>16</v>
      </c>
      <c r="B540" t="s">
        <v>680</v>
      </c>
      <c r="C540">
        <v>180</v>
      </c>
      <c r="D540" t="s">
        <v>9846</v>
      </c>
      <c r="E540" t="s">
        <v>50</v>
      </c>
      <c r="F540">
        <v>4</v>
      </c>
      <c r="G540">
        <v>0.2184967850677321</v>
      </c>
      <c r="H540" t="s">
        <v>92</v>
      </c>
      <c r="I540">
        <v>0</v>
      </c>
      <c r="J540">
        <v>7920</v>
      </c>
      <c r="K540">
        <v>0</v>
      </c>
    </row>
    <row r="541" spans="1:11" x14ac:dyDescent="0.2">
      <c r="A541" t="s">
        <v>16</v>
      </c>
      <c r="B541" t="s">
        <v>680</v>
      </c>
      <c r="C541">
        <v>180</v>
      </c>
      <c r="D541" t="s">
        <v>9842</v>
      </c>
      <c r="E541" t="s">
        <v>50</v>
      </c>
      <c r="F541">
        <v>4</v>
      </c>
      <c r="G541">
        <v>0.2184967850677321</v>
      </c>
      <c r="H541" t="s">
        <v>103</v>
      </c>
      <c r="I541">
        <v>0</v>
      </c>
      <c r="J541">
        <v>7920</v>
      </c>
      <c r="K541">
        <v>0</v>
      </c>
    </row>
    <row r="542" spans="1:11" x14ac:dyDescent="0.2">
      <c r="A542" t="s">
        <v>16</v>
      </c>
      <c r="B542" t="s">
        <v>680</v>
      </c>
      <c r="C542">
        <v>180</v>
      </c>
      <c r="D542" t="s">
        <v>9816</v>
      </c>
      <c r="E542" t="s">
        <v>50</v>
      </c>
      <c r="F542">
        <v>4</v>
      </c>
      <c r="G542">
        <v>0.2184967850677321</v>
      </c>
      <c r="H542" t="s">
        <v>95</v>
      </c>
      <c r="I542">
        <v>0</v>
      </c>
      <c r="J542">
        <v>7920</v>
      </c>
      <c r="K542">
        <v>0</v>
      </c>
    </row>
    <row r="543" spans="1:11" x14ac:dyDescent="0.2">
      <c r="A543" t="s">
        <v>16</v>
      </c>
      <c r="B543" t="s">
        <v>680</v>
      </c>
      <c r="C543">
        <v>180</v>
      </c>
      <c r="D543" t="s">
        <v>9820</v>
      </c>
      <c r="E543" t="s">
        <v>50</v>
      </c>
      <c r="F543">
        <v>4</v>
      </c>
      <c r="G543">
        <v>0.2184967850677321</v>
      </c>
      <c r="H543" t="s">
        <v>94</v>
      </c>
      <c r="I543">
        <v>0</v>
      </c>
      <c r="J543">
        <v>7920</v>
      </c>
      <c r="K543">
        <v>0</v>
      </c>
    </row>
    <row r="544" spans="1:11" x14ac:dyDescent="0.2">
      <c r="A544" t="s">
        <v>16</v>
      </c>
      <c r="B544" t="s">
        <v>680</v>
      </c>
      <c r="C544">
        <v>180</v>
      </c>
      <c r="D544" t="s">
        <v>9824</v>
      </c>
      <c r="E544" t="s">
        <v>50</v>
      </c>
      <c r="F544">
        <v>4</v>
      </c>
      <c r="G544">
        <v>0.2184967850677321</v>
      </c>
      <c r="H544" t="s">
        <v>92</v>
      </c>
      <c r="I544">
        <v>0</v>
      </c>
      <c r="J544">
        <v>7920</v>
      </c>
      <c r="K544">
        <v>0</v>
      </c>
    </row>
    <row r="545" spans="1:11" x14ac:dyDescent="0.2">
      <c r="A545" t="s">
        <v>16</v>
      </c>
      <c r="B545" t="s">
        <v>680</v>
      </c>
      <c r="C545">
        <v>180</v>
      </c>
      <c r="D545" t="s">
        <v>9837</v>
      </c>
      <c r="E545" t="s">
        <v>50</v>
      </c>
      <c r="F545">
        <v>4</v>
      </c>
      <c r="G545">
        <v>0.2184967850677321</v>
      </c>
      <c r="H545" t="s">
        <v>103</v>
      </c>
      <c r="I545">
        <v>0</v>
      </c>
      <c r="J545">
        <v>7920</v>
      </c>
      <c r="K545">
        <v>0</v>
      </c>
    </row>
    <row r="546" spans="1:11" x14ac:dyDescent="0.2">
      <c r="A546" t="s">
        <v>16</v>
      </c>
      <c r="B546" t="s">
        <v>680</v>
      </c>
      <c r="C546">
        <v>180</v>
      </c>
      <c r="D546" t="s">
        <v>9811</v>
      </c>
      <c r="E546" t="s">
        <v>50</v>
      </c>
      <c r="F546">
        <v>4</v>
      </c>
      <c r="G546">
        <v>0.2184967850677321</v>
      </c>
      <c r="H546" t="s">
        <v>95</v>
      </c>
      <c r="I546">
        <v>0</v>
      </c>
      <c r="J546">
        <v>7920</v>
      </c>
      <c r="K546">
        <v>0</v>
      </c>
    </row>
    <row r="547" spans="1:11" x14ac:dyDescent="0.2">
      <c r="A547" t="s">
        <v>16</v>
      </c>
      <c r="B547" t="s">
        <v>680</v>
      </c>
      <c r="C547">
        <v>180</v>
      </c>
      <c r="D547" t="s">
        <v>9821</v>
      </c>
      <c r="E547" t="s">
        <v>50</v>
      </c>
      <c r="F547">
        <v>4</v>
      </c>
      <c r="G547">
        <v>0.2184967850677321</v>
      </c>
      <c r="H547" t="s">
        <v>94</v>
      </c>
      <c r="I547">
        <v>0</v>
      </c>
      <c r="J547">
        <v>7920</v>
      </c>
      <c r="K547">
        <v>0</v>
      </c>
    </row>
    <row r="548" spans="1:11" x14ac:dyDescent="0.2">
      <c r="A548" t="s">
        <v>16</v>
      </c>
      <c r="B548" t="s">
        <v>680</v>
      </c>
      <c r="C548">
        <v>180</v>
      </c>
      <c r="D548" t="s">
        <v>9813</v>
      </c>
      <c r="E548" t="s">
        <v>50</v>
      </c>
      <c r="F548">
        <v>4</v>
      </c>
      <c r="G548">
        <v>0.2184967850677321</v>
      </c>
      <c r="H548" t="s">
        <v>92</v>
      </c>
      <c r="I548">
        <v>0</v>
      </c>
      <c r="J548">
        <v>7920</v>
      </c>
      <c r="K548">
        <v>0</v>
      </c>
    </row>
    <row r="549" spans="1:11" x14ac:dyDescent="0.2">
      <c r="A549" t="s">
        <v>16</v>
      </c>
      <c r="B549" t="s">
        <v>680</v>
      </c>
      <c r="C549">
        <v>180</v>
      </c>
      <c r="D549" t="s">
        <v>9850</v>
      </c>
      <c r="E549" t="s">
        <v>50</v>
      </c>
      <c r="F549">
        <v>4</v>
      </c>
      <c r="G549">
        <v>0.2184967850677321</v>
      </c>
      <c r="H549" t="s">
        <v>103</v>
      </c>
      <c r="I549">
        <v>0</v>
      </c>
      <c r="J549">
        <v>7920</v>
      </c>
      <c r="K549">
        <v>0</v>
      </c>
    </row>
    <row r="550" spans="1:11" x14ac:dyDescent="0.2">
      <c r="A550" t="s">
        <v>16</v>
      </c>
      <c r="B550" t="s">
        <v>680</v>
      </c>
      <c r="C550">
        <v>180</v>
      </c>
      <c r="D550" t="s">
        <v>9814</v>
      </c>
      <c r="E550" t="s">
        <v>50</v>
      </c>
      <c r="F550">
        <v>4</v>
      </c>
      <c r="G550">
        <v>0.2184967850677321</v>
      </c>
      <c r="H550" t="s">
        <v>95</v>
      </c>
      <c r="I550">
        <v>0</v>
      </c>
      <c r="J550">
        <v>7920</v>
      </c>
      <c r="K550">
        <v>0</v>
      </c>
    </row>
    <row r="551" spans="1:11" x14ac:dyDescent="0.2">
      <c r="A551" t="s">
        <v>16</v>
      </c>
      <c r="B551" t="s">
        <v>680</v>
      </c>
      <c r="C551">
        <v>180</v>
      </c>
      <c r="D551" t="s">
        <v>9848</v>
      </c>
      <c r="E551" t="s">
        <v>50</v>
      </c>
      <c r="F551">
        <v>4</v>
      </c>
      <c r="G551">
        <v>0.2184967850677321</v>
      </c>
      <c r="H551" t="s">
        <v>94</v>
      </c>
      <c r="I551">
        <v>0</v>
      </c>
      <c r="J551">
        <v>7920</v>
      </c>
      <c r="K551">
        <v>0</v>
      </c>
    </row>
    <row r="552" spans="1:11" x14ac:dyDescent="0.2">
      <c r="A552" t="s">
        <v>16</v>
      </c>
      <c r="B552" t="s">
        <v>680</v>
      </c>
      <c r="C552">
        <v>180</v>
      </c>
      <c r="D552" t="s">
        <v>9823</v>
      </c>
      <c r="E552" t="s">
        <v>50</v>
      </c>
      <c r="F552">
        <v>4</v>
      </c>
      <c r="G552">
        <v>0.2184967850677321</v>
      </c>
      <c r="H552" t="s">
        <v>92</v>
      </c>
      <c r="I552">
        <v>0</v>
      </c>
      <c r="J552">
        <v>7920</v>
      </c>
      <c r="K552">
        <v>0</v>
      </c>
    </row>
    <row r="553" spans="1:11" x14ac:dyDescent="0.2">
      <c r="A553" t="s">
        <v>16</v>
      </c>
      <c r="B553" t="s">
        <v>680</v>
      </c>
      <c r="C553">
        <v>180</v>
      </c>
      <c r="D553" t="s">
        <v>9849</v>
      </c>
      <c r="E553" t="s">
        <v>50</v>
      </c>
      <c r="F553">
        <v>4</v>
      </c>
      <c r="G553">
        <v>0.2184967850677321</v>
      </c>
      <c r="H553" t="s">
        <v>103</v>
      </c>
      <c r="I553">
        <v>0</v>
      </c>
      <c r="J553">
        <v>7920</v>
      </c>
      <c r="K553">
        <v>0</v>
      </c>
    </row>
    <row r="554" spans="1:11" x14ac:dyDescent="0.2">
      <c r="A554" t="s">
        <v>16</v>
      </c>
      <c r="B554" t="s">
        <v>680</v>
      </c>
      <c r="C554">
        <v>180</v>
      </c>
      <c r="D554" t="s">
        <v>9826</v>
      </c>
      <c r="E554" t="s">
        <v>50</v>
      </c>
      <c r="F554">
        <v>4</v>
      </c>
      <c r="G554">
        <v>0.2184967850677321</v>
      </c>
      <c r="H554" t="s">
        <v>95</v>
      </c>
      <c r="I554">
        <v>0</v>
      </c>
      <c r="J554">
        <v>7920</v>
      </c>
      <c r="K554">
        <v>0</v>
      </c>
    </row>
    <row r="555" spans="1:11" x14ac:dyDescent="0.2">
      <c r="A555" t="s">
        <v>16</v>
      </c>
      <c r="B555" t="s">
        <v>680</v>
      </c>
      <c r="C555">
        <v>180</v>
      </c>
      <c r="D555" t="s">
        <v>9830</v>
      </c>
      <c r="E555" t="s">
        <v>50</v>
      </c>
      <c r="F555">
        <v>4</v>
      </c>
      <c r="G555">
        <v>0.2184967850677321</v>
      </c>
      <c r="H555" t="s">
        <v>94</v>
      </c>
      <c r="I555">
        <v>0</v>
      </c>
      <c r="J555">
        <v>7920</v>
      </c>
      <c r="K555">
        <v>0</v>
      </c>
    </row>
    <row r="556" spans="1:11" x14ac:dyDescent="0.2">
      <c r="A556" t="s">
        <v>16</v>
      </c>
      <c r="B556" t="s">
        <v>680</v>
      </c>
      <c r="C556">
        <v>180</v>
      </c>
      <c r="D556" t="s">
        <v>9815</v>
      </c>
      <c r="E556" t="s">
        <v>50</v>
      </c>
      <c r="F556">
        <v>4</v>
      </c>
      <c r="G556">
        <v>0.2184967850677321</v>
      </c>
      <c r="H556" t="s">
        <v>92</v>
      </c>
      <c r="I556">
        <v>0</v>
      </c>
      <c r="J556">
        <v>7920</v>
      </c>
      <c r="K556">
        <v>0</v>
      </c>
    </row>
    <row r="557" spans="1:11" x14ac:dyDescent="0.2">
      <c r="A557" t="s">
        <v>16</v>
      </c>
      <c r="B557" t="s">
        <v>680</v>
      </c>
      <c r="C557">
        <v>180</v>
      </c>
      <c r="D557" t="s">
        <v>9845</v>
      </c>
      <c r="E557" t="s">
        <v>50</v>
      </c>
      <c r="F557">
        <v>4</v>
      </c>
      <c r="G557">
        <v>0.2184967850677321</v>
      </c>
      <c r="H557" t="s">
        <v>103</v>
      </c>
      <c r="I557">
        <v>0</v>
      </c>
      <c r="J557">
        <v>7920</v>
      </c>
      <c r="K557">
        <v>0</v>
      </c>
    </row>
    <row r="558" spans="1:11" x14ac:dyDescent="0.2">
      <c r="A558" t="s">
        <v>16</v>
      </c>
      <c r="B558" t="s">
        <v>680</v>
      </c>
      <c r="C558">
        <v>180</v>
      </c>
      <c r="D558" t="s">
        <v>9838</v>
      </c>
      <c r="E558" t="s">
        <v>50</v>
      </c>
      <c r="F558">
        <v>4</v>
      </c>
      <c r="G558">
        <v>0.2184967850677321</v>
      </c>
      <c r="H558" t="s">
        <v>95</v>
      </c>
      <c r="I558">
        <v>0</v>
      </c>
      <c r="J558">
        <v>7920</v>
      </c>
      <c r="K558">
        <v>0</v>
      </c>
    </row>
    <row r="559" spans="1:11" x14ac:dyDescent="0.2">
      <c r="A559" t="s">
        <v>16</v>
      </c>
      <c r="B559" t="s">
        <v>976</v>
      </c>
      <c r="C559">
        <v>300</v>
      </c>
      <c r="D559" t="s">
        <v>9081</v>
      </c>
      <c r="E559" t="s">
        <v>50</v>
      </c>
      <c r="F559">
        <v>2</v>
      </c>
      <c r="G559">
        <v>0.4746436195565239</v>
      </c>
      <c r="H559" t="s">
        <v>105</v>
      </c>
      <c r="I559">
        <v>0</v>
      </c>
      <c r="J559">
        <v>7800</v>
      </c>
      <c r="K559">
        <v>0</v>
      </c>
    </row>
    <row r="560" spans="1:11" x14ac:dyDescent="0.2">
      <c r="A560" t="s">
        <v>16</v>
      </c>
      <c r="B560" t="s">
        <v>3814</v>
      </c>
      <c r="C560">
        <v>300</v>
      </c>
      <c r="D560" t="s">
        <v>9544</v>
      </c>
      <c r="E560" t="s">
        <v>50</v>
      </c>
      <c r="F560">
        <v>6</v>
      </c>
      <c r="G560">
        <v>0.36918783771307767</v>
      </c>
      <c r="H560" t="s">
        <v>89</v>
      </c>
      <c r="I560">
        <v>0</v>
      </c>
      <c r="J560">
        <v>7800</v>
      </c>
      <c r="K560">
        <v>0</v>
      </c>
    </row>
    <row r="561" spans="1:11" x14ac:dyDescent="0.2">
      <c r="A561" t="s">
        <v>16</v>
      </c>
      <c r="B561" t="s">
        <v>3814</v>
      </c>
      <c r="C561">
        <v>300</v>
      </c>
      <c r="D561" t="s">
        <v>9547</v>
      </c>
      <c r="E561" t="s">
        <v>50</v>
      </c>
      <c r="F561">
        <v>6</v>
      </c>
      <c r="G561">
        <v>0.36918783771307767</v>
      </c>
      <c r="H561" t="s">
        <v>90</v>
      </c>
      <c r="I561">
        <v>0</v>
      </c>
      <c r="J561">
        <v>7800</v>
      </c>
      <c r="K561">
        <v>0</v>
      </c>
    </row>
    <row r="562" spans="1:11" x14ac:dyDescent="0.2">
      <c r="A562" t="s">
        <v>16</v>
      </c>
      <c r="B562" t="s">
        <v>3814</v>
      </c>
      <c r="C562">
        <v>300</v>
      </c>
      <c r="D562" t="s">
        <v>9546</v>
      </c>
      <c r="E562" t="s">
        <v>50</v>
      </c>
      <c r="F562">
        <v>6</v>
      </c>
      <c r="G562">
        <v>0.36918783771307767</v>
      </c>
      <c r="H562" t="s">
        <v>101</v>
      </c>
      <c r="I562">
        <v>0</v>
      </c>
      <c r="J562">
        <v>7800</v>
      </c>
      <c r="K562">
        <v>0</v>
      </c>
    </row>
    <row r="563" spans="1:11" x14ac:dyDescent="0.2">
      <c r="A563" t="s">
        <v>16</v>
      </c>
      <c r="B563" t="s">
        <v>3814</v>
      </c>
      <c r="C563">
        <v>300</v>
      </c>
      <c r="D563" t="s">
        <v>9548</v>
      </c>
      <c r="E563" t="s">
        <v>50</v>
      </c>
      <c r="F563">
        <v>6</v>
      </c>
      <c r="G563">
        <v>0.36918783771307767</v>
      </c>
      <c r="H563" t="s">
        <v>88</v>
      </c>
      <c r="I563">
        <v>0</v>
      </c>
      <c r="J563">
        <v>7800</v>
      </c>
      <c r="K563">
        <v>0</v>
      </c>
    </row>
    <row r="564" spans="1:11" x14ac:dyDescent="0.2">
      <c r="A564" t="s">
        <v>16</v>
      </c>
      <c r="B564" t="s">
        <v>3814</v>
      </c>
      <c r="C564">
        <v>300</v>
      </c>
      <c r="D564" t="s">
        <v>9545</v>
      </c>
      <c r="E564" t="s">
        <v>50</v>
      </c>
      <c r="F564">
        <v>6</v>
      </c>
      <c r="G564">
        <v>0.36918783771307767</v>
      </c>
      <c r="H564" t="s">
        <v>87</v>
      </c>
      <c r="I564">
        <v>0</v>
      </c>
      <c r="J564">
        <v>7800</v>
      </c>
      <c r="K564">
        <v>0</v>
      </c>
    </row>
    <row r="565" spans="1:11" x14ac:dyDescent="0.2">
      <c r="A565" t="s">
        <v>16</v>
      </c>
      <c r="B565" t="s">
        <v>3814</v>
      </c>
      <c r="C565">
        <v>300</v>
      </c>
      <c r="D565" t="s">
        <v>9549</v>
      </c>
      <c r="E565" t="s">
        <v>50</v>
      </c>
      <c r="F565">
        <v>6</v>
      </c>
      <c r="G565">
        <v>0.36918783771307767</v>
      </c>
      <c r="H565" t="s">
        <v>104</v>
      </c>
      <c r="I565">
        <v>0</v>
      </c>
      <c r="J565">
        <v>7800</v>
      </c>
      <c r="K565">
        <v>0</v>
      </c>
    </row>
    <row r="566" spans="1:11" x14ac:dyDescent="0.2">
      <c r="A566" t="s">
        <v>16</v>
      </c>
      <c r="B566" t="s">
        <v>2622</v>
      </c>
      <c r="C566">
        <v>100</v>
      </c>
      <c r="D566" t="s">
        <v>9359</v>
      </c>
      <c r="E566" t="s">
        <v>50</v>
      </c>
      <c r="F566">
        <v>7</v>
      </c>
      <c r="G566">
        <v>8.5590601572760064E-2</v>
      </c>
      <c r="H566" t="s">
        <v>99</v>
      </c>
      <c r="I566">
        <v>0</v>
      </c>
      <c r="J566">
        <v>7700</v>
      </c>
      <c r="K566">
        <v>0</v>
      </c>
    </row>
    <row r="567" spans="1:11" x14ac:dyDescent="0.2">
      <c r="A567" t="s">
        <v>16</v>
      </c>
      <c r="B567" t="s">
        <v>2622</v>
      </c>
      <c r="C567">
        <v>100</v>
      </c>
      <c r="D567" t="s">
        <v>9382</v>
      </c>
      <c r="E567" t="s">
        <v>50</v>
      </c>
      <c r="F567">
        <v>7</v>
      </c>
      <c r="G567">
        <v>8.5590601572760064E-2</v>
      </c>
      <c r="H567" t="s">
        <v>100</v>
      </c>
      <c r="I567">
        <v>0</v>
      </c>
      <c r="J567">
        <v>7700</v>
      </c>
      <c r="K567">
        <v>0</v>
      </c>
    </row>
    <row r="568" spans="1:11" x14ac:dyDescent="0.2">
      <c r="A568" t="s">
        <v>16</v>
      </c>
      <c r="B568" t="s">
        <v>5837</v>
      </c>
      <c r="C568">
        <v>690</v>
      </c>
      <c r="D568" t="s">
        <v>10323</v>
      </c>
      <c r="E568" t="s">
        <v>50</v>
      </c>
      <c r="F568">
        <v>4</v>
      </c>
      <c r="G568">
        <v>1.1985982366416281</v>
      </c>
      <c r="H568" t="s">
        <v>93</v>
      </c>
      <c r="I568">
        <v>0</v>
      </c>
      <c r="J568">
        <v>7590</v>
      </c>
      <c r="K568">
        <v>0</v>
      </c>
    </row>
    <row r="569" spans="1:11" x14ac:dyDescent="0.2">
      <c r="A569" t="s">
        <v>16</v>
      </c>
      <c r="B569" t="s">
        <v>5837</v>
      </c>
      <c r="C569">
        <v>690</v>
      </c>
      <c r="D569" t="s">
        <v>10326</v>
      </c>
      <c r="E569" t="s">
        <v>50</v>
      </c>
      <c r="F569">
        <v>4</v>
      </c>
      <c r="G569">
        <v>1.1985982366416281</v>
      </c>
      <c r="H569" t="s">
        <v>105</v>
      </c>
      <c r="I569">
        <v>0</v>
      </c>
      <c r="J569">
        <v>7590</v>
      </c>
      <c r="K569">
        <v>0</v>
      </c>
    </row>
    <row r="570" spans="1:11" x14ac:dyDescent="0.2">
      <c r="A570" t="s">
        <v>16</v>
      </c>
      <c r="B570" t="s">
        <v>5837</v>
      </c>
      <c r="C570">
        <v>690</v>
      </c>
      <c r="D570" t="s">
        <v>10327</v>
      </c>
      <c r="E570" t="s">
        <v>50</v>
      </c>
      <c r="F570">
        <v>4</v>
      </c>
      <c r="G570">
        <v>1.1985982366416281</v>
      </c>
      <c r="H570" t="s">
        <v>89</v>
      </c>
      <c r="I570">
        <v>0</v>
      </c>
      <c r="J570">
        <v>7590</v>
      </c>
      <c r="K570">
        <v>0</v>
      </c>
    </row>
    <row r="571" spans="1:11" x14ac:dyDescent="0.2">
      <c r="A571" t="s">
        <v>16</v>
      </c>
      <c r="B571" t="s">
        <v>5837</v>
      </c>
      <c r="C571">
        <v>690</v>
      </c>
      <c r="D571" t="s">
        <v>10325</v>
      </c>
      <c r="E571" t="s">
        <v>50</v>
      </c>
      <c r="F571">
        <v>4</v>
      </c>
      <c r="G571">
        <v>1.1985982366416281</v>
      </c>
      <c r="H571" t="s">
        <v>90</v>
      </c>
      <c r="I571">
        <v>0</v>
      </c>
      <c r="J571">
        <v>7590</v>
      </c>
      <c r="K571">
        <v>0</v>
      </c>
    </row>
    <row r="572" spans="1:11" x14ac:dyDescent="0.2">
      <c r="A572" t="s">
        <v>16</v>
      </c>
      <c r="B572" t="s">
        <v>5837</v>
      </c>
      <c r="C572">
        <v>690</v>
      </c>
      <c r="D572" t="s">
        <v>10324</v>
      </c>
      <c r="E572" t="s">
        <v>50</v>
      </c>
      <c r="F572">
        <v>4</v>
      </c>
      <c r="G572">
        <v>1.1985982366416281</v>
      </c>
      <c r="H572" t="s">
        <v>93</v>
      </c>
      <c r="I572">
        <v>0</v>
      </c>
      <c r="J572">
        <v>7590</v>
      </c>
      <c r="K572">
        <v>0</v>
      </c>
    </row>
    <row r="573" spans="1:11" x14ac:dyDescent="0.2">
      <c r="A573" t="s">
        <v>16</v>
      </c>
      <c r="B573" t="s">
        <v>5837</v>
      </c>
      <c r="C573">
        <v>690</v>
      </c>
      <c r="D573" t="s">
        <v>10319</v>
      </c>
      <c r="E573" t="s">
        <v>50</v>
      </c>
      <c r="F573">
        <v>4</v>
      </c>
      <c r="G573">
        <v>1.1985982366416281</v>
      </c>
      <c r="H573" t="s">
        <v>105</v>
      </c>
      <c r="I573">
        <v>0</v>
      </c>
      <c r="J573">
        <v>7590</v>
      </c>
      <c r="K573">
        <v>0</v>
      </c>
    </row>
    <row r="574" spans="1:11" x14ac:dyDescent="0.2">
      <c r="A574" t="s">
        <v>16</v>
      </c>
      <c r="B574" t="s">
        <v>5837</v>
      </c>
      <c r="C574">
        <v>690</v>
      </c>
      <c r="D574" t="s">
        <v>10321</v>
      </c>
      <c r="E574" t="s">
        <v>50</v>
      </c>
      <c r="F574">
        <v>4</v>
      </c>
      <c r="G574">
        <v>1.1985982366416281</v>
      </c>
      <c r="H574" t="s">
        <v>89</v>
      </c>
      <c r="I574">
        <v>0</v>
      </c>
      <c r="J574">
        <v>7590</v>
      </c>
      <c r="K574">
        <v>0</v>
      </c>
    </row>
    <row r="575" spans="1:11" x14ac:dyDescent="0.2">
      <c r="A575" t="s">
        <v>16</v>
      </c>
      <c r="B575" t="s">
        <v>5837</v>
      </c>
      <c r="C575">
        <v>690</v>
      </c>
      <c r="D575" t="s">
        <v>10322</v>
      </c>
      <c r="E575" t="s">
        <v>50</v>
      </c>
      <c r="F575">
        <v>4</v>
      </c>
      <c r="G575">
        <v>1.1985982366416281</v>
      </c>
      <c r="H575" t="s">
        <v>90</v>
      </c>
      <c r="I575">
        <v>0</v>
      </c>
      <c r="J575">
        <v>7590</v>
      </c>
      <c r="K575">
        <v>0</v>
      </c>
    </row>
    <row r="576" spans="1:11" x14ac:dyDescent="0.2">
      <c r="A576" t="s">
        <v>16</v>
      </c>
      <c r="B576" t="s">
        <v>5837</v>
      </c>
      <c r="C576">
        <v>690</v>
      </c>
      <c r="D576" t="s">
        <v>10320</v>
      </c>
      <c r="E576" t="s">
        <v>50</v>
      </c>
      <c r="F576">
        <v>4</v>
      </c>
      <c r="G576">
        <v>1.1985982366416281</v>
      </c>
      <c r="H576" t="s">
        <v>93</v>
      </c>
      <c r="I576">
        <v>0</v>
      </c>
      <c r="J576">
        <v>7590</v>
      </c>
      <c r="K576">
        <v>0</v>
      </c>
    </row>
    <row r="577" spans="1:11" x14ac:dyDescent="0.2">
      <c r="A577" t="s">
        <v>16</v>
      </c>
      <c r="B577" t="s">
        <v>271</v>
      </c>
      <c r="C577">
        <v>240</v>
      </c>
      <c r="D577" t="s">
        <v>9288</v>
      </c>
      <c r="E577" t="s">
        <v>50</v>
      </c>
      <c r="F577">
        <v>2</v>
      </c>
      <c r="G577">
        <v>0.30394725756171542</v>
      </c>
      <c r="H577" t="s">
        <v>88</v>
      </c>
      <c r="I577">
        <v>0</v>
      </c>
      <c r="J577">
        <v>7440</v>
      </c>
      <c r="K577">
        <v>0</v>
      </c>
    </row>
    <row r="578" spans="1:11" x14ac:dyDescent="0.2">
      <c r="A578" t="s">
        <v>16</v>
      </c>
      <c r="B578" t="s">
        <v>271</v>
      </c>
      <c r="C578">
        <v>240</v>
      </c>
      <c r="D578" t="s">
        <v>9285</v>
      </c>
      <c r="E578" t="s">
        <v>50</v>
      </c>
      <c r="F578">
        <v>2</v>
      </c>
      <c r="G578">
        <v>0.30394725756171542</v>
      </c>
      <c r="H578" t="s">
        <v>88</v>
      </c>
      <c r="I578">
        <v>0</v>
      </c>
      <c r="J578">
        <v>7440</v>
      </c>
      <c r="K578">
        <v>0</v>
      </c>
    </row>
    <row r="579" spans="1:11" x14ac:dyDescent="0.2">
      <c r="A579" t="s">
        <v>16</v>
      </c>
      <c r="B579" t="s">
        <v>350</v>
      </c>
      <c r="C579">
        <v>90</v>
      </c>
      <c r="D579" t="s">
        <v>9460</v>
      </c>
      <c r="E579" t="s">
        <v>50</v>
      </c>
      <c r="F579">
        <v>3</v>
      </c>
      <c r="G579">
        <v>0.11297339908294857</v>
      </c>
      <c r="H579" t="s">
        <v>101</v>
      </c>
      <c r="I579">
        <v>0</v>
      </c>
      <c r="J579">
        <v>7290</v>
      </c>
      <c r="K579">
        <v>0</v>
      </c>
    </row>
    <row r="580" spans="1:11" x14ac:dyDescent="0.2">
      <c r="A580" t="s">
        <v>16</v>
      </c>
      <c r="B580" t="s">
        <v>350</v>
      </c>
      <c r="C580">
        <v>90</v>
      </c>
      <c r="D580" t="s">
        <v>9463</v>
      </c>
      <c r="E580" t="s">
        <v>50</v>
      </c>
      <c r="F580">
        <v>3</v>
      </c>
      <c r="G580">
        <v>0.11297339908294857</v>
      </c>
      <c r="H580" t="s">
        <v>87</v>
      </c>
      <c r="I580">
        <v>0</v>
      </c>
      <c r="J580">
        <v>7290</v>
      </c>
      <c r="K580">
        <v>0</v>
      </c>
    </row>
    <row r="581" spans="1:11" x14ac:dyDescent="0.2">
      <c r="A581" t="s">
        <v>16</v>
      </c>
      <c r="B581" t="s">
        <v>350</v>
      </c>
      <c r="C581">
        <v>90</v>
      </c>
      <c r="D581" t="s">
        <v>9462</v>
      </c>
      <c r="E581" t="s">
        <v>50</v>
      </c>
      <c r="F581">
        <v>3</v>
      </c>
      <c r="G581">
        <v>0.11297339908294857</v>
      </c>
      <c r="H581" t="s">
        <v>104</v>
      </c>
      <c r="I581">
        <v>0</v>
      </c>
      <c r="J581">
        <v>7290</v>
      </c>
      <c r="K581">
        <v>0</v>
      </c>
    </row>
    <row r="582" spans="1:11" x14ac:dyDescent="0.2">
      <c r="A582" t="s">
        <v>16</v>
      </c>
      <c r="B582" t="s">
        <v>350</v>
      </c>
      <c r="C582">
        <v>90</v>
      </c>
      <c r="D582" t="s">
        <v>9461</v>
      </c>
      <c r="E582" t="s">
        <v>50</v>
      </c>
      <c r="F582">
        <v>3</v>
      </c>
      <c r="G582">
        <v>0.11297339908294857</v>
      </c>
      <c r="H582" t="s">
        <v>101</v>
      </c>
      <c r="I582">
        <v>0</v>
      </c>
      <c r="J582">
        <v>7290</v>
      </c>
      <c r="K582">
        <v>0</v>
      </c>
    </row>
    <row r="583" spans="1:11" x14ac:dyDescent="0.2">
      <c r="A583" t="s">
        <v>16</v>
      </c>
      <c r="B583" t="s">
        <v>350</v>
      </c>
      <c r="C583">
        <v>90</v>
      </c>
      <c r="D583" t="s">
        <v>9458</v>
      </c>
      <c r="E583" t="s">
        <v>50</v>
      </c>
      <c r="F583">
        <v>3</v>
      </c>
      <c r="G583">
        <v>0.11297339908294857</v>
      </c>
      <c r="H583" t="s">
        <v>87</v>
      </c>
      <c r="I583">
        <v>0</v>
      </c>
      <c r="J583">
        <v>7290</v>
      </c>
      <c r="K583">
        <v>0</v>
      </c>
    </row>
    <row r="584" spans="1:11" x14ac:dyDescent="0.2">
      <c r="A584" t="s">
        <v>16</v>
      </c>
      <c r="B584" t="s">
        <v>350</v>
      </c>
      <c r="C584">
        <v>90</v>
      </c>
      <c r="D584" t="s">
        <v>9457</v>
      </c>
      <c r="E584" t="s">
        <v>50</v>
      </c>
      <c r="F584">
        <v>3</v>
      </c>
      <c r="G584">
        <v>0.11297339908294857</v>
      </c>
      <c r="H584" t="s">
        <v>104</v>
      </c>
      <c r="I584">
        <v>0</v>
      </c>
      <c r="J584">
        <v>7290</v>
      </c>
      <c r="K584">
        <v>0</v>
      </c>
    </row>
    <row r="585" spans="1:11" x14ac:dyDescent="0.2">
      <c r="A585" t="s">
        <v>16</v>
      </c>
      <c r="B585" t="s">
        <v>350</v>
      </c>
      <c r="C585">
        <v>90</v>
      </c>
      <c r="D585" t="s">
        <v>9465</v>
      </c>
      <c r="E585" t="s">
        <v>50</v>
      </c>
      <c r="F585">
        <v>3</v>
      </c>
      <c r="G585">
        <v>0.11297339908294857</v>
      </c>
      <c r="H585" t="s">
        <v>101</v>
      </c>
      <c r="I585">
        <v>0</v>
      </c>
      <c r="J585">
        <v>7290</v>
      </c>
      <c r="K585">
        <v>0</v>
      </c>
    </row>
    <row r="586" spans="1:11" x14ac:dyDescent="0.2">
      <c r="A586" t="s">
        <v>16</v>
      </c>
      <c r="B586" t="s">
        <v>350</v>
      </c>
      <c r="C586">
        <v>90</v>
      </c>
      <c r="D586" t="s">
        <v>9464</v>
      </c>
      <c r="E586" t="s">
        <v>50</v>
      </c>
      <c r="F586">
        <v>3</v>
      </c>
      <c r="G586">
        <v>0.11297339908294857</v>
      </c>
      <c r="H586" t="s">
        <v>87</v>
      </c>
      <c r="I586">
        <v>0</v>
      </c>
      <c r="J586">
        <v>7290</v>
      </c>
      <c r="K586">
        <v>0</v>
      </c>
    </row>
    <row r="587" spans="1:11" x14ac:dyDescent="0.2">
      <c r="A587" t="s">
        <v>16</v>
      </c>
      <c r="B587" t="s">
        <v>350</v>
      </c>
      <c r="C587">
        <v>90</v>
      </c>
      <c r="D587" t="s">
        <v>9466</v>
      </c>
      <c r="E587" t="s">
        <v>50</v>
      </c>
      <c r="F587">
        <v>3</v>
      </c>
      <c r="G587">
        <v>0.11297339908294857</v>
      </c>
      <c r="H587" t="s">
        <v>104</v>
      </c>
      <c r="I587">
        <v>0</v>
      </c>
      <c r="J587">
        <v>7290</v>
      </c>
      <c r="K587">
        <v>0</v>
      </c>
    </row>
    <row r="588" spans="1:11" x14ac:dyDescent="0.2">
      <c r="A588" t="s">
        <v>16</v>
      </c>
      <c r="B588" t="s">
        <v>2615</v>
      </c>
      <c r="C588">
        <v>300</v>
      </c>
      <c r="D588" t="s">
        <v>9345</v>
      </c>
      <c r="E588" t="s">
        <v>50</v>
      </c>
      <c r="F588">
        <v>6</v>
      </c>
      <c r="G588">
        <v>0.20692922339549688</v>
      </c>
      <c r="H588" t="s">
        <v>105</v>
      </c>
      <c r="I588">
        <v>0</v>
      </c>
      <c r="J588">
        <v>7200</v>
      </c>
      <c r="K588">
        <v>0</v>
      </c>
    </row>
    <row r="589" spans="1:11" x14ac:dyDescent="0.2">
      <c r="A589" t="s">
        <v>16</v>
      </c>
      <c r="B589" t="s">
        <v>2615</v>
      </c>
      <c r="C589">
        <v>300</v>
      </c>
      <c r="D589" t="s">
        <v>9347</v>
      </c>
      <c r="E589" t="s">
        <v>50</v>
      </c>
      <c r="F589">
        <v>6</v>
      </c>
      <c r="G589">
        <v>0.20692922339549688</v>
      </c>
      <c r="H589" t="s">
        <v>89</v>
      </c>
      <c r="I589">
        <v>0</v>
      </c>
      <c r="J589">
        <v>7200</v>
      </c>
      <c r="K589">
        <v>0</v>
      </c>
    </row>
    <row r="590" spans="1:11" x14ac:dyDescent="0.2">
      <c r="A590" t="s">
        <v>16</v>
      </c>
      <c r="B590" t="s">
        <v>2615</v>
      </c>
      <c r="C590">
        <v>300</v>
      </c>
      <c r="D590" t="s">
        <v>9346</v>
      </c>
      <c r="E590" t="s">
        <v>50</v>
      </c>
      <c r="F590">
        <v>6</v>
      </c>
      <c r="G590">
        <v>0.20692922339549688</v>
      </c>
      <c r="H590" t="s">
        <v>88</v>
      </c>
      <c r="I590">
        <v>0</v>
      </c>
      <c r="J590">
        <v>7200</v>
      </c>
      <c r="K590">
        <v>0</v>
      </c>
    </row>
    <row r="591" spans="1:11" x14ac:dyDescent="0.2">
      <c r="A591" t="s">
        <v>16</v>
      </c>
      <c r="B591" t="s">
        <v>2615</v>
      </c>
      <c r="C591">
        <v>300</v>
      </c>
      <c r="D591" t="s">
        <v>9344</v>
      </c>
      <c r="E591" t="s">
        <v>50</v>
      </c>
      <c r="F591">
        <v>6</v>
      </c>
      <c r="G591">
        <v>0.20692922339549688</v>
      </c>
      <c r="H591" t="s">
        <v>90</v>
      </c>
      <c r="I591">
        <v>0</v>
      </c>
      <c r="J591">
        <v>7200</v>
      </c>
      <c r="K591">
        <v>0</v>
      </c>
    </row>
    <row r="592" spans="1:11" x14ac:dyDescent="0.2">
      <c r="A592" t="s">
        <v>16</v>
      </c>
      <c r="B592" t="s">
        <v>2615</v>
      </c>
      <c r="C592">
        <v>300</v>
      </c>
      <c r="D592" t="s">
        <v>9348</v>
      </c>
      <c r="E592" t="s">
        <v>50</v>
      </c>
      <c r="F592">
        <v>6</v>
      </c>
      <c r="G592">
        <v>0.20692922339549688</v>
      </c>
      <c r="H592" t="s">
        <v>93</v>
      </c>
      <c r="I592">
        <v>0</v>
      </c>
      <c r="J592">
        <v>7200</v>
      </c>
      <c r="K592">
        <v>0</v>
      </c>
    </row>
    <row r="593" spans="1:11" x14ac:dyDescent="0.2">
      <c r="A593" t="s">
        <v>16</v>
      </c>
      <c r="B593" t="s">
        <v>2615</v>
      </c>
      <c r="C593">
        <v>300</v>
      </c>
      <c r="D593" t="s">
        <v>9343</v>
      </c>
      <c r="E593" t="s">
        <v>50</v>
      </c>
      <c r="F593">
        <v>6</v>
      </c>
      <c r="G593">
        <v>0.20692922339549688</v>
      </c>
      <c r="H593" t="s">
        <v>105</v>
      </c>
      <c r="I593">
        <v>0</v>
      </c>
      <c r="J593">
        <v>7200</v>
      </c>
      <c r="K593">
        <v>0</v>
      </c>
    </row>
    <row r="594" spans="1:11" x14ac:dyDescent="0.2">
      <c r="A594" t="s">
        <v>16</v>
      </c>
      <c r="B594" t="s">
        <v>2836</v>
      </c>
      <c r="C594">
        <v>75</v>
      </c>
      <c r="D594" t="s">
        <v>9433</v>
      </c>
      <c r="E594" t="s">
        <v>50</v>
      </c>
      <c r="F594">
        <v>2</v>
      </c>
      <c r="G594">
        <v>0.10982382058020564</v>
      </c>
      <c r="H594" t="s">
        <v>101</v>
      </c>
      <c r="I594">
        <v>0</v>
      </c>
      <c r="J594">
        <v>7200</v>
      </c>
      <c r="K594">
        <v>0</v>
      </c>
    </row>
    <row r="595" spans="1:11" x14ac:dyDescent="0.2">
      <c r="A595" t="s">
        <v>16</v>
      </c>
      <c r="B595" t="s">
        <v>4419</v>
      </c>
      <c r="C595">
        <v>300</v>
      </c>
      <c r="D595" t="s">
        <v>9857</v>
      </c>
      <c r="E595" t="s">
        <v>50</v>
      </c>
      <c r="F595">
        <v>4</v>
      </c>
      <c r="G595">
        <v>0.78166766028941526</v>
      </c>
      <c r="H595" t="s">
        <v>89</v>
      </c>
      <c r="I595">
        <v>0</v>
      </c>
      <c r="J595">
        <v>7200</v>
      </c>
      <c r="K595">
        <v>0</v>
      </c>
    </row>
    <row r="596" spans="1:11" x14ac:dyDescent="0.2">
      <c r="A596" t="s">
        <v>16</v>
      </c>
      <c r="B596" t="s">
        <v>4419</v>
      </c>
      <c r="C596">
        <v>300</v>
      </c>
      <c r="D596" t="s">
        <v>9856</v>
      </c>
      <c r="E596" t="s">
        <v>50</v>
      </c>
      <c r="F596">
        <v>4</v>
      </c>
      <c r="G596">
        <v>0.78166766028941526</v>
      </c>
      <c r="H596" t="s">
        <v>87</v>
      </c>
      <c r="I596">
        <v>0</v>
      </c>
      <c r="J596">
        <v>7200</v>
      </c>
      <c r="K596">
        <v>0</v>
      </c>
    </row>
    <row r="597" spans="1:11" x14ac:dyDescent="0.2">
      <c r="A597" t="s">
        <v>16</v>
      </c>
      <c r="B597" t="s">
        <v>4419</v>
      </c>
      <c r="C597">
        <v>300</v>
      </c>
      <c r="D597" t="s">
        <v>9858</v>
      </c>
      <c r="E597" t="s">
        <v>50</v>
      </c>
      <c r="F597">
        <v>4</v>
      </c>
      <c r="G597">
        <v>0.78166766028941526</v>
      </c>
      <c r="H597" t="s">
        <v>88</v>
      </c>
      <c r="I597">
        <v>0</v>
      </c>
      <c r="J597">
        <v>7200</v>
      </c>
      <c r="K597">
        <v>0</v>
      </c>
    </row>
    <row r="598" spans="1:11" x14ac:dyDescent="0.2">
      <c r="A598" t="s">
        <v>16</v>
      </c>
      <c r="B598" t="s">
        <v>770</v>
      </c>
      <c r="C598">
        <v>80</v>
      </c>
      <c r="D598" t="s">
        <v>9797</v>
      </c>
      <c r="E598" t="s">
        <v>50</v>
      </c>
      <c r="F598">
        <v>2</v>
      </c>
      <c r="G598">
        <v>0.10323877298138938</v>
      </c>
      <c r="H598" t="s">
        <v>87</v>
      </c>
      <c r="I598">
        <v>0</v>
      </c>
      <c r="J598">
        <v>7040</v>
      </c>
      <c r="K598">
        <v>0</v>
      </c>
    </row>
    <row r="599" spans="1:11" x14ac:dyDescent="0.2">
      <c r="A599" t="s">
        <v>16</v>
      </c>
      <c r="B599" t="s">
        <v>979</v>
      </c>
      <c r="C599">
        <v>195</v>
      </c>
      <c r="D599" t="s">
        <v>9553</v>
      </c>
      <c r="E599" t="s">
        <v>50</v>
      </c>
      <c r="F599">
        <v>2</v>
      </c>
      <c r="G599">
        <v>0.21549158978750951</v>
      </c>
      <c r="H599" t="s">
        <v>90</v>
      </c>
      <c r="I599">
        <v>0</v>
      </c>
      <c r="J599">
        <v>7020</v>
      </c>
      <c r="K599">
        <v>0</v>
      </c>
    </row>
    <row r="600" spans="1:11" x14ac:dyDescent="0.2">
      <c r="A600" t="s">
        <v>16</v>
      </c>
      <c r="B600" t="s">
        <v>771</v>
      </c>
      <c r="C600">
        <v>120</v>
      </c>
      <c r="D600" t="s">
        <v>10020</v>
      </c>
      <c r="E600" t="s">
        <v>50</v>
      </c>
      <c r="F600">
        <v>2</v>
      </c>
      <c r="G600">
        <v>0.1249736958218783</v>
      </c>
      <c r="H600" t="s">
        <v>104</v>
      </c>
      <c r="I600">
        <v>0</v>
      </c>
      <c r="J600">
        <v>6960</v>
      </c>
      <c r="K600">
        <v>0</v>
      </c>
    </row>
    <row r="601" spans="1:11" x14ac:dyDescent="0.2">
      <c r="A601" t="s">
        <v>16</v>
      </c>
      <c r="B601" t="s">
        <v>3504</v>
      </c>
      <c r="C601">
        <v>300</v>
      </c>
      <c r="D601" t="s">
        <v>9472</v>
      </c>
      <c r="E601" t="s">
        <v>50</v>
      </c>
      <c r="F601">
        <v>15</v>
      </c>
      <c r="G601">
        <v>0.38411550845792203</v>
      </c>
      <c r="H601" t="s">
        <v>93</v>
      </c>
      <c r="I601">
        <v>0</v>
      </c>
      <c r="J601">
        <v>6900</v>
      </c>
      <c r="K601">
        <v>0</v>
      </c>
    </row>
    <row r="602" spans="1:11" x14ac:dyDescent="0.2">
      <c r="A602" t="s">
        <v>16</v>
      </c>
      <c r="B602" t="s">
        <v>3504</v>
      </c>
      <c r="C602">
        <v>300</v>
      </c>
      <c r="D602" t="s">
        <v>9475</v>
      </c>
      <c r="E602" t="s">
        <v>50</v>
      </c>
      <c r="F602">
        <v>15</v>
      </c>
      <c r="G602">
        <v>0.38411550845792203</v>
      </c>
      <c r="H602" t="s">
        <v>105</v>
      </c>
      <c r="I602">
        <v>0</v>
      </c>
      <c r="J602">
        <v>6900</v>
      </c>
      <c r="K602">
        <v>0</v>
      </c>
    </row>
    <row r="603" spans="1:11" x14ac:dyDescent="0.2">
      <c r="A603" t="s">
        <v>16</v>
      </c>
      <c r="B603" t="s">
        <v>3504</v>
      </c>
      <c r="C603">
        <v>300</v>
      </c>
      <c r="D603" t="s">
        <v>9471</v>
      </c>
      <c r="E603" t="s">
        <v>50</v>
      </c>
      <c r="F603">
        <v>15</v>
      </c>
      <c r="G603">
        <v>0.38411550845792203</v>
      </c>
      <c r="H603" t="s">
        <v>101</v>
      </c>
      <c r="I603">
        <v>0</v>
      </c>
      <c r="J603">
        <v>6900</v>
      </c>
      <c r="K603">
        <v>0</v>
      </c>
    </row>
    <row r="604" spans="1:11" x14ac:dyDescent="0.2">
      <c r="A604" t="s">
        <v>16</v>
      </c>
      <c r="B604" t="s">
        <v>3504</v>
      </c>
      <c r="C604">
        <v>300</v>
      </c>
      <c r="D604" t="s">
        <v>9470</v>
      </c>
      <c r="E604" t="s">
        <v>50</v>
      </c>
      <c r="F604">
        <v>15</v>
      </c>
      <c r="G604">
        <v>0.38411550845792203</v>
      </c>
      <c r="H604" t="s">
        <v>90</v>
      </c>
      <c r="I604">
        <v>0</v>
      </c>
      <c r="J604">
        <v>6900</v>
      </c>
      <c r="K604">
        <v>0</v>
      </c>
    </row>
    <row r="605" spans="1:11" x14ac:dyDescent="0.2">
      <c r="A605" t="s">
        <v>16</v>
      </c>
      <c r="B605" t="s">
        <v>3504</v>
      </c>
      <c r="C605">
        <v>300</v>
      </c>
      <c r="D605" t="s">
        <v>9467</v>
      </c>
      <c r="E605" t="s">
        <v>50</v>
      </c>
      <c r="F605">
        <v>15</v>
      </c>
      <c r="G605">
        <v>0.38411550845792203</v>
      </c>
      <c r="H605" t="s">
        <v>89</v>
      </c>
      <c r="I605">
        <v>0</v>
      </c>
      <c r="J605">
        <v>6900</v>
      </c>
      <c r="K605">
        <v>0</v>
      </c>
    </row>
    <row r="606" spans="1:11" x14ac:dyDescent="0.2">
      <c r="A606" t="s">
        <v>16</v>
      </c>
      <c r="B606" t="s">
        <v>3504</v>
      </c>
      <c r="C606">
        <v>300</v>
      </c>
      <c r="D606" t="s">
        <v>9478</v>
      </c>
      <c r="E606" t="s">
        <v>50</v>
      </c>
      <c r="F606">
        <v>15</v>
      </c>
      <c r="G606">
        <v>0.38411550845792203</v>
      </c>
      <c r="H606" t="s">
        <v>88</v>
      </c>
      <c r="I606">
        <v>0</v>
      </c>
      <c r="J606">
        <v>6900</v>
      </c>
      <c r="K606">
        <v>0</v>
      </c>
    </row>
    <row r="607" spans="1:11" x14ac:dyDescent="0.2">
      <c r="A607" t="s">
        <v>16</v>
      </c>
      <c r="B607" t="s">
        <v>3504</v>
      </c>
      <c r="C607">
        <v>300</v>
      </c>
      <c r="D607" t="s">
        <v>9474</v>
      </c>
      <c r="E607" t="s">
        <v>50</v>
      </c>
      <c r="F607">
        <v>15</v>
      </c>
      <c r="G607">
        <v>0.38411550845792203</v>
      </c>
      <c r="H607" t="s">
        <v>104</v>
      </c>
      <c r="I607">
        <v>0</v>
      </c>
      <c r="J607">
        <v>6900</v>
      </c>
      <c r="K607">
        <v>0</v>
      </c>
    </row>
    <row r="608" spans="1:11" x14ac:dyDescent="0.2">
      <c r="A608" t="s">
        <v>16</v>
      </c>
      <c r="B608" t="s">
        <v>3504</v>
      </c>
      <c r="C608">
        <v>300</v>
      </c>
      <c r="D608" t="s">
        <v>9469</v>
      </c>
      <c r="E608" t="s">
        <v>50</v>
      </c>
      <c r="F608">
        <v>15</v>
      </c>
      <c r="G608">
        <v>0.38411550845792203</v>
      </c>
      <c r="H608" t="s">
        <v>93</v>
      </c>
      <c r="I608">
        <v>0</v>
      </c>
      <c r="J608">
        <v>6900</v>
      </c>
      <c r="K608">
        <v>0</v>
      </c>
    </row>
    <row r="609" spans="1:11" x14ac:dyDescent="0.2">
      <c r="A609" t="s">
        <v>16</v>
      </c>
      <c r="B609" t="s">
        <v>3504</v>
      </c>
      <c r="C609">
        <v>300</v>
      </c>
      <c r="D609" t="s">
        <v>9476</v>
      </c>
      <c r="E609" t="s">
        <v>50</v>
      </c>
      <c r="F609">
        <v>15</v>
      </c>
      <c r="G609">
        <v>0.38411550845792203</v>
      </c>
      <c r="H609" t="s">
        <v>91</v>
      </c>
      <c r="I609">
        <v>0</v>
      </c>
      <c r="J609">
        <v>6900</v>
      </c>
      <c r="K609">
        <v>0</v>
      </c>
    </row>
    <row r="610" spans="1:11" x14ac:dyDescent="0.2">
      <c r="A610" t="s">
        <v>16</v>
      </c>
      <c r="B610" t="s">
        <v>3504</v>
      </c>
      <c r="C610">
        <v>300</v>
      </c>
      <c r="D610" t="s">
        <v>9468</v>
      </c>
      <c r="E610" t="s">
        <v>50</v>
      </c>
      <c r="F610">
        <v>15</v>
      </c>
      <c r="G610">
        <v>0.38411550845792203</v>
      </c>
      <c r="H610" t="s">
        <v>84</v>
      </c>
      <c r="I610">
        <v>0</v>
      </c>
      <c r="J610">
        <v>6900</v>
      </c>
      <c r="K610">
        <v>0</v>
      </c>
    </row>
    <row r="611" spans="1:11" x14ac:dyDescent="0.2">
      <c r="A611" t="s">
        <v>16</v>
      </c>
      <c r="B611" t="s">
        <v>3504</v>
      </c>
      <c r="C611">
        <v>300</v>
      </c>
      <c r="D611" t="s">
        <v>9477</v>
      </c>
      <c r="E611" t="s">
        <v>50</v>
      </c>
      <c r="F611">
        <v>15</v>
      </c>
      <c r="G611">
        <v>0.38411550845792203</v>
      </c>
      <c r="H611" t="s">
        <v>105</v>
      </c>
      <c r="I611">
        <v>0</v>
      </c>
      <c r="J611">
        <v>6900</v>
      </c>
      <c r="K611">
        <v>0</v>
      </c>
    </row>
    <row r="612" spans="1:11" x14ac:dyDescent="0.2">
      <c r="A612" t="s">
        <v>16</v>
      </c>
      <c r="B612" t="s">
        <v>3879</v>
      </c>
      <c r="C612">
        <v>300</v>
      </c>
      <c r="D612" t="s">
        <v>9555</v>
      </c>
      <c r="E612" t="s">
        <v>50</v>
      </c>
      <c r="F612">
        <v>7</v>
      </c>
      <c r="G612">
        <v>0.21827743610141098</v>
      </c>
      <c r="H612" t="s">
        <v>101</v>
      </c>
      <c r="I612">
        <v>0</v>
      </c>
      <c r="J612">
        <v>6900</v>
      </c>
      <c r="K612">
        <v>0</v>
      </c>
    </row>
    <row r="613" spans="1:11" x14ac:dyDescent="0.2">
      <c r="A613" t="s">
        <v>16</v>
      </c>
      <c r="B613" t="s">
        <v>3879</v>
      </c>
      <c r="C613">
        <v>300</v>
      </c>
      <c r="D613" t="s">
        <v>9560</v>
      </c>
      <c r="E613" t="s">
        <v>50</v>
      </c>
      <c r="F613">
        <v>7</v>
      </c>
      <c r="G613">
        <v>0.21827743610141098</v>
      </c>
      <c r="H613" t="s">
        <v>90</v>
      </c>
      <c r="I613">
        <v>0</v>
      </c>
      <c r="J613">
        <v>6900</v>
      </c>
      <c r="K613">
        <v>0</v>
      </c>
    </row>
    <row r="614" spans="1:11" x14ac:dyDescent="0.2">
      <c r="A614" t="s">
        <v>16</v>
      </c>
      <c r="B614" t="s">
        <v>3879</v>
      </c>
      <c r="C614">
        <v>300</v>
      </c>
      <c r="D614" t="s">
        <v>9556</v>
      </c>
      <c r="E614" t="s">
        <v>50</v>
      </c>
      <c r="F614">
        <v>7</v>
      </c>
      <c r="G614">
        <v>0.21827743610141098</v>
      </c>
      <c r="H614" t="s">
        <v>89</v>
      </c>
      <c r="I614">
        <v>0</v>
      </c>
      <c r="J614">
        <v>6900</v>
      </c>
      <c r="K614">
        <v>0</v>
      </c>
    </row>
    <row r="615" spans="1:11" x14ac:dyDescent="0.2">
      <c r="A615" t="s">
        <v>16</v>
      </c>
      <c r="B615" t="s">
        <v>3879</v>
      </c>
      <c r="C615">
        <v>300</v>
      </c>
      <c r="D615" t="s">
        <v>9558</v>
      </c>
      <c r="E615" t="s">
        <v>50</v>
      </c>
      <c r="F615">
        <v>7</v>
      </c>
      <c r="G615">
        <v>0.21827743610141098</v>
      </c>
      <c r="H615" t="s">
        <v>88</v>
      </c>
      <c r="I615">
        <v>0</v>
      </c>
      <c r="J615">
        <v>6900</v>
      </c>
      <c r="K615">
        <v>0</v>
      </c>
    </row>
    <row r="616" spans="1:11" x14ac:dyDescent="0.2">
      <c r="A616" t="s">
        <v>16</v>
      </c>
      <c r="B616" t="s">
        <v>3879</v>
      </c>
      <c r="C616">
        <v>300</v>
      </c>
      <c r="D616" t="s">
        <v>9561</v>
      </c>
      <c r="E616" t="s">
        <v>50</v>
      </c>
      <c r="F616">
        <v>7</v>
      </c>
      <c r="G616">
        <v>0.21827743610141098</v>
      </c>
      <c r="H616" t="s">
        <v>87</v>
      </c>
      <c r="I616">
        <v>0</v>
      </c>
      <c r="J616">
        <v>6900</v>
      </c>
      <c r="K616">
        <v>0</v>
      </c>
    </row>
    <row r="617" spans="1:11" x14ac:dyDescent="0.2">
      <c r="A617" t="s">
        <v>16</v>
      </c>
      <c r="B617" t="s">
        <v>3879</v>
      </c>
      <c r="C617">
        <v>300</v>
      </c>
      <c r="D617" t="s">
        <v>9559</v>
      </c>
      <c r="E617" t="s">
        <v>50</v>
      </c>
      <c r="F617">
        <v>7</v>
      </c>
      <c r="G617">
        <v>0.21827743610141098</v>
      </c>
      <c r="H617" t="s">
        <v>99</v>
      </c>
      <c r="I617">
        <v>0</v>
      </c>
      <c r="J617">
        <v>6900</v>
      </c>
      <c r="K617">
        <v>0</v>
      </c>
    </row>
    <row r="618" spans="1:11" x14ac:dyDescent="0.2">
      <c r="A618" t="s">
        <v>16</v>
      </c>
      <c r="B618" t="s">
        <v>3879</v>
      </c>
      <c r="C618">
        <v>300</v>
      </c>
      <c r="D618" t="s">
        <v>9557</v>
      </c>
      <c r="E618" t="s">
        <v>50</v>
      </c>
      <c r="F618">
        <v>7</v>
      </c>
      <c r="G618">
        <v>0.21827743610141098</v>
      </c>
      <c r="H618" t="s">
        <v>100</v>
      </c>
      <c r="I618">
        <v>0</v>
      </c>
      <c r="J618">
        <v>6900</v>
      </c>
      <c r="K618">
        <v>0</v>
      </c>
    </row>
    <row r="619" spans="1:11" x14ac:dyDescent="0.2">
      <c r="A619" t="s">
        <v>16</v>
      </c>
      <c r="B619" t="s">
        <v>3879</v>
      </c>
      <c r="C619">
        <v>300</v>
      </c>
      <c r="D619" t="s">
        <v>9554</v>
      </c>
      <c r="E619" t="s">
        <v>50</v>
      </c>
      <c r="F619">
        <v>7</v>
      </c>
      <c r="G619">
        <v>0.21827743610141098</v>
      </c>
      <c r="H619" t="s">
        <v>101</v>
      </c>
      <c r="I619">
        <v>0</v>
      </c>
      <c r="J619">
        <v>6900</v>
      </c>
      <c r="K619">
        <v>0</v>
      </c>
    </row>
    <row r="620" spans="1:11" x14ac:dyDescent="0.2">
      <c r="A620" t="s">
        <v>16</v>
      </c>
      <c r="B620" t="s">
        <v>465</v>
      </c>
      <c r="C620">
        <v>300</v>
      </c>
      <c r="D620" t="s">
        <v>9578</v>
      </c>
      <c r="E620" t="s">
        <v>50</v>
      </c>
      <c r="F620">
        <v>2</v>
      </c>
      <c r="G620">
        <v>0.36602279133228771</v>
      </c>
      <c r="H620" t="s">
        <v>104</v>
      </c>
      <c r="I620">
        <v>0</v>
      </c>
      <c r="J620">
        <v>6900</v>
      </c>
      <c r="K620">
        <v>0</v>
      </c>
    </row>
    <row r="621" spans="1:11" x14ac:dyDescent="0.2">
      <c r="A621" t="s">
        <v>16</v>
      </c>
      <c r="B621" t="s">
        <v>685</v>
      </c>
      <c r="C621">
        <v>300</v>
      </c>
      <c r="D621" t="s">
        <v>9994</v>
      </c>
      <c r="E621" t="s">
        <v>50</v>
      </c>
      <c r="F621">
        <v>28</v>
      </c>
      <c r="G621">
        <v>0.40863453815261053</v>
      </c>
      <c r="H621" t="s">
        <v>93</v>
      </c>
      <c r="I621">
        <v>0</v>
      </c>
      <c r="J621">
        <v>6900</v>
      </c>
      <c r="K621">
        <v>0</v>
      </c>
    </row>
    <row r="622" spans="1:11" x14ac:dyDescent="0.2">
      <c r="A622" t="s">
        <v>16</v>
      </c>
      <c r="B622" t="s">
        <v>4523</v>
      </c>
      <c r="C622">
        <v>50</v>
      </c>
      <c r="D622" t="s">
        <v>9871</v>
      </c>
      <c r="E622" t="s">
        <v>50</v>
      </c>
      <c r="F622">
        <v>4</v>
      </c>
      <c r="G622">
        <v>0.15043044303520076</v>
      </c>
      <c r="H622" t="s">
        <v>91</v>
      </c>
      <c r="I622">
        <v>0</v>
      </c>
      <c r="J622">
        <v>6800</v>
      </c>
      <c r="K622">
        <v>0</v>
      </c>
    </row>
    <row r="623" spans="1:11" x14ac:dyDescent="0.2">
      <c r="A623" t="s">
        <v>16</v>
      </c>
      <c r="B623" t="s">
        <v>704</v>
      </c>
      <c r="C623">
        <v>450</v>
      </c>
      <c r="D623" t="s">
        <v>9103</v>
      </c>
      <c r="E623" t="s">
        <v>50</v>
      </c>
      <c r="F623">
        <v>2</v>
      </c>
      <c r="G623">
        <v>0.39867151532677314</v>
      </c>
      <c r="H623" t="s">
        <v>84</v>
      </c>
      <c r="I623">
        <v>0</v>
      </c>
      <c r="J623">
        <v>6750</v>
      </c>
      <c r="K623">
        <v>0</v>
      </c>
    </row>
    <row r="624" spans="1:11" x14ac:dyDescent="0.2">
      <c r="A624" t="s">
        <v>16</v>
      </c>
      <c r="B624" t="s">
        <v>704</v>
      </c>
      <c r="C624">
        <v>450</v>
      </c>
      <c r="D624" t="s">
        <v>9104</v>
      </c>
      <c r="E624" t="s">
        <v>50</v>
      </c>
      <c r="F624">
        <v>2</v>
      </c>
      <c r="G624">
        <v>0.39867151532677314</v>
      </c>
      <c r="H624" t="s">
        <v>105</v>
      </c>
      <c r="I624">
        <v>0</v>
      </c>
      <c r="J624">
        <v>6750</v>
      </c>
      <c r="K624">
        <v>0</v>
      </c>
    </row>
    <row r="625" spans="1:11" x14ac:dyDescent="0.2">
      <c r="A625" t="s">
        <v>16</v>
      </c>
      <c r="B625" t="s">
        <v>704</v>
      </c>
      <c r="C625">
        <v>450</v>
      </c>
      <c r="D625" t="s">
        <v>9102</v>
      </c>
      <c r="E625" t="s">
        <v>50</v>
      </c>
      <c r="F625">
        <v>2</v>
      </c>
      <c r="G625">
        <v>0.39867151532677314</v>
      </c>
      <c r="H625" t="s">
        <v>84</v>
      </c>
      <c r="I625">
        <v>0</v>
      </c>
      <c r="J625">
        <v>6750</v>
      </c>
      <c r="K625">
        <v>0</v>
      </c>
    </row>
    <row r="626" spans="1:11" x14ac:dyDescent="0.2">
      <c r="A626" t="s">
        <v>16</v>
      </c>
      <c r="B626" t="s">
        <v>942</v>
      </c>
      <c r="C626">
        <v>210</v>
      </c>
      <c r="D626" t="s">
        <v>10103</v>
      </c>
      <c r="E626" t="s">
        <v>50</v>
      </c>
      <c r="F626">
        <v>3</v>
      </c>
      <c r="G626">
        <v>0.48535547522217193</v>
      </c>
      <c r="H626" t="s">
        <v>90</v>
      </c>
      <c r="I626">
        <v>0</v>
      </c>
      <c r="J626">
        <v>6510</v>
      </c>
      <c r="K626">
        <v>0</v>
      </c>
    </row>
    <row r="627" spans="1:11" x14ac:dyDescent="0.2">
      <c r="A627" t="s">
        <v>16</v>
      </c>
      <c r="B627" t="s">
        <v>942</v>
      </c>
      <c r="C627">
        <v>210</v>
      </c>
      <c r="D627" t="s">
        <v>10099</v>
      </c>
      <c r="E627" t="s">
        <v>50</v>
      </c>
      <c r="F627">
        <v>3</v>
      </c>
      <c r="G627">
        <v>0.48535547522217193</v>
      </c>
      <c r="H627" t="s">
        <v>89</v>
      </c>
      <c r="I627">
        <v>0</v>
      </c>
      <c r="J627">
        <v>6510</v>
      </c>
      <c r="K627">
        <v>0</v>
      </c>
    </row>
    <row r="628" spans="1:11" x14ac:dyDescent="0.2">
      <c r="A628" t="s">
        <v>16</v>
      </c>
      <c r="B628" t="s">
        <v>942</v>
      </c>
      <c r="C628">
        <v>210</v>
      </c>
      <c r="D628" t="s">
        <v>10097</v>
      </c>
      <c r="E628" t="s">
        <v>50</v>
      </c>
      <c r="F628">
        <v>3</v>
      </c>
      <c r="G628">
        <v>0.48535547522217193</v>
      </c>
      <c r="H628" t="s">
        <v>88</v>
      </c>
      <c r="I628">
        <v>0</v>
      </c>
      <c r="J628">
        <v>6510</v>
      </c>
      <c r="K628">
        <v>0</v>
      </c>
    </row>
    <row r="629" spans="1:11" x14ac:dyDescent="0.2">
      <c r="A629" t="s">
        <v>16</v>
      </c>
      <c r="B629" t="s">
        <v>942</v>
      </c>
      <c r="C629">
        <v>210</v>
      </c>
      <c r="D629" t="s">
        <v>10101</v>
      </c>
      <c r="E629" t="s">
        <v>50</v>
      </c>
      <c r="F629">
        <v>3</v>
      </c>
      <c r="G629">
        <v>0.48535547522217193</v>
      </c>
      <c r="H629" t="s">
        <v>90</v>
      </c>
      <c r="I629">
        <v>0</v>
      </c>
      <c r="J629">
        <v>6510</v>
      </c>
      <c r="K629">
        <v>0</v>
      </c>
    </row>
    <row r="630" spans="1:11" x14ac:dyDescent="0.2">
      <c r="A630" t="s">
        <v>16</v>
      </c>
      <c r="B630" t="s">
        <v>942</v>
      </c>
      <c r="C630">
        <v>210</v>
      </c>
      <c r="D630" t="s">
        <v>10096</v>
      </c>
      <c r="E630" t="s">
        <v>50</v>
      </c>
      <c r="F630">
        <v>3</v>
      </c>
      <c r="G630">
        <v>0.48535547522217193</v>
      </c>
      <c r="H630" t="s">
        <v>89</v>
      </c>
      <c r="I630">
        <v>0</v>
      </c>
      <c r="J630">
        <v>6510</v>
      </c>
      <c r="K630">
        <v>0</v>
      </c>
    </row>
    <row r="631" spans="1:11" x14ac:dyDescent="0.2">
      <c r="A631" t="s">
        <v>16</v>
      </c>
      <c r="B631" t="s">
        <v>942</v>
      </c>
      <c r="C631">
        <v>210</v>
      </c>
      <c r="D631" t="s">
        <v>10090</v>
      </c>
      <c r="E631" t="s">
        <v>50</v>
      </c>
      <c r="F631">
        <v>3</v>
      </c>
      <c r="G631">
        <v>0.48535547522217193</v>
      </c>
      <c r="H631" t="s">
        <v>88</v>
      </c>
      <c r="I631">
        <v>0</v>
      </c>
      <c r="J631">
        <v>6510</v>
      </c>
      <c r="K631">
        <v>0</v>
      </c>
    </row>
    <row r="632" spans="1:11" x14ac:dyDescent="0.2">
      <c r="A632" t="s">
        <v>16</v>
      </c>
      <c r="B632" t="s">
        <v>942</v>
      </c>
      <c r="C632">
        <v>210</v>
      </c>
      <c r="D632" t="s">
        <v>10105</v>
      </c>
      <c r="E632" t="s">
        <v>50</v>
      </c>
      <c r="F632">
        <v>3</v>
      </c>
      <c r="G632">
        <v>0.48535547522217193</v>
      </c>
      <c r="H632" t="s">
        <v>90</v>
      </c>
      <c r="I632">
        <v>0</v>
      </c>
      <c r="J632">
        <v>6510</v>
      </c>
      <c r="K632">
        <v>0</v>
      </c>
    </row>
    <row r="633" spans="1:11" x14ac:dyDescent="0.2">
      <c r="A633" t="s">
        <v>16</v>
      </c>
      <c r="B633" t="s">
        <v>942</v>
      </c>
      <c r="C633">
        <v>210</v>
      </c>
      <c r="D633" t="s">
        <v>10104</v>
      </c>
      <c r="E633" t="s">
        <v>50</v>
      </c>
      <c r="F633">
        <v>3</v>
      </c>
      <c r="G633">
        <v>0.48535547522217193</v>
      </c>
      <c r="H633" t="s">
        <v>89</v>
      </c>
      <c r="I633">
        <v>0</v>
      </c>
      <c r="J633">
        <v>6510</v>
      </c>
      <c r="K633">
        <v>0</v>
      </c>
    </row>
    <row r="634" spans="1:11" x14ac:dyDescent="0.2">
      <c r="A634" t="s">
        <v>16</v>
      </c>
      <c r="B634" t="s">
        <v>942</v>
      </c>
      <c r="C634">
        <v>210</v>
      </c>
      <c r="D634" t="s">
        <v>10100</v>
      </c>
      <c r="E634" t="s">
        <v>50</v>
      </c>
      <c r="F634">
        <v>3</v>
      </c>
      <c r="G634">
        <v>0.48535547522217193</v>
      </c>
      <c r="H634" t="s">
        <v>88</v>
      </c>
      <c r="I634">
        <v>0</v>
      </c>
      <c r="J634">
        <v>6510</v>
      </c>
      <c r="K634">
        <v>0</v>
      </c>
    </row>
    <row r="635" spans="1:11" x14ac:dyDescent="0.2">
      <c r="A635" t="s">
        <v>16</v>
      </c>
      <c r="B635" t="s">
        <v>942</v>
      </c>
      <c r="C635">
        <v>210</v>
      </c>
      <c r="D635" t="s">
        <v>10092</v>
      </c>
      <c r="E635" t="s">
        <v>50</v>
      </c>
      <c r="F635">
        <v>3</v>
      </c>
      <c r="G635">
        <v>0.48535547522217193</v>
      </c>
      <c r="H635" t="s">
        <v>90</v>
      </c>
      <c r="I635">
        <v>0</v>
      </c>
      <c r="J635">
        <v>6510</v>
      </c>
      <c r="K635">
        <v>0</v>
      </c>
    </row>
    <row r="636" spans="1:11" x14ac:dyDescent="0.2">
      <c r="A636" t="s">
        <v>16</v>
      </c>
      <c r="B636" t="s">
        <v>942</v>
      </c>
      <c r="C636">
        <v>210</v>
      </c>
      <c r="D636" t="s">
        <v>10091</v>
      </c>
      <c r="E636" t="s">
        <v>50</v>
      </c>
      <c r="F636">
        <v>3</v>
      </c>
      <c r="G636">
        <v>0.48535547522217193</v>
      </c>
      <c r="H636" t="s">
        <v>89</v>
      </c>
      <c r="I636">
        <v>0</v>
      </c>
      <c r="J636">
        <v>6510</v>
      </c>
      <c r="K636">
        <v>0</v>
      </c>
    </row>
    <row r="637" spans="1:11" x14ac:dyDescent="0.2">
      <c r="A637" t="s">
        <v>16</v>
      </c>
      <c r="B637" t="s">
        <v>942</v>
      </c>
      <c r="C637">
        <v>210</v>
      </c>
      <c r="D637" t="s">
        <v>10089</v>
      </c>
      <c r="E637" t="s">
        <v>50</v>
      </c>
      <c r="F637">
        <v>3</v>
      </c>
      <c r="G637">
        <v>0.48535547522217193</v>
      </c>
      <c r="H637" t="s">
        <v>88</v>
      </c>
      <c r="I637">
        <v>0</v>
      </c>
      <c r="J637">
        <v>6510</v>
      </c>
      <c r="K637">
        <v>0</v>
      </c>
    </row>
    <row r="638" spans="1:11" x14ac:dyDescent="0.2">
      <c r="A638" t="s">
        <v>16</v>
      </c>
      <c r="B638" t="s">
        <v>942</v>
      </c>
      <c r="C638">
        <v>210</v>
      </c>
      <c r="D638" t="s">
        <v>10093</v>
      </c>
      <c r="E638" t="s">
        <v>50</v>
      </c>
      <c r="F638">
        <v>3</v>
      </c>
      <c r="G638">
        <v>0.48535547522217193</v>
      </c>
      <c r="H638" t="s">
        <v>90</v>
      </c>
      <c r="I638">
        <v>0</v>
      </c>
      <c r="J638">
        <v>6510</v>
      </c>
      <c r="K638">
        <v>0</v>
      </c>
    </row>
    <row r="639" spans="1:11" x14ac:dyDescent="0.2">
      <c r="A639" t="s">
        <v>16</v>
      </c>
      <c r="B639" t="s">
        <v>942</v>
      </c>
      <c r="C639">
        <v>210</v>
      </c>
      <c r="D639" t="s">
        <v>10088</v>
      </c>
      <c r="E639" t="s">
        <v>50</v>
      </c>
      <c r="F639">
        <v>3</v>
      </c>
      <c r="G639">
        <v>0.48535547522217193</v>
      </c>
      <c r="H639" t="s">
        <v>89</v>
      </c>
      <c r="I639">
        <v>0</v>
      </c>
      <c r="J639">
        <v>6510</v>
      </c>
      <c r="K639">
        <v>0</v>
      </c>
    </row>
    <row r="640" spans="1:11" x14ac:dyDescent="0.2">
      <c r="A640" t="s">
        <v>16</v>
      </c>
      <c r="B640" t="s">
        <v>942</v>
      </c>
      <c r="C640">
        <v>210</v>
      </c>
      <c r="D640" t="s">
        <v>10094</v>
      </c>
      <c r="E640" t="s">
        <v>50</v>
      </c>
      <c r="F640">
        <v>3</v>
      </c>
      <c r="G640">
        <v>0.48535547522217193</v>
      </c>
      <c r="H640" t="s">
        <v>88</v>
      </c>
      <c r="I640">
        <v>0</v>
      </c>
      <c r="J640">
        <v>6510</v>
      </c>
      <c r="K640">
        <v>0</v>
      </c>
    </row>
    <row r="641" spans="1:11" x14ac:dyDescent="0.2">
      <c r="A641" t="s">
        <v>16</v>
      </c>
      <c r="B641" t="s">
        <v>942</v>
      </c>
      <c r="C641">
        <v>210</v>
      </c>
      <c r="D641" t="s">
        <v>10095</v>
      </c>
      <c r="E641" t="s">
        <v>50</v>
      </c>
      <c r="F641">
        <v>3</v>
      </c>
      <c r="G641">
        <v>0.48535547522217193</v>
      </c>
      <c r="H641" t="s">
        <v>90</v>
      </c>
      <c r="I641">
        <v>0</v>
      </c>
      <c r="J641">
        <v>6510</v>
      </c>
      <c r="K641">
        <v>0</v>
      </c>
    </row>
    <row r="642" spans="1:11" x14ac:dyDescent="0.2">
      <c r="A642" t="s">
        <v>16</v>
      </c>
      <c r="B642" t="s">
        <v>967</v>
      </c>
      <c r="C642">
        <v>210</v>
      </c>
      <c r="D642" t="s">
        <v>10123</v>
      </c>
      <c r="E642" t="s">
        <v>50</v>
      </c>
      <c r="F642">
        <v>3</v>
      </c>
      <c r="G642">
        <v>0.45885889067842106</v>
      </c>
      <c r="H642" t="s">
        <v>87</v>
      </c>
      <c r="I642">
        <v>0</v>
      </c>
      <c r="J642">
        <v>6510</v>
      </c>
      <c r="K642">
        <v>0</v>
      </c>
    </row>
    <row r="643" spans="1:11" x14ac:dyDescent="0.2">
      <c r="A643" t="s">
        <v>16</v>
      </c>
      <c r="B643" t="s">
        <v>967</v>
      </c>
      <c r="C643">
        <v>210</v>
      </c>
      <c r="D643" t="s">
        <v>10110</v>
      </c>
      <c r="E643" t="s">
        <v>50</v>
      </c>
      <c r="F643">
        <v>3</v>
      </c>
      <c r="G643">
        <v>0.45885889067842106</v>
      </c>
      <c r="H643" t="s">
        <v>99</v>
      </c>
      <c r="I643">
        <v>0</v>
      </c>
      <c r="J643">
        <v>6510</v>
      </c>
      <c r="K643">
        <v>0</v>
      </c>
    </row>
    <row r="644" spans="1:11" x14ac:dyDescent="0.2">
      <c r="A644" t="s">
        <v>16</v>
      </c>
      <c r="B644" t="s">
        <v>967</v>
      </c>
      <c r="C644">
        <v>210</v>
      </c>
      <c r="D644" t="s">
        <v>10122</v>
      </c>
      <c r="E644" t="s">
        <v>50</v>
      </c>
      <c r="F644">
        <v>3</v>
      </c>
      <c r="G644">
        <v>0.45885889067842106</v>
      </c>
      <c r="H644" t="s">
        <v>100</v>
      </c>
      <c r="I644">
        <v>0</v>
      </c>
      <c r="J644">
        <v>6510</v>
      </c>
      <c r="K644">
        <v>0</v>
      </c>
    </row>
    <row r="645" spans="1:11" x14ac:dyDescent="0.2">
      <c r="A645" t="s">
        <v>16</v>
      </c>
      <c r="B645" t="s">
        <v>967</v>
      </c>
      <c r="C645">
        <v>210</v>
      </c>
      <c r="D645" t="s">
        <v>10116</v>
      </c>
      <c r="E645" t="s">
        <v>50</v>
      </c>
      <c r="F645">
        <v>3</v>
      </c>
      <c r="G645">
        <v>0.45885889067842106</v>
      </c>
      <c r="H645" t="s">
        <v>87</v>
      </c>
      <c r="I645">
        <v>0</v>
      </c>
      <c r="J645">
        <v>6510</v>
      </c>
      <c r="K645">
        <v>0</v>
      </c>
    </row>
    <row r="646" spans="1:11" x14ac:dyDescent="0.2">
      <c r="A646" t="s">
        <v>16</v>
      </c>
      <c r="B646" t="s">
        <v>967</v>
      </c>
      <c r="C646">
        <v>210</v>
      </c>
      <c r="D646" t="s">
        <v>10121</v>
      </c>
      <c r="E646" t="s">
        <v>50</v>
      </c>
      <c r="F646">
        <v>3</v>
      </c>
      <c r="G646">
        <v>0.45885889067842106</v>
      </c>
      <c r="H646" t="s">
        <v>99</v>
      </c>
      <c r="I646">
        <v>0</v>
      </c>
      <c r="J646">
        <v>6510</v>
      </c>
      <c r="K646">
        <v>0</v>
      </c>
    </row>
    <row r="647" spans="1:11" x14ac:dyDescent="0.2">
      <c r="A647" t="s">
        <v>16</v>
      </c>
      <c r="B647" t="s">
        <v>967</v>
      </c>
      <c r="C647">
        <v>210</v>
      </c>
      <c r="D647" t="s">
        <v>10115</v>
      </c>
      <c r="E647" t="s">
        <v>50</v>
      </c>
      <c r="F647">
        <v>3</v>
      </c>
      <c r="G647">
        <v>0.45885889067842106</v>
      </c>
      <c r="H647" t="s">
        <v>100</v>
      </c>
      <c r="I647">
        <v>0</v>
      </c>
      <c r="J647">
        <v>6510</v>
      </c>
      <c r="K647">
        <v>0</v>
      </c>
    </row>
    <row r="648" spans="1:11" x14ac:dyDescent="0.2">
      <c r="A648" t="s">
        <v>16</v>
      </c>
      <c r="B648" t="s">
        <v>967</v>
      </c>
      <c r="C648">
        <v>210</v>
      </c>
      <c r="D648" t="s">
        <v>10108</v>
      </c>
      <c r="E648" t="s">
        <v>50</v>
      </c>
      <c r="F648">
        <v>3</v>
      </c>
      <c r="G648">
        <v>0.45885889067842106</v>
      </c>
      <c r="H648" t="s">
        <v>87</v>
      </c>
      <c r="I648">
        <v>0</v>
      </c>
      <c r="J648">
        <v>6510</v>
      </c>
      <c r="K648">
        <v>0</v>
      </c>
    </row>
    <row r="649" spans="1:11" x14ac:dyDescent="0.2">
      <c r="A649" t="s">
        <v>16</v>
      </c>
      <c r="B649" t="s">
        <v>967</v>
      </c>
      <c r="C649">
        <v>210</v>
      </c>
      <c r="D649" t="s">
        <v>10118</v>
      </c>
      <c r="E649" t="s">
        <v>50</v>
      </c>
      <c r="F649">
        <v>3</v>
      </c>
      <c r="G649">
        <v>0.45885889067842106</v>
      </c>
      <c r="H649" t="s">
        <v>99</v>
      </c>
      <c r="I649">
        <v>0</v>
      </c>
      <c r="J649">
        <v>6510</v>
      </c>
      <c r="K649">
        <v>0</v>
      </c>
    </row>
    <row r="650" spans="1:11" x14ac:dyDescent="0.2">
      <c r="A650" t="s">
        <v>16</v>
      </c>
      <c r="B650" t="s">
        <v>967</v>
      </c>
      <c r="C650">
        <v>210</v>
      </c>
      <c r="D650" t="s">
        <v>10107</v>
      </c>
      <c r="E650" t="s">
        <v>50</v>
      </c>
      <c r="F650">
        <v>3</v>
      </c>
      <c r="G650">
        <v>0.45885889067842106</v>
      </c>
      <c r="H650" t="s">
        <v>100</v>
      </c>
      <c r="I650">
        <v>0</v>
      </c>
      <c r="J650">
        <v>6510</v>
      </c>
      <c r="K650">
        <v>0</v>
      </c>
    </row>
    <row r="651" spans="1:11" x14ac:dyDescent="0.2">
      <c r="A651" t="s">
        <v>16</v>
      </c>
      <c r="B651" t="s">
        <v>967</v>
      </c>
      <c r="C651">
        <v>210</v>
      </c>
      <c r="D651" t="s">
        <v>10111</v>
      </c>
      <c r="E651" t="s">
        <v>50</v>
      </c>
      <c r="F651">
        <v>3</v>
      </c>
      <c r="G651">
        <v>0.45885889067842106</v>
      </c>
      <c r="H651" t="s">
        <v>87</v>
      </c>
      <c r="I651">
        <v>0</v>
      </c>
      <c r="J651">
        <v>6510</v>
      </c>
      <c r="K651">
        <v>0</v>
      </c>
    </row>
    <row r="652" spans="1:11" x14ac:dyDescent="0.2">
      <c r="A652" t="s">
        <v>16</v>
      </c>
      <c r="B652" t="s">
        <v>967</v>
      </c>
      <c r="C652">
        <v>210</v>
      </c>
      <c r="D652" t="s">
        <v>10109</v>
      </c>
      <c r="E652" t="s">
        <v>50</v>
      </c>
      <c r="F652">
        <v>3</v>
      </c>
      <c r="G652">
        <v>0.45885889067842106</v>
      </c>
      <c r="H652" t="s">
        <v>99</v>
      </c>
      <c r="I652">
        <v>0</v>
      </c>
      <c r="J652">
        <v>6510</v>
      </c>
      <c r="K652">
        <v>0</v>
      </c>
    </row>
    <row r="653" spans="1:11" x14ac:dyDescent="0.2">
      <c r="A653" t="s">
        <v>16</v>
      </c>
      <c r="B653" t="s">
        <v>967</v>
      </c>
      <c r="C653">
        <v>210</v>
      </c>
      <c r="D653" t="s">
        <v>10119</v>
      </c>
      <c r="E653" t="s">
        <v>50</v>
      </c>
      <c r="F653">
        <v>3</v>
      </c>
      <c r="G653">
        <v>0.45885889067842106</v>
      </c>
      <c r="H653" t="s">
        <v>100</v>
      </c>
      <c r="I653">
        <v>0</v>
      </c>
      <c r="J653">
        <v>6510</v>
      </c>
      <c r="K653">
        <v>0</v>
      </c>
    </row>
    <row r="654" spans="1:11" x14ac:dyDescent="0.2">
      <c r="A654" t="s">
        <v>16</v>
      </c>
      <c r="B654" t="s">
        <v>967</v>
      </c>
      <c r="C654">
        <v>210</v>
      </c>
      <c r="D654" t="s">
        <v>10114</v>
      </c>
      <c r="E654" t="s">
        <v>50</v>
      </c>
      <c r="F654">
        <v>3</v>
      </c>
      <c r="G654">
        <v>0.45885889067842106</v>
      </c>
      <c r="H654" t="s">
        <v>87</v>
      </c>
      <c r="I654">
        <v>0</v>
      </c>
      <c r="J654">
        <v>6510</v>
      </c>
      <c r="K654">
        <v>0</v>
      </c>
    </row>
    <row r="655" spans="1:11" x14ac:dyDescent="0.2">
      <c r="A655" t="s">
        <v>16</v>
      </c>
      <c r="B655" t="s">
        <v>967</v>
      </c>
      <c r="C655">
        <v>210</v>
      </c>
      <c r="D655" t="s">
        <v>10112</v>
      </c>
      <c r="E655" t="s">
        <v>50</v>
      </c>
      <c r="F655">
        <v>3</v>
      </c>
      <c r="G655">
        <v>0.45885889067842106</v>
      </c>
      <c r="H655" t="s">
        <v>99</v>
      </c>
      <c r="I655">
        <v>0</v>
      </c>
      <c r="J655">
        <v>6510</v>
      </c>
      <c r="K655">
        <v>0</v>
      </c>
    </row>
    <row r="656" spans="1:11" x14ac:dyDescent="0.2">
      <c r="A656" t="s">
        <v>16</v>
      </c>
      <c r="B656" t="s">
        <v>967</v>
      </c>
      <c r="C656">
        <v>210</v>
      </c>
      <c r="D656" t="s">
        <v>10120</v>
      </c>
      <c r="E656" t="s">
        <v>50</v>
      </c>
      <c r="F656">
        <v>3</v>
      </c>
      <c r="G656">
        <v>0.45885889067842106</v>
      </c>
      <c r="H656" t="s">
        <v>100</v>
      </c>
      <c r="I656">
        <v>0</v>
      </c>
      <c r="J656">
        <v>6510</v>
      </c>
      <c r="K656">
        <v>0</v>
      </c>
    </row>
    <row r="657" spans="1:11" x14ac:dyDescent="0.2">
      <c r="A657" t="s">
        <v>16</v>
      </c>
      <c r="B657" t="s">
        <v>967</v>
      </c>
      <c r="C657">
        <v>210</v>
      </c>
      <c r="D657" t="s">
        <v>10113</v>
      </c>
      <c r="E657" t="s">
        <v>50</v>
      </c>
      <c r="F657">
        <v>3</v>
      </c>
      <c r="G657">
        <v>0.45885889067842106</v>
      </c>
      <c r="H657" t="s">
        <v>87</v>
      </c>
      <c r="I657">
        <v>0</v>
      </c>
      <c r="J657">
        <v>6510</v>
      </c>
      <c r="K657">
        <v>0</v>
      </c>
    </row>
    <row r="658" spans="1:11" x14ac:dyDescent="0.2">
      <c r="A658" t="s">
        <v>16</v>
      </c>
      <c r="B658" t="s">
        <v>6023</v>
      </c>
      <c r="C658">
        <v>360</v>
      </c>
      <c r="D658" t="s">
        <v>10274</v>
      </c>
      <c r="E658" t="s">
        <v>50</v>
      </c>
      <c r="F658">
        <v>7</v>
      </c>
      <c r="G658">
        <v>0.65300483025823963</v>
      </c>
      <c r="H658" t="s">
        <v>98</v>
      </c>
      <c r="I658">
        <v>0</v>
      </c>
      <c r="J658">
        <v>6480</v>
      </c>
      <c r="K658">
        <v>0</v>
      </c>
    </row>
    <row r="659" spans="1:11" x14ac:dyDescent="0.2">
      <c r="A659" t="s">
        <v>16</v>
      </c>
      <c r="B659" t="s">
        <v>294</v>
      </c>
      <c r="C659">
        <v>100</v>
      </c>
      <c r="D659" t="s">
        <v>9136</v>
      </c>
      <c r="E659" t="s">
        <v>50</v>
      </c>
      <c r="F659">
        <v>3</v>
      </c>
      <c r="G659">
        <v>0.10319158366214776</v>
      </c>
      <c r="H659" t="s">
        <v>104</v>
      </c>
      <c r="I659">
        <v>0</v>
      </c>
      <c r="J659">
        <v>6400</v>
      </c>
      <c r="K659">
        <v>0</v>
      </c>
    </row>
    <row r="660" spans="1:11" x14ac:dyDescent="0.2">
      <c r="A660" t="s">
        <v>16</v>
      </c>
      <c r="B660" t="s">
        <v>390</v>
      </c>
      <c r="C660">
        <v>120</v>
      </c>
      <c r="D660" t="s">
        <v>10056</v>
      </c>
      <c r="E660" t="s">
        <v>50</v>
      </c>
      <c r="F660">
        <v>2</v>
      </c>
      <c r="G660">
        <v>0.190157356450356</v>
      </c>
      <c r="H660" t="s">
        <v>91</v>
      </c>
      <c r="I660">
        <v>0</v>
      </c>
      <c r="J660">
        <v>6360</v>
      </c>
      <c r="K660">
        <v>0</v>
      </c>
    </row>
    <row r="661" spans="1:11" x14ac:dyDescent="0.2">
      <c r="A661" t="s">
        <v>16</v>
      </c>
      <c r="B661" t="s">
        <v>732</v>
      </c>
      <c r="C661">
        <v>450</v>
      </c>
      <c r="D661" t="s">
        <v>9094</v>
      </c>
      <c r="E661" t="s">
        <v>50</v>
      </c>
      <c r="F661">
        <v>9</v>
      </c>
      <c r="G661">
        <v>0.52642387838994509</v>
      </c>
      <c r="H661" t="s">
        <v>93</v>
      </c>
      <c r="I661">
        <v>0</v>
      </c>
      <c r="J661">
        <v>6300</v>
      </c>
      <c r="K661">
        <v>0</v>
      </c>
    </row>
    <row r="662" spans="1:11" x14ac:dyDescent="0.2">
      <c r="A662" t="s">
        <v>16</v>
      </c>
      <c r="B662" t="s">
        <v>732</v>
      </c>
      <c r="C662">
        <v>450</v>
      </c>
      <c r="D662" t="s">
        <v>9092</v>
      </c>
      <c r="E662" t="s">
        <v>50</v>
      </c>
      <c r="F662">
        <v>9</v>
      </c>
      <c r="G662">
        <v>0.52642387838994509</v>
      </c>
      <c r="H662" t="s">
        <v>105</v>
      </c>
      <c r="I662">
        <v>0</v>
      </c>
      <c r="J662">
        <v>6300</v>
      </c>
      <c r="K662">
        <v>0</v>
      </c>
    </row>
    <row r="663" spans="1:11" x14ac:dyDescent="0.2">
      <c r="A663" t="s">
        <v>16</v>
      </c>
      <c r="B663" t="s">
        <v>732</v>
      </c>
      <c r="C663">
        <v>450</v>
      </c>
      <c r="D663" t="s">
        <v>9093</v>
      </c>
      <c r="E663" t="s">
        <v>50</v>
      </c>
      <c r="F663">
        <v>9</v>
      </c>
      <c r="G663">
        <v>0.52642387838994509</v>
      </c>
      <c r="H663" t="s">
        <v>101</v>
      </c>
      <c r="I663">
        <v>0</v>
      </c>
      <c r="J663">
        <v>6300</v>
      </c>
      <c r="K663">
        <v>0</v>
      </c>
    </row>
    <row r="664" spans="1:11" x14ac:dyDescent="0.2">
      <c r="A664" t="s">
        <v>16</v>
      </c>
      <c r="B664" t="s">
        <v>732</v>
      </c>
      <c r="C664">
        <v>450</v>
      </c>
      <c r="D664" t="s">
        <v>9097</v>
      </c>
      <c r="E664" t="s">
        <v>50</v>
      </c>
      <c r="F664">
        <v>9</v>
      </c>
      <c r="G664">
        <v>0.52642387838994509</v>
      </c>
      <c r="H664" t="s">
        <v>98</v>
      </c>
      <c r="I664">
        <v>0</v>
      </c>
      <c r="J664">
        <v>6300</v>
      </c>
      <c r="K664">
        <v>0</v>
      </c>
    </row>
    <row r="665" spans="1:11" x14ac:dyDescent="0.2">
      <c r="A665" t="s">
        <v>16</v>
      </c>
      <c r="B665" t="s">
        <v>732</v>
      </c>
      <c r="C665">
        <v>450</v>
      </c>
      <c r="D665" t="s">
        <v>9087</v>
      </c>
      <c r="E665" t="s">
        <v>50</v>
      </c>
      <c r="F665">
        <v>9</v>
      </c>
      <c r="G665">
        <v>0.52642387838994509</v>
      </c>
      <c r="H665" t="s">
        <v>104</v>
      </c>
      <c r="I665">
        <v>0</v>
      </c>
      <c r="J665">
        <v>6300</v>
      </c>
      <c r="K665">
        <v>0</v>
      </c>
    </row>
    <row r="666" spans="1:11" x14ac:dyDescent="0.2">
      <c r="A666" t="s">
        <v>16</v>
      </c>
      <c r="B666" t="s">
        <v>732</v>
      </c>
      <c r="C666">
        <v>450</v>
      </c>
      <c r="D666" t="s">
        <v>9088</v>
      </c>
      <c r="E666" t="s">
        <v>50</v>
      </c>
      <c r="F666">
        <v>9</v>
      </c>
      <c r="G666">
        <v>0.52642387838994509</v>
      </c>
      <c r="H666" t="s">
        <v>93</v>
      </c>
      <c r="I666">
        <v>0</v>
      </c>
      <c r="J666">
        <v>6300</v>
      </c>
      <c r="K666">
        <v>0</v>
      </c>
    </row>
    <row r="667" spans="1:11" x14ac:dyDescent="0.2">
      <c r="A667" t="s">
        <v>16</v>
      </c>
      <c r="B667" t="s">
        <v>732</v>
      </c>
      <c r="C667">
        <v>450</v>
      </c>
      <c r="D667" t="s">
        <v>9098</v>
      </c>
      <c r="E667" t="s">
        <v>50</v>
      </c>
      <c r="F667">
        <v>9</v>
      </c>
      <c r="G667">
        <v>0.52642387838994509</v>
      </c>
      <c r="H667" t="s">
        <v>96</v>
      </c>
      <c r="I667">
        <v>0</v>
      </c>
      <c r="J667">
        <v>6300</v>
      </c>
      <c r="K667">
        <v>0</v>
      </c>
    </row>
    <row r="668" spans="1:11" x14ac:dyDescent="0.2">
      <c r="A668" t="s">
        <v>16</v>
      </c>
      <c r="B668" t="s">
        <v>732</v>
      </c>
      <c r="C668">
        <v>450</v>
      </c>
      <c r="D668" t="s">
        <v>9101</v>
      </c>
      <c r="E668" t="s">
        <v>50</v>
      </c>
      <c r="F668">
        <v>9</v>
      </c>
      <c r="G668">
        <v>0.52642387838994509</v>
      </c>
      <c r="H668" t="s">
        <v>97</v>
      </c>
      <c r="I668">
        <v>0</v>
      </c>
      <c r="J668">
        <v>6300</v>
      </c>
      <c r="K668">
        <v>0</v>
      </c>
    </row>
    <row r="669" spans="1:11" x14ac:dyDescent="0.2">
      <c r="A669" t="s">
        <v>16</v>
      </c>
      <c r="B669" t="s">
        <v>732</v>
      </c>
      <c r="C669">
        <v>450</v>
      </c>
      <c r="D669" t="s">
        <v>9089</v>
      </c>
      <c r="E669" t="s">
        <v>50</v>
      </c>
      <c r="F669">
        <v>9</v>
      </c>
      <c r="G669">
        <v>0.52642387838994509</v>
      </c>
      <c r="H669" t="s">
        <v>91</v>
      </c>
      <c r="I669">
        <v>0</v>
      </c>
      <c r="J669">
        <v>6300</v>
      </c>
      <c r="K669">
        <v>0</v>
      </c>
    </row>
    <row r="670" spans="1:11" x14ac:dyDescent="0.2">
      <c r="A670" t="s">
        <v>16</v>
      </c>
      <c r="B670" t="s">
        <v>732</v>
      </c>
      <c r="C670">
        <v>450</v>
      </c>
      <c r="D670" t="s">
        <v>9084</v>
      </c>
      <c r="E670" t="s">
        <v>50</v>
      </c>
      <c r="F670">
        <v>9</v>
      </c>
      <c r="G670">
        <v>0.52642387838994509</v>
      </c>
      <c r="H670" t="s">
        <v>105</v>
      </c>
      <c r="I670">
        <v>0</v>
      </c>
      <c r="J670">
        <v>6300</v>
      </c>
      <c r="K670">
        <v>0</v>
      </c>
    </row>
    <row r="671" spans="1:11" x14ac:dyDescent="0.2">
      <c r="A671" t="s">
        <v>16</v>
      </c>
      <c r="B671" t="s">
        <v>732</v>
      </c>
      <c r="C671">
        <v>450</v>
      </c>
      <c r="D671" t="s">
        <v>9091</v>
      </c>
      <c r="E671" t="s">
        <v>50</v>
      </c>
      <c r="F671">
        <v>9</v>
      </c>
      <c r="G671">
        <v>0.52642387838994509</v>
      </c>
      <c r="H671" t="s">
        <v>84</v>
      </c>
      <c r="I671">
        <v>0</v>
      </c>
      <c r="J671">
        <v>6300</v>
      </c>
      <c r="K671">
        <v>0</v>
      </c>
    </row>
    <row r="672" spans="1:11" x14ac:dyDescent="0.2">
      <c r="A672" t="s">
        <v>16</v>
      </c>
      <c r="B672" t="s">
        <v>732</v>
      </c>
      <c r="C672">
        <v>450</v>
      </c>
      <c r="D672" t="s">
        <v>9086</v>
      </c>
      <c r="E672" t="s">
        <v>50</v>
      </c>
      <c r="F672">
        <v>9</v>
      </c>
      <c r="G672">
        <v>0.52642387838994509</v>
      </c>
      <c r="H672" t="s">
        <v>101</v>
      </c>
      <c r="I672">
        <v>0</v>
      </c>
      <c r="J672">
        <v>6300</v>
      </c>
      <c r="K672">
        <v>0</v>
      </c>
    </row>
    <row r="673" spans="1:11" x14ac:dyDescent="0.2">
      <c r="A673" t="s">
        <v>16</v>
      </c>
      <c r="B673" t="s">
        <v>732</v>
      </c>
      <c r="C673">
        <v>450</v>
      </c>
      <c r="D673" t="s">
        <v>9099</v>
      </c>
      <c r="E673" t="s">
        <v>50</v>
      </c>
      <c r="F673">
        <v>9</v>
      </c>
      <c r="G673">
        <v>0.52642387838994509</v>
      </c>
      <c r="H673" t="s">
        <v>98</v>
      </c>
      <c r="I673">
        <v>0</v>
      </c>
      <c r="J673">
        <v>6300</v>
      </c>
      <c r="K673">
        <v>0</v>
      </c>
    </row>
    <row r="674" spans="1:11" x14ac:dyDescent="0.2">
      <c r="A674" t="s">
        <v>16</v>
      </c>
      <c r="B674" t="s">
        <v>732</v>
      </c>
      <c r="C674">
        <v>450</v>
      </c>
      <c r="D674" t="s">
        <v>9083</v>
      </c>
      <c r="E674" t="s">
        <v>50</v>
      </c>
      <c r="F674">
        <v>9</v>
      </c>
      <c r="G674">
        <v>0.52642387838994509</v>
      </c>
      <c r="H674" t="s">
        <v>104</v>
      </c>
      <c r="I674">
        <v>0</v>
      </c>
      <c r="J674">
        <v>6300</v>
      </c>
      <c r="K674">
        <v>0</v>
      </c>
    </row>
    <row r="675" spans="1:11" x14ac:dyDescent="0.2">
      <c r="A675" t="s">
        <v>16</v>
      </c>
      <c r="B675" t="s">
        <v>732</v>
      </c>
      <c r="C675">
        <v>450</v>
      </c>
      <c r="D675" t="s">
        <v>9100</v>
      </c>
      <c r="E675" t="s">
        <v>50</v>
      </c>
      <c r="F675">
        <v>9</v>
      </c>
      <c r="G675">
        <v>0.52642387838994509</v>
      </c>
      <c r="H675" t="s">
        <v>93</v>
      </c>
      <c r="I675">
        <v>0</v>
      </c>
      <c r="J675">
        <v>6300</v>
      </c>
      <c r="K675">
        <v>0</v>
      </c>
    </row>
    <row r="676" spans="1:11" x14ac:dyDescent="0.2">
      <c r="A676" t="s">
        <v>16</v>
      </c>
      <c r="B676" t="s">
        <v>732</v>
      </c>
      <c r="C676">
        <v>450</v>
      </c>
      <c r="D676" t="s">
        <v>9082</v>
      </c>
      <c r="E676" t="s">
        <v>50</v>
      </c>
      <c r="F676">
        <v>9</v>
      </c>
      <c r="G676">
        <v>0.52642387838994509</v>
      </c>
      <c r="H676" t="s">
        <v>96</v>
      </c>
      <c r="I676">
        <v>0</v>
      </c>
      <c r="J676">
        <v>6300</v>
      </c>
      <c r="K676">
        <v>0</v>
      </c>
    </row>
    <row r="677" spans="1:11" x14ac:dyDescent="0.2">
      <c r="A677" t="s">
        <v>16</v>
      </c>
      <c r="B677" t="s">
        <v>732</v>
      </c>
      <c r="C677">
        <v>450</v>
      </c>
      <c r="D677" t="s">
        <v>9096</v>
      </c>
      <c r="E677" t="s">
        <v>50</v>
      </c>
      <c r="F677">
        <v>9</v>
      </c>
      <c r="G677">
        <v>0.52642387838994509</v>
      </c>
      <c r="H677" t="s">
        <v>97</v>
      </c>
      <c r="I677">
        <v>0</v>
      </c>
      <c r="J677">
        <v>6300</v>
      </c>
      <c r="K677">
        <v>0</v>
      </c>
    </row>
    <row r="678" spans="1:11" x14ac:dyDescent="0.2">
      <c r="A678" t="s">
        <v>16</v>
      </c>
      <c r="B678" t="s">
        <v>732</v>
      </c>
      <c r="C678">
        <v>450</v>
      </c>
      <c r="D678" t="s">
        <v>9085</v>
      </c>
      <c r="E678" t="s">
        <v>50</v>
      </c>
      <c r="F678">
        <v>9</v>
      </c>
      <c r="G678">
        <v>0.52642387838994509</v>
      </c>
      <c r="H678" t="s">
        <v>91</v>
      </c>
      <c r="I678">
        <v>0</v>
      </c>
      <c r="J678">
        <v>6300</v>
      </c>
      <c r="K678">
        <v>0</v>
      </c>
    </row>
    <row r="679" spans="1:11" x14ac:dyDescent="0.2">
      <c r="A679" t="s">
        <v>16</v>
      </c>
      <c r="B679" t="s">
        <v>732</v>
      </c>
      <c r="C679">
        <v>450</v>
      </c>
      <c r="D679" t="s">
        <v>9090</v>
      </c>
      <c r="E679" t="s">
        <v>50</v>
      </c>
      <c r="F679">
        <v>9</v>
      </c>
      <c r="G679">
        <v>0.52642387838994509</v>
      </c>
      <c r="H679" t="s">
        <v>105</v>
      </c>
      <c r="I679">
        <v>0</v>
      </c>
      <c r="J679">
        <v>6300</v>
      </c>
      <c r="K679">
        <v>0</v>
      </c>
    </row>
    <row r="680" spans="1:11" x14ac:dyDescent="0.2">
      <c r="A680" t="s">
        <v>16</v>
      </c>
      <c r="B680" t="s">
        <v>1495</v>
      </c>
      <c r="C680">
        <v>450</v>
      </c>
      <c r="D680" t="s">
        <v>9132</v>
      </c>
      <c r="E680" t="s">
        <v>50</v>
      </c>
      <c r="F680">
        <v>3</v>
      </c>
      <c r="G680">
        <v>0.37965794310250145</v>
      </c>
      <c r="H680" t="s">
        <v>94</v>
      </c>
      <c r="I680">
        <v>0</v>
      </c>
      <c r="J680">
        <v>6300</v>
      </c>
      <c r="K680">
        <v>0</v>
      </c>
    </row>
    <row r="681" spans="1:11" x14ac:dyDescent="0.2">
      <c r="A681" t="s">
        <v>16</v>
      </c>
      <c r="B681" t="s">
        <v>368</v>
      </c>
      <c r="C681">
        <v>80</v>
      </c>
      <c r="D681" t="s">
        <v>9122</v>
      </c>
      <c r="E681" t="s">
        <v>50</v>
      </c>
      <c r="F681">
        <v>2</v>
      </c>
      <c r="G681">
        <v>0.14188213760705881</v>
      </c>
      <c r="H681" t="s">
        <v>92</v>
      </c>
      <c r="I681">
        <v>0</v>
      </c>
      <c r="J681">
        <v>6240</v>
      </c>
      <c r="K681">
        <v>0</v>
      </c>
    </row>
    <row r="682" spans="1:11" x14ac:dyDescent="0.2">
      <c r="A682" t="s">
        <v>16</v>
      </c>
      <c r="B682" t="s">
        <v>320</v>
      </c>
      <c r="C682">
        <v>200</v>
      </c>
      <c r="D682" t="s">
        <v>9430</v>
      </c>
      <c r="E682" t="s">
        <v>50</v>
      </c>
      <c r="F682">
        <v>5</v>
      </c>
      <c r="G682">
        <v>0.39655906116330936</v>
      </c>
      <c r="H682" t="s">
        <v>84</v>
      </c>
      <c r="I682">
        <v>0</v>
      </c>
      <c r="J682">
        <v>6200</v>
      </c>
      <c r="K682">
        <v>0</v>
      </c>
    </row>
    <row r="683" spans="1:11" x14ac:dyDescent="0.2">
      <c r="A683" t="s">
        <v>16</v>
      </c>
      <c r="B683" t="s">
        <v>373</v>
      </c>
      <c r="C683">
        <v>360</v>
      </c>
      <c r="D683" t="s">
        <v>10048</v>
      </c>
      <c r="E683" t="s">
        <v>50</v>
      </c>
      <c r="F683">
        <v>3</v>
      </c>
      <c r="G683">
        <v>0.57600158667195556</v>
      </c>
      <c r="H683" t="s">
        <v>101</v>
      </c>
      <c r="I683">
        <v>0</v>
      </c>
      <c r="J683">
        <v>6120</v>
      </c>
      <c r="K683">
        <v>0</v>
      </c>
    </row>
    <row r="684" spans="1:11" x14ac:dyDescent="0.2">
      <c r="A684" t="s">
        <v>16</v>
      </c>
      <c r="B684" t="s">
        <v>373</v>
      </c>
      <c r="C684">
        <v>360</v>
      </c>
      <c r="D684" t="s">
        <v>10046</v>
      </c>
      <c r="E684" t="s">
        <v>50</v>
      </c>
      <c r="F684">
        <v>3</v>
      </c>
      <c r="G684">
        <v>0.57600158667195556</v>
      </c>
      <c r="H684" t="s">
        <v>103</v>
      </c>
      <c r="I684">
        <v>0</v>
      </c>
      <c r="J684">
        <v>6120</v>
      </c>
      <c r="K684">
        <v>0</v>
      </c>
    </row>
    <row r="685" spans="1:11" x14ac:dyDescent="0.2">
      <c r="A685" t="s">
        <v>16</v>
      </c>
      <c r="B685" t="s">
        <v>373</v>
      </c>
      <c r="C685">
        <v>360</v>
      </c>
      <c r="D685" t="s">
        <v>10041</v>
      </c>
      <c r="E685" t="s">
        <v>50</v>
      </c>
      <c r="F685">
        <v>3</v>
      </c>
      <c r="G685">
        <v>0.57600158667195556</v>
      </c>
      <c r="H685" t="s">
        <v>94</v>
      </c>
      <c r="I685">
        <v>0</v>
      </c>
      <c r="J685">
        <v>6120</v>
      </c>
      <c r="K685">
        <v>0</v>
      </c>
    </row>
    <row r="686" spans="1:11" x14ac:dyDescent="0.2">
      <c r="A686" t="s">
        <v>16</v>
      </c>
      <c r="B686" t="s">
        <v>373</v>
      </c>
      <c r="C686">
        <v>360</v>
      </c>
      <c r="D686" t="s">
        <v>10043</v>
      </c>
      <c r="E686" t="s">
        <v>50</v>
      </c>
      <c r="F686">
        <v>3</v>
      </c>
      <c r="G686">
        <v>0.57600158667195556</v>
      </c>
      <c r="H686" t="s">
        <v>101</v>
      </c>
      <c r="I686">
        <v>0</v>
      </c>
      <c r="J686">
        <v>6120</v>
      </c>
      <c r="K686">
        <v>0</v>
      </c>
    </row>
    <row r="687" spans="1:11" x14ac:dyDescent="0.2">
      <c r="A687" t="s">
        <v>16</v>
      </c>
      <c r="B687" t="s">
        <v>373</v>
      </c>
      <c r="C687">
        <v>360</v>
      </c>
      <c r="D687" t="s">
        <v>10042</v>
      </c>
      <c r="E687" t="s">
        <v>50</v>
      </c>
      <c r="F687">
        <v>3</v>
      </c>
      <c r="G687">
        <v>0.57600158667195556</v>
      </c>
      <c r="H687" t="s">
        <v>103</v>
      </c>
      <c r="I687">
        <v>0</v>
      </c>
      <c r="J687">
        <v>6120</v>
      </c>
      <c r="K687">
        <v>0</v>
      </c>
    </row>
    <row r="688" spans="1:11" x14ac:dyDescent="0.2">
      <c r="A688" t="s">
        <v>16</v>
      </c>
      <c r="B688" t="s">
        <v>373</v>
      </c>
      <c r="C688">
        <v>360</v>
      </c>
      <c r="D688" t="s">
        <v>10047</v>
      </c>
      <c r="E688" t="s">
        <v>50</v>
      </c>
      <c r="F688">
        <v>3</v>
      </c>
      <c r="G688">
        <v>0.57600158667195556</v>
      </c>
      <c r="H688" t="s">
        <v>94</v>
      </c>
      <c r="I688">
        <v>0</v>
      </c>
      <c r="J688">
        <v>6120</v>
      </c>
      <c r="K688">
        <v>0</v>
      </c>
    </row>
    <row r="689" spans="1:11" x14ac:dyDescent="0.2">
      <c r="A689" t="s">
        <v>16</v>
      </c>
      <c r="B689" t="s">
        <v>373</v>
      </c>
      <c r="C689">
        <v>360</v>
      </c>
      <c r="D689" t="s">
        <v>10045</v>
      </c>
      <c r="E689" t="s">
        <v>50</v>
      </c>
      <c r="F689">
        <v>3</v>
      </c>
      <c r="G689">
        <v>0.57600158667195556</v>
      </c>
      <c r="H689" t="s">
        <v>101</v>
      </c>
      <c r="I689">
        <v>0</v>
      </c>
      <c r="J689">
        <v>6120</v>
      </c>
      <c r="K689">
        <v>0</v>
      </c>
    </row>
    <row r="690" spans="1:11" x14ac:dyDescent="0.2">
      <c r="A690" t="s">
        <v>16</v>
      </c>
      <c r="B690" t="s">
        <v>373</v>
      </c>
      <c r="C690">
        <v>360</v>
      </c>
      <c r="D690" t="s">
        <v>10040</v>
      </c>
      <c r="E690" t="s">
        <v>50</v>
      </c>
      <c r="F690">
        <v>3</v>
      </c>
      <c r="G690">
        <v>0.57600158667195556</v>
      </c>
      <c r="H690" t="s">
        <v>103</v>
      </c>
      <c r="I690">
        <v>0</v>
      </c>
      <c r="J690">
        <v>6120</v>
      </c>
      <c r="K690">
        <v>0</v>
      </c>
    </row>
    <row r="691" spans="1:11" x14ac:dyDescent="0.2">
      <c r="A691" t="s">
        <v>16</v>
      </c>
      <c r="B691" t="s">
        <v>373</v>
      </c>
      <c r="C691">
        <v>360</v>
      </c>
      <c r="D691" t="s">
        <v>10044</v>
      </c>
      <c r="E691" t="s">
        <v>50</v>
      </c>
      <c r="F691">
        <v>3</v>
      </c>
      <c r="G691">
        <v>0.57600158667195556</v>
      </c>
      <c r="H691" t="s">
        <v>94</v>
      </c>
      <c r="I691">
        <v>0</v>
      </c>
      <c r="J691">
        <v>6120</v>
      </c>
      <c r="K691">
        <v>0</v>
      </c>
    </row>
    <row r="692" spans="1:11" x14ac:dyDescent="0.2">
      <c r="A692" t="s">
        <v>16</v>
      </c>
      <c r="B692" t="s">
        <v>3948</v>
      </c>
      <c r="C692">
        <v>100</v>
      </c>
      <c r="D692" t="s">
        <v>9574</v>
      </c>
      <c r="E692" t="s">
        <v>50</v>
      </c>
      <c r="F692">
        <v>4</v>
      </c>
      <c r="G692">
        <v>0.18795933825710623</v>
      </c>
      <c r="H692" t="s">
        <v>98</v>
      </c>
      <c r="I692">
        <v>0</v>
      </c>
      <c r="J692">
        <v>6000</v>
      </c>
      <c r="K692">
        <v>0</v>
      </c>
    </row>
    <row r="693" spans="1:11" x14ac:dyDescent="0.2">
      <c r="A693" t="s">
        <v>16</v>
      </c>
      <c r="B693" t="s">
        <v>5920</v>
      </c>
      <c r="C693">
        <v>225</v>
      </c>
      <c r="D693" t="s">
        <v>10175</v>
      </c>
      <c r="E693" t="s">
        <v>50</v>
      </c>
      <c r="F693">
        <v>2</v>
      </c>
      <c r="G693">
        <v>0.50118200428933524</v>
      </c>
      <c r="H693" t="s">
        <v>104</v>
      </c>
      <c r="I693">
        <v>0</v>
      </c>
      <c r="J693">
        <v>5850</v>
      </c>
      <c r="K693">
        <v>0</v>
      </c>
    </row>
    <row r="694" spans="1:11" x14ac:dyDescent="0.2">
      <c r="A694" t="s">
        <v>16</v>
      </c>
      <c r="B694" t="s">
        <v>5920</v>
      </c>
      <c r="C694">
        <v>225</v>
      </c>
      <c r="D694" t="s">
        <v>10174</v>
      </c>
      <c r="E694" t="s">
        <v>50</v>
      </c>
      <c r="F694">
        <v>2</v>
      </c>
      <c r="G694">
        <v>0.50118200428933524</v>
      </c>
      <c r="H694" t="s">
        <v>95</v>
      </c>
      <c r="I694">
        <v>0</v>
      </c>
      <c r="J694">
        <v>5850</v>
      </c>
      <c r="K694">
        <v>0</v>
      </c>
    </row>
    <row r="695" spans="1:11" x14ac:dyDescent="0.2">
      <c r="A695" t="s">
        <v>16</v>
      </c>
      <c r="B695" t="s">
        <v>5920</v>
      </c>
      <c r="C695">
        <v>225</v>
      </c>
      <c r="D695" t="s">
        <v>10178</v>
      </c>
      <c r="E695" t="s">
        <v>50</v>
      </c>
      <c r="F695">
        <v>2</v>
      </c>
      <c r="G695">
        <v>0.50118200428933524</v>
      </c>
      <c r="H695" t="s">
        <v>104</v>
      </c>
      <c r="I695">
        <v>0</v>
      </c>
      <c r="J695">
        <v>5850</v>
      </c>
      <c r="K695">
        <v>0</v>
      </c>
    </row>
    <row r="696" spans="1:11" x14ac:dyDescent="0.2">
      <c r="A696" t="s">
        <v>16</v>
      </c>
      <c r="B696" t="s">
        <v>5920</v>
      </c>
      <c r="C696">
        <v>225</v>
      </c>
      <c r="D696" t="s">
        <v>10176</v>
      </c>
      <c r="E696" t="s">
        <v>50</v>
      </c>
      <c r="F696">
        <v>2</v>
      </c>
      <c r="G696">
        <v>0.50118200428933524</v>
      </c>
      <c r="H696" t="s">
        <v>95</v>
      </c>
      <c r="I696">
        <v>0</v>
      </c>
      <c r="J696">
        <v>5850</v>
      </c>
      <c r="K696">
        <v>0</v>
      </c>
    </row>
    <row r="697" spans="1:11" x14ac:dyDescent="0.2">
      <c r="A697" t="s">
        <v>16</v>
      </c>
      <c r="B697" t="s">
        <v>5920</v>
      </c>
      <c r="C697">
        <v>225</v>
      </c>
      <c r="D697" t="s">
        <v>10179</v>
      </c>
      <c r="E697" t="s">
        <v>50</v>
      </c>
      <c r="F697">
        <v>2</v>
      </c>
      <c r="G697">
        <v>0.50118200428933524</v>
      </c>
      <c r="H697" t="s">
        <v>104</v>
      </c>
      <c r="I697">
        <v>0</v>
      </c>
      <c r="J697">
        <v>5850</v>
      </c>
      <c r="K697">
        <v>0</v>
      </c>
    </row>
    <row r="698" spans="1:11" x14ac:dyDescent="0.2">
      <c r="A698" t="s">
        <v>16</v>
      </c>
      <c r="B698" t="s">
        <v>1493</v>
      </c>
      <c r="C698">
        <v>200</v>
      </c>
      <c r="D698" t="s">
        <v>9124</v>
      </c>
      <c r="E698" t="s">
        <v>50</v>
      </c>
      <c r="F698">
        <v>45</v>
      </c>
      <c r="G698">
        <v>0.36473011948908118</v>
      </c>
      <c r="H698" t="s">
        <v>93</v>
      </c>
      <c r="I698">
        <v>0</v>
      </c>
      <c r="J698">
        <v>5800</v>
      </c>
      <c r="K698">
        <v>0</v>
      </c>
    </row>
    <row r="699" spans="1:11" x14ac:dyDescent="0.2">
      <c r="A699" t="s">
        <v>16</v>
      </c>
      <c r="B699" t="s">
        <v>686</v>
      </c>
      <c r="C699">
        <v>300</v>
      </c>
      <c r="D699" t="s">
        <v>9568</v>
      </c>
      <c r="E699" t="s">
        <v>50</v>
      </c>
      <c r="F699">
        <v>17</v>
      </c>
      <c r="G699">
        <v>0.239746110373668</v>
      </c>
      <c r="H699" t="s">
        <v>96</v>
      </c>
      <c r="I699">
        <v>0</v>
      </c>
      <c r="J699">
        <v>5700</v>
      </c>
      <c r="K699">
        <v>0</v>
      </c>
    </row>
    <row r="700" spans="1:11" x14ac:dyDescent="0.2">
      <c r="A700" t="s">
        <v>16</v>
      </c>
      <c r="B700" t="s">
        <v>688</v>
      </c>
      <c r="C700">
        <v>300</v>
      </c>
      <c r="D700" t="s">
        <v>9571</v>
      </c>
      <c r="E700" t="s">
        <v>50</v>
      </c>
      <c r="F700">
        <v>11</v>
      </c>
      <c r="G700">
        <v>0.239746110373668</v>
      </c>
      <c r="H700" t="s">
        <v>97</v>
      </c>
      <c r="I700">
        <v>0</v>
      </c>
      <c r="J700">
        <v>5700</v>
      </c>
      <c r="K700">
        <v>0</v>
      </c>
    </row>
    <row r="701" spans="1:11" x14ac:dyDescent="0.2">
      <c r="A701" t="s">
        <v>16</v>
      </c>
      <c r="B701" t="s">
        <v>5209</v>
      </c>
      <c r="C701">
        <v>100</v>
      </c>
      <c r="D701" t="s">
        <v>10157</v>
      </c>
      <c r="E701" t="s">
        <v>50</v>
      </c>
      <c r="F701">
        <v>2</v>
      </c>
      <c r="G701">
        <v>0.1926008676613028</v>
      </c>
      <c r="H701" t="s">
        <v>91</v>
      </c>
      <c r="I701">
        <v>0</v>
      </c>
      <c r="J701">
        <v>5600</v>
      </c>
      <c r="K701">
        <v>0</v>
      </c>
    </row>
    <row r="702" spans="1:11" x14ac:dyDescent="0.2">
      <c r="A702" t="s">
        <v>16</v>
      </c>
      <c r="B702" t="s">
        <v>2816</v>
      </c>
      <c r="C702">
        <v>120</v>
      </c>
      <c r="D702" t="s">
        <v>9432</v>
      </c>
      <c r="E702" t="s">
        <v>50</v>
      </c>
      <c r="F702">
        <v>5</v>
      </c>
      <c r="G702">
        <v>0.24927787021630618</v>
      </c>
      <c r="H702" t="s">
        <v>105</v>
      </c>
      <c r="I702">
        <v>0</v>
      </c>
      <c r="J702">
        <v>5520</v>
      </c>
      <c r="K702">
        <v>0</v>
      </c>
    </row>
    <row r="703" spans="1:11" x14ac:dyDescent="0.2">
      <c r="A703" t="s">
        <v>16</v>
      </c>
      <c r="B703" t="s">
        <v>4701</v>
      </c>
      <c r="C703">
        <v>120</v>
      </c>
      <c r="D703" t="s">
        <v>10148</v>
      </c>
      <c r="E703" t="s">
        <v>50</v>
      </c>
      <c r="F703">
        <v>3</v>
      </c>
      <c r="G703">
        <v>0.29178073450113268</v>
      </c>
      <c r="H703" t="s">
        <v>92</v>
      </c>
      <c r="I703">
        <v>0</v>
      </c>
      <c r="J703">
        <v>5520</v>
      </c>
      <c r="K703">
        <v>0</v>
      </c>
    </row>
    <row r="704" spans="1:11" x14ac:dyDescent="0.2">
      <c r="A704" t="s">
        <v>16</v>
      </c>
      <c r="B704" t="s">
        <v>713</v>
      </c>
      <c r="C704">
        <v>300</v>
      </c>
      <c r="D704" t="s">
        <v>9788</v>
      </c>
      <c r="E704" t="s">
        <v>50</v>
      </c>
      <c r="F704">
        <v>2</v>
      </c>
      <c r="G704">
        <v>0.37815621689378648</v>
      </c>
      <c r="H704" t="s">
        <v>84</v>
      </c>
      <c r="I704">
        <v>0</v>
      </c>
      <c r="J704">
        <v>5400</v>
      </c>
      <c r="K704">
        <v>0</v>
      </c>
    </row>
    <row r="705" spans="1:11" x14ac:dyDescent="0.2">
      <c r="A705" t="s">
        <v>16</v>
      </c>
      <c r="B705" t="s">
        <v>713</v>
      </c>
      <c r="C705">
        <v>300</v>
      </c>
      <c r="D705" t="s">
        <v>9789</v>
      </c>
      <c r="E705" t="s">
        <v>50</v>
      </c>
      <c r="F705">
        <v>2</v>
      </c>
      <c r="G705">
        <v>0.37815621689378648</v>
      </c>
      <c r="H705" t="s">
        <v>98</v>
      </c>
      <c r="I705">
        <v>0</v>
      </c>
      <c r="J705">
        <v>5400</v>
      </c>
      <c r="K705">
        <v>0</v>
      </c>
    </row>
    <row r="706" spans="1:11" x14ac:dyDescent="0.2">
      <c r="A706" t="s">
        <v>16</v>
      </c>
      <c r="B706" t="s">
        <v>767</v>
      </c>
      <c r="C706">
        <v>300</v>
      </c>
      <c r="D706" t="s">
        <v>9793</v>
      </c>
      <c r="E706" t="s">
        <v>50</v>
      </c>
      <c r="F706">
        <v>1</v>
      </c>
      <c r="G706">
        <v>0.37815621689378648</v>
      </c>
      <c r="H706" t="s">
        <v>91</v>
      </c>
      <c r="I706">
        <v>0</v>
      </c>
      <c r="J706">
        <v>5400</v>
      </c>
      <c r="K706">
        <v>0</v>
      </c>
    </row>
    <row r="707" spans="1:11" x14ac:dyDescent="0.2">
      <c r="A707" t="s">
        <v>16</v>
      </c>
      <c r="B707" t="s">
        <v>767</v>
      </c>
      <c r="C707">
        <v>300</v>
      </c>
      <c r="D707" t="s">
        <v>9794</v>
      </c>
      <c r="E707" t="s">
        <v>50</v>
      </c>
      <c r="F707">
        <v>1</v>
      </c>
      <c r="G707">
        <v>0.37815621689378648</v>
      </c>
      <c r="H707" t="s">
        <v>91</v>
      </c>
      <c r="I707">
        <v>0</v>
      </c>
      <c r="J707">
        <v>5400</v>
      </c>
      <c r="K707">
        <v>0</v>
      </c>
    </row>
    <row r="708" spans="1:11" x14ac:dyDescent="0.2">
      <c r="A708" t="s">
        <v>16</v>
      </c>
      <c r="B708" t="s">
        <v>439</v>
      </c>
      <c r="C708">
        <v>330</v>
      </c>
      <c r="D708" t="s">
        <v>9341</v>
      </c>
      <c r="E708" t="s">
        <v>50</v>
      </c>
      <c r="F708">
        <v>3</v>
      </c>
      <c r="G708">
        <v>0.54264448551174516</v>
      </c>
      <c r="H708" t="s">
        <v>96</v>
      </c>
      <c r="I708">
        <v>0</v>
      </c>
      <c r="J708">
        <v>5280</v>
      </c>
      <c r="K708">
        <v>0</v>
      </c>
    </row>
    <row r="709" spans="1:11" x14ac:dyDescent="0.2">
      <c r="A709" t="s">
        <v>16</v>
      </c>
      <c r="B709" t="s">
        <v>439</v>
      </c>
      <c r="C709">
        <v>330</v>
      </c>
      <c r="D709" t="s">
        <v>9335</v>
      </c>
      <c r="E709" t="s">
        <v>50</v>
      </c>
      <c r="F709">
        <v>3</v>
      </c>
      <c r="G709">
        <v>0.54264448551174516</v>
      </c>
      <c r="H709" t="s">
        <v>97</v>
      </c>
      <c r="I709">
        <v>0</v>
      </c>
      <c r="J709">
        <v>5280</v>
      </c>
      <c r="K709">
        <v>0</v>
      </c>
    </row>
    <row r="710" spans="1:11" x14ac:dyDescent="0.2">
      <c r="A710" t="s">
        <v>16</v>
      </c>
      <c r="B710" t="s">
        <v>439</v>
      </c>
      <c r="C710">
        <v>330</v>
      </c>
      <c r="D710" t="s">
        <v>9337</v>
      </c>
      <c r="E710" t="s">
        <v>50</v>
      </c>
      <c r="F710">
        <v>3</v>
      </c>
      <c r="G710">
        <v>0.54264448551174516</v>
      </c>
      <c r="H710" t="s">
        <v>93</v>
      </c>
      <c r="I710">
        <v>0</v>
      </c>
      <c r="J710">
        <v>5280</v>
      </c>
      <c r="K710">
        <v>0</v>
      </c>
    </row>
    <row r="711" spans="1:11" x14ac:dyDescent="0.2">
      <c r="A711" t="s">
        <v>16</v>
      </c>
      <c r="B711" t="s">
        <v>439</v>
      </c>
      <c r="C711">
        <v>330</v>
      </c>
      <c r="D711" t="s">
        <v>9338</v>
      </c>
      <c r="E711" t="s">
        <v>50</v>
      </c>
      <c r="F711">
        <v>3</v>
      </c>
      <c r="G711">
        <v>0.54264448551174516</v>
      </c>
      <c r="H711" t="s">
        <v>96</v>
      </c>
      <c r="I711">
        <v>0</v>
      </c>
      <c r="J711">
        <v>5280</v>
      </c>
      <c r="K711">
        <v>0</v>
      </c>
    </row>
    <row r="712" spans="1:11" x14ac:dyDescent="0.2">
      <c r="A712" t="s">
        <v>16</v>
      </c>
      <c r="B712" t="s">
        <v>439</v>
      </c>
      <c r="C712">
        <v>330</v>
      </c>
      <c r="D712" t="s">
        <v>9336</v>
      </c>
      <c r="E712" t="s">
        <v>50</v>
      </c>
      <c r="F712">
        <v>3</v>
      </c>
      <c r="G712">
        <v>0.54264448551174516</v>
      </c>
      <c r="H712" t="s">
        <v>97</v>
      </c>
      <c r="I712">
        <v>0</v>
      </c>
      <c r="J712">
        <v>5280</v>
      </c>
      <c r="K712">
        <v>0</v>
      </c>
    </row>
    <row r="713" spans="1:11" x14ac:dyDescent="0.2">
      <c r="A713" t="s">
        <v>16</v>
      </c>
      <c r="B713" t="s">
        <v>439</v>
      </c>
      <c r="C713">
        <v>330</v>
      </c>
      <c r="D713" t="s">
        <v>9334</v>
      </c>
      <c r="E713" t="s">
        <v>50</v>
      </c>
      <c r="F713">
        <v>3</v>
      </c>
      <c r="G713">
        <v>0.54264448551174516</v>
      </c>
      <c r="H713" t="s">
        <v>93</v>
      </c>
      <c r="I713">
        <v>0</v>
      </c>
      <c r="J713">
        <v>5280</v>
      </c>
      <c r="K713">
        <v>0</v>
      </c>
    </row>
    <row r="714" spans="1:11" x14ac:dyDescent="0.2">
      <c r="A714" t="s">
        <v>16</v>
      </c>
      <c r="B714" t="s">
        <v>439</v>
      </c>
      <c r="C714">
        <v>330</v>
      </c>
      <c r="D714" t="s">
        <v>9340</v>
      </c>
      <c r="E714" t="s">
        <v>50</v>
      </c>
      <c r="F714">
        <v>3</v>
      </c>
      <c r="G714">
        <v>0.54264448551174516</v>
      </c>
      <c r="H714" t="s">
        <v>96</v>
      </c>
      <c r="I714">
        <v>0</v>
      </c>
      <c r="J714">
        <v>5280</v>
      </c>
      <c r="K714">
        <v>0</v>
      </c>
    </row>
    <row r="715" spans="1:11" x14ac:dyDescent="0.2">
      <c r="A715" t="s">
        <v>16</v>
      </c>
      <c r="B715" t="s">
        <v>3814</v>
      </c>
      <c r="C715">
        <v>200</v>
      </c>
      <c r="D715" t="s">
        <v>9550</v>
      </c>
      <c r="E715" t="s">
        <v>50</v>
      </c>
      <c r="F715">
        <v>6</v>
      </c>
      <c r="G715">
        <v>0.24612522514205179</v>
      </c>
      <c r="H715" t="s">
        <v>89</v>
      </c>
      <c r="I715">
        <v>0</v>
      </c>
      <c r="J715">
        <v>5200</v>
      </c>
      <c r="K715">
        <v>0</v>
      </c>
    </row>
    <row r="716" spans="1:11" x14ac:dyDescent="0.2">
      <c r="A716" t="s">
        <v>16</v>
      </c>
      <c r="B716" t="s">
        <v>714</v>
      </c>
      <c r="C716">
        <v>360</v>
      </c>
      <c r="D716" t="s">
        <v>9197</v>
      </c>
      <c r="E716" t="s">
        <v>50</v>
      </c>
      <c r="F716">
        <v>9</v>
      </c>
      <c r="G716">
        <v>0.36954253406235904</v>
      </c>
      <c r="H716" t="s">
        <v>84</v>
      </c>
      <c r="I716">
        <v>0</v>
      </c>
      <c r="J716">
        <v>5040</v>
      </c>
      <c r="K716">
        <v>0</v>
      </c>
    </row>
    <row r="717" spans="1:11" x14ac:dyDescent="0.2">
      <c r="A717" t="s">
        <v>16</v>
      </c>
      <c r="B717" t="s">
        <v>714</v>
      </c>
      <c r="C717">
        <v>360</v>
      </c>
      <c r="D717" t="s">
        <v>9180</v>
      </c>
      <c r="E717" t="s">
        <v>50</v>
      </c>
      <c r="F717">
        <v>9</v>
      </c>
      <c r="G717">
        <v>0.36954253406235904</v>
      </c>
      <c r="H717" t="s">
        <v>105</v>
      </c>
      <c r="I717">
        <v>0</v>
      </c>
      <c r="J717">
        <v>5040</v>
      </c>
      <c r="K717">
        <v>0</v>
      </c>
    </row>
    <row r="718" spans="1:11" x14ac:dyDescent="0.2">
      <c r="A718" t="s">
        <v>16</v>
      </c>
      <c r="B718" t="s">
        <v>714</v>
      </c>
      <c r="C718">
        <v>360</v>
      </c>
      <c r="D718" t="s">
        <v>9187</v>
      </c>
      <c r="E718" t="s">
        <v>50</v>
      </c>
      <c r="F718">
        <v>9</v>
      </c>
      <c r="G718">
        <v>0.36954253406235904</v>
      </c>
      <c r="H718" t="s">
        <v>92</v>
      </c>
      <c r="I718">
        <v>0</v>
      </c>
      <c r="J718">
        <v>5040</v>
      </c>
      <c r="K718">
        <v>0</v>
      </c>
    </row>
    <row r="719" spans="1:11" x14ac:dyDescent="0.2">
      <c r="A719" t="s">
        <v>16</v>
      </c>
      <c r="B719" t="s">
        <v>714</v>
      </c>
      <c r="C719">
        <v>360</v>
      </c>
      <c r="D719" t="s">
        <v>9191</v>
      </c>
      <c r="E719" t="s">
        <v>50</v>
      </c>
      <c r="F719">
        <v>9</v>
      </c>
      <c r="G719">
        <v>0.36954253406235904</v>
      </c>
      <c r="H719" t="s">
        <v>88</v>
      </c>
      <c r="I719">
        <v>0</v>
      </c>
      <c r="J719">
        <v>5040</v>
      </c>
      <c r="K719">
        <v>0</v>
      </c>
    </row>
    <row r="720" spans="1:11" x14ac:dyDescent="0.2">
      <c r="A720" t="s">
        <v>16</v>
      </c>
      <c r="B720" t="s">
        <v>714</v>
      </c>
      <c r="C720">
        <v>360</v>
      </c>
      <c r="D720" t="s">
        <v>9185</v>
      </c>
      <c r="E720" t="s">
        <v>50</v>
      </c>
      <c r="F720">
        <v>9</v>
      </c>
      <c r="G720">
        <v>0.36954253406235904</v>
      </c>
      <c r="H720" t="s">
        <v>98</v>
      </c>
      <c r="I720">
        <v>0</v>
      </c>
      <c r="J720">
        <v>5040</v>
      </c>
      <c r="K720">
        <v>0</v>
      </c>
    </row>
    <row r="721" spans="1:11" x14ac:dyDescent="0.2">
      <c r="A721" t="s">
        <v>16</v>
      </c>
      <c r="B721" t="s">
        <v>714</v>
      </c>
      <c r="C721">
        <v>360</v>
      </c>
      <c r="D721" t="s">
        <v>9188</v>
      </c>
      <c r="E721" t="s">
        <v>50</v>
      </c>
      <c r="F721">
        <v>9</v>
      </c>
      <c r="G721">
        <v>0.36954253406235904</v>
      </c>
      <c r="H721" t="s">
        <v>84</v>
      </c>
      <c r="I721">
        <v>0</v>
      </c>
      <c r="J721">
        <v>5040</v>
      </c>
      <c r="K721">
        <v>0</v>
      </c>
    </row>
    <row r="722" spans="1:11" x14ac:dyDescent="0.2">
      <c r="A722" t="s">
        <v>16</v>
      </c>
      <c r="B722" t="s">
        <v>714</v>
      </c>
      <c r="C722">
        <v>360</v>
      </c>
      <c r="D722" t="s">
        <v>9184</v>
      </c>
      <c r="E722" t="s">
        <v>50</v>
      </c>
      <c r="F722">
        <v>9</v>
      </c>
      <c r="G722">
        <v>0.36954253406235904</v>
      </c>
      <c r="H722" t="s">
        <v>105</v>
      </c>
      <c r="I722">
        <v>0</v>
      </c>
      <c r="J722">
        <v>5040</v>
      </c>
      <c r="K722">
        <v>0</v>
      </c>
    </row>
    <row r="723" spans="1:11" x14ac:dyDescent="0.2">
      <c r="A723" t="s">
        <v>16</v>
      </c>
      <c r="B723" t="s">
        <v>714</v>
      </c>
      <c r="C723">
        <v>360</v>
      </c>
      <c r="D723" t="s">
        <v>9194</v>
      </c>
      <c r="E723" t="s">
        <v>50</v>
      </c>
      <c r="F723">
        <v>9</v>
      </c>
      <c r="G723">
        <v>0.36954253406235904</v>
      </c>
      <c r="H723" t="s">
        <v>95</v>
      </c>
      <c r="I723">
        <v>0</v>
      </c>
      <c r="J723">
        <v>5040</v>
      </c>
      <c r="K723">
        <v>0</v>
      </c>
    </row>
    <row r="724" spans="1:11" x14ac:dyDescent="0.2">
      <c r="A724" t="s">
        <v>16</v>
      </c>
      <c r="B724" t="s">
        <v>714</v>
      </c>
      <c r="C724">
        <v>360</v>
      </c>
      <c r="D724" t="s">
        <v>9183</v>
      </c>
      <c r="E724" t="s">
        <v>50</v>
      </c>
      <c r="F724">
        <v>9</v>
      </c>
      <c r="G724">
        <v>0.36954253406235904</v>
      </c>
      <c r="H724" t="s">
        <v>99</v>
      </c>
      <c r="I724">
        <v>0</v>
      </c>
      <c r="J724">
        <v>5040</v>
      </c>
      <c r="K724">
        <v>0</v>
      </c>
    </row>
    <row r="725" spans="1:11" x14ac:dyDescent="0.2">
      <c r="A725" t="s">
        <v>16</v>
      </c>
      <c r="B725" t="s">
        <v>714</v>
      </c>
      <c r="C725">
        <v>360</v>
      </c>
      <c r="D725" t="s">
        <v>9196</v>
      </c>
      <c r="E725" t="s">
        <v>50</v>
      </c>
      <c r="F725">
        <v>9</v>
      </c>
      <c r="G725">
        <v>0.36954253406235904</v>
      </c>
      <c r="H725" t="s">
        <v>100</v>
      </c>
      <c r="I725">
        <v>0</v>
      </c>
      <c r="J725">
        <v>5040</v>
      </c>
      <c r="K725">
        <v>0</v>
      </c>
    </row>
    <row r="726" spans="1:11" x14ac:dyDescent="0.2">
      <c r="A726" t="s">
        <v>16</v>
      </c>
      <c r="B726" t="s">
        <v>714</v>
      </c>
      <c r="C726">
        <v>360</v>
      </c>
      <c r="D726" t="s">
        <v>9177</v>
      </c>
      <c r="E726" t="s">
        <v>50</v>
      </c>
      <c r="F726">
        <v>9</v>
      </c>
      <c r="G726">
        <v>0.36954253406235904</v>
      </c>
      <c r="H726" t="s">
        <v>92</v>
      </c>
      <c r="I726">
        <v>0</v>
      </c>
      <c r="J726">
        <v>5040</v>
      </c>
      <c r="K726">
        <v>0</v>
      </c>
    </row>
    <row r="727" spans="1:11" x14ac:dyDescent="0.2">
      <c r="A727" t="s">
        <v>16</v>
      </c>
      <c r="B727" t="s">
        <v>714</v>
      </c>
      <c r="C727">
        <v>360</v>
      </c>
      <c r="D727" t="s">
        <v>9178</v>
      </c>
      <c r="E727" t="s">
        <v>50</v>
      </c>
      <c r="F727">
        <v>9</v>
      </c>
      <c r="G727">
        <v>0.36954253406235904</v>
      </c>
      <c r="H727" t="s">
        <v>88</v>
      </c>
      <c r="I727">
        <v>0</v>
      </c>
      <c r="J727">
        <v>5040</v>
      </c>
      <c r="K727">
        <v>0</v>
      </c>
    </row>
    <row r="728" spans="1:11" x14ac:dyDescent="0.2">
      <c r="A728" t="s">
        <v>16</v>
      </c>
      <c r="B728" t="s">
        <v>714</v>
      </c>
      <c r="C728">
        <v>360</v>
      </c>
      <c r="D728" t="s">
        <v>9179</v>
      </c>
      <c r="E728" t="s">
        <v>50</v>
      </c>
      <c r="F728">
        <v>9</v>
      </c>
      <c r="G728">
        <v>0.36954253406235904</v>
      </c>
      <c r="H728" t="s">
        <v>101</v>
      </c>
      <c r="I728">
        <v>0</v>
      </c>
      <c r="J728">
        <v>5040</v>
      </c>
      <c r="K728">
        <v>0</v>
      </c>
    </row>
    <row r="729" spans="1:11" x14ac:dyDescent="0.2">
      <c r="A729" t="s">
        <v>16</v>
      </c>
      <c r="B729" t="s">
        <v>714</v>
      </c>
      <c r="C729">
        <v>360</v>
      </c>
      <c r="D729" t="s">
        <v>9199</v>
      </c>
      <c r="E729" t="s">
        <v>50</v>
      </c>
      <c r="F729">
        <v>9</v>
      </c>
      <c r="G729">
        <v>0.36954253406235904</v>
      </c>
      <c r="H729" t="s">
        <v>98</v>
      </c>
      <c r="I729">
        <v>0</v>
      </c>
      <c r="J729">
        <v>5040</v>
      </c>
      <c r="K729">
        <v>0</v>
      </c>
    </row>
    <row r="730" spans="1:11" x14ac:dyDescent="0.2">
      <c r="A730" t="s">
        <v>16</v>
      </c>
      <c r="B730" t="s">
        <v>714</v>
      </c>
      <c r="C730">
        <v>360</v>
      </c>
      <c r="D730" t="s">
        <v>9198</v>
      </c>
      <c r="E730" t="s">
        <v>50</v>
      </c>
      <c r="F730">
        <v>9</v>
      </c>
      <c r="G730">
        <v>0.36954253406235904</v>
      </c>
      <c r="H730" t="s">
        <v>84</v>
      </c>
      <c r="I730">
        <v>0</v>
      </c>
      <c r="J730">
        <v>5040</v>
      </c>
      <c r="K730">
        <v>0</v>
      </c>
    </row>
    <row r="731" spans="1:11" x14ac:dyDescent="0.2">
      <c r="A731" t="s">
        <v>16</v>
      </c>
      <c r="B731" t="s">
        <v>714</v>
      </c>
      <c r="C731">
        <v>360</v>
      </c>
      <c r="D731" t="s">
        <v>9189</v>
      </c>
      <c r="E731" t="s">
        <v>50</v>
      </c>
      <c r="F731">
        <v>9</v>
      </c>
      <c r="G731">
        <v>0.36954253406235904</v>
      </c>
      <c r="H731" t="s">
        <v>105</v>
      </c>
      <c r="I731">
        <v>0</v>
      </c>
      <c r="J731">
        <v>5040</v>
      </c>
      <c r="K731">
        <v>0</v>
      </c>
    </row>
    <row r="732" spans="1:11" x14ac:dyDescent="0.2">
      <c r="A732" t="s">
        <v>16</v>
      </c>
      <c r="B732" t="s">
        <v>714</v>
      </c>
      <c r="C732">
        <v>360</v>
      </c>
      <c r="D732" t="s">
        <v>9193</v>
      </c>
      <c r="E732" t="s">
        <v>50</v>
      </c>
      <c r="F732">
        <v>9</v>
      </c>
      <c r="G732">
        <v>0.36954253406235904</v>
      </c>
      <c r="H732" t="s">
        <v>95</v>
      </c>
      <c r="I732">
        <v>0</v>
      </c>
      <c r="J732">
        <v>5040</v>
      </c>
      <c r="K732">
        <v>0</v>
      </c>
    </row>
    <row r="733" spans="1:11" x14ac:dyDescent="0.2">
      <c r="A733" t="s">
        <v>16</v>
      </c>
      <c r="B733" t="s">
        <v>714</v>
      </c>
      <c r="C733">
        <v>360</v>
      </c>
      <c r="D733" t="s">
        <v>9192</v>
      </c>
      <c r="E733" t="s">
        <v>50</v>
      </c>
      <c r="F733">
        <v>9</v>
      </c>
      <c r="G733">
        <v>0.36954253406235904</v>
      </c>
      <c r="H733" t="s">
        <v>99</v>
      </c>
      <c r="I733">
        <v>0</v>
      </c>
      <c r="J733">
        <v>5040</v>
      </c>
      <c r="K733">
        <v>0</v>
      </c>
    </row>
    <row r="734" spans="1:11" x14ac:dyDescent="0.2">
      <c r="A734" t="s">
        <v>16</v>
      </c>
      <c r="B734" t="s">
        <v>714</v>
      </c>
      <c r="C734">
        <v>360</v>
      </c>
      <c r="D734" t="s">
        <v>9186</v>
      </c>
      <c r="E734" t="s">
        <v>50</v>
      </c>
      <c r="F734">
        <v>9</v>
      </c>
      <c r="G734">
        <v>0.36954253406235904</v>
      </c>
      <c r="H734" t="s">
        <v>100</v>
      </c>
      <c r="I734">
        <v>0</v>
      </c>
      <c r="J734">
        <v>5040</v>
      </c>
      <c r="K734">
        <v>0</v>
      </c>
    </row>
    <row r="735" spans="1:11" x14ac:dyDescent="0.2">
      <c r="A735" t="s">
        <v>16</v>
      </c>
      <c r="B735" t="s">
        <v>714</v>
      </c>
      <c r="C735">
        <v>360</v>
      </c>
      <c r="D735" t="s">
        <v>9195</v>
      </c>
      <c r="E735" t="s">
        <v>50</v>
      </c>
      <c r="F735">
        <v>9</v>
      </c>
      <c r="G735">
        <v>0.36954253406235904</v>
      </c>
      <c r="H735" t="s">
        <v>92</v>
      </c>
      <c r="I735">
        <v>0</v>
      </c>
      <c r="J735">
        <v>5040</v>
      </c>
      <c r="K735">
        <v>0</v>
      </c>
    </row>
    <row r="736" spans="1:11" x14ac:dyDescent="0.2">
      <c r="A736" t="s">
        <v>16</v>
      </c>
      <c r="B736" t="s">
        <v>714</v>
      </c>
      <c r="C736">
        <v>360</v>
      </c>
      <c r="D736" t="s">
        <v>9190</v>
      </c>
      <c r="E736" t="s">
        <v>50</v>
      </c>
      <c r="F736">
        <v>9</v>
      </c>
      <c r="G736">
        <v>0.36954253406235904</v>
      </c>
      <c r="H736" t="s">
        <v>88</v>
      </c>
      <c r="I736">
        <v>0</v>
      </c>
      <c r="J736">
        <v>5040</v>
      </c>
      <c r="K736">
        <v>0</v>
      </c>
    </row>
    <row r="737" spans="1:11" x14ac:dyDescent="0.2">
      <c r="A737" t="s">
        <v>16</v>
      </c>
      <c r="B737" t="s">
        <v>714</v>
      </c>
      <c r="C737">
        <v>360</v>
      </c>
      <c r="D737" t="s">
        <v>9182</v>
      </c>
      <c r="E737" t="s">
        <v>50</v>
      </c>
      <c r="F737">
        <v>9</v>
      </c>
      <c r="G737">
        <v>0.36954253406235904</v>
      </c>
      <c r="H737" t="s">
        <v>101</v>
      </c>
      <c r="I737">
        <v>0</v>
      </c>
      <c r="J737">
        <v>5040</v>
      </c>
      <c r="K737">
        <v>0</v>
      </c>
    </row>
    <row r="738" spans="1:11" x14ac:dyDescent="0.2">
      <c r="A738" t="s">
        <v>16</v>
      </c>
      <c r="B738" t="s">
        <v>1023</v>
      </c>
      <c r="C738">
        <v>360</v>
      </c>
      <c r="D738" t="s">
        <v>9202</v>
      </c>
      <c r="E738" t="s">
        <v>50</v>
      </c>
      <c r="F738">
        <v>9</v>
      </c>
      <c r="G738">
        <v>0.36954253406235904</v>
      </c>
      <c r="H738" t="s">
        <v>89</v>
      </c>
      <c r="I738">
        <v>0</v>
      </c>
      <c r="J738">
        <v>5040</v>
      </c>
      <c r="K738">
        <v>0</v>
      </c>
    </row>
    <row r="739" spans="1:11" x14ac:dyDescent="0.2">
      <c r="A739" t="s">
        <v>16</v>
      </c>
      <c r="B739" t="s">
        <v>1023</v>
      </c>
      <c r="C739">
        <v>360</v>
      </c>
      <c r="D739" t="s">
        <v>9204</v>
      </c>
      <c r="E739" t="s">
        <v>50</v>
      </c>
      <c r="F739">
        <v>9</v>
      </c>
      <c r="G739">
        <v>0.36954253406235904</v>
      </c>
      <c r="H739" t="s">
        <v>103</v>
      </c>
      <c r="I739">
        <v>0</v>
      </c>
      <c r="J739">
        <v>5040</v>
      </c>
      <c r="K739">
        <v>0</v>
      </c>
    </row>
    <row r="740" spans="1:11" x14ac:dyDescent="0.2">
      <c r="A740" t="s">
        <v>16</v>
      </c>
      <c r="B740" t="s">
        <v>1023</v>
      </c>
      <c r="C740">
        <v>360</v>
      </c>
      <c r="D740" t="s">
        <v>9205</v>
      </c>
      <c r="E740" t="s">
        <v>50</v>
      </c>
      <c r="F740">
        <v>9</v>
      </c>
      <c r="G740">
        <v>0.36954253406235904</v>
      </c>
      <c r="H740" t="s">
        <v>90</v>
      </c>
      <c r="I740">
        <v>0</v>
      </c>
      <c r="J740">
        <v>5040</v>
      </c>
      <c r="K740">
        <v>0</v>
      </c>
    </row>
    <row r="741" spans="1:11" x14ac:dyDescent="0.2">
      <c r="A741" t="s">
        <v>16</v>
      </c>
      <c r="B741" t="s">
        <v>1023</v>
      </c>
      <c r="C741">
        <v>360</v>
      </c>
      <c r="D741" t="s">
        <v>9212</v>
      </c>
      <c r="E741" t="s">
        <v>50</v>
      </c>
      <c r="F741">
        <v>9</v>
      </c>
      <c r="G741">
        <v>0.36954253406235904</v>
      </c>
      <c r="H741" t="s">
        <v>87</v>
      </c>
      <c r="I741">
        <v>0</v>
      </c>
      <c r="J741">
        <v>5040</v>
      </c>
      <c r="K741">
        <v>0</v>
      </c>
    </row>
    <row r="742" spans="1:11" x14ac:dyDescent="0.2">
      <c r="A742" t="s">
        <v>16</v>
      </c>
      <c r="B742" t="s">
        <v>1023</v>
      </c>
      <c r="C742">
        <v>360</v>
      </c>
      <c r="D742" t="s">
        <v>9213</v>
      </c>
      <c r="E742" t="s">
        <v>50</v>
      </c>
      <c r="F742">
        <v>9</v>
      </c>
      <c r="G742">
        <v>0.36954253406235904</v>
      </c>
      <c r="H742" t="s">
        <v>97</v>
      </c>
      <c r="I742">
        <v>0</v>
      </c>
      <c r="J742">
        <v>5040</v>
      </c>
      <c r="K742">
        <v>0</v>
      </c>
    </row>
    <row r="743" spans="1:11" x14ac:dyDescent="0.2">
      <c r="A743" t="s">
        <v>16</v>
      </c>
      <c r="B743" t="s">
        <v>1023</v>
      </c>
      <c r="C743">
        <v>360</v>
      </c>
      <c r="D743" t="s">
        <v>9200</v>
      </c>
      <c r="E743" t="s">
        <v>50</v>
      </c>
      <c r="F743">
        <v>9</v>
      </c>
      <c r="G743">
        <v>0.36954253406235904</v>
      </c>
      <c r="H743" t="s">
        <v>93</v>
      </c>
      <c r="I743">
        <v>0</v>
      </c>
      <c r="J743">
        <v>5040</v>
      </c>
      <c r="K743">
        <v>0</v>
      </c>
    </row>
    <row r="744" spans="1:11" x14ac:dyDescent="0.2">
      <c r="A744" t="s">
        <v>16</v>
      </c>
      <c r="B744" t="s">
        <v>1023</v>
      </c>
      <c r="C744">
        <v>360</v>
      </c>
      <c r="D744" t="s">
        <v>9203</v>
      </c>
      <c r="E744" t="s">
        <v>50</v>
      </c>
      <c r="F744">
        <v>9</v>
      </c>
      <c r="G744">
        <v>0.36954253406235904</v>
      </c>
      <c r="H744" t="s">
        <v>91</v>
      </c>
      <c r="I744">
        <v>0</v>
      </c>
      <c r="J744">
        <v>5040</v>
      </c>
      <c r="K744">
        <v>0</v>
      </c>
    </row>
    <row r="745" spans="1:11" x14ac:dyDescent="0.2">
      <c r="A745" t="s">
        <v>16</v>
      </c>
      <c r="B745" t="s">
        <v>1023</v>
      </c>
      <c r="C745">
        <v>360</v>
      </c>
      <c r="D745" t="s">
        <v>9208</v>
      </c>
      <c r="E745" t="s">
        <v>50</v>
      </c>
      <c r="F745">
        <v>9</v>
      </c>
      <c r="G745">
        <v>0.36954253406235904</v>
      </c>
      <c r="H745" t="s">
        <v>94</v>
      </c>
      <c r="I745">
        <v>0</v>
      </c>
      <c r="J745">
        <v>5040</v>
      </c>
      <c r="K745">
        <v>0</v>
      </c>
    </row>
    <row r="746" spans="1:11" x14ac:dyDescent="0.2">
      <c r="A746" t="s">
        <v>16</v>
      </c>
      <c r="B746" t="s">
        <v>1023</v>
      </c>
      <c r="C746">
        <v>360</v>
      </c>
      <c r="D746" t="s">
        <v>9211</v>
      </c>
      <c r="E746" t="s">
        <v>50</v>
      </c>
      <c r="F746">
        <v>9</v>
      </c>
      <c r="G746">
        <v>0.36954253406235904</v>
      </c>
      <c r="H746" t="s">
        <v>104</v>
      </c>
      <c r="I746">
        <v>0</v>
      </c>
      <c r="J746">
        <v>5040</v>
      </c>
      <c r="K746">
        <v>0</v>
      </c>
    </row>
    <row r="747" spans="1:11" x14ac:dyDescent="0.2">
      <c r="A747" t="s">
        <v>16</v>
      </c>
      <c r="B747" t="s">
        <v>1023</v>
      </c>
      <c r="C747">
        <v>360</v>
      </c>
      <c r="D747" t="s">
        <v>9207</v>
      </c>
      <c r="E747" t="s">
        <v>50</v>
      </c>
      <c r="F747">
        <v>9</v>
      </c>
      <c r="G747">
        <v>0.36954253406235904</v>
      </c>
      <c r="H747" t="s">
        <v>89</v>
      </c>
      <c r="I747">
        <v>0</v>
      </c>
      <c r="J747">
        <v>5040</v>
      </c>
      <c r="K747">
        <v>0</v>
      </c>
    </row>
    <row r="748" spans="1:11" x14ac:dyDescent="0.2">
      <c r="A748" t="s">
        <v>16</v>
      </c>
      <c r="B748" t="s">
        <v>1023</v>
      </c>
      <c r="C748">
        <v>360</v>
      </c>
      <c r="D748" t="s">
        <v>9214</v>
      </c>
      <c r="E748" t="s">
        <v>50</v>
      </c>
      <c r="F748">
        <v>9</v>
      </c>
      <c r="G748">
        <v>0.36954253406235904</v>
      </c>
      <c r="H748" t="s">
        <v>103</v>
      </c>
      <c r="I748">
        <v>0</v>
      </c>
      <c r="J748">
        <v>5040</v>
      </c>
      <c r="K748">
        <v>0</v>
      </c>
    </row>
    <row r="749" spans="1:11" x14ac:dyDescent="0.2">
      <c r="A749" t="s">
        <v>16</v>
      </c>
      <c r="B749" t="s">
        <v>1023</v>
      </c>
      <c r="C749">
        <v>360</v>
      </c>
      <c r="D749" t="s">
        <v>9209</v>
      </c>
      <c r="E749" t="s">
        <v>50</v>
      </c>
      <c r="F749">
        <v>9</v>
      </c>
      <c r="G749">
        <v>0.36954253406235904</v>
      </c>
      <c r="H749" t="s">
        <v>90</v>
      </c>
      <c r="I749">
        <v>0</v>
      </c>
      <c r="J749">
        <v>5040</v>
      </c>
      <c r="K749">
        <v>0</v>
      </c>
    </row>
    <row r="750" spans="1:11" x14ac:dyDescent="0.2">
      <c r="A750" t="s">
        <v>16</v>
      </c>
      <c r="B750" t="s">
        <v>1023</v>
      </c>
      <c r="C750">
        <v>360</v>
      </c>
      <c r="D750" t="s">
        <v>9210</v>
      </c>
      <c r="E750" t="s">
        <v>50</v>
      </c>
      <c r="F750">
        <v>9</v>
      </c>
      <c r="G750">
        <v>0.36954253406235904</v>
      </c>
      <c r="H750" t="s">
        <v>87</v>
      </c>
      <c r="I750">
        <v>0</v>
      </c>
      <c r="J750">
        <v>5040</v>
      </c>
      <c r="K750">
        <v>0</v>
      </c>
    </row>
    <row r="751" spans="1:11" x14ac:dyDescent="0.2">
      <c r="A751" t="s">
        <v>16</v>
      </c>
      <c r="B751" t="s">
        <v>1023</v>
      </c>
      <c r="C751">
        <v>360</v>
      </c>
      <c r="D751" t="s">
        <v>9201</v>
      </c>
      <c r="E751" t="s">
        <v>50</v>
      </c>
      <c r="F751">
        <v>9</v>
      </c>
      <c r="G751">
        <v>0.36954253406235904</v>
      </c>
      <c r="H751" t="s">
        <v>97</v>
      </c>
      <c r="I751">
        <v>0</v>
      </c>
      <c r="J751">
        <v>5040</v>
      </c>
      <c r="K751">
        <v>0</v>
      </c>
    </row>
    <row r="752" spans="1:11" x14ac:dyDescent="0.2">
      <c r="A752" t="s">
        <v>16</v>
      </c>
      <c r="B752" t="s">
        <v>707</v>
      </c>
      <c r="C752">
        <v>360</v>
      </c>
      <c r="D752" t="s">
        <v>9228</v>
      </c>
      <c r="E752" t="s">
        <v>50</v>
      </c>
      <c r="F752">
        <v>9</v>
      </c>
      <c r="G752">
        <v>0.4090698786353833</v>
      </c>
      <c r="H752" t="s">
        <v>98</v>
      </c>
      <c r="I752">
        <v>0</v>
      </c>
      <c r="J752">
        <v>5040</v>
      </c>
      <c r="K752">
        <v>0</v>
      </c>
    </row>
    <row r="753" spans="1:11" x14ac:dyDescent="0.2">
      <c r="A753" t="s">
        <v>16</v>
      </c>
      <c r="B753" t="s">
        <v>707</v>
      </c>
      <c r="C753">
        <v>360</v>
      </c>
      <c r="D753" t="s">
        <v>9217</v>
      </c>
      <c r="E753" t="s">
        <v>50</v>
      </c>
      <c r="F753">
        <v>9</v>
      </c>
      <c r="G753">
        <v>0.4090698786353833</v>
      </c>
      <c r="H753" t="s">
        <v>84</v>
      </c>
      <c r="I753">
        <v>0</v>
      </c>
      <c r="J753">
        <v>5040</v>
      </c>
      <c r="K753">
        <v>0</v>
      </c>
    </row>
    <row r="754" spans="1:11" x14ac:dyDescent="0.2">
      <c r="A754" t="s">
        <v>16</v>
      </c>
      <c r="B754" t="s">
        <v>707</v>
      </c>
      <c r="C754">
        <v>360</v>
      </c>
      <c r="D754" t="s">
        <v>9224</v>
      </c>
      <c r="E754" t="s">
        <v>50</v>
      </c>
      <c r="F754">
        <v>9</v>
      </c>
      <c r="G754">
        <v>0.4090698786353833</v>
      </c>
      <c r="H754" t="s">
        <v>105</v>
      </c>
      <c r="I754">
        <v>0</v>
      </c>
      <c r="J754">
        <v>5040</v>
      </c>
      <c r="K754">
        <v>0</v>
      </c>
    </row>
    <row r="755" spans="1:11" x14ac:dyDescent="0.2">
      <c r="A755" t="s">
        <v>16</v>
      </c>
      <c r="B755" t="s">
        <v>707</v>
      </c>
      <c r="C755">
        <v>360</v>
      </c>
      <c r="D755" t="s">
        <v>9219</v>
      </c>
      <c r="E755" t="s">
        <v>50</v>
      </c>
      <c r="F755">
        <v>9</v>
      </c>
      <c r="G755">
        <v>0.4090698786353833</v>
      </c>
      <c r="H755" t="s">
        <v>95</v>
      </c>
      <c r="I755">
        <v>0</v>
      </c>
      <c r="J755">
        <v>5040</v>
      </c>
      <c r="K755">
        <v>0</v>
      </c>
    </row>
    <row r="756" spans="1:11" x14ac:dyDescent="0.2">
      <c r="A756" t="s">
        <v>16</v>
      </c>
      <c r="B756" t="s">
        <v>707</v>
      </c>
      <c r="C756">
        <v>360</v>
      </c>
      <c r="D756" t="s">
        <v>9227</v>
      </c>
      <c r="E756" t="s">
        <v>50</v>
      </c>
      <c r="F756">
        <v>9</v>
      </c>
      <c r="G756">
        <v>0.4090698786353833</v>
      </c>
      <c r="H756" t="s">
        <v>93</v>
      </c>
      <c r="I756">
        <v>0</v>
      </c>
      <c r="J756">
        <v>5040</v>
      </c>
      <c r="K756">
        <v>0</v>
      </c>
    </row>
    <row r="757" spans="1:11" x14ac:dyDescent="0.2">
      <c r="A757" t="s">
        <v>16</v>
      </c>
      <c r="B757" t="s">
        <v>707</v>
      </c>
      <c r="C757">
        <v>360</v>
      </c>
      <c r="D757" t="s">
        <v>9226</v>
      </c>
      <c r="E757" t="s">
        <v>50</v>
      </c>
      <c r="F757">
        <v>9</v>
      </c>
      <c r="G757">
        <v>0.4090698786353833</v>
      </c>
      <c r="H757" t="s">
        <v>91</v>
      </c>
      <c r="I757">
        <v>0</v>
      </c>
      <c r="J757">
        <v>5040</v>
      </c>
      <c r="K757">
        <v>0</v>
      </c>
    </row>
    <row r="758" spans="1:11" x14ac:dyDescent="0.2">
      <c r="A758" t="s">
        <v>16</v>
      </c>
      <c r="B758" t="s">
        <v>707</v>
      </c>
      <c r="C758">
        <v>360</v>
      </c>
      <c r="D758" t="s">
        <v>9222</v>
      </c>
      <c r="E758" t="s">
        <v>50</v>
      </c>
      <c r="F758">
        <v>9</v>
      </c>
      <c r="G758">
        <v>0.4090698786353833</v>
      </c>
      <c r="H758" t="s">
        <v>99</v>
      </c>
      <c r="I758">
        <v>0</v>
      </c>
      <c r="J758">
        <v>5040</v>
      </c>
      <c r="K758">
        <v>0</v>
      </c>
    </row>
    <row r="759" spans="1:11" x14ac:dyDescent="0.2">
      <c r="A759" t="s">
        <v>16</v>
      </c>
      <c r="B759" t="s">
        <v>707</v>
      </c>
      <c r="C759">
        <v>360</v>
      </c>
      <c r="D759" t="s">
        <v>9225</v>
      </c>
      <c r="E759" t="s">
        <v>50</v>
      </c>
      <c r="F759">
        <v>9</v>
      </c>
      <c r="G759">
        <v>0.4090698786353833</v>
      </c>
      <c r="H759" t="s">
        <v>100</v>
      </c>
      <c r="I759">
        <v>0</v>
      </c>
      <c r="J759">
        <v>5040</v>
      </c>
      <c r="K759">
        <v>0</v>
      </c>
    </row>
    <row r="760" spans="1:11" x14ac:dyDescent="0.2">
      <c r="A760" t="s">
        <v>16</v>
      </c>
      <c r="B760" t="s">
        <v>707</v>
      </c>
      <c r="C760">
        <v>360</v>
      </c>
      <c r="D760" t="s">
        <v>9218</v>
      </c>
      <c r="E760" t="s">
        <v>50</v>
      </c>
      <c r="F760">
        <v>9</v>
      </c>
      <c r="G760">
        <v>0.4090698786353833</v>
      </c>
      <c r="H760" t="s">
        <v>96</v>
      </c>
      <c r="I760">
        <v>0</v>
      </c>
      <c r="J760">
        <v>5040</v>
      </c>
      <c r="K760">
        <v>0</v>
      </c>
    </row>
    <row r="761" spans="1:11" x14ac:dyDescent="0.2">
      <c r="A761" t="s">
        <v>16</v>
      </c>
      <c r="B761" t="s">
        <v>707</v>
      </c>
      <c r="C761">
        <v>360</v>
      </c>
      <c r="D761" t="s">
        <v>9215</v>
      </c>
      <c r="E761" t="s">
        <v>50</v>
      </c>
      <c r="F761">
        <v>9</v>
      </c>
      <c r="G761">
        <v>0.4090698786353833</v>
      </c>
      <c r="H761" t="s">
        <v>98</v>
      </c>
      <c r="I761">
        <v>0</v>
      </c>
      <c r="J761">
        <v>5040</v>
      </c>
      <c r="K761">
        <v>0</v>
      </c>
    </row>
    <row r="762" spans="1:11" x14ac:dyDescent="0.2">
      <c r="A762" t="s">
        <v>16</v>
      </c>
      <c r="B762" t="s">
        <v>707</v>
      </c>
      <c r="C762">
        <v>360</v>
      </c>
      <c r="D762" t="s">
        <v>9221</v>
      </c>
      <c r="E762" t="s">
        <v>50</v>
      </c>
      <c r="F762">
        <v>9</v>
      </c>
      <c r="G762">
        <v>0.4090698786353833</v>
      </c>
      <c r="H762" t="s">
        <v>84</v>
      </c>
      <c r="I762">
        <v>0</v>
      </c>
      <c r="J762">
        <v>5040</v>
      </c>
      <c r="K762">
        <v>0</v>
      </c>
    </row>
    <row r="763" spans="1:11" x14ac:dyDescent="0.2">
      <c r="A763" t="s">
        <v>16</v>
      </c>
      <c r="B763" t="s">
        <v>707</v>
      </c>
      <c r="C763">
        <v>360</v>
      </c>
      <c r="D763" t="s">
        <v>9220</v>
      </c>
      <c r="E763" t="s">
        <v>50</v>
      </c>
      <c r="F763">
        <v>9</v>
      </c>
      <c r="G763">
        <v>0.4090698786353833</v>
      </c>
      <c r="H763" t="s">
        <v>105</v>
      </c>
      <c r="I763">
        <v>0</v>
      </c>
      <c r="J763">
        <v>5040</v>
      </c>
      <c r="K763">
        <v>0</v>
      </c>
    </row>
    <row r="764" spans="1:11" x14ac:dyDescent="0.2">
      <c r="A764" t="s">
        <v>16</v>
      </c>
      <c r="B764" t="s">
        <v>707</v>
      </c>
      <c r="C764">
        <v>360</v>
      </c>
      <c r="D764" t="s">
        <v>9216</v>
      </c>
      <c r="E764" t="s">
        <v>50</v>
      </c>
      <c r="F764">
        <v>9</v>
      </c>
      <c r="G764">
        <v>0.4090698786353833</v>
      </c>
      <c r="H764" t="s">
        <v>95</v>
      </c>
      <c r="I764">
        <v>0</v>
      </c>
      <c r="J764">
        <v>5040</v>
      </c>
      <c r="K764">
        <v>0</v>
      </c>
    </row>
    <row r="765" spans="1:11" x14ac:dyDescent="0.2">
      <c r="A765" t="s">
        <v>16</v>
      </c>
      <c r="B765" t="s">
        <v>707</v>
      </c>
      <c r="C765">
        <v>360</v>
      </c>
      <c r="D765" t="s">
        <v>9223</v>
      </c>
      <c r="E765" t="s">
        <v>50</v>
      </c>
      <c r="F765">
        <v>9</v>
      </c>
      <c r="G765">
        <v>0.4090698786353833</v>
      </c>
      <c r="H765" t="s">
        <v>93</v>
      </c>
      <c r="I765">
        <v>0</v>
      </c>
      <c r="J765">
        <v>5040</v>
      </c>
      <c r="K765">
        <v>0</v>
      </c>
    </row>
    <row r="766" spans="1:11" x14ac:dyDescent="0.2">
      <c r="A766" t="s">
        <v>16</v>
      </c>
      <c r="B766" t="s">
        <v>693</v>
      </c>
      <c r="C766">
        <v>360</v>
      </c>
      <c r="D766" t="s">
        <v>9235</v>
      </c>
      <c r="E766" t="s">
        <v>50</v>
      </c>
      <c r="F766">
        <v>8</v>
      </c>
      <c r="G766">
        <v>0.28709008933624824</v>
      </c>
      <c r="H766" t="s">
        <v>92</v>
      </c>
      <c r="I766">
        <v>0</v>
      </c>
      <c r="J766">
        <v>5040</v>
      </c>
      <c r="K766">
        <v>0</v>
      </c>
    </row>
    <row r="767" spans="1:11" x14ac:dyDescent="0.2">
      <c r="A767" t="s">
        <v>16</v>
      </c>
      <c r="B767" t="s">
        <v>693</v>
      </c>
      <c r="C767">
        <v>360</v>
      </c>
      <c r="D767" t="s">
        <v>9243</v>
      </c>
      <c r="E767" t="s">
        <v>50</v>
      </c>
      <c r="F767">
        <v>8</v>
      </c>
      <c r="G767">
        <v>0.28709008933624824</v>
      </c>
      <c r="H767" t="s">
        <v>94</v>
      </c>
      <c r="I767">
        <v>0</v>
      </c>
      <c r="J767">
        <v>5040</v>
      </c>
      <c r="K767">
        <v>0</v>
      </c>
    </row>
    <row r="768" spans="1:11" x14ac:dyDescent="0.2">
      <c r="A768" t="s">
        <v>16</v>
      </c>
      <c r="B768" t="s">
        <v>693</v>
      </c>
      <c r="C768">
        <v>360</v>
      </c>
      <c r="D768" t="s">
        <v>9249</v>
      </c>
      <c r="E768" t="s">
        <v>50</v>
      </c>
      <c r="F768">
        <v>8</v>
      </c>
      <c r="G768">
        <v>0.28709008933624824</v>
      </c>
      <c r="H768" t="s">
        <v>104</v>
      </c>
      <c r="I768">
        <v>0</v>
      </c>
      <c r="J768">
        <v>5040</v>
      </c>
      <c r="K768">
        <v>0</v>
      </c>
    </row>
    <row r="769" spans="1:11" x14ac:dyDescent="0.2">
      <c r="A769" t="s">
        <v>16</v>
      </c>
      <c r="B769" t="s">
        <v>693</v>
      </c>
      <c r="C769">
        <v>360</v>
      </c>
      <c r="D769" t="s">
        <v>9238</v>
      </c>
      <c r="E769" t="s">
        <v>50</v>
      </c>
      <c r="F769">
        <v>8</v>
      </c>
      <c r="G769">
        <v>0.28709008933624824</v>
      </c>
      <c r="H769" t="s">
        <v>88</v>
      </c>
      <c r="I769">
        <v>0</v>
      </c>
      <c r="J769">
        <v>5040</v>
      </c>
      <c r="K769">
        <v>0</v>
      </c>
    </row>
    <row r="770" spans="1:11" x14ac:dyDescent="0.2">
      <c r="A770" t="s">
        <v>16</v>
      </c>
      <c r="B770" t="s">
        <v>693</v>
      </c>
      <c r="C770">
        <v>360</v>
      </c>
      <c r="D770" t="s">
        <v>9251</v>
      </c>
      <c r="E770" t="s">
        <v>50</v>
      </c>
      <c r="F770">
        <v>8</v>
      </c>
      <c r="G770">
        <v>0.28709008933624824</v>
      </c>
      <c r="H770" t="s">
        <v>101</v>
      </c>
      <c r="I770">
        <v>0</v>
      </c>
      <c r="J770">
        <v>5040</v>
      </c>
      <c r="K770">
        <v>0</v>
      </c>
    </row>
    <row r="771" spans="1:11" x14ac:dyDescent="0.2">
      <c r="A771" t="s">
        <v>16</v>
      </c>
      <c r="B771" t="s">
        <v>693</v>
      </c>
      <c r="C771">
        <v>360</v>
      </c>
      <c r="D771" t="s">
        <v>9234</v>
      </c>
      <c r="E771" t="s">
        <v>50</v>
      </c>
      <c r="F771">
        <v>8</v>
      </c>
      <c r="G771">
        <v>0.28709008933624824</v>
      </c>
      <c r="H771" t="s">
        <v>89</v>
      </c>
      <c r="I771">
        <v>0</v>
      </c>
      <c r="J771">
        <v>5040</v>
      </c>
      <c r="K771">
        <v>0</v>
      </c>
    </row>
    <row r="772" spans="1:11" x14ac:dyDescent="0.2">
      <c r="A772" t="s">
        <v>16</v>
      </c>
      <c r="B772" t="s">
        <v>693</v>
      </c>
      <c r="C772">
        <v>360</v>
      </c>
      <c r="D772" t="s">
        <v>9246</v>
      </c>
      <c r="E772" t="s">
        <v>50</v>
      </c>
      <c r="F772">
        <v>8</v>
      </c>
      <c r="G772">
        <v>0.28709008933624824</v>
      </c>
      <c r="H772" t="s">
        <v>103</v>
      </c>
      <c r="I772">
        <v>0</v>
      </c>
      <c r="J772">
        <v>5040</v>
      </c>
      <c r="K772">
        <v>0</v>
      </c>
    </row>
    <row r="773" spans="1:11" x14ac:dyDescent="0.2">
      <c r="A773" t="s">
        <v>16</v>
      </c>
      <c r="B773" t="s">
        <v>693</v>
      </c>
      <c r="C773">
        <v>360</v>
      </c>
      <c r="D773" t="s">
        <v>9240</v>
      </c>
      <c r="E773" t="s">
        <v>50</v>
      </c>
      <c r="F773">
        <v>8</v>
      </c>
      <c r="G773">
        <v>0.28709008933624824</v>
      </c>
      <c r="H773" t="s">
        <v>90</v>
      </c>
      <c r="I773">
        <v>0</v>
      </c>
      <c r="J773">
        <v>5040</v>
      </c>
      <c r="K773">
        <v>0</v>
      </c>
    </row>
    <row r="774" spans="1:11" x14ac:dyDescent="0.2">
      <c r="A774" t="s">
        <v>16</v>
      </c>
      <c r="B774" t="s">
        <v>693</v>
      </c>
      <c r="C774">
        <v>360</v>
      </c>
      <c r="D774" t="s">
        <v>9239</v>
      </c>
      <c r="E774" t="s">
        <v>50</v>
      </c>
      <c r="F774">
        <v>8</v>
      </c>
      <c r="G774">
        <v>0.28709008933624824</v>
      </c>
      <c r="H774" t="s">
        <v>92</v>
      </c>
      <c r="I774">
        <v>0</v>
      </c>
      <c r="J774">
        <v>5040</v>
      </c>
      <c r="K774">
        <v>0</v>
      </c>
    </row>
    <row r="775" spans="1:11" x14ac:dyDescent="0.2">
      <c r="A775" t="s">
        <v>16</v>
      </c>
      <c r="B775" t="s">
        <v>693</v>
      </c>
      <c r="C775">
        <v>360</v>
      </c>
      <c r="D775" t="s">
        <v>9230</v>
      </c>
      <c r="E775" t="s">
        <v>50</v>
      </c>
      <c r="F775">
        <v>8</v>
      </c>
      <c r="G775">
        <v>0.28709008933624824</v>
      </c>
      <c r="H775" t="s">
        <v>94</v>
      </c>
      <c r="I775">
        <v>0</v>
      </c>
      <c r="J775">
        <v>5040</v>
      </c>
      <c r="K775">
        <v>0</v>
      </c>
    </row>
    <row r="776" spans="1:11" x14ac:dyDescent="0.2">
      <c r="A776" t="s">
        <v>16</v>
      </c>
      <c r="B776" t="s">
        <v>693</v>
      </c>
      <c r="C776">
        <v>360</v>
      </c>
      <c r="D776" t="s">
        <v>9237</v>
      </c>
      <c r="E776" t="s">
        <v>50</v>
      </c>
      <c r="F776">
        <v>8</v>
      </c>
      <c r="G776">
        <v>0.28709008933624824</v>
      </c>
      <c r="H776" t="s">
        <v>104</v>
      </c>
      <c r="I776">
        <v>0</v>
      </c>
      <c r="J776">
        <v>5040</v>
      </c>
      <c r="K776">
        <v>0</v>
      </c>
    </row>
    <row r="777" spans="1:11" x14ac:dyDescent="0.2">
      <c r="A777" t="s">
        <v>16</v>
      </c>
      <c r="B777" t="s">
        <v>693</v>
      </c>
      <c r="C777">
        <v>360</v>
      </c>
      <c r="D777" t="s">
        <v>9248</v>
      </c>
      <c r="E777" t="s">
        <v>50</v>
      </c>
      <c r="F777">
        <v>8</v>
      </c>
      <c r="G777">
        <v>0.28709008933624824</v>
      </c>
      <c r="H777" t="s">
        <v>88</v>
      </c>
      <c r="I777">
        <v>0</v>
      </c>
      <c r="J777">
        <v>5040</v>
      </c>
      <c r="K777">
        <v>0</v>
      </c>
    </row>
    <row r="778" spans="1:11" x14ac:dyDescent="0.2">
      <c r="A778" t="s">
        <v>16</v>
      </c>
      <c r="B778" t="s">
        <v>693</v>
      </c>
      <c r="C778">
        <v>360</v>
      </c>
      <c r="D778" t="s">
        <v>9242</v>
      </c>
      <c r="E778" t="s">
        <v>50</v>
      </c>
      <c r="F778">
        <v>8</v>
      </c>
      <c r="G778">
        <v>0.28709008933624824</v>
      </c>
      <c r="H778" t="s">
        <v>101</v>
      </c>
      <c r="I778">
        <v>0</v>
      </c>
      <c r="J778">
        <v>5040</v>
      </c>
      <c r="K778">
        <v>0</v>
      </c>
    </row>
    <row r="779" spans="1:11" x14ac:dyDescent="0.2">
      <c r="A779" t="s">
        <v>16</v>
      </c>
      <c r="B779" t="s">
        <v>693</v>
      </c>
      <c r="C779">
        <v>360</v>
      </c>
      <c r="D779" t="s">
        <v>9245</v>
      </c>
      <c r="E779" t="s">
        <v>50</v>
      </c>
      <c r="F779">
        <v>8</v>
      </c>
      <c r="G779">
        <v>0.28709008933624824</v>
      </c>
      <c r="H779" t="s">
        <v>89</v>
      </c>
      <c r="I779">
        <v>0</v>
      </c>
      <c r="J779">
        <v>5040</v>
      </c>
      <c r="K779">
        <v>0</v>
      </c>
    </row>
    <row r="780" spans="1:11" x14ac:dyDescent="0.2">
      <c r="A780" t="s">
        <v>16</v>
      </c>
      <c r="B780" t="s">
        <v>693</v>
      </c>
      <c r="C780">
        <v>360</v>
      </c>
      <c r="D780" t="s">
        <v>9236</v>
      </c>
      <c r="E780" t="s">
        <v>50</v>
      </c>
      <c r="F780">
        <v>8</v>
      </c>
      <c r="G780">
        <v>0.28709008933624824</v>
      </c>
      <c r="H780" t="s">
        <v>103</v>
      </c>
      <c r="I780">
        <v>0</v>
      </c>
      <c r="J780">
        <v>5040</v>
      </c>
      <c r="K780">
        <v>0</v>
      </c>
    </row>
    <row r="781" spans="1:11" x14ac:dyDescent="0.2">
      <c r="A781" t="s">
        <v>16</v>
      </c>
      <c r="B781" t="s">
        <v>693</v>
      </c>
      <c r="C781">
        <v>360</v>
      </c>
      <c r="D781" t="s">
        <v>9250</v>
      </c>
      <c r="E781" t="s">
        <v>50</v>
      </c>
      <c r="F781">
        <v>8</v>
      </c>
      <c r="G781">
        <v>0.28709008933624824</v>
      </c>
      <c r="H781" t="s">
        <v>90</v>
      </c>
      <c r="I781">
        <v>0</v>
      </c>
      <c r="J781">
        <v>5040</v>
      </c>
      <c r="K781">
        <v>0</v>
      </c>
    </row>
    <row r="782" spans="1:11" x14ac:dyDescent="0.2">
      <c r="A782" t="s">
        <v>16</v>
      </c>
      <c r="B782" t="s">
        <v>693</v>
      </c>
      <c r="C782">
        <v>360</v>
      </c>
      <c r="D782" t="s">
        <v>9247</v>
      </c>
      <c r="E782" t="s">
        <v>50</v>
      </c>
      <c r="F782">
        <v>8</v>
      </c>
      <c r="G782">
        <v>0.28709008933624824</v>
      </c>
      <c r="H782" t="s">
        <v>92</v>
      </c>
      <c r="I782">
        <v>0</v>
      </c>
      <c r="J782">
        <v>5040</v>
      </c>
      <c r="K782">
        <v>0</v>
      </c>
    </row>
    <row r="783" spans="1:11" x14ac:dyDescent="0.2">
      <c r="A783" t="s">
        <v>16</v>
      </c>
      <c r="B783" t="s">
        <v>693</v>
      </c>
      <c r="C783">
        <v>360</v>
      </c>
      <c r="D783" t="s">
        <v>9241</v>
      </c>
      <c r="E783" t="s">
        <v>50</v>
      </c>
      <c r="F783">
        <v>8</v>
      </c>
      <c r="G783">
        <v>0.28709008933624824</v>
      </c>
      <c r="H783" t="s">
        <v>94</v>
      </c>
      <c r="I783">
        <v>0</v>
      </c>
      <c r="J783">
        <v>5040</v>
      </c>
      <c r="K783">
        <v>0</v>
      </c>
    </row>
    <row r="784" spans="1:11" x14ac:dyDescent="0.2">
      <c r="A784" t="s">
        <v>16</v>
      </c>
      <c r="B784" t="s">
        <v>693</v>
      </c>
      <c r="C784">
        <v>360</v>
      </c>
      <c r="D784" t="s">
        <v>9231</v>
      </c>
      <c r="E784" t="s">
        <v>50</v>
      </c>
      <c r="F784">
        <v>8</v>
      </c>
      <c r="G784">
        <v>0.28709008933624824</v>
      </c>
      <c r="H784" t="s">
        <v>104</v>
      </c>
      <c r="I784">
        <v>0</v>
      </c>
      <c r="J784">
        <v>5040</v>
      </c>
      <c r="K784">
        <v>0</v>
      </c>
    </row>
    <row r="785" spans="1:11" x14ac:dyDescent="0.2">
      <c r="A785" t="s">
        <v>16</v>
      </c>
      <c r="B785" t="s">
        <v>693</v>
      </c>
      <c r="C785">
        <v>360</v>
      </c>
      <c r="D785" t="s">
        <v>9244</v>
      </c>
      <c r="E785" t="s">
        <v>50</v>
      </c>
      <c r="F785">
        <v>8</v>
      </c>
      <c r="G785">
        <v>0.28709008933624824</v>
      </c>
      <c r="H785" t="s">
        <v>88</v>
      </c>
      <c r="I785">
        <v>0</v>
      </c>
      <c r="J785">
        <v>5040</v>
      </c>
      <c r="K785">
        <v>0</v>
      </c>
    </row>
    <row r="786" spans="1:11" x14ac:dyDescent="0.2">
      <c r="A786" t="s">
        <v>16</v>
      </c>
      <c r="B786" t="s">
        <v>693</v>
      </c>
      <c r="C786">
        <v>360</v>
      </c>
      <c r="D786" t="s">
        <v>9229</v>
      </c>
      <c r="E786" t="s">
        <v>50</v>
      </c>
      <c r="F786">
        <v>8</v>
      </c>
      <c r="G786">
        <v>0.28709008933624824</v>
      </c>
      <c r="H786" t="s">
        <v>101</v>
      </c>
      <c r="I786">
        <v>0</v>
      </c>
      <c r="J786">
        <v>5040</v>
      </c>
      <c r="K786">
        <v>0</v>
      </c>
    </row>
    <row r="787" spans="1:11" x14ac:dyDescent="0.2">
      <c r="A787" t="s">
        <v>16</v>
      </c>
      <c r="B787" t="s">
        <v>693</v>
      </c>
      <c r="C787">
        <v>360</v>
      </c>
      <c r="D787" t="s">
        <v>9232</v>
      </c>
      <c r="E787" t="s">
        <v>50</v>
      </c>
      <c r="F787">
        <v>8</v>
      </c>
      <c r="G787">
        <v>0.28709008933624824</v>
      </c>
      <c r="H787" t="s">
        <v>89</v>
      </c>
      <c r="I787">
        <v>0</v>
      </c>
      <c r="J787">
        <v>5040</v>
      </c>
      <c r="K787">
        <v>0</v>
      </c>
    </row>
    <row r="788" spans="1:11" x14ac:dyDescent="0.2">
      <c r="A788" t="s">
        <v>16</v>
      </c>
      <c r="B788" t="s">
        <v>970</v>
      </c>
      <c r="C788">
        <v>360</v>
      </c>
      <c r="D788" t="s">
        <v>9265</v>
      </c>
      <c r="E788" t="s">
        <v>50</v>
      </c>
      <c r="F788">
        <v>8</v>
      </c>
      <c r="G788">
        <v>0.28709008933624824</v>
      </c>
      <c r="H788" t="s">
        <v>87</v>
      </c>
      <c r="I788">
        <v>0</v>
      </c>
      <c r="J788">
        <v>5040</v>
      </c>
      <c r="K788">
        <v>0</v>
      </c>
    </row>
    <row r="789" spans="1:11" x14ac:dyDescent="0.2">
      <c r="A789" t="s">
        <v>16</v>
      </c>
      <c r="B789" t="s">
        <v>970</v>
      </c>
      <c r="C789">
        <v>360</v>
      </c>
      <c r="D789" t="s">
        <v>9260</v>
      </c>
      <c r="E789" t="s">
        <v>50</v>
      </c>
      <c r="F789">
        <v>8</v>
      </c>
      <c r="G789">
        <v>0.28709008933624824</v>
      </c>
      <c r="H789" t="s">
        <v>97</v>
      </c>
      <c r="I789">
        <v>0</v>
      </c>
      <c r="J789">
        <v>5040</v>
      </c>
      <c r="K789">
        <v>0</v>
      </c>
    </row>
    <row r="790" spans="1:11" x14ac:dyDescent="0.2">
      <c r="A790" t="s">
        <v>16</v>
      </c>
      <c r="B790" t="s">
        <v>970</v>
      </c>
      <c r="C790">
        <v>360</v>
      </c>
      <c r="D790" t="s">
        <v>9262</v>
      </c>
      <c r="E790" t="s">
        <v>50</v>
      </c>
      <c r="F790">
        <v>8</v>
      </c>
      <c r="G790">
        <v>0.28709008933624824</v>
      </c>
      <c r="H790" t="s">
        <v>91</v>
      </c>
      <c r="I790">
        <v>0</v>
      </c>
      <c r="J790">
        <v>5040</v>
      </c>
      <c r="K790">
        <v>0</v>
      </c>
    </row>
    <row r="791" spans="1:11" x14ac:dyDescent="0.2">
      <c r="A791" t="s">
        <v>16</v>
      </c>
      <c r="B791" t="s">
        <v>970</v>
      </c>
      <c r="C791">
        <v>360</v>
      </c>
      <c r="D791" t="s">
        <v>9266</v>
      </c>
      <c r="E791" t="s">
        <v>50</v>
      </c>
      <c r="F791">
        <v>8</v>
      </c>
      <c r="G791">
        <v>0.28709008933624824</v>
      </c>
      <c r="H791" t="s">
        <v>99</v>
      </c>
      <c r="I791">
        <v>0</v>
      </c>
      <c r="J791">
        <v>5040</v>
      </c>
      <c r="K791">
        <v>0</v>
      </c>
    </row>
    <row r="792" spans="1:11" x14ac:dyDescent="0.2">
      <c r="A792" t="s">
        <v>16</v>
      </c>
      <c r="B792" t="s">
        <v>970</v>
      </c>
      <c r="C792">
        <v>360</v>
      </c>
      <c r="D792" t="s">
        <v>9264</v>
      </c>
      <c r="E792" t="s">
        <v>50</v>
      </c>
      <c r="F792">
        <v>8</v>
      </c>
      <c r="G792">
        <v>0.28709008933624824</v>
      </c>
      <c r="H792" t="s">
        <v>100</v>
      </c>
      <c r="I792">
        <v>0</v>
      </c>
      <c r="J792">
        <v>5040</v>
      </c>
      <c r="K792">
        <v>0</v>
      </c>
    </row>
    <row r="793" spans="1:11" x14ac:dyDescent="0.2">
      <c r="A793" t="s">
        <v>16</v>
      </c>
      <c r="B793" t="s">
        <v>970</v>
      </c>
      <c r="C793">
        <v>360</v>
      </c>
      <c r="D793" t="s">
        <v>9253</v>
      </c>
      <c r="E793" t="s">
        <v>50</v>
      </c>
      <c r="F793">
        <v>8</v>
      </c>
      <c r="G793">
        <v>0.28709008933624824</v>
      </c>
      <c r="H793" t="s">
        <v>96</v>
      </c>
      <c r="I793">
        <v>0</v>
      </c>
      <c r="J793">
        <v>5040</v>
      </c>
      <c r="K793">
        <v>0</v>
      </c>
    </row>
    <row r="794" spans="1:11" x14ac:dyDescent="0.2">
      <c r="A794" t="s">
        <v>16</v>
      </c>
      <c r="B794" t="s">
        <v>970</v>
      </c>
      <c r="C794">
        <v>360</v>
      </c>
      <c r="D794" t="s">
        <v>9267</v>
      </c>
      <c r="E794" t="s">
        <v>50</v>
      </c>
      <c r="F794">
        <v>8</v>
      </c>
      <c r="G794">
        <v>0.28709008933624824</v>
      </c>
      <c r="H794" t="s">
        <v>87</v>
      </c>
      <c r="I794">
        <v>0</v>
      </c>
      <c r="J794">
        <v>5040</v>
      </c>
      <c r="K794">
        <v>0</v>
      </c>
    </row>
    <row r="795" spans="1:11" x14ac:dyDescent="0.2">
      <c r="A795" t="s">
        <v>16</v>
      </c>
      <c r="B795" t="s">
        <v>970</v>
      </c>
      <c r="C795">
        <v>360</v>
      </c>
      <c r="D795" t="s">
        <v>9255</v>
      </c>
      <c r="E795" t="s">
        <v>50</v>
      </c>
      <c r="F795">
        <v>8</v>
      </c>
      <c r="G795">
        <v>0.28709008933624824</v>
      </c>
      <c r="H795" t="s">
        <v>98</v>
      </c>
      <c r="I795">
        <v>0</v>
      </c>
      <c r="J795">
        <v>5040</v>
      </c>
      <c r="K795">
        <v>0</v>
      </c>
    </row>
    <row r="796" spans="1:11" x14ac:dyDescent="0.2">
      <c r="A796" t="s">
        <v>16</v>
      </c>
      <c r="B796" t="s">
        <v>970</v>
      </c>
      <c r="C796">
        <v>360</v>
      </c>
      <c r="D796" t="s">
        <v>9256</v>
      </c>
      <c r="E796" t="s">
        <v>50</v>
      </c>
      <c r="F796">
        <v>8</v>
      </c>
      <c r="G796">
        <v>0.28709008933624824</v>
      </c>
      <c r="H796" t="s">
        <v>84</v>
      </c>
      <c r="I796">
        <v>0</v>
      </c>
      <c r="J796">
        <v>5040</v>
      </c>
      <c r="K796">
        <v>0</v>
      </c>
    </row>
    <row r="797" spans="1:11" x14ac:dyDescent="0.2">
      <c r="A797" t="s">
        <v>16</v>
      </c>
      <c r="B797" t="s">
        <v>970</v>
      </c>
      <c r="C797">
        <v>360</v>
      </c>
      <c r="D797" t="s">
        <v>9257</v>
      </c>
      <c r="E797" t="s">
        <v>50</v>
      </c>
      <c r="F797">
        <v>8</v>
      </c>
      <c r="G797">
        <v>0.28709008933624824</v>
      </c>
      <c r="H797" t="s">
        <v>97</v>
      </c>
      <c r="I797">
        <v>0</v>
      </c>
      <c r="J797">
        <v>5040</v>
      </c>
      <c r="K797">
        <v>0</v>
      </c>
    </row>
    <row r="798" spans="1:11" x14ac:dyDescent="0.2">
      <c r="A798" t="s">
        <v>16</v>
      </c>
      <c r="B798" t="s">
        <v>970</v>
      </c>
      <c r="C798">
        <v>360</v>
      </c>
      <c r="D798" t="s">
        <v>9263</v>
      </c>
      <c r="E798" t="s">
        <v>50</v>
      </c>
      <c r="F798">
        <v>8</v>
      </c>
      <c r="G798">
        <v>0.28709008933624824</v>
      </c>
      <c r="H798" t="s">
        <v>91</v>
      </c>
      <c r="I798">
        <v>0</v>
      </c>
      <c r="J798">
        <v>5040</v>
      </c>
      <c r="K798">
        <v>0</v>
      </c>
    </row>
    <row r="799" spans="1:11" x14ac:dyDescent="0.2">
      <c r="A799" t="s">
        <v>16</v>
      </c>
      <c r="B799" t="s">
        <v>970</v>
      </c>
      <c r="C799">
        <v>360</v>
      </c>
      <c r="D799" t="s">
        <v>9259</v>
      </c>
      <c r="E799" t="s">
        <v>50</v>
      </c>
      <c r="F799">
        <v>8</v>
      </c>
      <c r="G799">
        <v>0.28709008933624824</v>
      </c>
      <c r="H799" t="s">
        <v>99</v>
      </c>
      <c r="I799">
        <v>0</v>
      </c>
      <c r="J799">
        <v>5040</v>
      </c>
      <c r="K799">
        <v>0</v>
      </c>
    </row>
    <row r="800" spans="1:11" x14ac:dyDescent="0.2">
      <c r="A800" t="s">
        <v>16</v>
      </c>
      <c r="B800" t="s">
        <v>970</v>
      </c>
      <c r="C800">
        <v>360</v>
      </c>
      <c r="D800" t="s">
        <v>9258</v>
      </c>
      <c r="E800" t="s">
        <v>50</v>
      </c>
      <c r="F800">
        <v>8</v>
      </c>
      <c r="G800">
        <v>0.28709008933624824</v>
      </c>
      <c r="H800" t="s">
        <v>100</v>
      </c>
      <c r="I800">
        <v>0</v>
      </c>
      <c r="J800">
        <v>5040</v>
      </c>
      <c r="K800">
        <v>0</v>
      </c>
    </row>
    <row r="801" spans="1:11" x14ac:dyDescent="0.2">
      <c r="A801" t="s">
        <v>16</v>
      </c>
      <c r="B801" t="s">
        <v>970</v>
      </c>
      <c r="C801">
        <v>360</v>
      </c>
      <c r="D801" t="s">
        <v>9261</v>
      </c>
      <c r="E801" t="s">
        <v>50</v>
      </c>
      <c r="F801">
        <v>8</v>
      </c>
      <c r="G801">
        <v>0.28709008933624824</v>
      </c>
      <c r="H801" t="s">
        <v>96</v>
      </c>
      <c r="I801">
        <v>0</v>
      </c>
      <c r="J801">
        <v>5040</v>
      </c>
      <c r="K801">
        <v>0</v>
      </c>
    </row>
    <row r="802" spans="1:11" x14ac:dyDescent="0.2">
      <c r="A802" t="s">
        <v>16</v>
      </c>
      <c r="B802" t="s">
        <v>694</v>
      </c>
      <c r="C802">
        <v>360</v>
      </c>
      <c r="D802" t="s">
        <v>9276</v>
      </c>
      <c r="E802" t="s">
        <v>50</v>
      </c>
      <c r="F802">
        <v>8</v>
      </c>
      <c r="G802">
        <v>0.28709008933624824</v>
      </c>
      <c r="H802" t="s">
        <v>105</v>
      </c>
      <c r="I802">
        <v>0</v>
      </c>
      <c r="J802">
        <v>5040</v>
      </c>
      <c r="K802">
        <v>0</v>
      </c>
    </row>
    <row r="803" spans="1:11" x14ac:dyDescent="0.2">
      <c r="A803" t="s">
        <v>16</v>
      </c>
      <c r="B803" t="s">
        <v>694</v>
      </c>
      <c r="C803">
        <v>360</v>
      </c>
      <c r="D803" t="s">
        <v>9272</v>
      </c>
      <c r="E803" t="s">
        <v>50</v>
      </c>
      <c r="F803">
        <v>8</v>
      </c>
      <c r="G803">
        <v>0.28709008933624824</v>
      </c>
      <c r="H803" t="s">
        <v>95</v>
      </c>
      <c r="I803">
        <v>0</v>
      </c>
      <c r="J803">
        <v>5040</v>
      </c>
      <c r="K803">
        <v>0</v>
      </c>
    </row>
    <row r="804" spans="1:11" x14ac:dyDescent="0.2">
      <c r="A804" t="s">
        <v>16</v>
      </c>
      <c r="B804" t="s">
        <v>694</v>
      </c>
      <c r="C804">
        <v>360</v>
      </c>
      <c r="D804" t="s">
        <v>9271</v>
      </c>
      <c r="E804" t="s">
        <v>50</v>
      </c>
      <c r="F804">
        <v>8</v>
      </c>
      <c r="G804">
        <v>0.28709008933624824</v>
      </c>
      <c r="H804" t="s">
        <v>93</v>
      </c>
      <c r="I804">
        <v>0</v>
      </c>
      <c r="J804">
        <v>5040</v>
      </c>
      <c r="K804">
        <v>0</v>
      </c>
    </row>
    <row r="805" spans="1:11" x14ac:dyDescent="0.2">
      <c r="A805" t="s">
        <v>16</v>
      </c>
      <c r="B805" t="s">
        <v>694</v>
      </c>
      <c r="C805">
        <v>360</v>
      </c>
      <c r="D805" t="s">
        <v>9270</v>
      </c>
      <c r="E805" t="s">
        <v>50</v>
      </c>
      <c r="F805">
        <v>8</v>
      </c>
      <c r="G805">
        <v>0.28709008933624824</v>
      </c>
      <c r="H805" t="s">
        <v>103</v>
      </c>
      <c r="I805">
        <v>0</v>
      </c>
      <c r="J805">
        <v>5040</v>
      </c>
      <c r="K805">
        <v>0</v>
      </c>
    </row>
    <row r="806" spans="1:11" x14ac:dyDescent="0.2">
      <c r="A806" t="s">
        <v>16</v>
      </c>
      <c r="B806" t="s">
        <v>694</v>
      </c>
      <c r="C806">
        <v>360</v>
      </c>
      <c r="D806" t="s">
        <v>9273</v>
      </c>
      <c r="E806" t="s">
        <v>50</v>
      </c>
      <c r="F806">
        <v>8</v>
      </c>
      <c r="G806">
        <v>0.28709008933624824</v>
      </c>
      <c r="H806" t="s">
        <v>90</v>
      </c>
      <c r="I806">
        <v>0</v>
      </c>
      <c r="J806">
        <v>5040</v>
      </c>
      <c r="K806">
        <v>0</v>
      </c>
    </row>
    <row r="807" spans="1:11" x14ac:dyDescent="0.2">
      <c r="A807" t="s">
        <v>16</v>
      </c>
      <c r="B807" t="s">
        <v>694</v>
      </c>
      <c r="C807">
        <v>360</v>
      </c>
      <c r="D807" t="s">
        <v>9269</v>
      </c>
      <c r="E807" t="s">
        <v>50</v>
      </c>
      <c r="F807">
        <v>8</v>
      </c>
      <c r="G807">
        <v>0.28709008933624824</v>
      </c>
      <c r="H807" t="s">
        <v>87</v>
      </c>
      <c r="I807">
        <v>0</v>
      </c>
      <c r="J807">
        <v>5040</v>
      </c>
      <c r="K807">
        <v>0</v>
      </c>
    </row>
    <row r="808" spans="1:11" x14ac:dyDescent="0.2">
      <c r="A808" t="s">
        <v>16</v>
      </c>
      <c r="B808" t="s">
        <v>694</v>
      </c>
      <c r="C808">
        <v>360</v>
      </c>
      <c r="D808" t="s">
        <v>9275</v>
      </c>
      <c r="E808" t="s">
        <v>50</v>
      </c>
      <c r="F808">
        <v>8</v>
      </c>
      <c r="G808">
        <v>0.28709008933624824</v>
      </c>
      <c r="H808" t="s">
        <v>98</v>
      </c>
      <c r="I808">
        <v>0</v>
      </c>
      <c r="J808">
        <v>5040</v>
      </c>
      <c r="K808">
        <v>0</v>
      </c>
    </row>
    <row r="809" spans="1:11" x14ac:dyDescent="0.2">
      <c r="A809" t="s">
        <v>16</v>
      </c>
      <c r="B809" t="s">
        <v>694</v>
      </c>
      <c r="C809">
        <v>360</v>
      </c>
      <c r="D809" t="s">
        <v>9277</v>
      </c>
      <c r="E809" t="s">
        <v>50</v>
      </c>
      <c r="F809">
        <v>8</v>
      </c>
      <c r="G809">
        <v>0.28709008933624824</v>
      </c>
      <c r="H809" t="s">
        <v>84</v>
      </c>
      <c r="I809">
        <v>0</v>
      </c>
      <c r="J809">
        <v>5040</v>
      </c>
      <c r="K809">
        <v>0</v>
      </c>
    </row>
    <row r="810" spans="1:11" x14ac:dyDescent="0.2">
      <c r="A810" t="s">
        <v>16</v>
      </c>
      <c r="B810" t="s">
        <v>694</v>
      </c>
      <c r="C810">
        <v>360</v>
      </c>
      <c r="D810" t="s">
        <v>9278</v>
      </c>
      <c r="E810" t="s">
        <v>50</v>
      </c>
      <c r="F810">
        <v>8</v>
      </c>
      <c r="G810">
        <v>0.28709008933624824</v>
      </c>
      <c r="H810" t="s">
        <v>105</v>
      </c>
      <c r="I810">
        <v>0</v>
      </c>
      <c r="J810">
        <v>5040</v>
      </c>
      <c r="K810">
        <v>0</v>
      </c>
    </row>
    <row r="811" spans="1:11" x14ac:dyDescent="0.2">
      <c r="A811" t="s">
        <v>16</v>
      </c>
      <c r="B811" t="s">
        <v>694</v>
      </c>
      <c r="C811">
        <v>360</v>
      </c>
      <c r="D811" t="s">
        <v>9280</v>
      </c>
      <c r="E811" t="s">
        <v>50</v>
      </c>
      <c r="F811">
        <v>8</v>
      </c>
      <c r="G811">
        <v>0.28709008933624824</v>
      </c>
      <c r="H811" t="s">
        <v>95</v>
      </c>
      <c r="I811">
        <v>0</v>
      </c>
      <c r="J811">
        <v>5040</v>
      </c>
      <c r="K811">
        <v>0</v>
      </c>
    </row>
    <row r="812" spans="1:11" x14ac:dyDescent="0.2">
      <c r="A812" t="s">
        <v>16</v>
      </c>
      <c r="B812" t="s">
        <v>694</v>
      </c>
      <c r="C812">
        <v>360</v>
      </c>
      <c r="D812" t="s">
        <v>9274</v>
      </c>
      <c r="E812" t="s">
        <v>50</v>
      </c>
      <c r="F812">
        <v>8</v>
      </c>
      <c r="G812">
        <v>0.28709008933624824</v>
      </c>
      <c r="H812" t="s">
        <v>93</v>
      </c>
      <c r="I812">
        <v>0</v>
      </c>
      <c r="J812">
        <v>5040</v>
      </c>
      <c r="K812">
        <v>0</v>
      </c>
    </row>
    <row r="813" spans="1:11" x14ac:dyDescent="0.2">
      <c r="A813" t="s">
        <v>16</v>
      </c>
      <c r="B813" t="s">
        <v>694</v>
      </c>
      <c r="C813">
        <v>360</v>
      </c>
      <c r="D813" t="s">
        <v>9279</v>
      </c>
      <c r="E813" t="s">
        <v>50</v>
      </c>
      <c r="F813">
        <v>8</v>
      </c>
      <c r="G813">
        <v>0.28709008933624824</v>
      </c>
      <c r="H813" t="s">
        <v>103</v>
      </c>
      <c r="I813">
        <v>0</v>
      </c>
      <c r="J813">
        <v>5040</v>
      </c>
      <c r="K813">
        <v>0</v>
      </c>
    </row>
    <row r="814" spans="1:11" x14ac:dyDescent="0.2">
      <c r="A814" t="s">
        <v>16</v>
      </c>
      <c r="B814" t="s">
        <v>694</v>
      </c>
      <c r="C814">
        <v>360</v>
      </c>
      <c r="D814" t="s">
        <v>9281</v>
      </c>
      <c r="E814" t="s">
        <v>50</v>
      </c>
      <c r="F814">
        <v>8</v>
      </c>
      <c r="G814">
        <v>0.28709008933624824</v>
      </c>
      <c r="H814" t="s">
        <v>90</v>
      </c>
      <c r="I814">
        <v>0</v>
      </c>
      <c r="J814">
        <v>5040</v>
      </c>
      <c r="K814">
        <v>0</v>
      </c>
    </row>
    <row r="815" spans="1:11" x14ac:dyDescent="0.2">
      <c r="A815" t="s">
        <v>16</v>
      </c>
      <c r="B815" t="s">
        <v>1021</v>
      </c>
      <c r="C815">
        <v>75</v>
      </c>
      <c r="D815" t="s">
        <v>10000</v>
      </c>
      <c r="E815" t="s">
        <v>50</v>
      </c>
      <c r="F815">
        <v>4</v>
      </c>
      <c r="G815">
        <v>0.16381757329266228</v>
      </c>
      <c r="H815" t="s">
        <v>104</v>
      </c>
      <c r="I815">
        <v>0</v>
      </c>
      <c r="J815">
        <v>4875</v>
      </c>
      <c r="K815">
        <v>0</v>
      </c>
    </row>
    <row r="816" spans="1:11" x14ac:dyDescent="0.2">
      <c r="A816" t="s">
        <v>16</v>
      </c>
      <c r="B816" t="s">
        <v>350</v>
      </c>
      <c r="C816">
        <v>60</v>
      </c>
      <c r="D816" t="s">
        <v>9459</v>
      </c>
      <c r="E816" t="s">
        <v>50</v>
      </c>
      <c r="F816">
        <v>3</v>
      </c>
      <c r="G816">
        <v>7.5315599388632373E-2</v>
      </c>
      <c r="H816" t="s">
        <v>101</v>
      </c>
      <c r="I816">
        <v>0</v>
      </c>
      <c r="J816">
        <v>4860</v>
      </c>
      <c r="K816">
        <v>0</v>
      </c>
    </row>
    <row r="817" spans="1:11" x14ac:dyDescent="0.2">
      <c r="A817" t="s">
        <v>16</v>
      </c>
      <c r="B817" t="s">
        <v>2615</v>
      </c>
      <c r="C817">
        <v>200</v>
      </c>
      <c r="D817" t="s">
        <v>9342</v>
      </c>
      <c r="E817" t="s">
        <v>50</v>
      </c>
      <c r="F817">
        <v>6</v>
      </c>
      <c r="G817">
        <v>0.13795281559699793</v>
      </c>
      <c r="H817" t="s">
        <v>97</v>
      </c>
      <c r="I817">
        <v>0</v>
      </c>
      <c r="J817">
        <v>4800</v>
      </c>
      <c r="K817">
        <v>0</v>
      </c>
    </row>
    <row r="818" spans="1:11" x14ac:dyDescent="0.2">
      <c r="A818" t="s">
        <v>16</v>
      </c>
      <c r="B818" t="s">
        <v>754</v>
      </c>
      <c r="C818">
        <v>420</v>
      </c>
      <c r="D818" t="s">
        <v>9455</v>
      </c>
      <c r="E818" t="s">
        <v>50</v>
      </c>
      <c r="F818">
        <v>5</v>
      </c>
      <c r="G818">
        <v>0.3757147718765379</v>
      </c>
      <c r="H818" t="s">
        <v>91</v>
      </c>
      <c r="I818">
        <v>0</v>
      </c>
      <c r="J818">
        <v>4620</v>
      </c>
      <c r="K818">
        <v>0</v>
      </c>
    </row>
    <row r="819" spans="1:11" x14ac:dyDescent="0.2">
      <c r="A819" t="s">
        <v>16</v>
      </c>
      <c r="B819" t="s">
        <v>754</v>
      </c>
      <c r="C819">
        <v>420</v>
      </c>
      <c r="D819" t="s">
        <v>9456</v>
      </c>
      <c r="E819" t="s">
        <v>50</v>
      </c>
      <c r="F819">
        <v>5</v>
      </c>
      <c r="G819">
        <v>0.3757147718765379</v>
      </c>
      <c r="H819" t="s">
        <v>99</v>
      </c>
      <c r="I819">
        <v>0</v>
      </c>
      <c r="J819">
        <v>4620</v>
      </c>
      <c r="K819">
        <v>0</v>
      </c>
    </row>
    <row r="820" spans="1:11" x14ac:dyDescent="0.2">
      <c r="A820" t="s">
        <v>16</v>
      </c>
      <c r="B820" t="s">
        <v>735</v>
      </c>
      <c r="C820">
        <v>460</v>
      </c>
      <c r="D820" t="s">
        <v>9134</v>
      </c>
      <c r="E820" t="s">
        <v>50</v>
      </c>
      <c r="F820">
        <v>4</v>
      </c>
      <c r="G820">
        <v>0.67983109786388474</v>
      </c>
      <c r="H820" t="s">
        <v>100</v>
      </c>
      <c r="I820">
        <v>0</v>
      </c>
      <c r="J820">
        <v>4600</v>
      </c>
      <c r="K820">
        <v>0</v>
      </c>
    </row>
    <row r="821" spans="1:11" x14ac:dyDescent="0.2">
      <c r="A821" t="s">
        <v>16</v>
      </c>
      <c r="B821" t="s">
        <v>3504</v>
      </c>
      <c r="C821">
        <v>200</v>
      </c>
      <c r="D821" t="s">
        <v>9473</v>
      </c>
      <c r="E821" t="s">
        <v>50</v>
      </c>
      <c r="F821">
        <v>15</v>
      </c>
      <c r="G821">
        <v>0.25607700563861469</v>
      </c>
      <c r="H821" t="s">
        <v>96</v>
      </c>
      <c r="I821">
        <v>0</v>
      </c>
      <c r="J821">
        <v>4600</v>
      </c>
      <c r="K821">
        <v>0</v>
      </c>
    </row>
    <row r="822" spans="1:11" x14ac:dyDescent="0.2">
      <c r="A822" t="s">
        <v>16</v>
      </c>
      <c r="B822" t="s">
        <v>465</v>
      </c>
      <c r="C822">
        <v>200</v>
      </c>
      <c r="D822" t="s">
        <v>9577</v>
      </c>
      <c r="E822" t="s">
        <v>50</v>
      </c>
      <c r="F822">
        <v>2</v>
      </c>
      <c r="G822">
        <v>0.24401519422152512</v>
      </c>
      <c r="H822" t="s">
        <v>92</v>
      </c>
      <c r="I822">
        <v>0</v>
      </c>
      <c r="J822">
        <v>4600</v>
      </c>
      <c r="K822">
        <v>0</v>
      </c>
    </row>
    <row r="823" spans="1:11" x14ac:dyDescent="0.2">
      <c r="A823" t="s">
        <v>16</v>
      </c>
      <c r="B823" t="s">
        <v>2283</v>
      </c>
      <c r="C823">
        <v>255</v>
      </c>
      <c r="D823" t="s">
        <v>9308</v>
      </c>
      <c r="E823" t="s">
        <v>50</v>
      </c>
      <c r="F823">
        <v>2</v>
      </c>
      <c r="G823">
        <v>0.4155996884735203</v>
      </c>
      <c r="H823" t="s">
        <v>94</v>
      </c>
      <c r="I823">
        <v>0</v>
      </c>
      <c r="J823">
        <v>4590</v>
      </c>
      <c r="K823">
        <v>0</v>
      </c>
    </row>
    <row r="824" spans="1:11" x14ac:dyDescent="0.2">
      <c r="A824" t="s">
        <v>16</v>
      </c>
      <c r="B824" t="s">
        <v>2283</v>
      </c>
      <c r="C824">
        <v>255</v>
      </c>
      <c r="D824" t="s">
        <v>9296</v>
      </c>
      <c r="E824" t="s">
        <v>50</v>
      </c>
      <c r="F824">
        <v>2</v>
      </c>
      <c r="G824">
        <v>0.4155996884735203</v>
      </c>
      <c r="H824" t="s">
        <v>88</v>
      </c>
      <c r="I824">
        <v>0</v>
      </c>
      <c r="J824">
        <v>4590</v>
      </c>
      <c r="K824">
        <v>0</v>
      </c>
    </row>
    <row r="825" spans="1:11" x14ac:dyDescent="0.2">
      <c r="A825" t="s">
        <v>16</v>
      </c>
      <c r="B825" t="s">
        <v>2283</v>
      </c>
      <c r="C825">
        <v>255</v>
      </c>
      <c r="D825" t="s">
        <v>9312</v>
      </c>
      <c r="E825" t="s">
        <v>50</v>
      </c>
      <c r="F825">
        <v>2</v>
      </c>
      <c r="G825">
        <v>0.4155996884735203</v>
      </c>
      <c r="H825" t="s">
        <v>94</v>
      </c>
      <c r="I825">
        <v>0</v>
      </c>
      <c r="J825">
        <v>4590</v>
      </c>
      <c r="K825">
        <v>0</v>
      </c>
    </row>
    <row r="826" spans="1:11" x14ac:dyDescent="0.2">
      <c r="A826" t="s">
        <v>16</v>
      </c>
      <c r="B826" t="s">
        <v>2283</v>
      </c>
      <c r="C826">
        <v>255</v>
      </c>
      <c r="D826" t="s">
        <v>9324</v>
      </c>
      <c r="E826" t="s">
        <v>50</v>
      </c>
      <c r="F826">
        <v>2</v>
      </c>
      <c r="G826">
        <v>0.4155996884735203</v>
      </c>
      <c r="H826" t="s">
        <v>88</v>
      </c>
      <c r="I826">
        <v>0</v>
      </c>
      <c r="J826">
        <v>4590</v>
      </c>
      <c r="K826">
        <v>0</v>
      </c>
    </row>
    <row r="827" spans="1:11" x14ac:dyDescent="0.2">
      <c r="A827" t="s">
        <v>16</v>
      </c>
      <c r="B827" t="s">
        <v>2283</v>
      </c>
      <c r="C827">
        <v>255</v>
      </c>
      <c r="D827" t="s">
        <v>9313</v>
      </c>
      <c r="E827" t="s">
        <v>50</v>
      </c>
      <c r="F827">
        <v>2</v>
      </c>
      <c r="G827">
        <v>0.4155996884735203</v>
      </c>
      <c r="H827" t="s">
        <v>94</v>
      </c>
      <c r="I827">
        <v>0</v>
      </c>
      <c r="J827">
        <v>4590</v>
      </c>
      <c r="K827">
        <v>0</v>
      </c>
    </row>
    <row r="828" spans="1:11" x14ac:dyDescent="0.2">
      <c r="A828" t="s">
        <v>16</v>
      </c>
      <c r="B828" t="s">
        <v>2283</v>
      </c>
      <c r="C828">
        <v>255</v>
      </c>
      <c r="D828" t="s">
        <v>9303</v>
      </c>
      <c r="E828" t="s">
        <v>50</v>
      </c>
      <c r="F828">
        <v>2</v>
      </c>
      <c r="G828">
        <v>0.4155996884735203</v>
      </c>
      <c r="H828" t="s">
        <v>88</v>
      </c>
      <c r="I828">
        <v>0</v>
      </c>
      <c r="J828">
        <v>4590</v>
      </c>
      <c r="K828">
        <v>0</v>
      </c>
    </row>
    <row r="829" spans="1:11" x14ac:dyDescent="0.2">
      <c r="A829" t="s">
        <v>16</v>
      </c>
      <c r="B829" t="s">
        <v>2283</v>
      </c>
      <c r="C829">
        <v>255</v>
      </c>
      <c r="D829" t="s">
        <v>9307</v>
      </c>
      <c r="E829" t="s">
        <v>50</v>
      </c>
      <c r="F829">
        <v>2</v>
      </c>
      <c r="G829">
        <v>0.4155996884735203</v>
      </c>
      <c r="H829" t="s">
        <v>94</v>
      </c>
      <c r="I829">
        <v>0</v>
      </c>
      <c r="J829">
        <v>4590</v>
      </c>
      <c r="K829">
        <v>0</v>
      </c>
    </row>
    <row r="830" spans="1:11" x14ac:dyDescent="0.2">
      <c r="A830" t="s">
        <v>16</v>
      </c>
      <c r="B830" t="s">
        <v>2283</v>
      </c>
      <c r="C830">
        <v>255</v>
      </c>
      <c r="D830" t="s">
        <v>9323</v>
      </c>
      <c r="E830" t="s">
        <v>50</v>
      </c>
      <c r="F830">
        <v>2</v>
      </c>
      <c r="G830">
        <v>0.4155996884735203</v>
      </c>
      <c r="H830" t="s">
        <v>88</v>
      </c>
      <c r="I830">
        <v>0</v>
      </c>
      <c r="J830">
        <v>4590</v>
      </c>
      <c r="K830">
        <v>0</v>
      </c>
    </row>
    <row r="831" spans="1:11" x14ac:dyDescent="0.2">
      <c r="A831" t="s">
        <v>16</v>
      </c>
      <c r="B831" t="s">
        <v>2283</v>
      </c>
      <c r="C831">
        <v>255</v>
      </c>
      <c r="D831" t="s">
        <v>9298</v>
      </c>
      <c r="E831" t="s">
        <v>50</v>
      </c>
      <c r="F831">
        <v>2</v>
      </c>
      <c r="G831">
        <v>0.4155996884735203</v>
      </c>
      <c r="H831" t="s">
        <v>94</v>
      </c>
      <c r="I831">
        <v>0</v>
      </c>
      <c r="J831">
        <v>4590</v>
      </c>
      <c r="K831">
        <v>0</v>
      </c>
    </row>
    <row r="832" spans="1:11" x14ac:dyDescent="0.2">
      <c r="A832" t="s">
        <v>16</v>
      </c>
      <c r="B832" t="s">
        <v>2283</v>
      </c>
      <c r="C832">
        <v>255</v>
      </c>
      <c r="D832" t="s">
        <v>9299</v>
      </c>
      <c r="E832" t="s">
        <v>50</v>
      </c>
      <c r="F832">
        <v>2</v>
      </c>
      <c r="G832">
        <v>0.4155996884735203</v>
      </c>
      <c r="H832" t="s">
        <v>88</v>
      </c>
      <c r="I832">
        <v>0</v>
      </c>
      <c r="J832">
        <v>4590</v>
      </c>
      <c r="K832">
        <v>0</v>
      </c>
    </row>
    <row r="833" spans="1:11" x14ac:dyDescent="0.2">
      <c r="A833" t="s">
        <v>16</v>
      </c>
      <c r="B833" t="s">
        <v>2283</v>
      </c>
      <c r="C833">
        <v>255</v>
      </c>
      <c r="D833" t="s">
        <v>9292</v>
      </c>
      <c r="E833" t="s">
        <v>50</v>
      </c>
      <c r="F833">
        <v>2</v>
      </c>
      <c r="G833">
        <v>0.4155996884735203</v>
      </c>
      <c r="H833" t="s">
        <v>94</v>
      </c>
      <c r="I833">
        <v>0</v>
      </c>
      <c r="J833">
        <v>4590</v>
      </c>
      <c r="K833">
        <v>0</v>
      </c>
    </row>
    <row r="834" spans="1:11" x14ac:dyDescent="0.2">
      <c r="A834" t="s">
        <v>16</v>
      </c>
      <c r="B834" t="s">
        <v>2283</v>
      </c>
      <c r="C834">
        <v>255</v>
      </c>
      <c r="D834" t="s">
        <v>9304</v>
      </c>
      <c r="E834" t="s">
        <v>50</v>
      </c>
      <c r="F834">
        <v>2</v>
      </c>
      <c r="G834">
        <v>0.4155996884735203</v>
      </c>
      <c r="H834" t="s">
        <v>88</v>
      </c>
      <c r="I834">
        <v>0</v>
      </c>
      <c r="J834">
        <v>4590</v>
      </c>
      <c r="K834">
        <v>0</v>
      </c>
    </row>
    <row r="835" spans="1:11" x14ac:dyDescent="0.2">
      <c r="A835" t="s">
        <v>16</v>
      </c>
      <c r="B835" t="s">
        <v>2283</v>
      </c>
      <c r="C835">
        <v>255</v>
      </c>
      <c r="D835" t="s">
        <v>9320</v>
      </c>
      <c r="E835" t="s">
        <v>50</v>
      </c>
      <c r="F835">
        <v>2</v>
      </c>
      <c r="G835">
        <v>0.4155996884735203</v>
      </c>
      <c r="H835" t="s">
        <v>94</v>
      </c>
      <c r="I835">
        <v>0</v>
      </c>
      <c r="J835">
        <v>4590</v>
      </c>
      <c r="K835">
        <v>0</v>
      </c>
    </row>
    <row r="836" spans="1:11" x14ac:dyDescent="0.2">
      <c r="A836" t="s">
        <v>16</v>
      </c>
      <c r="B836" t="s">
        <v>2283</v>
      </c>
      <c r="C836">
        <v>255</v>
      </c>
      <c r="D836" t="s">
        <v>9305</v>
      </c>
      <c r="E836" t="s">
        <v>50</v>
      </c>
      <c r="F836">
        <v>2</v>
      </c>
      <c r="G836">
        <v>0.4155996884735203</v>
      </c>
      <c r="H836" t="s">
        <v>88</v>
      </c>
      <c r="I836">
        <v>0</v>
      </c>
      <c r="J836">
        <v>4590</v>
      </c>
      <c r="K836">
        <v>0</v>
      </c>
    </row>
    <row r="837" spans="1:11" x14ac:dyDescent="0.2">
      <c r="A837" t="s">
        <v>16</v>
      </c>
      <c r="B837" t="s">
        <v>2283</v>
      </c>
      <c r="C837">
        <v>255</v>
      </c>
      <c r="D837" t="s">
        <v>9306</v>
      </c>
      <c r="E837" t="s">
        <v>50</v>
      </c>
      <c r="F837">
        <v>2</v>
      </c>
      <c r="G837">
        <v>0.4155996884735203</v>
      </c>
      <c r="H837" t="s">
        <v>94</v>
      </c>
      <c r="I837">
        <v>0</v>
      </c>
      <c r="J837">
        <v>4590</v>
      </c>
      <c r="K837">
        <v>0</v>
      </c>
    </row>
    <row r="838" spans="1:11" x14ac:dyDescent="0.2">
      <c r="A838" t="s">
        <v>16</v>
      </c>
      <c r="B838" t="s">
        <v>2283</v>
      </c>
      <c r="C838">
        <v>255</v>
      </c>
      <c r="D838" t="s">
        <v>9302</v>
      </c>
      <c r="E838" t="s">
        <v>50</v>
      </c>
      <c r="F838">
        <v>2</v>
      </c>
      <c r="G838">
        <v>0.4155996884735203</v>
      </c>
      <c r="H838" t="s">
        <v>88</v>
      </c>
      <c r="I838">
        <v>0</v>
      </c>
      <c r="J838">
        <v>4590</v>
      </c>
      <c r="K838">
        <v>0</v>
      </c>
    </row>
    <row r="839" spans="1:11" x14ac:dyDescent="0.2">
      <c r="A839" t="s">
        <v>16</v>
      </c>
      <c r="B839" t="s">
        <v>2283</v>
      </c>
      <c r="C839">
        <v>255</v>
      </c>
      <c r="D839" t="s">
        <v>9301</v>
      </c>
      <c r="E839" t="s">
        <v>50</v>
      </c>
      <c r="F839">
        <v>2</v>
      </c>
      <c r="G839">
        <v>0.4155996884735203</v>
      </c>
      <c r="H839" t="s">
        <v>94</v>
      </c>
      <c r="I839">
        <v>0</v>
      </c>
      <c r="J839">
        <v>4590</v>
      </c>
      <c r="K839">
        <v>0</v>
      </c>
    </row>
    <row r="840" spans="1:11" x14ac:dyDescent="0.2">
      <c r="A840" t="s">
        <v>16</v>
      </c>
      <c r="B840" t="s">
        <v>2283</v>
      </c>
      <c r="C840">
        <v>255</v>
      </c>
      <c r="D840" t="s">
        <v>9311</v>
      </c>
      <c r="E840" t="s">
        <v>50</v>
      </c>
      <c r="F840">
        <v>2</v>
      </c>
      <c r="G840">
        <v>0.4155996884735203</v>
      </c>
      <c r="H840" t="s">
        <v>88</v>
      </c>
      <c r="I840">
        <v>0</v>
      </c>
      <c r="J840">
        <v>4590</v>
      </c>
      <c r="K840">
        <v>0</v>
      </c>
    </row>
    <row r="841" spans="1:11" x14ac:dyDescent="0.2">
      <c r="A841" t="s">
        <v>16</v>
      </c>
      <c r="B841" t="s">
        <v>2283</v>
      </c>
      <c r="C841">
        <v>255</v>
      </c>
      <c r="D841" t="s">
        <v>9300</v>
      </c>
      <c r="E841" t="s">
        <v>50</v>
      </c>
      <c r="F841">
        <v>2</v>
      </c>
      <c r="G841">
        <v>0.4155996884735203</v>
      </c>
      <c r="H841" t="s">
        <v>94</v>
      </c>
      <c r="I841">
        <v>0</v>
      </c>
      <c r="J841">
        <v>4590</v>
      </c>
      <c r="K841">
        <v>0</v>
      </c>
    </row>
    <row r="842" spans="1:11" x14ac:dyDescent="0.2">
      <c r="A842" t="s">
        <v>16</v>
      </c>
      <c r="B842" t="s">
        <v>2283</v>
      </c>
      <c r="C842">
        <v>255</v>
      </c>
      <c r="D842" t="s">
        <v>9314</v>
      </c>
      <c r="E842" t="s">
        <v>50</v>
      </c>
      <c r="F842">
        <v>2</v>
      </c>
      <c r="G842">
        <v>0.4155996884735203</v>
      </c>
      <c r="H842" t="s">
        <v>88</v>
      </c>
      <c r="I842">
        <v>0</v>
      </c>
      <c r="J842">
        <v>4590</v>
      </c>
      <c r="K842">
        <v>0</v>
      </c>
    </row>
    <row r="843" spans="1:11" x14ac:dyDescent="0.2">
      <c r="A843" t="s">
        <v>16</v>
      </c>
      <c r="B843" t="s">
        <v>2283</v>
      </c>
      <c r="C843">
        <v>255</v>
      </c>
      <c r="D843" t="s">
        <v>9310</v>
      </c>
      <c r="E843" t="s">
        <v>50</v>
      </c>
      <c r="F843">
        <v>2</v>
      </c>
      <c r="G843">
        <v>0.4155996884735203</v>
      </c>
      <c r="H843" t="s">
        <v>94</v>
      </c>
      <c r="I843">
        <v>0</v>
      </c>
      <c r="J843">
        <v>4590</v>
      </c>
      <c r="K843">
        <v>0</v>
      </c>
    </row>
    <row r="844" spans="1:11" x14ac:dyDescent="0.2">
      <c r="A844" t="s">
        <v>16</v>
      </c>
      <c r="B844" t="s">
        <v>2283</v>
      </c>
      <c r="C844">
        <v>255</v>
      </c>
      <c r="D844" t="s">
        <v>9321</v>
      </c>
      <c r="E844" t="s">
        <v>50</v>
      </c>
      <c r="F844">
        <v>2</v>
      </c>
      <c r="G844">
        <v>0.4155996884735203</v>
      </c>
      <c r="H844" t="s">
        <v>88</v>
      </c>
      <c r="I844">
        <v>0</v>
      </c>
      <c r="J844">
        <v>4590</v>
      </c>
      <c r="K844">
        <v>0</v>
      </c>
    </row>
    <row r="845" spans="1:11" x14ac:dyDescent="0.2">
      <c r="A845" t="s">
        <v>16</v>
      </c>
      <c r="B845" t="s">
        <v>2283</v>
      </c>
      <c r="C845">
        <v>255</v>
      </c>
      <c r="D845" t="s">
        <v>9309</v>
      </c>
      <c r="E845" t="s">
        <v>50</v>
      </c>
      <c r="F845">
        <v>2</v>
      </c>
      <c r="G845">
        <v>0.4155996884735203</v>
      </c>
      <c r="H845" t="s">
        <v>94</v>
      </c>
      <c r="I845">
        <v>0</v>
      </c>
      <c r="J845">
        <v>4590</v>
      </c>
      <c r="K845">
        <v>0</v>
      </c>
    </row>
    <row r="846" spans="1:11" x14ac:dyDescent="0.2">
      <c r="A846" t="s">
        <v>16</v>
      </c>
      <c r="B846" t="s">
        <v>2283</v>
      </c>
      <c r="C846">
        <v>255</v>
      </c>
      <c r="D846" t="s">
        <v>9315</v>
      </c>
      <c r="E846" t="s">
        <v>50</v>
      </c>
      <c r="F846">
        <v>2</v>
      </c>
      <c r="G846">
        <v>0.4155996884735203</v>
      </c>
      <c r="H846" t="s">
        <v>88</v>
      </c>
      <c r="I846">
        <v>0</v>
      </c>
      <c r="J846">
        <v>4590</v>
      </c>
      <c r="K846">
        <v>0</v>
      </c>
    </row>
    <row r="847" spans="1:11" x14ac:dyDescent="0.2">
      <c r="A847" t="s">
        <v>16</v>
      </c>
      <c r="B847" t="s">
        <v>2283</v>
      </c>
      <c r="C847">
        <v>255</v>
      </c>
      <c r="D847" t="s">
        <v>9293</v>
      </c>
      <c r="E847" t="s">
        <v>50</v>
      </c>
      <c r="F847">
        <v>2</v>
      </c>
      <c r="G847">
        <v>0.4155996884735203</v>
      </c>
      <c r="H847" t="s">
        <v>94</v>
      </c>
      <c r="I847">
        <v>0</v>
      </c>
      <c r="J847">
        <v>4590</v>
      </c>
      <c r="K847">
        <v>0</v>
      </c>
    </row>
    <row r="848" spans="1:11" x14ac:dyDescent="0.2">
      <c r="A848" t="s">
        <v>16</v>
      </c>
      <c r="B848" t="s">
        <v>2283</v>
      </c>
      <c r="C848">
        <v>255</v>
      </c>
      <c r="D848" t="s">
        <v>9317</v>
      </c>
      <c r="E848" t="s">
        <v>50</v>
      </c>
      <c r="F848">
        <v>2</v>
      </c>
      <c r="G848">
        <v>0.4155996884735203</v>
      </c>
      <c r="H848" t="s">
        <v>88</v>
      </c>
      <c r="I848">
        <v>0</v>
      </c>
      <c r="J848">
        <v>4590</v>
      </c>
      <c r="K848">
        <v>0</v>
      </c>
    </row>
    <row r="849" spans="1:11" x14ac:dyDescent="0.2">
      <c r="A849" t="s">
        <v>16</v>
      </c>
      <c r="B849" t="s">
        <v>2283</v>
      </c>
      <c r="C849">
        <v>255</v>
      </c>
      <c r="D849" t="s">
        <v>9316</v>
      </c>
      <c r="E849" t="s">
        <v>50</v>
      </c>
      <c r="F849">
        <v>2</v>
      </c>
      <c r="G849">
        <v>0.4155996884735203</v>
      </c>
      <c r="H849" t="s">
        <v>94</v>
      </c>
      <c r="I849">
        <v>0</v>
      </c>
      <c r="J849">
        <v>4590</v>
      </c>
      <c r="K849">
        <v>0</v>
      </c>
    </row>
    <row r="850" spans="1:11" x14ac:dyDescent="0.2">
      <c r="A850" t="s">
        <v>16</v>
      </c>
      <c r="B850" t="s">
        <v>2283</v>
      </c>
      <c r="C850">
        <v>255</v>
      </c>
      <c r="D850" t="s">
        <v>9290</v>
      </c>
      <c r="E850" t="s">
        <v>50</v>
      </c>
      <c r="F850">
        <v>2</v>
      </c>
      <c r="G850">
        <v>0.4155996884735203</v>
      </c>
      <c r="H850" t="s">
        <v>88</v>
      </c>
      <c r="I850">
        <v>0</v>
      </c>
      <c r="J850">
        <v>4590</v>
      </c>
      <c r="K850">
        <v>0</v>
      </c>
    </row>
    <row r="851" spans="1:11" x14ac:dyDescent="0.2">
      <c r="A851" t="s">
        <v>16</v>
      </c>
      <c r="B851" t="s">
        <v>2283</v>
      </c>
      <c r="C851">
        <v>255</v>
      </c>
      <c r="D851" t="s">
        <v>9319</v>
      </c>
      <c r="E851" t="s">
        <v>50</v>
      </c>
      <c r="F851">
        <v>2</v>
      </c>
      <c r="G851">
        <v>0.4155996884735203</v>
      </c>
      <c r="H851" t="s">
        <v>94</v>
      </c>
      <c r="I851">
        <v>0</v>
      </c>
      <c r="J851">
        <v>4590</v>
      </c>
      <c r="K851">
        <v>0</v>
      </c>
    </row>
    <row r="852" spans="1:11" x14ac:dyDescent="0.2">
      <c r="A852" t="s">
        <v>16</v>
      </c>
      <c r="B852" t="s">
        <v>2283</v>
      </c>
      <c r="C852">
        <v>255</v>
      </c>
      <c r="D852" t="s">
        <v>9318</v>
      </c>
      <c r="E852" t="s">
        <v>50</v>
      </c>
      <c r="F852">
        <v>2</v>
      </c>
      <c r="G852">
        <v>0.4155996884735203</v>
      </c>
      <c r="H852" t="s">
        <v>88</v>
      </c>
      <c r="I852">
        <v>0</v>
      </c>
      <c r="J852">
        <v>4590</v>
      </c>
      <c r="K852">
        <v>0</v>
      </c>
    </row>
    <row r="853" spans="1:11" x14ac:dyDescent="0.2">
      <c r="A853" t="s">
        <v>16</v>
      </c>
      <c r="B853" t="s">
        <v>2283</v>
      </c>
      <c r="C853">
        <v>255</v>
      </c>
      <c r="D853" t="s">
        <v>9291</v>
      </c>
      <c r="E853" t="s">
        <v>50</v>
      </c>
      <c r="F853">
        <v>2</v>
      </c>
      <c r="G853">
        <v>0.4155996884735203</v>
      </c>
      <c r="H853" t="s">
        <v>94</v>
      </c>
      <c r="I853">
        <v>0</v>
      </c>
      <c r="J853">
        <v>4590</v>
      </c>
      <c r="K853">
        <v>0</v>
      </c>
    </row>
    <row r="854" spans="1:11" x14ac:dyDescent="0.2">
      <c r="A854" t="s">
        <v>16</v>
      </c>
      <c r="B854" t="s">
        <v>2283</v>
      </c>
      <c r="C854">
        <v>255</v>
      </c>
      <c r="D854" t="s">
        <v>9325</v>
      </c>
      <c r="E854" t="s">
        <v>50</v>
      </c>
      <c r="F854">
        <v>2</v>
      </c>
      <c r="G854">
        <v>0.4155996884735203</v>
      </c>
      <c r="H854" t="s">
        <v>88</v>
      </c>
      <c r="I854">
        <v>0</v>
      </c>
      <c r="J854">
        <v>4590</v>
      </c>
      <c r="K854">
        <v>0</v>
      </c>
    </row>
    <row r="855" spans="1:11" x14ac:dyDescent="0.2">
      <c r="A855" t="s">
        <v>16</v>
      </c>
      <c r="B855" t="s">
        <v>2283</v>
      </c>
      <c r="C855">
        <v>255</v>
      </c>
      <c r="D855" t="s">
        <v>9294</v>
      </c>
      <c r="E855" t="s">
        <v>50</v>
      </c>
      <c r="F855">
        <v>2</v>
      </c>
      <c r="G855">
        <v>0.4155996884735203</v>
      </c>
      <c r="H855" t="s">
        <v>94</v>
      </c>
      <c r="I855">
        <v>0</v>
      </c>
      <c r="J855">
        <v>4590</v>
      </c>
      <c r="K855">
        <v>0</v>
      </c>
    </row>
    <row r="856" spans="1:11" x14ac:dyDescent="0.2">
      <c r="A856" t="s">
        <v>16</v>
      </c>
      <c r="B856" t="s">
        <v>2283</v>
      </c>
      <c r="C856">
        <v>255</v>
      </c>
      <c r="D856" t="s">
        <v>9297</v>
      </c>
      <c r="E856" t="s">
        <v>50</v>
      </c>
      <c r="F856">
        <v>2</v>
      </c>
      <c r="G856">
        <v>0.4155996884735203</v>
      </c>
      <c r="H856" t="s">
        <v>88</v>
      </c>
      <c r="I856">
        <v>0</v>
      </c>
      <c r="J856">
        <v>4590</v>
      </c>
      <c r="K856">
        <v>0</v>
      </c>
    </row>
    <row r="857" spans="1:11" x14ac:dyDescent="0.2">
      <c r="A857" t="s">
        <v>16</v>
      </c>
      <c r="B857" t="s">
        <v>2283</v>
      </c>
      <c r="C857">
        <v>255</v>
      </c>
      <c r="D857" t="s">
        <v>9295</v>
      </c>
      <c r="E857" t="s">
        <v>50</v>
      </c>
      <c r="F857">
        <v>2</v>
      </c>
      <c r="G857">
        <v>0.4155996884735203</v>
      </c>
      <c r="H857" t="s">
        <v>94</v>
      </c>
      <c r="I857">
        <v>0</v>
      </c>
      <c r="J857">
        <v>4590</v>
      </c>
      <c r="K857">
        <v>0</v>
      </c>
    </row>
    <row r="858" spans="1:11" x14ac:dyDescent="0.2">
      <c r="A858" t="s">
        <v>16</v>
      </c>
      <c r="B858" t="s">
        <v>2283</v>
      </c>
      <c r="C858">
        <v>255</v>
      </c>
      <c r="D858" t="s">
        <v>9322</v>
      </c>
      <c r="E858" t="s">
        <v>50</v>
      </c>
      <c r="F858">
        <v>2</v>
      </c>
      <c r="G858">
        <v>0.4155996884735203</v>
      </c>
      <c r="H858" t="s">
        <v>88</v>
      </c>
      <c r="I858">
        <v>0</v>
      </c>
      <c r="J858">
        <v>4590</v>
      </c>
      <c r="K858">
        <v>0</v>
      </c>
    </row>
    <row r="859" spans="1:11" x14ac:dyDescent="0.2">
      <c r="A859" t="s">
        <v>16</v>
      </c>
      <c r="B859" t="s">
        <v>947</v>
      </c>
      <c r="C859">
        <v>120</v>
      </c>
      <c r="D859" t="s">
        <v>9860</v>
      </c>
      <c r="E859" t="s">
        <v>50</v>
      </c>
      <c r="F859">
        <v>3</v>
      </c>
      <c r="G859">
        <v>0.30791193145704626</v>
      </c>
      <c r="H859" t="s">
        <v>89</v>
      </c>
      <c r="I859">
        <v>0</v>
      </c>
      <c r="J859">
        <v>4560</v>
      </c>
      <c r="K859">
        <v>0</v>
      </c>
    </row>
    <row r="860" spans="1:11" x14ac:dyDescent="0.2">
      <c r="A860" t="s">
        <v>16</v>
      </c>
      <c r="B860" t="s">
        <v>959</v>
      </c>
      <c r="C860">
        <v>540</v>
      </c>
      <c r="D860" t="s">
        <v>10150</v>
      </c>
      <c r="E860" t="s">
        <v>50</v>
      </c>
      <c r="F860">
        <v>2</v>
      </c>
      <c r="G860">
        <v>1.0345530822852775</v>
      </c>
      <c r="H860" t="s">
        <v>87</v>
      </c>
      <c r="I860">
        <v>0</v>
      </c>
      <c r="J860">
        <v>4320</v>
      </c>
      <c r="K860">
        <v>0</v>
      </c>
    </row>
    <row r="861" spans="1:11" x14ac:dyDescent="0.2">
      <c r="A861" t="s">
        <v>16</v>
      </c>
      <c r="B861" t="s">
        <v>959</v>
      </c>
      <c r="C861">
        <v>540</v>
      </c>
      <c r="D861" t="s">
        <v>10152</v>
      </c>
      <c r="E861" t="s">
        <v>50</v>
      </c>
      <c r="F861">
        <v>2</v>
      </c>
      <c r="G861">
        <v>1.0345530822852775</v>
      </c>
      <c r="H861" t="s">
        <v>98</v>
      </c>
      <c r="I861">
        <v>0</v>
      </c>
      <c r="J861">
        <v>4320</v>
      </c>
      <c r="K861">
        <v>0</v>
      </c>
    </row>
    <row r="862" spans="1:11" x14ac:dyDescent="0.2">
      <c r="A862" t="s">
        <v>16</v>
      </c>
      <c r="B862" t="s">
        <v>959</v>
      </c>
      <c r="C862">
        <v>540</v>
      </c>
      <c r="D862" t="s">
        <v>10149</v>
      </c>
      <c r="E862" t="s">
        <v>50</v>
      </c>
      <c r="F862">
        <v>2</v>
      </c>
      <c r="G862">
        <v>1.0345530822852775</v>
      </c>
      <c r="H862" t="s">
        <v>87</v>
      </c>
      <c r="I862">
        <v>0</v>
      </c>
      <c r="J862">
        <v>4320</v>
      </c>
      <c r="K862">
        <v>0</v>
      </c>
    </row>
    <row r="863" spans="1:11" x14ac:dyDescent="0.2">
      <c r="A863" t="s">
        <v>16</v>
      </c>
      <c r="B863" t="s">
        <v>959</v>
      </c>
      <c r="C863">
        <v>540</v>
      </c>
      <c r="D863" t="s">
        <v>10151</v>
      </c>
      <c r="E863" t="s">
        <v>50</v>
      </c>
      <c r="F863">
        <v>2</v>
      </c>
      <c r="G863">
        <v>1.0345530822852775</v>
      </c>
      <c r="H863" t="s">
        <v>98</v>
      </c>
      <c r="I863">
        <v>0</v>
      </c>
      <c r="J863">
        <v>4320</v>
      </c>
      <c r="K863">
        <v>0</v>
      </c>
    </row>
    <row r="864" spans="1:11" x14ac:dyDescent="0.2">
      <c r="A864" t="s">
        <v>16</v>
      </c>
      <c r="B864" t="s">
        <v>6023</v>
      </c>
      <c r="C864">
        <v>240</v>
      </c>
      <c r="D864" t="s">
        <v>10275</v>
      </c>
      <c r="E864" t="s">
        <v>50</v>
      </c>
      <c r="F864">
        <v>7</v>
      </c>
      <c r="G864">
        <v>0.43533655350549305</v>
      </c>
      <c r="H864" t="s">
        <v>91</v>
      </c>
      <c r="I864">
        <v>0</v>
      </c>
      <c r="J864">
        <v>4320</v>
      </c>
      <c r="K864">
        <v>0</v>
      </c>
    </row>
    <row r="865" spans="1:11" x14ac:dyDescent="0.2">
      <c r="A865" t="s">
        <v>16</v>
      </c>
      <c r="B865" t="s">
        <v>725</v>
      </c>
      <c r="C865">
        <v>60</v>
      </c>
      <c r="D865" t="s">
        <v>9806</v>
      </c>
      <c r="E865" t="s">
        <v>50</v>
      </c>
      <c r="F865">
        <v>3</v>
      </c>
      <c r="G865">
        <v>9.8488567662166446E-2</v>
      </c>
      <c r="H865" t="s">
        <v>97</v>
      </c>
      <c r="I865">
        <v>0</v>
      </c>
      <c r="J865">
        <v>4200</v>
      </c>
      <c r="K865">
        <v>0</v>
      </c>
    </row>
    <row r="866" spans="1:11" x14ac:dyDescent="0.2">
      <c r="A866" t="s">
        <v>16</v>
      </c>
      <c r="B866" t="s">
        <v>5828</v>
      </c>
      <c r="C866">
        <v>300</v>
      </c>
      <c r="D866" t="s">
        <v>10208</v>
      </c>
      <c r="E866" t="s">
        <v>50</v>
      </c>
      <c r="F866">
        <v>9</v>
      </c>
      <c r="G866">
        <v>0.47357441560193481</v>
      </c>
      <c r="H866" t="s">
        <v>100</v>
      </c>
      <c r="I866">
        <v>0</v>
      </c>
      <c r="J866">
        <v>4200</v>
      </c>
      <c r="K866">
        <v>0</v>
      </c>
    </row>
    <row r="867" spans="1:11" x14ac:dyDescent="0.2">
      <c r="A867" t="s">
        <v>16</v>
      </c>
      <c r="B867" t="s">
        <v>5828</v>
      </c>
      <c r="C867">
        <v>300</v>
      </c>
      <c r="D867" t="s">
        <v>10205</v>
      </c>
      <c r="E867" t="s">
        <v>50</v>
      </c>
      <c r="F867">
        <v>9</v>
      </c>
      <c r="G867">
        <v>0.47357441560193481</v>
      </c>
      <c r="H867" t="s">
        <v>96</v>
      </c>
      <c r="I867">
        <v>0</v>
      </c>
      <c r="J867">
        <v>4200</v>
      </c>
      <c r="K867">
        <v>0</v>
      </c>
    </row>
    <row r="868" spans="1:11" x14ac:dyDescent="0.2">
      <c r="A868" t="s">
        <v>16</v>
      </c>
      <c r="B868" t="s">
        <v>5828</v>
      </c>
      <c r="C868">
        <v>300</v>
      </c>
      <c r="D868" t="s">
        <v>10207</v>
      </c>
      <c r="E868" t="s">
        <v>50</v>
      </c>
      <c r="F868">
        <v>9</v>
      </c>
      <c r="G868">
        <v>0.47357441560193481</v>
      </c>
      <c r="H868" t="s">
        <v>99</v>
      </c>
      <c r="I868">
        <v>0</v>
      </c>
      <c r="J868">
        <v>4200</v>
      </c>
      <c r="K868">
        <v>0</v>
      </c>
    </row>
    <row r="869" spans="1:11" x14ac:dyDescent="0.2">
      <c r="A869" t="s">
        <v>16</v>
      </c>
      <c r="B869" t="s">
        <v>5828</v>
      </c>
      <c r="C869">
        <v>300</v>
      </c>
      <c r="D869" t="s">
        <v>10214</v>
      </c>
      <c r="E869" t="s">
        <v>50</v>
      </c>
      <c r="F869">
        <v>9</v>
      </c>
      <c r="G869">
        <v>0.47357441560193481</v>
      </c>
      <c r="H869" t="s">
        <v>84</v>
      </c>
      <c r="I869">
        <v>0</v>
      </c>
      <c r="J869">
        <v>4200</v>
      </c>
      <c r="K869">
        <v>0</v>
      </c>
    </row>
    <row r="870" spans="1:11" x14ac:dyDescent="0.2">
      <c r="A870" t="s">
        <v>16</v>
      </c>
      <c r="B870" t="s">
        <v>5828</v>
      </c>
      <c r="C870">
        <v>300</v>
      </c>
      <c r="D870" t="s">
        <v>10213</v>
      </c>
      <c r="E870" t="s">
        <v>50</v>
      </c>
      <c r="F870">
        <v>9</v>
      </c>
      <c r="G870">
        <v>0.47357441560193481</v>
      </c>
      <c r="H870" t="s">
        <v>105</v>
      </c>
      <c r="I870">
        <v>0</v>
      </c>
      <c r="J870">
        <v>4200</v>
      </c>
      <c r="K870">
        <v>0</v>
      </c>
    </row>
    <row r="871" spans="1:11" x14ac:dyDescent="0.2">
      <c r="A871" t="s">
        <v>16</v>
      </c>
      <c r="B871" t="s">
        <v>5828</v>
      </c>
      <c r="C871">
        <v>300</v>
      </c>
      <c r="D871" t="s">
        <v>10221</v>
      </c>
      <c r="E871" t="s">
        <v>50</v>
      </c>
      <c r="F871">
        <v>9</v>
      </c>
      <c r="G871">
        <v>0.47357441560193481</v>
      </c>
      <c r="H871" t="s">
        <v>92</v>
      </c>
      <c r="I871">
        <v>0</v>
      </c>
      <c r="J871">
        <v>4200</v>
      </c>
      <c r="K871">
        <v>0</v>
      </c>
    </row>
    <row r="872" spans="1:11" x14ac:dyDescent="0.2">
      <c r="A872" t="s">
        <v>16</v>
      </c>
      <c r="B872" t="s">
        <v>5828</v>
      </c>
      <c r="C872">
        <v>300</v>
      </c>
      <c r="D872" t="s">
        <v>10225</v>
      </c>
      <c r="E872" t="s">
        <v>50</v>
      </c>
      <c r="F872">
        <v>9</v>
      </c>
      <c r="G872">
        <v>0.47357441560193481</v>
      </c>
      <c r="H872" t="s">
        <v>95</v>
      </c>
      <c r="I872">
        <v>0</v>
      </c>
      <c r="J872">
        <v>4200</v>
      </c>
      <c r="K872">
        <v>0</v>
      </c>
    </row>
    <row r="873" spans="1:11" x14ac:dyDescent="0.2">
      <c r="A873" t="s">
        <v>16</v>
      </c>
      <c r="B873" t="s">
        <v>5828</v>
      </c>
      <c r="C873">
        <v>300</v>
      </c>
      <c r="D873" t="s">
        <v>10217</v>
      </c>
      <c r="E873" t="s">
        <v>50</v>
      </c>
      <c r="F873">
        <v>9</v>
      </c>
      <c r="G873">
        <v>0.47357441560193481</v>
      </c>
      <c r="H873" t="s">
        <v>93</v>
      </c>
      <c r="I873">
        <v>0</v>
      </c>
      <c r="J873">
        <v>4200</v>
      </c>
      <c r="K873">
        <v>0</v>
      </c>
    </row>
    <row r="874" spans="1:11" x14ac:dyDescent="0.2">
      <c r="A874" t="s">
        <v>16</v>
      </c>
      <c r="B874" t="s">
        <v>5828</v>
      </c>
      <c r="C874">
        <v>300</v>
      </c>
      <c r="D874" t="s">
        <v>10215</v>
      </c>
      <c r="E874" t="s">
        <v>50</v>
      </c>
      <c r="F874">
        <v>9</v>
      </c>
      <c r="G874">
        <v>0.47357441560193481</v>
      </c>
      <c r="H874" t="s">
        <v>104</v>
      </c>
      <c r="I874">
        <v>0</v>
      </c>
      <c r="J874">
        <v>4200</v>
      </c>
      <c r="K874">
        <v>0</v>
      </c>
    </row>
    <row r="875" spans="1:11" x14ac:dyDescent="0.2">
      <c r="A875" t="s">
        <v>16</v>
      </c>
      <c r="B875" t="s">
        <v>5828</v>
      </c>
      <c r="C875">
        <v>300</v>
      </c>
      <c r="D875" t="s">
        <v>10210</v>
      </c>
      <c r="E875" t="s">
        <v>50</v>
      </c>
      <c r="F875">
        <v>9</v>
      </c>
      <c r="G875">
        <v>0.47357441560193481</v>
      </c>
      <c r="H875" t="s">
        <v>100</v>
      </c>
      <c r="I875">
        <v>0</v>
      </c>
      <c r="J875">
        <v>4200</v>
      </c>
      <c r="K875">
        <v>0</v>
      </c>
    </row>
    <row r="876" spans="1:11" x14ac:dyDescent="0.2">
      <c r="A876" t="s">
        <v>16</v>
      </c>
      <c r="B876" t="s">
        <v>5828</v>
      </c>
      <c r="C876">
        <v>300</v>
      </c>
      <c r="D876" t="s">
        <v>10224</v>
      </c>
      <c r="E876" t="s">
        <v>50</v>
      </c>
      <c r="F876">
        <v>9</v>
      </c>
      <c r="G876">
        <v>0.47357441560193481</v>
      </c>
      <c r="H876" t="s">
        <v>96</v>
      </c>
      <c r="I876">
        <v>0</v>
      </c>
      <c r="J876">
        <v>4200</v>
      </c>
      <c r="K876">
        <v>0</v>
      </c>
    </row>
    <row r="877" spans="1:11" x14ac:dyDescent="0.2">
      <c r="A877" t="s">
        <v>16</v>
      </c>
      <c r="B877" t="s">
        <v>5828</v>
      </c>
      <c r="C877">
        <v>300</v>
      </c>
      <c r="D877" t="s">
        <v>10212</v>
      </c>
      <c r="E877" t="s">
        <v>50</v>
      </c>
      <c r="F877">
        <v>9</v>
      </c>
      <c r="G877">
        <v>0.47357441560193481</v>
      </c>
      <c r="H877" t="s">
        <v>99</v>
      </c>
      <c r="I877">
        <v>0</v>
      </c>
      <c r="J877">
        <v>4200</v>
      </c>
      <c r="K877">
        <v>0</v>
      </c>
    </row>
    <row r="878" spans="1:11" x14ac:dyDescent="0.2">
      <c r="A878" t="s">
        <v>16</v>
      </c>
      <c r="B878" t="s">
        <v>5828</v>
      </c>
      <c r="C878">
        <v>300</v>
      </c>
      <c r="D878" t="s">
        <v>10223</v>
      </c>
      <c r="E878" t="s">
        <v>50</v>
      </c>
      <c r="F878">
        <v>9</v>
      </c>
      <c r="G878">
        <v>0.47357441560193481</v>
      </c>
      <c r="H878" t="s">
        <v>84</v>
      </c>
      <c r="I878">
        <v>0</v>
      </c>
      <c r="J878">
        <v>4200</v>
      </c>
      <c r="K878">
        <v>0</v>
      </c>
    </row>
    <row r="879" spans="1:11" x14ac:dyDescent="0.2">
      <c r="A879" t="s">
        <v>16</v>
      </c>
      <c r="B879" t="s">
        <v>5828</v>
      </c>
      <c r="C879">
        <v>300</v>
      </c>
      <c r="D879" t="s">
        <v>10206</v>
      </c>
      <c r="E879" t="s">
        <v>50</v>
      </c>
      <c r="F879">
        <v>9</v>
      </c>
      <c r="G879">
        <v>0.47357441560193481</v>
      </c>
      <c r="H879" t="s">
        <v>105</v>
      </c>
      <c r="I879">
        <v>0</v>
      </c>
      <c r="J879">
        <v>4200</v>
      </c>
      <c r="K879">
        <v>0</v>
      </c>
    </row>
    <row r="880" spans="1:11" x14ac:dyDescent="0.2">
      <c r="A880" t="s">
        <v>16</v>
      </c>
      <c r="B880" t="s">
        <v>5828</v>
      </c>
      <c r="C880">
        <v>300</v>
      </c>
      <c r="D880" t="s">
        <v>10220</v>
      </c>
      <c r="E880" t="s">
        <v>50</v>
      </c>
      <c r="F880">
        <v>9</v>
      </c>
      <c r="G880">
        <v>0.47357441560193481</v>
      </c>
      <c r="H880" t="s">
        <v>92</v>
      </c>
      <c r="I880">
        <v>0</v>
      </c>
      <c r="J880">
        <v>4200</v>
      </c>
      <c r="K880">
        <v>0</v>
      </c>
    </row>
    <row r="881" spans="1:11" x14ac:dyDescent="0.2">
      <c r="A881" t="s">
        <v>16</v>
      </c>
      <c r="B881" t="s">
        <v>5828</v>
      </c>
      <c r="C881">
        <v>300</v>
      </c>
      <c r="D881" t="s">
        <v>10216</v>
      </c>
      <c r="E881" t="s">
        <v>50</v>
      </c>
      <c r="F881">
        <v>9</v>
      </c>
      <c r="G881">
        <v>0.47357441560193481</v>
      </c>
      <c r="H881" t="s">
        <v>95</v>
      </c>
      <c r="I881">
        <v>0</v>
      </c>
      <c r="J881">
        <v>4200</v>
      </c>
      <c r="K881">
        <v>0</v>
      </c>
    </row>
    <row r="882" spans="1:11" x14ac:dyDescent="0.2">
      <c r="A882" t="s">
        <v>16</v>
      </c>
      <c r="B882" t="s">
        <v>5828</v>
      </c>
      <c r="C882">
        <v>300</v>
      </c>
      <c r="D882" t="s">
        <v>10211</v>
      </c>
      <c r="E882" t="s">
        <v>50</v>
      </c>
      <c r="F882">
        <v>9</v>
      </c>
      <c r="G882">
        <v>0.47357441560193481</v>
      </c>
      <c r="H882" t="s">
        <v>93</v>
      </c>
      <c r="I882">
        <v>0</v>
      </c>
      <c r="J882">
        <v>4200</v>
      </c>
      <c r="K882">
        <v>0</v>
      </c>
    </row>
    <row r="883" spans="1:11" x14ac:dyDescent="0.2">
      <c r="A883" t="s">
        <v>16</v>
      </c>
      <c r="B883" t="s">
        <v>5828</v>
      </c>
      <c r="C883">
        <v>300</v>
      </c>
      <c r="D883" t="s">
        <v>10209</v>
      </c>
      <c r="E883" t="s">
        <v>50</v>
      </c>
      <c r="F883">
        <v>9</v>
      </c>
      <c r="G883">
        <v>0.47357441560193481</v>
      </c>
      <c r="H883" t="s">
        <v>104</v>
      </c>
      <c r="I883">
        <v>0</v>
      </c>
      <c r="J883">
        <v>4200</v>
      </c>
      <c r="K883">
        <v>0</v>
      </c>
    </row>
    <row r="884" spans="1:11" x14ac:dyDescent="0.2">
      <c r="A884" t="s">
        <v>16</v>
      </c>
      <c r="B884" t="s">
        <v>5828</v>
      </c>
      <c r="C884">
        <v>300</v>
      </c>
      <c r="D884" t="s">
        <v>10222</v>
      </c>
      <c r="E884" t="s">
        <v>50</v>
      </c>
      <c r="F884">
        <v>9</v>
      </c>
      <c r="G884">
        <v>0.47357441560193481</v>
      </c>
      <c r="H884" t="s">
        <v>100</v>
      </c>
      <c r="I884">
        <v>0</v>
      </c>
      <c r="J884">
        <v>4200</v>
      </c>
      <c r="K884">
        <v>0</v>
      </c>
    </row>
    <row r="885" spans="1:11" x14ac:dyDescent="0.2">
      <c r="A885" t="s">
        <v>16</v>
      </c>
      <c r="B885" t="s">
        <v>5828</v>
      </c>
      <c r="C885">
        <v>300</v>
      </c>
      <c r="D885" t="s">
        <v>10218</v>
      </c>
      <c r="E885" t="s">
        <v>50</v>
      </c>
      <c r="F885">
        <v>9</v>
      </c>
      <c r="G885">
        <v>0.47357441560193481</v>
      </c>
      <c r="H885" t="s">
        <v>96</v>
      </c>
      <c r="I885">
        <v>0</v>
      </c>
      <c r="J885">
        <v>4200</v>
      </c>
      <c r="K885">
        <v>0</v>
      </c>
    </row>
    <row r="886" spans="1:11" x14ac:dyDescent="0.2">
      <c r="A886" t="s">
        <v>16</v>
      </c>
      <c r="B886" t="s">
        <v>5830</v>
      </c>
      <c r="C886">
        <v>300</v>
      </c>
      <c r="D886" t="s">
        <v>10241</v>
      </c>
      <c r="E886" t="s">
        <v>50</v>
      </c>
      <c r="F886">
        <v>7</v>
      </c>
      <c r="G886">
        <v>0.43624221748772446</v>
      </c>
      <c r="H886" t="s">
        <v>89</v>
      </c>
      <c r="I886">
        <v>0</v>
      </c>
      <c r="J886">
        <v>4200</v>
      </c>
      <c r="K886">
        <v>0</v>
      </c>
    </row>
    <row r="887" spans="1:11" x14ac:dyDescent="0.2">
      <c r="A887" t="s">
        <v>16</v>
      </c>
      <c r="B887" t="s">
        <v>5830</v>
      </c>
      <c r="C887">
        <v>300</v>
      </c>
      <c r="D887" t="s">
        <v>10236</v>
      </c>
      <c r="E887" t="s">
        <v>50</v>
      </c>
      <c r="F887">
        <v>7</v>
      </c>
      <c r="G887">
        <v>0.43624221748772446</v>
      </c>
      <c r="H887" t="s">
        <v>101</v>
      </c>
      <c r="I887">
        <v>0</v>
      </c>
      <c r="J887">
        <v>4200</v>
      </c>
      <c r="K887">
        <v>0</v>
      </c>
    </row>
    <row r="888" spans="1:11" x14ac:dyDescent="0.2">
      <c r="A888" t="s">
        <v>16</v>
      </c>
      <c r="B888" t="s">
        <v>5830</v>
      </c>
      <c r="C888">
        <v>300</v>
      </c>
      <c r="D888" t="s">
        <v>10229</v>
      </c>
      <c r="E888" t="s">
        <v>50</v>
      </c>
      <c r="F888">
        <v>7</v>
      </c>
      <c r="G888">
        <v>0.43624221748772446</v>
      </c>
      <c r="H888" t="s">
        <v>103</v>
      </c>
      <c r="I888">
        <v>0</v>
      </c>
      <c r="J888">
        <v>4200</v>
      </c>
      <c r="K888">
        <v>0</v>
      </c>
    </row>
    <row r="889" spans="1:11" x14ac:dyDescent="0.2">
      <c r="A889" t="s">
        <v>16</v>
      </c>
      <c r="B889" t="s">
        <v>5830</v>
      </c>
      <c r="C889">
        <v>300</v>
      </c>
      <c r="D889" t="s">
        <v>10227</v>
      </c>
      <c r="E889" t="s">
        <v>50</v>
      </c>
      <c r="F889">
        <v>7</v>
      </c>
      <c r="G889">
        <v>0.43624221748772446</v>
      </c>
      <c r="H889" t="s">
        <v>90</v>
      </c>
      <c r="I889">
        <v>0</v>
      </c>
      <c r="J889">
        <v>4200</v>
      </c>
      <c r="K889">
        <v>0</v>
      </c>
    </row>
    <row r="890" spans="1:11" x14ac:dyDescent="0.2">
      <c r="A890" t="s">
        <v>16</v>
      </c>
      <c r="B890" t="s">
        <v>5830</v>
      </c>
      <c r="C890">
        <v>300</v>
      </c>
      <c r="D890" t="s">
        <v>10231</v>
      </c>
      <c r="E890" t="s">
        <v>50</v>
      </c>
      <c r="F890">
        <v>7</v>
      </c>
      <c r="G890">
        <v>0.43624221748772446</v>
      </c>
      <c r="H890" t="s">
        <v>97</v>
      </c>
      <c r="I890">
        <v>0</v>
      </c>
      <c r="J890">
        <v>4200</v>
      </c>
      <c r="K890">
        <v>0</v>
      </c>
    </row>
    <row r="891" spans="1:11" x14ac:dyDescent="0.2">
      <c r="A891" t="s">
        <v>16</v>
      </c>
      <c r="B891" t="s">
        <v>5830</v>
      </c>
      <c r="C891">
        <v>300</v>
      </c>
      <c r="D891" t="s">
        <v>10228</v>
      </c>
      <c r="E891" t="s">
        <v>50</v>
      </c>
      <c r="F891">
        <v>7</v>
      </c>
      <c r="G891">
        <v>0.43624221748772446</v>
      </c>
      <c r="H891" t="s">
        <v>91</v>
      </c>
      <c r="I891">
        <v>0</v>
      </c>
      <c r="J891">
        <v>4200</v>
      </c>
      <c r="K891">
        <v>0</v>
      </c>
    </row>
    <row r="892" spans="1:11" x14ac:dyDescent="0.2">
      <c r="A892" t="s">
        <v>16</v>
      </c>
      <c r="B892" t="s">
        <v>5830</v>
      </c>
      <c r="C892">
        <v>300</v>
      </c>
      <c r="D892" t="s">
        <v>10243</v>
      </c>
      <c r="E892" t="s">
        <v>50</v>
      </c>
      <c r="F892">
        <v>7</v>
      </c>
      <c r="G892">
        <v>0.43624221748772446</v>
      </c>
      <c r="H892" t="s">
        <v>89</v>
      </c>
      <c r="I892">
        <v>0</v>
      </c>
      <c r="J892">
        <v>4200</v>
      </c>
      <c r="K892">
        <v>0</v>
      </c>
    </row>
    <row r="893" spans="1:11" x14ac:dyDescent="0.2">
      <c r="A893" t="s">
        <v>16</v>
      </c>
      <c r="B893" t="s">
        <v>5830</v>
      </c>
      <c r="C893">
        <v>300</v>
      </c>
      <c r="D893" t="s">
        <v>10239</v>
      </c>
      <c r="E893" t="s">
        <v>50</v>
      </c>
      <c r="F893">
        <v>7</v>
      </c>
      <c r="G893">
        <v>0.43624221748772446</v>
      </c>
      <c r="H893" t="s">
        <v>101</v>
      </c>
      <c r="I893">
        <v>0</v>
      </c>
      <c r="J893">
        <v>4200</v>
      </c>
      <c r="K893">
        <v>0</v>
      </c>
    </row>
    <row r="894" spans="1:11" x14ac:dyDescent="0.2">
      <c r="A894" t="s">
        <v>16</v>
      </c>
      <c r="B894" t="s">
        <v>5830</v>
      </c>
      <c r="C894">
        <v>300</v>
      </c>
      <c r="D894" t="s">
        <v>10244</v>
      </c>
      <c r="E894" t="s">
        <v>50</v>
      </c>
      <c r="F894">
        <v>7</v>
      </c>
      <c r="G894">
        <v>0.43624221748772446</v>
      </c>
      <c r="H894" t="s">
        <v>103</v>
      </c>
      <c r="I894">
        <v>0</v>
      </c>
      <c r="J894">
        <v>4200</v>
      </c>
      <c r="K894">
        <v>0</v>
      </c>
    </row>
    <row r="895" spans="1:11" x14ac:dyDescent="0.2">
      <c r="A895" t="s">
        <v>16</v>
      </c>
      <c r="B895" t="s">
        <v>5830</v>
      </c>
      <c r="C895">
        <v>300</v>
      </c>
      <c r="D895" t="s">
        <v>10240</v>
      </c>
      <c r="E895" t="s">
        <v>50</v>
      </c>
      <c r="F895">
        <v>7</v>
      </c>
      <c r="G895">
        <v>0.43624221748772446</v>
      </c>
      <c r="H895" t="s">
        <v>87</v>
      </c>
      <c r="I895">
        <v>0</v>
      </c>
      <c r="J895">
        <v>4200</v>
      </c>
      <c r="K895">
        <v>0</v>
      </c>
    </row>
    <row r="896" spans="1:11" x14ac:dyDescent="0.2">
      <c r="A896" t="s">
        <v>16</v>
      </c>
      <c r="B896" t="s">
        <v>5830</v>
      </c>
      <c r="C896">
        <v>300</v>
      </c>
      <c r="D896" t="s">
        <v>10246</v>
      </c>
      <c r="E896" t="s">
        <v>50</v>
      </c>
      <c r="F896">
        <v>7</v>
      </c>
      <c r="G896">
        <v>0.43624221748772446</v>
      </c>
      <c r="H896" t="s">
        <v>90</v>
      </c>
      <c r="I896">
        <v>0</v>
      </c>
      <c r="J896">
        <v>4200</v>
      </c>
      <c r="K896">
        <v>0</v>
      </c>
    </row>
    <row r="897" spans="1:11" x14ac:dyDescent="0.2">
      <c r="A897" t="s">
        <v>16</v>
      </c>
      <c r="B897" t="s">
        <v>5830</v>
      </c>
      <c r="C897">
        <v>300</v>
      </c>
      <c r="D897" t="s">
        <v>10245</v>
      </c>
      <c r="E897" t="s">
        <v>50</v>
      </c>
      <c r="F897">
        <v>7</v>
      </c>
      <c r="G897">
        <v>0.43624221748772446</v>
      </c>
      <c r="H897" t="s">
        <v>97</v>
      </c>
      <c r="I897">
        <v>0</v>
      </c>
      <c r="J897">
        <v>4200</v>
      </c>
      <c r="K897">
        <v>0</v>
      </c>
    </row>
    <row r="898" spans="1:11" x14ac:dyDescent="0.2">
      <c r="A898" t="s">
        <v>16</v>
      </c>
      <c r="B898" t="s">
        <v>5830</v>
      </c>
      <c r="C898">
        <v>300</v>
      </c>
      <c r="D898" t="s">
        <v>10238</v>
      </c>
      <c r="E898" t="s">
        <v>50</v>
      </c>
      <c r="F898">
        <v>7</v>
      </c>
      <c r="G898">
        <v>0.43624221748772446</v>
      </c>
      <c r="H898" t="s">
        <v>91</v>
      </c>
      <c r="I898">
        <v>0</v>
      </c>
      <c r="J898">
        <v>4200</v>
      </c>
      <c r="K898">
        <v>0</v>
      </c>
    </row>
    <row r="899" spans="1:11" x14ac:dyDescent="0.2">
      <c r="A899" t="s">
        <v>16</v>
      </c>
      <c r="B899" t="s">
        <v>5830</v>
      </c>
      <c r="C899">
        <v>300</v>
      </c>
      <c r="D899" t="s">
        <v>10233</v>
      </c>
      <c r="E899" t="s">
        <v>50</v>
      </c>
      <c r="F899">
        <v>7</v>
      </c>
      <c r="G899">
        <v>0.43624221748772446</v>
      </c>
      <c r="H899" t="s">
        <v>89</v>
      </c>
      <c r="I899">
        <v>0</v>
      </c>
      <c r="J899">
        <v>4200</v>
      </c>
      <c r="K899">
        <v>0</v>
      </c>
    </row>
    <row r="900" spans="1:11" x14ac:dyDescent="0.2">
      <c r="A900" t="s">
        <v>16</v>
      </c>
      <c r="B900" t="s">
        <v>5830</v>
      </c>
      <c r="C900">
        <v>300</v>
      </c>
      <c r="D900" t="s">
        <v>10235</v>
      </c>
      <c r="E900" t="s">
        <v>50</v>
      </c>
      <c r="F900">
        <v>7</v>
      </c>
      <c r="G900">
        <v>0.43624221748772446</v>
      </c>
      <c r="H900" t="s">
        <v>101</v>
      </c>
      <c r="I900">
        <v>0</v>
      </c>
      <c r="J900">
        <v>4200</v>
      </c>
      <c r="K900">
        <v>0</v>
      </c>
    </row>
    <row r="901" spans="1:11" x14ac:dyDescent="0.2">
      <c r="A901" t="s">
        <v>16</v>
      </c>
      <c r="B901" t="s">
        <v>5830</v>
      </c>
      <c r="C901">
        <v>300</v>
      </c>
      <c r="D901" t="s">
        <v>10226</v>
      </c>
      <c r="E901" t="s">
        <v>50</v>
      </c>
      <c r="F901">
        <v>7</v>
      </c>
      <c r="G901">
        <v>0.43624221748772446</v>
      </c>
      <c r="H901" t="s">
        <v>103</v>
      </c>
      <c r="I901">
        <v>0</v>
      </c>
      <c r="J901">
        <v>4200</v>
      </c>
      <c r="K901">
        <v>0</v>
      </c>
    </row>
    <row r="902" spans="1:11" x14ac:dyDescent="0.2">
      <c r="A902" t="s">
        <v>16</v>
      </c>
      <c r="B902" t="s">
        <v>5830</v>
      </c>
      <c r="C902">
        <v>300</v>
      </c>
      <c r="D902" t="s">
        <v>10232</v>
      </c>
      <c r="E902" t="s">
        <v>50</v>
      </c>
      <c r="F902">
        <v>7</v>
      </c>
      <c r="G902">
        <v>0.43624221748772446</v>
      </c>
      <c r="H902" t="s">
        <v>87</v>
      </c>
      <c r="I902">
        <v>0</v>
      </c>
      <c r="J902">
        <v>4200</v>
      </c>
      <c r="K902">
        <v>0</v>
      </c>
    </row>
    <row r="903" spans="1:11" x14ac:dyDescent="0.2">
      <c r="A903" t="s">
        <v>16</v>
      </c>
      <c r="B903" t="s">
        <v>5830</v>
      </c>
      <c r="C903">
        <v>300</v>
      </c>
      <c r="D903" t="s">
        <v>10237</v>
      </c>
      <c r="E903" t="s">
        <v>50</v>
      </c>
      <c r="F903">
        <v>7</v>
      </c>
      <c r="G903">
        <v>0.43624221748772446</v>
      </c>
      <c r="H903" t="s">
        <v>90</v>
      </c>
      <c r="I903">
        <v>0</v>
      </c>
      <c r="J903">
        <v>4200</v>
      </c>
      <c r="K903">
        <v>0</v>
      </c>
    </row>
    <row r="904" spans="1:11" x14ac:dyDescent="0.2">
      <c r="A904" t="s">
        <v>16</v>
      </c>
      <c r="B904" t="s">
        <v>5830</v>
      </c>
      <c r="C904">
        <v>300</v>
      </c>
      <c r="D904" t="s">
        <v>10242</v>
      </c>
      <c r="E904" t="s">
        <v>50</v>
      </c>
      <c r="F904">
        <v>7</v>
      </c>
      <c r="G904">
        <v>0.43624221748772446</v>
      </c>
      <c r="H904" t="s">
        <v>97</v>
      </c>
      <c r="I904">
        <v>0</v>
      </c>
      <c r="J904">
        <v>4200</v>
      </c>
      <c r="K904">
        <v>0</v>
      </c>
    </row>
    <row r="905" spans="1:11" x14ac:dyDescent="0.2">
      <c r="A905" t="s">
        <v>16</v>
      </c>
      <c r="B905" t="s">
        <v>5830</v>
      </c>
      <c r="C905">
        <v>300</v>
      </c>
      <c r="D905" t="s">
        <v>10230</v>
      </c>
      <c r="E905" t="s">
        <v>50</v>
      </c>
      <c r="F905">
        <v>7</v>
      </c>
      <c r="G905">
        <v>0.43624221748772446</v>
      </c>
      <c r="H905" t="s">
        <v>91</v>
      </c>
      <c r="I905">
        <v>0</v>
      </c>
      <c r="J905">
        <v>4200</v>
      </c>
      <c r="K905">
        <v>0</v>
      </c>
    </row>
    <row r="906" spans="1:11" x14ac:dyDescent="0.2">
      <c r="A906" t="s">
        <v>16</v>
      </c>
      <c r="B906" t="s">
        <v>775</v>
      </c>
      <c r="C906">
        <v>200</v>
      </c>
      <c r="D906" t="s">
        <v>10374</v>
      </c>
      <c r="E906" t="s">
        <v>5654</v>
      </c>
      <c r="F906">
        <v>1</v>
      </c>
      <c r="G906">
        <v>0.36487731503243398</v>
      </c>
      <c r="H906" t="s">
        <v>98</v>
      </c>
      <c r="I906">
        <v>0</v>
      </c>
      <c r="J906">
        <v>4200</v>
      </c>
      <c r="K906">
        <v>0</v>
      </c>
    </row>
    <row r="907" spans="1:11" x14ac:dyDescent="0.2">
      <c r="A907" t="s">
        <v>16</v>
      </c>
      <c r="B907" t="s">
        <v>3966</v>
      </c>
      <c r="C907">
        <v>100</v>
      </c>
      <c r="D907" t="s">
        <v>10376</v>
      </c>
      <c r="E907" t="s">
        <v>5654</v>
      </c>
      <c r="F907">
        <v>3</v>
      </c>
      <c r="G907">
        <v>0.147300008031364</v>
      </c>
      <c r="H907" t="s">
        <v>99</v>
      </c>
      <c r="I907">
        <v>0</v>
      </c>
      <c r="J907">
        <v>4200</v>
      </c>
      <c r="K907">
        <v>0</v>
      </c>
    </row>
    <row r="908" spans="1:11" x14ac:dyDescent="0.2">
      <c r="A908" t="s">
        <v>16</v>
      </c>
      <c r="B908" t="s">
        <v>3966</v>
      </c>
      <c r="C908">
        <v>100</v>
      </c>
      <c r="D908" t="s">
        <v>10375</v>
      </c>
      <c r="E908" t="s">
        <v>5654</v>
      </c>
      <c r="F908">
        <v>3</v>
      </c>
      <c r="G908">
        <v>0.147300008031364</v>
      </c>
      <c r="H908" t="s">
        <v>84</v>
      </c>
      <c r="I908">
        <v>0</v>
      </c>
      <c r="J908">
        <v>4200</v>
      </c>
      <c r="K908">
        <v>0</v>
      </c>
    </row>
    <row r="909" spans="1:11" x14ac:dyDescent="0.2">
      <c r="A909" t="s">
        <v>16</v>
      </c>
      <c r="B909" t="s">
        <v>437</v>
      </c>
      <c r="C909">
        <v>450</v>
      </c>
      <c r="D909" t="s">
        <v>9333</v>
      </c>
      <c r="E909" t="s">
        <v>50</v>
      </c>
      <c r="F909">
        <v>2</v>
      </c>
      <c r="G909">
        <v>0.55192769542749687</v>
      </c>
      <c r="H909" t="s">
        <v>105</v>
      </c>
      <c r="I909">
        <v>0</v>
      </c>
      <c r="J909">
        <v>4050</v>
      </c>
      <c r="K909">
        <v>0</v>
      </c>
    </row>
    <row r="910" spans="1:11" x14ac:dyDescent="0.2">
      <c r="A910" t="s">
        <v>16</v>
      </c>
      <c r="B910" t="s">
        <v>437</v>
      </c>
      <c r="C910">
        <v>450</v>
      </c>
      <c r="D910" t="s">
        <v>9330</v>
      </c>
      <c r="E910" t="s">
        <v>50</v>
      </c>
      <c r="F910">
        <v>2</v>
      </c>
      <c r="G910">
        <v>0.55192769542749687</v>
      </c>
      <c r="H910" t="s">
        <v>92</v>
      </c>
      <c r="I910">
        <v>0</v>
      </c>
      <c r="J910">
        <v>4050</v>
      </c>
      <c r="K910">
        <v>0</v>
      </c>
    </row>
    <row r="911" spans="1:11" x14ac:dyDescent="0.2">
      <c r="A911" t="s">
        <v>16</v>
      </c>
      <c r="B911" t="s">
        <v>437</v>
      </c>
      <c r="C911">
        <v>450</v>
      </c>
      <c r="D911" t="s">
        <v>9329</v>
      </c>
      <c r="E911" t="s">
        <v>50</v>
      </c>
      <c r="F911">
        <v>2</v>
      </c>
      <c r="G911">
        <v>0.55192769542749687</v>
      </c>
      <c r="H911" t="s">
        <v>105</v>
      </c>
      <c r="I911">
        <v>0</v>
      </c>
      <c r="J911">
        <v>4050</v>
      </c>
      <c r="K911">
        <v>0</v>
      </c>
    </row>
    <row r="912" spans="1:11" x14ac:dyDescent="0.2">
      <c r="A912" t="s">
        <v>16</v>
      </c>
      <c r="B912" t="s">
        <v>437</v>
      </c>
      <c r="C912">
        <v>450</v>
      </c>
      <c r="D912" t="s">
        <v>9331</v>
      </c>
      <c r="E912" t="s">
        <v>50</v>
      </c>
      <c r="F912">
        <v>2</v>
      </c>
      <c r="G912">
        <v>0.55192769542749687</v>
      </c>
      <c r="H912" t="s">
        <v>92</v>
      </c>
      <c r="I912">
        <v>0</v>
      </c>
      <c r="J912">
        <v>4050</v>
      </c>
      <c r="K912">
        <v>0</v>
      </c>
    </row>
    <row r="913" spans="1:11" x14ac:dyDescent="0.2">
      <c r="A913" t="s">
        <v>16</v>
      </c>
      <c r="B913" t="s">
        <v>437</v>
      </c>
      <c r="C913">
        <v>450</v>
      </c>
      <c r="D913" t="s">
        <v>9332</v>
      </c>
      <c r="E913" t="s">
        <v>50</v>
      </c>
      <c r="F913">
        <v>2</v>
      </c>
      <c r="G913">
        <v>0.55192769542749687</v>
      </c>
      <c r="H913" t="s">
        <v>105</v>
      </c>
      <c r="I913">
        <v>0</v>
      </c>
      <c r="J913">
        <v>4050</v>
      </c>
      <c r="K913">
        <v>0</v>
      </c>
    </row>
    <row r="914" spans="1:11" x14ac:dyDescent="0.2">
      <c r="A914" t="s">
        <v>16</v>
      </c>
      <c r="B914" t="s">
        <v>4515</v>
      </c>
      <c r="C914">
        <v>150</v>
      </c>
      <c r="D914" t="s">
        <v>9866</v>
      </c>
      <c r="E914" t="s">
        <v>50</v>
      </c>
      <c r="F914">
        <v>2</v>
      </c>
      <c r="G914">
        <v>0.27267677977606281</v>
      </c>
      <c r="H914" t="s">
        <v>104</v>
      </c>
      <c r="I914">
        <v>0</v>
      </c>
      <c r="J914">
        <v>4050</v>
      </c>
      <c r="K914">
        <v>0</v>
      </c>
    </row>
    <row r="915" spans="1:11" x14ac:dyDescent="0.2">
      <c r="A915" t="s">
        <v>16</v>
      </c>
      <c r="B915" t="s">
        <v>4517</v>
      </c>
      <c r="C915">
        <v>150</v>
      </c>
      <c r="D915" t="s">
        <v>9868</v>
      </c>
      <c r="E915" t="s">
        <v>50</v>
      </c>
      <c r="F915">
        <v>1</v>
      </c>
      <c r="G915">
        <v>0.19154676258992806</v>
      </c>
      <c r="H915" t="s">
        <v>87</v>
      </c>
      <c r="I915">
        <v>0</v>
      </c>
      <c r="J915">
        <v>4050</v>
      </c>
      <c r="K915">
        <v>0</v>
      </c>
    </row>
    <row r="916" spans="1:11" x14ac:dyDescent="0.2">
      <c r="A916" t="s">
        <v>16</v>
      </c>
      <c r="B916" t="s">
        <v>686</v>
      </c>
      <c r="C916">
        <v>200</v>
      </c>
      <c r="D916" t="s">
        <v>9569</v>
      </c>
      <c r="E916" t="s">
        <v>50</v>
      </c>
      <c r="F916">
        <v>17</v>
      </c>
      <c r="G916">
        <v>0.15983074024911201</v>
      </c>
      <c r="H916" t="s">
        <v>95</v>
      </c>
      <c r="I916">
        <v>0</v>
      </c>
      <c r="J916">
        <v>3800</v>
      </c>
      <c r="K916">
        <v>0</v>
      </c>
    </row>
    <row r="917" spans="1:11" x14ac:dyDescent="0.2">
      <c r="A917" t="s">
        <v>16</v>
      </c>
      <c r="B917" t="s">
        <v>688</v>
      </c>
      <c r="C917">
        <v>200</v>
      </c>
      <c r="D917" t="s">
        <v>9572</v>
      </c>
      <c r="E917" t="s">
        <v>50</v>
      </c>
      <c r="F917">
        <v>11</v>
      </c>
      <c r="G917">
        <v>0.15983074024911201</v>
      </c>
      <c r="H917" t="s">
        <v>93</v>
      </c>
      <c r="I917">
        <v>0</v>
      </c>
      <c r="J917">
        <v>3800</v>
      </c>
      <c r="K917">
        <v>0</v>
      </c>
    </row>
    <row r="918" spans="1:11" x14ac:dyDescent="0.2">
      <c r="A918" t="s">
        <v>16</v>
      </c>
      <c r="B918" t="s">
        <v>313</v>
      </c>
      <c r="C918">
        <v>600</v>
      </c>
      <c r="D918" t="s">
        <v>9486</v>
      </c>
      <c r="E918" t="s">
        <v>50</v>
      </c>
      <c r="F918">
        <v>24</v>
      </c>
      <c r="G918">
        <v>0.30229140765396917</v>
      </c>
      <c r="H918" t="s">
        <v>98</v>
      </c>
      <c r="I918">
        <v>0</v>
      </c>
      <c r="J918">
        <v>3600</v>
      </c>
      <c r="K918">
        <v>0</v>
      </c>
    </row>
    <row r="919" spans="1:11" x14ac:dyDescent="0.2">
      <c r="A919" t="s">
        <v>16</v>
      </c>
      <c r="B919" t="s">
        <v>508</v>
      </c>
      <c r="C919">
        <v>600</v>
      </c>
      <c r="D919" t="s">
        <v>10131</v>
      </c>
      <c r="E919" t="s">
        <v>50</v>
      </c>
      <c r="F919">
        <v>8</v>
      </c>
      <c r="G919">
        <v>0.48063755064402525</v>
      </c>
      <c r="H919" t="s">
        <v>95</v>
      </c>
      <c r="I919">
        <v>0</v>
      </c>
      <c r="J919">
        <v>3600</v>
      </c>
      <c r="K919">
        <v>0</v>
      </c>
    </row>
    <row r="920" spans="1:11" x14ac:dyDescent="0.2">
      <c r="A920" t="s">
        <v>16</v>
      </c>
      <c r="B920" t="s">
        <v>508</v>
      </c>
      <c r="C920">
        <v>600</v>
      </c>
      <c r="D920" t="s">
        <v>10133</v>
      </c>
      <c r="E920" t="s">
        <v>50</v>
      </c>
      <c r="F920">
        <v>8</v>
      </c>
      <c r="G920">
        <v>0.48063755064402525</v>
      </c>
      <c r="H920" t="s">
        <v>93</v>
      </c>
      <c r="I920">
        <v>0</v>
      </c>
      <c r="J920">
        <v>3600</v>
      </c>
      <c r="K920">
        <v>0</v>
      </c>
    </row>
    <row r="921" spans="1:11" x14ac:dyDescent="0.2">
      <c r="A921" t="s">
        <v>16</v>
      </c>
      <c r="B921" t="s">
        <v>508</v>
      </c>
      <c r="C921">
        <v>600</v>
      </c>
      <c r="D921" t="s">
        <v>10132</v>
      </c>
      <c r="E921" t="s">
        <v>50</v>
      </c>
      <c r="F921">
        <v>8</v>
      </c>
      <c r="G921">
        <v>0.48063755064402525</v>
      </c>
      <c r="H921" t="s">
        <v>100</v>
      </c>
      <c r="I921">
        <v>0</v>
      </c>
      <c r="J921">
        <v>3600</v>
      </c>
      <c r="K921">
        <v>0</v>
      </c>
    </row>
    <row r="922" spans="1:11" x14ac:dyDescent="0.2">
      <c r="A922" t="s">
        <v>16</v>
      </c>
      <c r="B922" t="s">
        <v>954</v>
      </c>
      <c r="C922">
        <v>720</v>
      </c>
      <c r="D922" t="s">
        <v>10142</v>
      </c>
      <c r="E922" t="s">
        <v>50</v>
      </c>
      <c r="F922">
        <v>4</v>
      </c>
      <c r="G922">
        <v>0.36538525184583109</v>
      </c>
      <c r="H922" t="s">
        <v>96</v>
      </c>
      <c r="I922">
        <v>0</v>
      </c>
      <c r="J922">
        <v>3600</v>
      </c>
      <c r="K922">
        <v>0</v>
      </c>
    </row>
    <row r="923" spans="1:11" x14ac:dyDescent="0.2">
      <c r="A923" t="s">
        <v>16</v>
      </c>
      <c r="B923" t="s">
        <v>439</v>
      </c>
      <c r="C923">
        <v>220</v>
      </c>
      <c r="D923" t="s">
        <v>9339</v>
      </c>
      <c r="E923" t="s">
        <v>50</v>
      </c>
      <c r="F923">
        <v>3</v>
      </c>
      <c r="G923">
        <v>0.36176299034116344</v>
      </c>
      <c r="H923" t="s">
        <v>93</v>
      </c>
      <c r="I923">
        <v>0</v>
      </c>
      <c r="J923">
        <v>3520</v>
      </c>
      <c r="K923">
        <v>0</v>
      </c>
    </row>
    <row r="924" spans="1:11" x14ac:dyDescent="0.2">
      <c r="A924" t="s">
        <v>16</v>
      </c>
      <c r="B924" t="s">
        <v>771</v>
      </c>
      <c r="C924">
        <v>60</v>
      </c>
      <c r="D924" t="s">
        <v>10021</v>
      </c>
      <c r="E924" t="s">
        <v>50</v>
      </c>
      <c r="F924">
        <v>2</v>
      </c>
      <c r="G924">
        <v>6.2486847910939149E-2</v>
      </c>
      <c r="H924" t="s">
        <v>104</v>
      </c>
      <c r="I924">
        <v>0</v>
      </c>
      <c r="J924">
        <v>3480</v>
      </c>
      <c r="K924">
        <v>0</v>
      </c>
    </row>
    <row r="925" spans="1:11" x14ac:dyDescent="0.2">
      <c r="A925" t="s">
        <v>16</v>
      </c>
      <c r="B925" t="s">
        <v>771</v>
      </c>
      <c r="C925">
        <v>60</v>
      </c>
      <c r="D925" t="s">
        <v>10006</v>
      </c>
      <c r="E925" t="s">
        <v>50</v>
      </c>
      <c r="F925">
        <v>2</v>
      </c>
      <c r="G925">
        <v>6.2486847910939149E-2</v>
      </c>
      <c r="H925" t="s">
        <v>95</v>
      </c>
      <c r="I925">
        <v>0</v>
      </c>
      <c r="J925">
        <v>3480</v>
      </c>
      <c r="K925">
        <v>0</v>
      </c>
    </row>
    <row r="926" spans="1:11" x14ac:dyDescent="0.2">
      <c r="A926" t="s">
        <v>16</v>
      </c>
      <c r="B926" t="s">
        <v>714</v>
      </c>
      <c r="C926">
        <v>240</v>
      </c>
      <c r="D926" t="s">
        <v>9181</v>
      </c>
      <c r="E926" t="s">
        <v>50</v>
      </c>
      <c r="F926">
        <v>9</v>
      </c>
      <c r="G926">
        <v>0.24636168937490602</v>
      </c>
      <c r="H926" t="s">
        <v>99</v>
      </c>
      <c r="I926">
        <v>0</v>
      </c>
      <c r="J926">
        <v>3360</v>
      </c>
      <c r="K926">
        <v>0</v>
      </c>
    </row>
    <row r="927" spans="1:11" x14ac:dyDescent="0.2">
      <c r="A927" t="s">
        <v>16</v>
      </c>
      <c r="B927" t="s">
        <v>970</v>
      </c>
      <c r="C927">
        <v>240</v>
      </c>
      <c r="D927" t="s">
        <v>9254</v>
      </c>
      <c r="E927" t="s">
        <v>50</v>
      </c>
      <c r="F927">
        <v>8</v>
      </c>
      <c r="G927">
        <v>0.19139339289083215</v>
      </c>
      <c r="H927" t="s">
        <v>84</v>
      </c>
      <c r="I927">
        <v>0</v>
      </c>
      <c r="J927">
        <v>3360</v>
      </c>
      <c r="K927">
        <v>0</v>
      </c>
    </row>
    <row r="928" spans="1:11" x14ac:dyDescent="0.2">
      <c r="A928" t="s">
        <v>16</v>
      </c>
      <c r="B928" t="s">
        <v>694</v>
      </c>
      <c r="C928">
        <v>240</v>
      </c>
      <c r="D928" t="s">
        <v>9268</v>
      </c>
      <c r="E928" t="s">
        <v>50</v>
      </c>
      <c r="F928">
        <v>8</v>
      </c>
      <c r="G928">
        <v>0.19139339289083215</v>
      </c>
      <c r="H928" t="s">
        <v>103</v>
      </c>
      <c r="I928">
        <v>0</v>
      </c>
      <c r="J928">
        <v>3360</v>
      </c>
      <c r="K928">
        <v>0</v>
      </c>
    </row>
    <row r="929" spans="1:11" x14ac:dyDescent="0.2">
      <c r="A929" t="s">
        <v>16</v>
      </c>
      <c r="B929" t="s">
        <v>3627</v>
      </c>
      <c r="C929">
        <v>300</v>
      </c>
      <c r="D929" t="s">
        <v>9496</v>
      </c>
      <c r="E929" t="s">
        <v>50</v>
      </c>
      <c r="F929">
        <v>3</v>
      </c>
      <c r="G929">
        <v>0.40001525256798454</v>
      </c>
      <c r="H929" t="s">
        <v>89</v>
      </c>
      <c r="I929">
        <v>0</v>
      </c>
      <c r="J929">
        <v>3300</v>
      </c>
      <c r="K929">
        <v>0</v>
      </c>
    </row>
    <row r="930" spans="1:11" x14ac:dyDescent="0.2">
      <c r="A930" t="s">
        <v>16</v>
      </c>
      <c r="B930" t="s">
        <v>3627</v>
      </c>
      <c r="C930">
        <v>300</v>
      </c>
      <c r="D930" t="s">
        <v>9500</v>
      </c>
      <c r="E930" t="s">
        <v>50</v>
      </c>
      <c r="F930">
        <v>3</v>
      </c>
      <c r="G930">
        <v>0.40001525256798454</v>
      </c>
      <c r="H930" t="s">
        <v>101</v>
      </c>
      <c r="I930">
        <v>0</v>
      </c>
      <c r="J930">
        <v>3300</v>
      </c>
      <c r="K930">
        <v>0</v>
      </c>
    </row>
    <row r="931" spans="1:11" x14ac:dyDescent="0.2">
      <c r="A931" t="s">
        <v>16</v>
      </c>
      <c r="B931" t="s">
        <v>3627</v>
      </c>
      <c r="C931">
        <v>300</v>
      </c>
      <c r="D931" t="s">
        <v>9494</v>
      </c>
      <c r="E931" t="s">
        <v>50</v>
      </c>
      <c r="F931">
        <v>3</v>
      </c>
      <c r="G931">
        <v>0.40001525256798454</v>
      </c>
      <c r="H931" t="s">
        <v>98</v>
      </c>
      <c r="I931">
        <v>0</v>
      </c>
      <c r="J931">
        <v>3300</v>
      </c>
      <c r="K931">
        <v>0</v>
      </c>
    </row>
    <row r="932" spans="1:11" x14ac:dyDescent="0.2">
      <c r="A932" t="s">
        <v>16</v>
      </c>
      <c r="B932" t="s">
        <v>3627</v>
      </c>
      <c r="C932">
        <v>300</v>
      </c>
      <c r="D932" t="s">
        <v>9493</v>
      </c>
      <c r="E932" t="s">
        <v>50</v>
      </c>
      <c r="F932">
        <v>3</v>
      </c>
      <c r="G932">
        <v>0.40001525256798454</v>
      </c>
      <c r="H932" t="s">
        <v>89</v>
      </c>
      <c r="I932">
        <v>0</v>
      </c>
      <c r="J932">
        <v>3300</v>
      </c>
      <c r="K932">
        <v>0</v>
      </c>
    </row>
    <row r="933" spans="1:11" x14ac:dyDescent="0.2">
      <c r="A933" t="s">
        <v>16</v>
      </c>
      <c r="B933" t="s">
        <v>3627</v>
      </c>
      <c r="C933">
        <v>300</v>
      </c>
      <c r="D933" t="s">
        <v>9491</v>
      </c>
      <c r="E933" t="s">
        <v>50</v>
      </c>
      <c r="F933">
        <v>3</v>
      </c>
      <c r="G933">
        <v>0.40001525256798454</v>
      </c>
      <c r="H933" t="s">
        <v>101</v>
      </c>
      <c r="I933">
        <v>0</v>
      </c>
      <c r="J933">
        <v>3300</v>
      </c>
      <c r="K933">
        <v>0</v>
      </c>
    </row>
    <row r="934" spans="1:11" x14ac:dyDescent="0.2">
      <c r="A934" t="s">
        <v>16</v>
      </c>
      <c r="B934" t="s">
        <v>3627</v>
      </c>
      <c r="C934">
        <v>300</v>
      </c>
      <c r="D934" t="s">
        <v>9492</v>
      </c>
      <c r="E934" t="s">
        <v>50</v>
      </c>
      <c r="F934">
        <v>3</v>
      </c>
      <c r="G934">
        <v>0.40001525256798454</v>
      </c>
      <c r="H934" t="s">
        <v>98</v>
      </c>
      <c r="I934">
        <v>0</v>
      </c>
      <c r="J934">
        <v>3300</v>
      </c>
      <c r="K934">
        <v>0</v>
      </c>
    </row>
    <row r="935" spans="1:11" x14ac:dyDescent="0.2">
      <c r="A935" t="s">
        <v>16</v>
      </c>
      <c r="B935" t="s">
        <v>3627</v>
      </c>
      <c r="C935">
        <v>300</v>
      </c>
      <c r="D935" t="s">
        <v>9488</v>
      </c>
      <c r="E935" t="s">
        <v>50</v>
      </c>
      <c r="F935">
        <v>3</v>
      </c>
      <c r="G935">
        <v>0.40001525256798454</v>
      </c>
      <c r="H935" t="s">
        <v>89</v>
      </c>
      <c r="I935">
        <v>0</v>
      </c>
      <c r="J935">
        <v>3300</v>
      </c>
      <c r="K935">
        <v>0</v>
      </c>
    </row>
    <row r="936" spans="1:11" x14ac:dyDescent="0.2">
      <c r="A936" t="s">
        <v>16</v>
      </c>
      <c r="B936" t="s">
        <v>3627</v>
      </c>
      <c r="C936">
        <v>300</v>
      </c>
      <c r="D936" t="s">
        <v>9497</v>
      </c>
      <c r="E936" t="s">
        <v>50</v>
      </c>
      <c r="F936">
        <v>3</v>
      </c>
      <c r="G936">
        <v>0.40001525256798454</v>
      </c>
      <c r="H936" t="s">
        <v>101</v>
      </c>
      <c r="I936">
        <v>0</v>
      </c>
      <c r="J936">
        <v>3300</v>
      </c>
      <c r="K936">
        <v>0</v>
      </c>
    </row>
    <row r="937" spans="1:11" x14ac:dyDescent="0.2">
      <c r="A937" t="s">
        <v>16</v>
      </c>
      <c r="B937" t="s">
        <v>3627</v>
      </c>
      <c r="C937">
        <v>300</v>
      </c>
      <c r="D937" t="s">
        <v>9489</v>
      </c>
      <c r="E937" t="s">
        <v>50</v>
      </c>
      <c r="F937">
        <v>3</v>
      </c>
      <c r="G937">
        <v>0.40001525256798454</v>
      </c>
      <c r="H937" t="s">
        <v>98</v>
      </c>
      <c r="I937">
        <v>0</v>
      </c>
      <c r="J937">
        <v>3300</v>
      </c>
      <c r="K937">
        <v>0</v>
      </c>
    </row>
    <row r="938" spans="1:11" x14ac:dyDescent="0.2">
      <c r="A938" t="s">
        <v>16</v>
      </c>
      <c r="B938" t="s">
        <v>3627</v>
      </c>
      <c r="C938">
        <v>300</v>
      </c>
      <c r="D938" t="s">
        <v>9499</v>
      </c>
      <c r="E938" t="s">
        <v>50</v>
      </c>
      <c r="F938">
        <v>3</v>
      </c>
      <c r="G938">
        <v>0.40001525256798454</v>
      </c>
      <c r="H938" t="s">
        <v>89</v>
      </c>
      <c r="I938">
        <v>0</v>
      </c>
      <c r="J938">
        <v>3300</v>
      </c>
      <c r="K938">
        <v>0</v>
      </c>
    </row>
    <row r="939" spans="1:11" x14ac:dyDescent="0.2">
      <c r="A939" t="s">
        <v>16</v>
      </c>
      <c r="B939" t="s">
        <v>3627</v>
      </c>
      <c r="C939">
        <v>300</v>
      </c>
      <c r="D939" t="s">
        <v>9498</v>
      </c>
      <c r="E939" t="s">
        <v>50</v>
      </c>
      <c r="F939">
        <v>3</v>
      </c>
      <c r="G939">
        <v>0.40001525256798454</v>
      </c>
      <c r="H939" t="s">
        <v>101</v>
      </c>
      <c r="I939">
        <v>0</v>
      </c>
      <c r="J939">
        <v>3300</v>
      </c>
      <c r="K939">
        <v>0</v>
      </c>
    </row>
    <row r="940" spans="1:11" x14ac:dyDescent="0.2">
      <c r="A940" t="s">
        <v>16</v>
      </c>
      <c r="B940" t="s">
        <v>3627</v>
      </c>
      <c r="C940">
        <v>300</v>
      </c>
      <c r="D940" t="s">
        <v>9490</v>
      </c>
      <c r="E940" t="s">
        <v>50</v>
      </c>
      <c r="F940">
        <v>3</v>
      </c>
      <c r="G940">
        <v>0.40001525256798454</v>
      </c>
      <c r="H940" t="s">
        <v>98</v>
      </c>
      <c r="I940">
        <v>0</v>
      </c>
      <c r="J940">
        <v>3300</v>
      </c>
      <c r="K940">
        <v>0</v>
      </c>
    </row>
    <row r="941" spans="1:11" x14ac:dyDescent="0.2">
      <c r="A941" t="s">
        <v>16</v>
      </c>
      <c r="B941" t="s">
        <v>3627</v>
      </c>
      <c r="C941">
        <v>300</v>
      </c>
      <c r="D941" t="s">
        <v>9495</v>
      </c>
      <c r="E941" t="s">
        <v>50</v>
      </c>
      <c r="F941">
        <v>3</v>
      </c>
      <c r="G941">
        <v>0.40001525256798454</v>
      </c>
      <c r="H941" t="s">
        <v>89</v>
      </c>
      <c r="I941">
        <v>0</v>
      </c>
      <c r="J941">
        <v>3300</v>
      </c>
      <c r="K941">
        <v>0</v>
      </c>
    </row>
    <row r="942" spans="1:11" x14ac:dyDescent="0.2">
      <c r="A942" t="s">
        <v>16</v>
      </c>
      <c r="B942" t="s">
        <v>937</v>
      </c>
      <c r="C942">
        <v>130</v>
      </c>
      <c r="D942" t="s">
        <v>9804</v>
      </c>
      <c r="E942" t="s">
        <v>50</v>
      </c>
      <c r="F942">
        <v>5</v>
      </c>
      <c r="G942">
        <v>0.10140739673736901</v>
      </c>
      <c r="H942" t="s">
        <v>90</v>
      </c>
      <c r="I942">
        <v>0</v>
      </c>
      <c r="J942">
        <v>3250</v>
      </c>
      <c r="K942">
        <v>0</v>
      </c>
    </row>
    <row r="943" spans="1:11" x14ac:dyDescent="0.2">
      <c r="A943" t="s">
        <v>16</v>
      </c>
      <c r="B943" t="s">
        <v>937</v>
      </c>
      <c r="C943">
        <v>130</v>
      </c>
      <c r="D943" t="s">
        <v>9802</v>
      </c>
      <c r="E943" t="s">
        <v>50</v>
      </c>
      <c r="F943">
        <v>5</v>
      </c>
      <c r="G943">
        <v>0.10140739673736901</v>
      </c>
      <c r="H943" t="s">
        <v>99</v>
      </c>
      <c r="I943">
        <v>0</v>
      </c>
      <c r="J943">
        <v>3250</v>
      </c>
      <c r="K943">
        <v>0</v>
      </c>
    </row>
    <row r="944" spans="1:11" x14ac:dyDescent="0.2">
      <c r="A944" t="s">
        <v>16</v>
      </c>
      <c r="B944" t="s">
        <v>379</v>
      </c>
      <c r="C944">
        <v>540</v>
      </c>
      <c r="D944" t="s">
        <v>9501</v>
      </c>
      <c r="E944" t="s">
        <v>50</v>
      </c>
      <c r="F944">
        <v>4</v>
      </c>
      <c r="G944">
        <v>0.1835410904166894</v>
      </c>
      <c r="H944" t="s">
        <v>84</v>
      </c>
      <c r="I944">
        <v>0</v>
      </c>
      <c r="J944">
        <v>3240</v>
      </c>
      <c r="K944">
        <v>0</v>
      </c>
    </row>
    <row r="945" spans="1:11" x14ac:dyDescent="0.2">
      <c r="A945" t="s">
        <v>16</v>
      </c>
      <c r="B945" t="s">
        <v>762</v>
      </c>
      <c r="C945">
        <v>100</v>
      </c>
      <c r="D945" t="s">
        <v>9996</v>
      </c>
      <c r="E945" t="s">
        <v>50</v>
      </c>
      <c r="F945">
        <v>4</v>
      </c>
      <c r="G945">
        <v>0.18706699389784645</v>
      </c>
      <c r="H945" t="s">
        <v>100</v>
      </c>
      <c r="I945">
        <v>0</v>
      </c>
      <c r="J945">
        <v>3200</v>
      </c>
      <c r="K945">
        <v>0</v>
      </c>
    </row>
    <row r="946" spans="1:11" x14ac:dyDescent="0.2">
      <c r="A946" t="s">
        <v>16</v>
      </c>
      <c r="B946" t="s">
        <v>4667</v>
      </c>
      <c r="C946">
        <v>400</v>
      </c>
      <c r="D946" t="s">
        <v>10057</v>
      </c>
      <c r="E946" t="s">
        <v>50</v>
      </c>
      <c r="F946">
        <v>6</v>
      </c>
      <c r="G946">
        <v>0.38734270421678663</v>
      </c>
      <c r="H946" t="s">
        <v>96</v>
      </c>
      <c r="I946">
        <v>0</v>
      </c>
      <c r="J946">
        <v>3200</v>
      </c>
      <c r="K946">
        <v>0</v>
      </c>
    </row>
    <row r="947" spans="1:11" x14ac:dyDescent="0.2">
      <c r="A947" t="s">
        <v>16</v>
      </c>
      <c r="B947" t="s">
        <v>320</v>
      </c>
      <c r="C947">
        <v>100</v>
      </c>
      <c r="D947" t="s">
        <v>9426</v>
      </c>
      <c r="E947" t="s">
        <v>50</v>
      </c>
      <c r="F947">
        <v>5</v>
      </c>
      <c r="G947">
        <v>0.19827953058165468</v>
      </c>
      <c r="H947" t="s">
        <v>103</v>
      </c>
      <c r="I947">
        <v>0</v>
      </c>
      <c r="J947">
        <v>3100</v>
      </c>
      <c r="K947">
        <v>0</v>
      </c>
    </row>
    <row r="948" spans="1:11" x14ac:dyDescent="0.2">
      <c r="A948" t="s">
        <v>16</v>
      </c>
      <c r="B948" t="s">
        <v>4998</v>
      </c>
      <c r="C948">
        <v>160</v>
      </c>
      <c r="D948" t="s">
        <v>10158</v>
      </c>
      <c r="E948" t="s">
        <v>50</v>
      </c>
      <c r="F948">
        <v>2</v>
      </c>
      <c r="G948">
        <v>0.36460808363781005</v>
      </c>
      <c r="H948" t="s">
        <v>104</v>
      </c>
      <c r="I948">
        <v>0</v>
      </c>
      <c r="J948">
        <v>3040</v>
      </c>
      <c r="K948">
        <v>0</v>
      </c>
    </row>
    <row r="949" spans="1:11" x14ac:dyDescent="0.2">
      <c r="A949" t="s">
        <v>16</v>
      </c>
      <c r="B949" t="s">
        <v>4381</v>
      </c>
      <c r="C949">
        <v>300</v>
      </c>
      <c r="D949" t="s">
        <v>9851</v>
      </c>
      <c r="E949" t="s">
        <v>50</v>
      </c>
      <c r="F949">
        <v>6</v>
      </c>
      <c r="G949">
        <v>0.42469295993560829</v>
      </c>
      <c r="H949" t="s">
        <v>92</v>
      </c>
      <c r="I949">
        <v>0</v>
      </c>
      <c r="J949">
        <v>3000</v>
      </c>
      <c r="K949">
        <v>0</v>
      </c>
    </row>
    <row r="950" spans="1:11" x14ac:dyDescent="0.2">
      <c r="A950" t="s">
        <v>16</v>
      </c>
      <c r="B950" t="s">
        <v>4381</v>
      </c>
      <c r="C950">
        <v>300</v>
      </c>
      <c r="D950" t="s">
        <v>9852</v>
      </c>
      <c r="E950" t="s">
        <v>50</v>
      </c>
      <c r="F950">
        <v>6</v>
      </c>
      <c r="G950">
        <v>0.42469295993560829</v>
      </c>
      <c r="H950" t="s">
        <v>97</v>
      </c>
      <c r="I950">
        <v>0</v>
      </c>
      <c r="J950">
        <v>3000</v>
      </c>
      <c r="K950">
        <v>0</v>
      </c>
    </row>
    <row r="951" spans="1:11" x14ac:dyDescent="0.2">
      <c r="A951" t="s">
        <v>16</v>
      </c>
      <c r="B951" t="s">
        <v>4381</v>
      </c>
      <c r="C951">
        <v>300</v>
      </c>
      <c r="D951" t="s">
        <v>9855</v>
      </c>
      <c r="E951" t="s">
        <v>50</v>
      </c>
      <c r="F951">
        <v>6</v>
      </c>
      <c r="G951">
        <v>0.42469295993560829</v>
      </c>
      <c r="H951" t="s">
        <v>91</v>
      </c>
      <c r="I951">
        <v>0</v>
      </c>
      <c r="J951">
        <v>3000</v>
      </c>
      <c r="K951">
        <v>0</v>
      </c>
    </row>
    <row r="952" spans="1:11" x14ac:dyDescent="0.2">
      <c r="A952" t="s">
        <v>16</v>
      </c>
      <c r="B952" t="s">
        <v>4381</v>
      </c>
      <c r="C952">
        <v>300</v>
      </c>
      <c r="D952" t="s">
        <v>9853</v>
      </c>
      <c r="E952" t="s">
        <v>50</v>
      </c>
      <c r="F952">
        <v>6</v>
      </c>
      <c r="G952">
        <v>0.42469295993560829</v>
      </c>
      <c r="H952" t="s">
        <v>90</v>
      </c>
      <c r="I952">
        <v>0</v>
      </c>
      <c r="J952">
        <v>3000</v>
      </c>
      <c r="K952">
        <v>0</v>
      </c>
    </row>
    <row r="953" spans="1:11" x14ac:dyDescent="0.2">
      <c r="A953" t="s">
        <v>16</v>
      </c>
      <c r="B953" t="s">
        <v>5166</v>
      </c>
      <c r="C953">
        <v>100</v>
      </c>
      <c r="D953" t="s">
        <v>10185</v>
      </c>
      <c r="E953" t="s">
        <v>50</v>
      </c>
      <c r="F953">
        <v>2</v>
      </c>
      <c r="G953">
        <v>0.22898502123854239</v>
      </c>
      <c r="H953" t="s">
        <v>99</v>
      </c>
      <c r="I953">
        <v>0</v>
      </c>
      <c r="J953">
        <v>3000</v>
      </c>
      <c r="K953">
        <v>0</v>
      </c>
    </row>
    <row r="954" spans="1:11" x14ac:dyDescent="0.2">
      <c r="A954" t="s">
        <v>16</v>
      </c>
      <c r="B954" t="s">
        <v>5828</v>
      </c>
      <c r="C954">
        <v>200</v>
      </c>
      <c r="D954" t="s">
        <v>10219</v>
      </c>
      <c r="E954" t="s">
        <v>50</v>
      </c>
      <c r="F954">
        <v>9</v>
      </c>
      <c r="G954">
        <v>0.31571627706795657</v>
      </c>
      <c r="H954" t="s">
        <v>84</v>
      </c>
      <c r="I954">
        <v>0</v>
      </c>
      <c r="J954">
        <v>2800</v>
      </c>
      <c r="K954">
        <v>0</v>
      </c>
    </row>
    <row r="955" spans="1:11" x14ac:dyDescent="0.2">
      <c r="A955" t="s">
        <v>16</v>
      </c>
      <c r="B955" t="s">
        <v>5830</v>
      </c>
      <c r="C955">
        <v>200</v>
      </c>
      <c r="D955" t="s">
        <v>10234</v>
      </c>
      <c r="E955" t="s">
        <v>50</v>
      </c>
      <c r="F955">
        <v>7</v>
      </c>
      <c r="G955">
        <v>0.29082814499181631</v>
      </c>
      <c r="H955" t="s">
        <v>87</v>
      </c>
      <c r="I955">
        <v>0</v>
      </c>
      <c r="J955">
        <v>2800</v>
      </c>
      <c r="K955">
        <v>0</v>
      </c>
    </row>
    <row r="956" spans="1:11" x14ac:dyDescent="0.2">
      <c r="A956" t="s">
        <v>16</v>
      </c>
      <c r="B956" t="s">
        <v>270</v>
      </c>
      <c r="C956">
        <v>75</v>
      </c>
      <c r="D956" t="s">
        <v>9805</v>
      </c>
      <c r="E956" t="s">
        <v>50</v>
      </c>
      <c r="F956">
        <v>2</v>
      </c>
      <c r="G956">
        <v>0.18483895881737175</v>
      </c>
      <c r="H956" t="s">
        <v>100</v>
      </c>
      <c r="I956">
        <v>0</v>
      </c>
      <c r="J956">
        <v>2775</v>
      </c>
      <c r="K956">
        <v>0</v>
      </c>
    </row>
    <row r="957" spans="1:11" x14ac:dyDescent="0.2">
      <c r="A957" t="s">
        <v>16</v>
      </c>
      <c r="B957" t="s">
        <v>240</v>
      </c>
      <c r="C957">
        <v>195</v>
      </c>
      <c r="D957" t="s">
        <v>10024</v>
      </c>
      <c r="E957" t="s">
        <v>50</v>
      </c>
      <c r="F957">
        <v>3</v>
      </c>
      <c r="G957">
        <v>0.37307203081843288</v>
      </c>
      <c r="H957" t="s">
        <v>96</v>
      </c>
      <c r="I957">
        <v>0</v>
      </c>
      <c r="J957">
        <v>2730</v>
      </c>
      <c r="K957">
        <v>0</v>
      </c>
    </row>
    <row r="958" spans="1:11" x14ac:dyDescent="0.2">
      <c r="A958" t="s">
        <v>16</v>
      </c>
      <c r="B958" t="s">
        <v>240</v>
      </c>
      <c r="C958">
        <v>195</v>
      </c>
      <c r="D958" t="s">
        <v>10022</v>
      </c>
      <c r="E958" t="s">
        <v>50</v>
      </c>
      <c r="F958">
        <v>3</v>
      </c>
      <c r="G958">
        <v>0.37307203081843288</v>
      </c>
      <c r="H958" t="s">
        <v>95</v>
      </c>
      <c r="I958">
        <v>0</v>
      </c>
      <c r="J958">
        <v>2730</v>
      </c>
      <c r="K958">
        <v>0</v>
      </c>
    </row>
    <row r="959" spans="1:11" x14ac:dyDescent="0.2">
      <c r="A959" t="s">
        <v>16</v>
      </c>
      <c r="B959" t="s">
        <v>240</v>
      </c>
      <c r="C959">
        <v>195</v>
      </c>
      <c r="D959" t="s">
        <v>10027</v>
      </c>
      <c r="E959" t="s">
        <v>50</v>
      </c>
      <c r="F959">
        <v>3</v>
      </c>
      <c r="G959">
        <v>0.37307203081843288</v>
      </c>
      <c r="H959" t="s">
        <v>104</v>
      </c>
      <c r="I959">
        <v>0</v>
      </c>
      <c r="J959">
        <v>2730</v>
      </c>
      <c r="K959">
        <v>0</v>
      </c>
    </row>
    <row r="960" spans="1:11" x14ac:dyDescent="0.2">
      <c r="A960" t="s">
        <v>16</v>
      </c>
      <c r="B960" t="s">
        <v>240</v>
      </c>
      <c r="C960">
        <v>195</v>
      </c>
      <c r="D960" t="s">
        <v>10032</v>
      </c>
      <c r="E960" t="s">
        <v>50</v>
      </c>
      <c r="F960">
        <v>3</v>
      </c>
      <c r="G960">
        <v>0.37307203081843288</v>
      </c>
      <c r="H960" t="s">
        <v>96</v>
      </c>
      <c r="I960">
        <v>0</v>
      </c>
      <c r="J960">
        <v>2730</v>
      </c>
      <c r="K960">
        <v>0</v>
      </c>
    </row>
    <row r="961" spans="1:11" x14ac:dyDescent="0.2">
      <c r="A961" t="s">
        <v>16</v>
      </c>
      <c r="B961" t="s">
        <v>240</v>
      </c>
      <c r="C961">
        <v>195</v>
      </c>
      <c r="D961" t="s">
        <v>10033</v>
      </c>
      <c r="E961" t="s">
        <v>50</v>
      </c>
      <c r="F961">
        <v>3</v>
      </c>
      <c r="G961">
        <v>0.37307203081843288</v>
      </c>
      <c r="H961" t="s">
        <v>95</v>
      </c>
      <c r="I961">
        <v>0</v>
      </c>
      <c r="J961">
        <v>2730</v>
      </c>
      <c r="K961">
        <v>0</v>
      </c>
    </row>
    <row r="962" spans="1:11" x14ac:dyDescent="0.2">
      <c r="A962" t="s">
        <v>16</v>
      </c>
      <c r="B962" t="s">
        <v>240</v>
      </c>
      <c r="C962">
        <v>195</v>
      </c>
      <c r="D962" t="s">
        <v>10031</v>
      </c>
      <c r="E962" t="s">
        <v>50</v>
      </c>
      <c r="F962">
        <v>3</v>
      </c>
      <c r="G962">
        <v>0.37307203081843288</v>
      </c>
      <c r="H962" t="s">
        <v>104</v>
      </c>
      <c r="I962">
        <v>0</v>
      </c>
      <c r="J962">
        <v>2730</v>
      </c>
      <c r="K962">
        <v>0</v>
      </c>
    </row>
    <row r="963" spans="1:11" x14ac:dyDescent="0.2">
      <c r="A963" t="s">
        <v>16</v>
      </c>
      <c r="B963" t="s">
        <v>240</v>
      </c>
      <c r="C963">
        <v>195</v>
      </c>
      <c r="D963" t="s">
        <v>10035</v>
      </c>
      <c r="E963" t="s">
        <v>50</v>
      </c>
      <c r="F963">
        <v>3</v>
      </c>
      <c r="G963">
        <v>0.37307203081843288</v>
      </c>
      <c r="H963" t="s">
        <v>96</v>
      </c>
      <c r="I963">
        <v>0</v>
      </c>
      <c r="J963">
        <v>2730</v>
      </c>
      <c r="K963">
        <v>0</v>
      </c>
    </row>
    <row r="964" spans="1:11" x14ac:dyDescent="0.2">
      <c r="A964" t="s">
        <v>16</v>
      </c>
      <c r="B964" t="s">
        <v>240</v>
      </c>
      <c r="C964">
        <v>195</v>
      </c>
      <c r="D964" t="s">
        <v>10023</v>
      </c>
      <c r="E964" t="s">
        <v>50</v>
      </c>
      <c r="F964">
        <v>3</v>
      </c>
      <c r="G964">
        <v>0.37307203081843288</v>
      </c>
      <c r="H964" t="s">
        <v>95</v>
      </c>
      <c r="I964">
        <v>0</v>
      </c>
      <c r="J964">
        <v>2730</v>
      </c>
      <c r="K964">
        <v>0</v>
      </c>
    </row>
    <row r="965" spans="1:11" x14ac:dyDescent="0.2">
      <c r="A965" t="s">
        <v>16</v>
      </c>
      <c r="B965" t="s">
        <v>240</v>
      </c>
      <c r="C965">
        <v>195</v>
      </c>
      <c r="D965" t="s">
        <v>10037</v>
      </c>
      <c r="E965" t="s">
        <v>50</v>
      </c>
      <c r="F965">
        <v>3</v>
      </c>
      <c r="G965">
        <v>0.37307203081843288</v>
      </c>
      <c r="H965" t="s">
        <v>104</v>
      </c>
      <c r="I965">
        <v>0</v>
      </c>
      <c r="J965">
        <v>2730</v>
      </c>
      <c r="K965">
        <v>0</v>
      </c>
    </row>
    <row r="966" spans="1:11" x14ac:dyDescent="0.2">
      <c r="A966" t="s">
        <v>16</v>
      </c>
      <c r="B966" t="s">
        <v>240</v>
      </c>
      <c r="C966">
        <v>195</v>
      </c>
      <c r="D966" t="s">
        <v>10030</v>
      </c>
      <c r="E966" t="s">
        <v>50</v>
      </c>
      <c r="F966">
        <v>3</v>
      </c>
      <c r="G966">
        <v>0.37307203081843288</v>
      </c>
      <c r="H966" t="s">
        <v>96</v>
      </c>
      <c r="I966">
        <v>0</v>
      </c>
      <c r="J966">
        <v>2730</v>
      </c>
      <c r="K966">
        <v>0</v>
      </c>
    </row>
    <row r="967" spans="1:11" x14ac:dyDescent="0.2">
      <c r="A967" t="s">
        <v>16</v>
      </c>
      <c r="B967" t="s">
        <v>240</v>
      </c>
      <c r="C967">
        <v>195</v>
      </c>
      <c r="D967" t="s">
        <v>10034</v>
      </c>
      <c r="E967" t="s">
        <v>50</v>
      </c>
      <c r="F967">
        <v>3</v>
      </c>
      <c r="G967">
        <v>0.37307203081843288</v>
      </c>
      <c r="H967" t="s">
        <v>95</v>
      </c>
      <c r="I967">
        <v>0</v>
      </c>
      <c r="J967">
        <v>2730</v>
      </c>
      <c r="K967">
        <v>0</v>
      </c>
    </row>
    <row r="968" spans="1:11" x14ac:dyDescent="0.2">
      <c r="A968" t="s">
        <v>16</v>
      </c>
      <c r="B968" t="s">
        <v>240</v>
      </c>
      <c r="C968">
        <v>195</v>
      </c>
      <c r="D968" t="s">
        <v>10039</v>
      </c>
      <c r="E968" t="s">
        <v>50</v>
      </c>
      <c r="F968">
        <v>3</v>
      </c>
      <c r="G968">
        <v>0.37307203081843288</v>
      </c>
      <c r="H968" t="s">
        <v>104</v>
      </c>
      <c r="I968">
        <v>0</v>
      </c>
      <c r="J968">
        <v>2730</v>
      </c>
      <c r="K968">
        <v>0</v>
      </c>
    </row>
    <row r="969" spans="1:11" x14ac:dyDescent="0.2">
      <c r="A969" t="s">
        <v>16</v>
      </c>
      <c r="B969" t="s">
        <v>240</v>
      </c>
      <c r="C969">
        <v>195</v>
      </c>
      <c r="D969" t="s">
        <v>10028</v>
      </c>
      <c r="E969" t="s">
        <v>50</v>
      </c>
      <c r="F969">
        <v>3</v>
      </c>
      <c r="G969">
        <v>0.37307203081843288</v>
      </c>
      <c r="H969" t="s">
        <v>96</v>
      </c>
      <c r="I969">
        <v>0</v>
      </c>
      <c r="J969">
        <v>2730</v>
      </c>
      <c r="K969">
        <v>0</v>
      </c>
    </row>
    <row r="970" spans="1:11" x14ac:dyDescent="0.2">
      <c r="A970" t="s">
        <v>16</v>
      </c>
      <c r="B970" t="s">
        <v>240</v>
      </c>
      <c r="C970">
        <v>195</v>
      </c>
      <c r="D970" t="s">
        <v>10025</v>
      </c>
      <c r="E970" t="s">
        <v>50</v>
      </c>
      <c r="F970">
        <v>3</v>
      </c>
      <c r="G970">
        <v>0.37307203081843288</v>
      </c>
      <c r="H970" t="s">
        <v>95</v>
      </c>
      <c r="I970">
        <v>0</v>
      </c>
      <c r="J970">
        <v>2730</v>
      </c>
      <c r="K970">
        <v>0</v>
      </c>
    </row>
    <row r="971" spans="1:11" x14ac:dyDescent="0.2">
      <c r="A971" t="s">
        <v>16</v>
      </c>
      <c r="B971" t="s">
        <v>240</v>
      </c>
      <c r="C971">
        <v>195</v>
      </c>
      <c r="D971" t="s">
        <v>10026</v>
      </c>
      <c r="E971" t="s">
        <v>50</v>
      </c>
      <c r="F971">
        <v>3</v>
      </c>
      <c r="G971">
        <v>0.37307203081843288</v>
      </c>
      <c r="H971" t="s">
        <v>104</v>
      </c>
      <c r="I971">
        <v>0</v>
      </c>
      <c r="J971">
        <v>2730</v>
      </c>
      <c r="K971">
        <v>0</v>
      </c>
    </row>
    <row r="972" spans="1:11" x14ac:dyDescent="0.2">
      <c r="A972" t="s">
        <v>16</v>
      </c>
      <c r="B972" t="s">
        <v>240</v>
      </c>
      <c r="C972">
        <v>195</v>
      </c>
      <c r="D972" t="s">
        <v>10036</v>
      </c>
      <c r="E972" t="s">
        <v>50</v>
      </c>
      <c r="F972">
        <v>3</v>
      </c>
      <c r="G972">
        <v>0.37307203081843288</v>
      </c>
      <c r="H972" t="s">
        <v>96</v>
      </c>
      <c r="I972">
        <v>0</v>
      </c>
      <c r="J972">
        <v>2730</v>
      </c>
      <c r="K972">
        <v>0</v>
      </c>
    </row>
    <row r="973" spans="1:11" x14ac:dyDescent="0.2">
      <c r="A973" t="s">
        <v>16</v>
      </c>
      <c r="B973" t="s">
        <v>240</v>
      </c>
      <c r="C973">
        <v>195</v>
      </c>
      <c r="D973" t="s">
        <v>10038</v>
      </c>
      <c r="E973" t="s">
        <v>50</v>
      </c>
      <c r="F973">
        <v>3</v>
      </c>
      <c r="G973">
        <v>0.37307203081843288</v>
      </c>
      <c r="H973" t="s">
        <v>95</v>
      </c>
      <c r="I973">
        <v>0</v>
      </c>
      <c r="J973">
        <v>2730</v>
      </c>
      <c r="K973">
        <v>0</v>
      </c>
    </row>
    <row r="974" spans="1:11" x14ac:dyDescent="0.2">
      <c r="A974" t="s">
        <v>16</v>
      </c>
      <c r="B974" t="s">
        <v>240</v>
      </c>
      <c r="C974">
        <v>195</v>
      </c>
      <c r="D974" t="s">
        <v>10029</v>
      </c>
      <c r="E974" t="s">
        <v>50</v>
      </c>
      <c r="F974">
        <v>3</v>
      </c>
      <c r="G974">
        <v>0.37307203081843288</v>
      </c>
      <c r="H974" t="s">
        <v>104</v>
      </c>
      <c r="I974">
        <v>0</v>
      </c>
      <c r="J974">
        <v>2730</v>
      </c>
      <c r="K974">
        <v>0</v>
      </c>
    </row>
    <row r="975" spans="1:11" x14ac:dyDescent="0.2">
      <c r="A975" t="s">
        <v>16</v>
      </c>
      <c r="B975" t="s">
        <v>5138</v>
      </c>
      <c r="C975">
        <v>160</v>
      </c>
      <c r="D975" t="s">
        <v>10182</v>
      </c>
      <c r="E975" t="s">
        <v>50</v>
      </c>
      <c r="F975">
        <v>3</v>
      </c>
      <c r="G975">
        <v>0.43760777104303566</v>
      </c>
      <c r="H975" t="s">
        <v>105</v>
      </c>
      <c r="I975">
        <v>0</v>
      </c>
      <c r="J975">
        <v>2720</v>
      </c>
      <c r="K975">
        <v>0</v>
      </c>
    </row>
    <row r="976" spans="1:11" x14ac:dyDescent="0.2">
      <c r="A976" t="s">
        <v>16</v>
      </c>
      <c r="B976" t="s">
        <v>1003</v>
      </c>
      <c r="C976">
        <v>300</v>
      </c>
      <c r="D976" t="s">
        <v>9766</v>
      </c>
      <c r="E976" t="s">
        <v>50</v>
      </c>
      <c r="F976">
        <v>2</v>
      </c>
      <c r="G976">
        <v>0.4977380137803733</v>
      </c>
      <c r="H976" t="s">
        <v>92</v>
      </c>
      <c r="I976">
        <v>0</v>
      </c>
      <c r="J976">
        <v>2700</v>
      </c>
      <c r="K976">
        <v>0</v>
      </c>
    </row>
    <row r="977" spans="1:11" x14ac:dyDescent="0.2">
      <c r="A977" t="s">
        <v>16</v>
      </c>
      <c r="B977" t="s">
        <v>1003</v>
      </c>
      <c r="C977">
        <v>300</v>
      </c>
      <c r="D977" t="s">
        <v>9767</v>
      </c>
      <c r="E977" t="s">
        <v>50</v>
      </c>
      <c r="F977">
        <v>2</v>
      </c>
      <c r="G977">
        <v>0.4977380137803733</v>
      </c>
      <c r="H977" t="s">
        <v>93</v>
      </c>
      <c r="I977">
        <v>0</v>
      </c>
      <c r="J977">
        <v>2700</v>
      </c>
      <c r="K977">
        <v>0</v>
      </c>
    </row>
    <row r="978" spans="1:11" x14ac:dyDescent="0.2">
      <c r="A978" t="s">
        <v>16</v>
      </c>
      <c r="B978" t="s">
        <v>5010</v>
      </c>
      <c r="C978">
        <v>180</v>
      </c>
      <c r="D978" t="s">
        <v>10159</v>
      </c>
      <c r="E978" t="s">
        <v>50</v>
      </c>
      <c r="F978">
        <v>2</v>
      </c>
      <c r="G978">
        <v>0.44517978240718153</v>
      </c>
      <c r="H978" t="s">
        <v>97</v>
      </c>
      <c r="I978">
        <v>0</v>
      </c>
      <c r="J978">
        <v>2700</v>
      </c>
      <c r="K978">
        <v>0</v>
      </c>
    </row>
    <row r="979" spans="1:11" x14ac:dyDescent="0.2">
      <c r="A979" t="s">
        <v>16</v>
      </c>
      <c r="B979" t="s">
        <v>5834</v>
      </c>
      <c r="C979">
        <v>225</v>
      </c>
      <c r="D979" t="s">
        <v>10316</v>
      </c>
      <c r="E979" t="s">
        <v>50</v>
      </c>
      <c r="F979">
        <v>3</v>
      </c>
      <c r="G979">
        <v>0.4379658557840283</v>
      </c>
      <c r="H979" t="s">
        <v>91</v>
      </c>
      <c r="I979">
        <v>0</v>
      </c>
      <c r="J979">
        <v>2700</v>
      </c>
      <c r="K979">
        <v>0</v>
      </c>
    </row>
    <row r="980" spans="1:11" x14ac:dyDescent="0.2">
      <c r="A980" t="s">
        <v>16</v>
      </c>
      <c r="B980" t="s">
        <v>5834</v>
      </c>
      <c r="C980">
        <v>225</v>
      </c>
      <c r="D980" t="s">
        <v>10318</v>
      </c>
      <c r="E980" t="s">
        <v>50</v>
      </c>
      <c r="F980">
        <v>3</v>
      </c>
      <c r="G980">
        <v>0.4379658557840283</v>
      </c>
      <c r="H980" t="s">
        <v>103</v>
      </c>
      <c r="I980">
        <v>0</v>
      </c>
      <c r="J980">
        <v>2700</v>
      </c>
      <c r="K980">
        <v>0</v>
      </c>
    </row>
    <row r="981" spans="1:11" x14ac:dyDescent="0.2">
      <c r="A981" t="s">
        <v>16</v>
      </c>
      <c r="B981" t="s">
        <v>5834</v>
      </c>
      <c r="C981">
        <v>225</v>
      </c>
      <c r="D981" t="s">
        <v>10317</v>
      </c>
      <c r="E981" t="s">
        <v>50</v>
      </c>
      <c r="F981">
        <v>3</v>
      </c>
      <c r="G981">
        <v>0.4379658557840283</v>
      </c>
      <c r="H981" t="s">
        <v>90</v>
      </c>
      <c r="I981">
        <v>0</v>
      </c>
      <c r="J981">
        <v>2700</v>
      </c>
      <c r="K981">
        <v>0</v>
      </c>
    </row>
    <row r="982" spans="1:11" x14ac:dyDescent="0.2">
      <c r="A982" t="s">
        <v>16</v>
      </c>
      <c r="B982" t="s">
        <v>680</v>
      </c>
      <c r="C982">
        <v>60</v>
      </c>
      <c r="D982" t="s">
        <v>9843</v>
      </c>
      <c r="E982" t="s">
        <v>50</v>
      </c>
      <c r="F982">
        <v>4</v>
      </c>
      <c r="G982">
        <v>7.2832261689244032E-2</v>
      </c>
      <c r="H982" t="s">
        <v>92</v>
      </c>
      <c r="I982">
        <v>0</v>
      </c>
      <c r="J982">
        <v>2640</v>
      </c>
      <c r="K982">
        <v>0</v>
      </c>
    </row>
    <row r="983" spans="1:11" x14ac:dyDescent="0.2">
      <c r="A983" t="s">
        <v>16</v>
      </c>
      <c r="B983" t="s">
        <v>680</v>
      </c>
      <c r="C983">
        <v>60</v>
      </c>
      <c r="D983" t="s">
        <v>9835</v>
      </c>
      <c r="E983" t="s">
        <v>50</v>
      </c>
      <c r="F983">
        <v>4</v>
      </c>
      <c r="G983">
        <v>7.2832261689244032E-2</v>
      </c>
      <c r="H983" t="s">
        <v>103</v>
      </c>
      <c r="I983">
        <v>0</v>
      </c>
      <c r="J983">
        <v>2640</v>
      </c>
      <c r="K983">
        <v>0</v>
      </c>
    </row>
    <row r="984" spans="1:11" x14ac:dyDescent="0.2">
      <c r="A984" t="s">
        <v>16</v>
      </c>
      <c r="B984" t="s">
        <v>976</v>
      </c>
      <c r="C984">
        <v>100</v>
      </c>
      <c r="D984" t="s">
        <v>9080</v>
      </c>
      <c r="E984" t="s">
        <v>50</v>
      </c>
      <c r="F984">
        <v>2</v>
      </c>
      <c r="G984">
        <v>0.15821453985217462</v>
      </c>
      <c r="H984" t="s">
        <v>84</v>
      </c>
      <c r="I984">
        <v>0</v>
      </c>
      <c r="J984">
        <v>2600</v>
      </c>
      <c r="K984">
        <v>0</v>
      </c>
    </row>
    <row r="985" spans="1:11" x14ac:dyDescent="0.2">
      <c r="A985" t="s">
        <v>16</v>
      </c>
      <c r="B985" t="s">
        <v>1001</v>
      </c>
      <c r="C985">
        <v>220</v>
      </c>
      <c r="D985" t="s">
        <v>9174</v>
      </c>
      <c r="E985" t="s">
        <v>50</v>
      </c>
      <c r="F985">
        <v>4</v>
      </c>
      <c r="G985">
        <v>0.33724796564195297</v>
      </c>
      <c r="H985" t="s">
        <v>100</v>
      </c>
      <c r="I985">
        <v>0</v>
      </c>
      <c r="J985">
        <v>2420</v>
      </c>
      <c r="K985">
        <v>0</v>
      </c>
    </row>
    <row r="986" spans="1:11" x14ac:dyDescent="0.2">
      <c r="A986" t="s">
        <v>16</v>
      </c>
      <c r="B986" t="s">
        <v>2500</v>
      </c>
      <c r="C986">
        <v>240</v>
      </c>
      <c r="D986" t="s">
        <v>9326</v>
      </c>
      <c r="E986" t="s">
        <v>50</v>
      </c>
      <c r="F986">
        <v>26</v>
      </c>
      <c r="G986">
        <v>0.33972407654650649</v>
      </c>
      <c r="H986" t="s">
        <v>87</v>
      </c>
      <c r="I986">
        <v>0</v>
      </c>
      <c r="J986">
        <v>2400</v>
      </c>
      <c r="K986">
        <v>0</v>
      </c>
    </row>
    <row r="987" spans="1:11" x14ac:dyDescent="0.2">
      <c r="A987" t="s">
        <v>16</v>
      </c>
      <c r="B987" t="s">
        <v>313</v>
      </c>
      <c r="C987">
        <v>400</v>
      </c>
      <c r="D987" t="s">
        <v>9487</v>
      </c>
      <c r="E987" t="s">
        <v>50</v>
      </c>
      <c r="F987">
        <v>24</v>
      </c>
      <c r="G987">
        <v>0.20152760510264611</v>
      </c>
      <c r="H987" t="s">
        <v>99</v>
      </c>
      <c r="I987">
        <v>0</v>
      </c>
      <c r="J987">
        <v>2400</v>
      </c>
      <c r="K987">
        <v>0</v>
      </c>
    </row>
    <row r="988" spans="1:11" x14ac:dyDescent="0.2">
      <c r="A988" t="s">
        <v>16</v>
      </c>
      <c r="B988" t="s">
        <v>695</v>
      </c>
      <c r="C988">
        <v>65</v>
      </c>
      <c r="D988" t="s">
        <v>9551</v>
      </c>
      <c r="E988" t="s">
        <v>50</v>
      </c>
      <c r="F988">
        <v>2</v>
      </c>
      <c r="G988">
        <v>7.1830529929169842E-2</v>
      </c>
      <c r="H988" t="s">
        <v>93</v>
      </c>
      <c r="I988">
        <v>0</v>
      </c>
      <c r="J988">
        <v>2340</v>
      </c>
      <c r="K988">
        <v>0</v>
      </c>
    </row>
    <row r="989" spans="1:11" x14ac:dyDescent="0.2">
      <c r="A989" t="s">
        <v>16</v>
      </c>
      <c r="B989" t="s">
        <v>979</v>
      </c>
      <c r="C989">
        <v>65</v>
      </c>
      <c r="D989" t="s">
        <v>9552</v>
      </c>
      <c r="E989" t="s">
        <v>50</v>
      </c>
      <c r="F989">
        <v>2</v>
      </c>
      <c r="G989">
        <v>7.1830529929169842E-2</v>
      </c>
      <c r="H989" t="s">
        <v>97</v>
      </c>
      <c r="I989">
        <v>0</v>
      </c>
      <c r="J989">
        <v>2340</v>
      </c>
      <c r="K989">
        <v>0</v>
      </c>
    </row>
    <row r="990" spans="1:11" x14ac:dyDescent="0.2">
      <c r="A990" t="s">
        <v>16</v>
      </c>
      <c r="B990" t="s">
        <v>685</v>
      </c>
      <c r="C990">
        <v>100</v>
      </c>
      <c r="D990" t="s">
        <v>9993</v>
      </c>
      <c r="E990" t="s">
        <v>50</v>
      </c>
      <c r="F990">
        <v>28</v>
      </c>
      <c r="G990">
        <v>0.13621151271753684</v>
      </c>
      <c r="H990" t="s">
        <v>91</v>
      </c>
      <c r="I990">
        <v>0</v>
      </c>
      <c r="J990">
        <v>2300</v>
      </c>
      <c r="K990">
        <v>0</v>
      </c>
    </row>
    <row r="991" spans="1:11" x14ac:dyDescent="0.2">
      <c r="A991" t="s">
        <v>16</v>
      </c>
      <c r="B991" t="s">
        <v>4443</v>
      </c>
      <c r="C991">
        <v>60</v>
      </c>
      <c r="D991" t="s">
        <v>9861</v>
      </c>
      <c r="E991" t="s">
        <v>50</v>
      </c>
      <c r="F991">
        <v>2</v>
      </c>
      <c r="G991">
        <v>0.15395596572852313</v>
      </c>
      <c r="H991" t="s">
        <v>105</v>
      </c>
      <c r="I991">
        <v>0</v>
      </c>
      <c r="J991">
        <v>2280</v>
      </c>
      <c r="K991">
        <v>0</v>
      </c>
    </row>
    <row r="992" spans="1:11" x14ac:dyDescent="0.2">
      <c r="A992" t="s">
        <v>16</v>
      </c>
      <c r="B992" t="s">
        <v>5923</v>
      </c>
      <c r="C992">
        <v>90</v>
      </c>
      <c r="D992" t="s">
        <v>10188</v>
      </c>
      <c r="E992" t="s">
        <v>50</v>
      </c>
      <c r="F992">
        <v>2</v>
      </c>
      <c r="G992">
        <v>0.35068051143902529</v>
      </c>
      <c r="H992" t="s">
        <v>100</v>
      </c>
      <c r="I992">
        <v>0</v>
      </c>
      <c r="J992">
        <v>2250</v>
      </c>
      <c r="K992">
        <v>0</v>
      </c>
    </row>
    <row r="993" spans="1:11" x14ac:dyDescent="0.2">
      <c r="A993" t="s">
        <v>16</v>
      </c>
      <c r="B993" t="s">
        <v>5191</v>
      </c>
      <c r="C993">
        <v>90</v>
      </c>
      <c r="D993" t="s">
        <v>10190</v>
      </c>
      <c r="E993" t="s">
        <v>50</v>
      </c>
      <c r="F993">
        <v>2</v>
      </c>
      <c r="G993">
        <v>0.35068051143902529</v>
      </c>
      <c r="H993" t="s">
        <v>87</v>
      </c>
      <c r="I993">
        <v>0</v>
      </c>
      <c r="J993">
        <v>2250</v>
      </c>
      <c r="K993">
        <v>0</v>
      </c>
    </row>
    <row r="994" spans="1:11" x14ac:dyDescent="0.2">
      <c r="A994" t="s">
        <v>16</v>
      </c>
      <c r="B994" t="s">
        <v>5197</v>
      </c>
      <c r="C994">
        <v>90</v>
      </c>
      <c r="D994" t="s">
        <v>10194</v>
      </c>
      <c r="E994" t="s">
        <v>50</v>
      </c>
      <c r="F994">
        <v>2</v>
      </c>
      <c r="G994">
        <v>0.35068051143902529</v>
      </c>
      <c r="H994" t="s">
        <v>99</v>
      </c>
      <c r="I994">
        <v>0</v>
      </c>
      <c r="J994">
        <v>2250</v>
      </c>
      <c r="K994">
        <v>0</v>
      </c>
    </row>
    <row r="995" spans="1:11" x14ac:dyDescent="0.2">
      <c r="A995" t="s">
        <v>16</v>
      </c>
      <c r="B995" t="s">
        <v>5199</v>
      </c>
      <c r="C995">
        <v>90</v>
      </c>
      <c r="D995" t="s">
        <v>10195</v>
      </c>
      <c r="E995" t="s">
        <v>50</v>
      </c>
      <c r="F995">
        <v>2</v>
      </c>
      <c r="G995">
        <v>0.35068051143902529</v>
      </c>
      <c r="H995" t="s">
        <v>90</v>
      </c>
      <c r="I995">
        <v>0</v>
      </c>
      <c r="J995">
        <v>2250</v>
      </c>
      <c r="K995">
        <v>0</v>
      </c>
    </row>
    <row r="996" spans="1:11" x14ac:dyDescent="0.2">
      <c r="A996" t="s">
        <v>16</v>
      </c>
      <c r="B996" t="s">
        <v>449</v>
      </c>
      <c r="C996">
        <v>200</v>
      </c>
      <c r="D996" t="s">
        <v>9485</v>
      </c>
      <c r="E996" t="s">
        <v>50</v>
      </c>
      <c r="F996">
        <v>13</v>
      </c>
      <c r="G996">
        <v>7.3796651553975842E-2</v>
      </c>
      <c r="H996" t="s">
        <v>93</v>
      </c>
      <c r="I996">
        <v>0</v>
      </c>
      <c r="J996">
        <v>2200</v>
      </c>
      <c r="K996">
        <v>0</v>
      </c>
    </row>
    <row r="997" spans="1:11" x14ac:dyDescent="0.2">
      <c r="A997" t="s">
        <v>16</v>
      </c>
      <c r="B997" t="s">
        <v>942</v>
      </c>
      <c r="C997">
        <v>70</v>
      </c>
      <c r="D997" t="s">
        <v>10102</v>
      </c>
      <c r="E997" t="s">
        <v>50</v>
      </c>
      <c r="F997">
        <v>3</v>
      </c>
      <c r="G997">
        <v>0.16178515840739066</v>
      </c>
      <c r="H997" t="s">
        <v>90</v>
      </c>
      <c r="I997">
        <v>0</v>
      </c>
      <c r="J997">
        <v>2170</v>
      </c>
      <c r="K997">
        <v>0</v>
      </c>
    </row>
    <row r="998" spans="1:11" x14ac:dyDescent="0.2">
      <c r="A998" t="s">
        <v>16</v>
      </c>
      <c r="B998" t="s">
        <v>942</v>
      </c>
      <c r="C998">
        <v>70</v>
      </c>
      <c r="D998" t="s">
        <v>10098</v>
      </c>
      <c r="E998" t="s">
        <v>50</v>
      </c>
      <c r="F998">
        <v>3</v>
      </c>
      <c r="G998">
        <v>0.16178515840739066</v>
      </c>
      <c r="H998" t="s">
        <v>90</v>
      </c>
      <c r="I998">
        <v>0</v>
      </c>
      <c r="J998">
        <v>2170</v>
      </c>
      <c r="K998">
        <v>0</v>
      </c>
    </row>
    <row r="999" spans="1:11" x14ac:dyDescent="0.2">
      <c r="A999" t="s">
        <v>16</v>
      </c>
      <c r="B999" t="s">
        <v>967</v>
      </c>
      <c r="C999">
        <v>70</v>
      </c>
      <c r="D999" t="s">
        <v>10106</v>
      </c>
      <c r="E999" t="s">
        <v>50</v>
      </c>
      <c r="F999">
        <v>3</v>
      </c>
      <c r="G999">
        <v>0.15295296355947369</v>
      </c>
      <c r="H999" t="s">
        <v>100</v>
      </c>
      <c r="I999">
        <v>0</v>
      </c>
      <c r="J999">
        <v>2170</v>
      </c>
      <c r="K999">
        <v>0</v>
      </c>
    </row>
    <row r="1000" spans="1:11" x14ac:dyDescent="0.2">
      <c r="A1000" t="s">
        <v>16</v>
      </c>
      <c r="B1000" t="s">
        <v>967</v>
      </c>
      <c r="C1000">
        <v>70</v>
      </c>
      <c r="D1000" t="s">
        <v>10117</v>
      </c>
      <c r="E1000" t="s">
        <v>50</v>
      </c>
      <c r="F1000">
        <v>3</v>
      </c>
      <c r="G1000">
        <v>0.15295296355947369</v>
      </c>
      <c r="H1000" t="s">
        <v>87</v>
      </c>
      <c r="I1000">
        <v>0</v>
      </c>
      <c r="J1000">
        <v>2170</v>
      </c>
      <c r="K1000">
        <v>0</v>
      </c>
    </row>
    <row r="1001" spans="1:11" x14ac:dyDescent="0.2">
      <c r="A1001" t="s">
        <v>16</v>
      </c>
      <c r="B1001" t="s">
        <v>333</v>
      </c>
      <c r="C1001">
        <v>90</v>
      </c>
      <c r="D1001" t="s">
        <v>9502</v>
      </c>
      <c r="E1001" t="s">
        <v>50</v>
      </c>
      <c r="F1001">
        <v>3</v>
      </c>
      <c r="G1001">
        <v>0.11358483619443298</v>
      </c>
      <c r="H1001" t="s">
        <v>84</v>
      </c>
      <c r="I1001">
        <v>0</v>
      </c>
      <c r="J1001">
        <v>2160</v>
      </c>
      <c r="K1001">
        <v>0</v>
      </c>
    </row>
    <row r="1002" spans="1:11" x14ac:dyDescent="0.2">
      <c r="A1002" t="s">
        <v>16</v>
      </c>
      <c r="B1002" t="s">
        <v>332</v>
      </c>
      <c r="C1002">
        <v>90</v>
      </c>
      <c r="D1002" t="s">
        <v>9503</v>
      </c>
      <c r="E1002" t="s">
        <v>50</v>
      </c>
      <c r="F1002">
        <v>3</v>
      </c>
      <c r="G1002">
        <v>9.085103870742442E-2</v>
      </c>
      <c r="H1002" t="s">
        <v>97</v>
      </c>
      <c r="I1002">
        <v>0</v>
      </c>
      <c r="J1002">
        <v>2160</v>
      </c>
      <c r="K1002">
        <v>0</v>
      </c>
    </row>
    <row r="1003" spans="1:11" x14ac:dyDescent="0.2">
      <c r="A1003" t="s">
        <v>16</v>
      </c>
      <c r="B1003" t="s">
        <v>451</v>
      </c>
      <c r="C1003">
        <v>60</v>
      </c>
      <c r="D1003" t="s">
        <v>9859</v>
      </c>
      <c r="E1003" t="s">
        <v>50</v>
      </c>
      <c r="F1003">
        <v>1</v>
      </c>
      <c r="G1003">
        <v>0.15395596572852313</v>
      </c>
      <c r="H1003" t="s">
        <v>91</v>
      </c>
      <c r="I1003">
        <v>0</v>
      </c>
      <c r="J1003">
        <v>2160</v>
      </c>
      <c r="K1003">
        <v>0</v>
      </c>
    </row>
    <row r="1004" spans="1:11" x14ac:dyDescent="0.2">
      <c r="A1004" t="s">
        <v>16</v>
      </c>
      <c r="B1004" t="s">
        <v>732</v>
      </c>
      <c r="C1004">
        <v>150</v>
      </c>
      <c r="D1004" t="s">
        <v>9095</v>
      </c>
      <c r="E1004" t="s">
        <v>50</v>
      </c>
      <c r="F1004">
        <v>9</v>
      </c>
      <c r="G1004">
        <v>0.17547462612998171</v>
      </c>
      <c r="H1004" t="s">
        <v>105</v>
      </c>
      <c r="I1004">
        <v>0</v>
      </c>
      <c r="J1004">
        <v>2100</v>
      </c>
      <c r="K1004">
        <v>0</v>
      </c>
    </row>
    <row r="1005" spans="1:11" x14ac:dyDescent="0.2">
      <c r="A1005" t="s">
        <v>16</v>
      </c>
      <c r="B1005" t="s">
        <v>1495</v>
      </c>
      <c r="C1005">
        <v>150</v>
      </c>
      <c r="D1005" t="s">
        <v>9133</v>
      </c>
      <c r="E1005" t="s">
        <v>50</v>
      </c>
      <c r="F1005">
        <v>3</v>
      </c>
      <c r="G1005">
        <v>0.12655264770083383</v>
      </c>
      <c r="H1005" t="s">
        <v>92</v>
      </c>
      <c r="I1005">
        <v>0</v>
      </c>
      <c r="J1005">
        <v>2100</v>
      </c>
      <c r="K1005">
        <v>0</v>
      </c>
    </row>
    <row r="1006" spans="1:11" x14ac:dyDescent="0.2">
      <c r="A1006" t="s">
        <v>16</v>
      </c>
      <c r="B1006" t="s">
        <v>463</v>
      </c>
      <c r="C1006">
        <v>300</v>
      </c>
      <c r="D1006" t="s">
        <v>9484</v>
      </c>
      <c r="E1006" t="s">
        <v>50</v>
      </c>
      <c r="F1006">
        <v>2</v>
      </c>
      <c r="G1006">
        <v>0.32180390060501607</v>
      </c>
      <c r="H1006" t="s">
        <v>84</v>
      </c>
      <c r="I1006">
        <v>0</v>
      </c>
      <c r="J1006">
        <v>2100</v>
      </c>
      <c r="K1006">
        <v>0</v>
      </c>
    </row>
    <row r="1007" spans="1:11" x14ac:dyDescent="0.2">
      <c r="A1007" t="s">
        <v>16</v>
      </c>
      <c r="B1007" t="s">
        <v>463</v>
      </c>
      <c r="C1007">
        <v>300</v>
      </c>
      <c r="D1007" t="s">
        <v>9483</v>
      </c>
      <c r="E1007" t="s">
        <v>50</v>
      </c>
      <c r="F1007">
        <v>2</v>
      </c>
      <c r="G1007">
        <v>0.32180390060501607</v>
      </c>
      <c r="H1007" t="s">
        <v>93</v>
      </c>
      <c r="I1007">
        <v>0</v>
      </c>
      <c r="J1007">
        <v>2100</v>
      </c>
      <c r="K1007">
        <v>0</v>
      </c>
    </row>
    <row r="1008" spans="1:11" x14ac:dyDescent="0.2">
      <c r="A1008" t="s">
        <v>16</v>
      </c>
      <c r="B1008" t="s">
        <v>4054</v>
      </c>
      <c r="C1008">
        <v>300</v>
      </c>
      <c r="D1008" t="s">
        <v>9650</v>
      </c>
      <c r="E1008" t="s">
        <v>50</v>
      </c>
      <c r="F1008">
        <v>3</v>
      </c>
      <c r="G1008">
        <v>0.22027756773969306</v>
      </c>
      <c r="H1008" t="s">
        <v>99</v>
      </c>
      <c r="I1008">
        <v>0</v>
      </c>
      <c r="J1008">
        <v>2100</v>
      </c>
      <c r="K1008">
        <v>0</v>
      </c>
    </row>
    <row r="1009" spans="1:11" x14ac:dyDescent="0.2">
      <c r="A1009" t="s">
        <v>16</v>
      </c>
      <c r="B1009" t="s">
        <v>4054</v>
      </c>
      <c r="C1009">
        <v>300</v>
      </c>
      <c r="D1009" t="s">
        <v>9649</v>
      </c>
      <c r="E1009" t="s">
        <v>50</v>
      </c>
      <c r="F1009">
        <v>3</v>
      </c>
      <c r="G1009">
        <v>0.22027756773969306</v>
      </c>
      <c r="H1009" t="s">
        <v>97</v>
      </c>
      <c r="I1009">
        <v>0</v>
      </c>
      <c r="J1009">
        <v>2100</v>
      </c>
      <c r="K1009">
        <v>0</v>
      </c>
    </row>
    <row r="1010" spans="1:11" x14ac:dyDescent="0.2">
      <c r="A1010" t="s">
        <v>16</v>
      </c>
      <c r="B1010" t="s">
        <v>4054</v>
      </c>
      <c r="C1010">
        <v>300</v>
      </c>
      <c r="D1010" t="s">
        <v>9646</v>
      </c>
      <c r="E1010" t="s">
        <v>50</v>
      </c>
      <c r="F1010">
        <v>3</v>
      </c>
      <c r="G1010">
        <v>0.22027756773969306</v>
      </c>
      <c r="H1010" t="s">
        <v>91</v>
      </c>
      <c r="I1010">
        <v>0</v>
      </c>
      <c r="J1010">
        <v>2100</v>
      </c>
      <c r="K1010">
        <v>0</v>
      </c>
    </row>
    <row r="1011" spans="1:11" x14ac:dyDescent="0.2">
      <c r="A1011" t="s">
        <v>16</v>
      </c>
      <c r="B1011" t="s">
        <v>4054</v>
      </c>
      <c r="C1011">
        <v>300</v>
      </c>
      <c r="D1011" t="s">
        <v>9640</v>
      </c>
      <c r="E1011" t="s">
        <v>50</v>
      </c>
      <c r="F1011">
        <v>3</v>
      </c>
      <c r="G1011">
        <v>0.22027756773969306</v>
      </c>
      <c r="H1011" t="s">
        <v>99</v>
      </c>
      <c r="I1011">
        <v>0</v>
      </c>
      <c r="J1011">
        <v>2100</v>
      </c>
      <c r="K1011">
        <v>0</v>
      </c>
    </row>
    <row r="1012" spans="1:11" x14ac:dyDescent="0.2">
      <c r="A1012" t="s">
        <v>16</v>
      </c>
      <c r="B1012" t="s">
        <v>4054</v>
      </c>
      <c r="C1012">
        <v>300</v>
      </c>
      <c r="D1012" t="s">
        <v>9651</v>
      </c>
      <c r="E1012" t="s">
        <v>50</v>
      </c>
      <c r="F1012">
        <v>3</v>
      </c>
      <c r="G1012">
        <v>0.22027756773969306</v>
      </c>
      <c r="H1012" t="s">
        <v>97</v>
      </c>
      <c r="I1012">
        <v>0</v>
      </c>
      <c r="J1012">
        <v>2100</v>
      </c>
      <c r="K1012">
        <v>0</v>
      </c>
    </row>
    <row r="1013" spans="1:11" x14ac:dyDescent="0.2">
      <c r="A1013" t="s">
        <v>16</v>
      </c>
      <c r="B1013" t="s">
        <v>4054</v>
      </c>
      <c r="C1013">
        <v>300</v>
      </c>
      <c r="D1013" t="s">
        <v>9644</v>
      </c>
      <c r="E1013" t="s">
        <v>50</v>
      </c>
      <c r="F1013">
        <v>3</v>
      </c>
      <c r="G1013">
        <v>0.22027756773969306</v>
      </c>
      <c r="H1013" t="s">
        <v>91</v>
      </c>
      <c r="I1013">
        <v>0</v>
      </c>
      <c r="J1013">
        <v>2100</v>
      </c>
      <c r="K1013">
        <v>0</v>
      </c>
    </row>
    <row r="1014" spans="1:11" x14ac:dyDescent="0.2">
      <c r="A1014" t="s">
        <v>16</v>
      </c>
      <c r="B1014" t="s">
        <v>4054</v>
      </c>
      <c r="C1014">
        <v>300</v>
      </c>
      <c r="D1014" t="s">
        <v>9643</v>
      </c>
      <c r="E1014" t="s">
        <v>50</v>
      </c>
      <c r="F1014">
        <v>3</v>
      </c>
      <c r="G1014">
        <v>0.22027756773969306</v>
      </c>
      <c r="H1014" t="s">
        <v>99</v>
      </c>
      <c r="I1014">
        <v>0</v>
      </c>
      <c r="J1014">
        <v>2100</v>
      </c>
      <c r="K1014">
        <v>0</v>
      </c>
    </row>
    <row r="1015" spans="1:11" x14ac:dyDescent="0.2">
      <c r="A1015" t="s">
        <v>16</v>
      </c>
      <c r="B1015" t="s">
        <v>4054</v>
      </c>
      <c r="C1015">
        <v>300</v>
      </c>
      <c r="D1015" t="s">
        <v>9647</v>
      </c>
      <c r="E1015" t="s">
        <v>50</v>
      </c>
      <c r="F1015">
        <v>3</v>
      </c>
      <c r="G1015">
        <v>0.22027756773969306</v>
      </c>
      <c r="H1015" t="s">
        <v>97</v>
      </c>
      <c r="I1015">
        <v>0</v>
      </c>
      <c r="J1015">
        <v>2100</v>
      </c>
      <c r="K1015">
        <v>0</v>
      </c>
    </row>
    <row r="1016" spans="1:11" x14ac:dyDescent="0.2">
      <c r="A1016" t="s">
        <v>16</v>
      </c>
      <c r="B1016" t="s">
        <v>4054</v>
      </c>
      <c r="C1016">
        <v>300</v>
      </c>
      <c r="D1016" t="s">
        <v>9648</v>
      </c>
      <c r="E1016" t="s">
        <v>50</v>
      </c>
      <c r="F1016">
        <v>3</v>
      </c>
      <c r="G1016">
        <v>0.22027756773969306</v>
      </c>
      <c r="H1016" t="s">
        <v>91</v>
      </c>
      <c r="I1016">
        <v>0</v>
      </c>
      <c r="J1016">
        <v>2100</v>
      </c>
      <c r="K1016">
        <v>0</v>
      </c>
    </row>
    <row r="1017" spans="1:11" x14ac:dyDescent="0.2">
      <c r="A1017" t="s">
        <v>16</v>
      </c>
      <c r="B1017" t="s">
        <v>4054</v>
      </c>
      <c r="C1017">
        <v>300</v>
      </c>
      <c r="D1017" t="s">
        <v>9645</v>
      </c>
      <c r="E1017" t="s">
        <v>50</v>
      </c>
      <c r="F1017">
        <v>3</v>
      </c>
      <c r="G1017">
        <v>0.22027756773969306</v>
      </c>
      <c r="H1017" t="s">
        <v>99</v>
      </c>
      <c r="I1017">
        <v>0</v>
      </c>
      <c r="J1017">
        <v>2100</v>
      </c>
      <c r="K1017">
        <v>0</v>
      </c>
    </row>
    <row r="1018" spans="1:11" x14ac:dyDescent="0.2">
      <c r="A1018" t="s">
        <v>16</v>
      </c>
      <c r="B1018" t="s">
        <v>4054</v>
      </c>
      <c r="C1018">
        <v>300</v>
      </c>
      <c r="D1018" t="s">
        <v>9641</v>
      </c>
      <c r="E1018" t="s">
        <v>50</v>
      </c>
      <c r="F1018">
        <v>3</v>
      </c>
      <c r="G1018">
        <v>0.22027756773969306</v>
      </c>
      <c r="H1018" t="s">
        <v>97</v>
      </c>
      <c r="I1018">
        <v>0</v>
      </c>
      <c r="J1018">
        <v>2100</v>
      </c>
      <c r="K1018">
        <v>0</v>
      </c>
    </row>
    <row r="1019" spans="1:11" x14ac:dyDescent="0.2">
      <c r="A1019" t="s">
        <v>16</v>
      </c>
      <c r="B1019" t="s">
        <v>939</v>
      </c>
      <c r="C1019">
        <v>300</v>
      </c>
      <c r="D1019" t="s">
        <v>9657</v>
      </c>
      <c r="E1019" t="s">
        <v>50</v>
      </c>
      <c r="F1019">
        <v>4</v>
      </c>
      <c r="G1019">
        <v>0.26690201370572503</v>
      </c>
      <c r="H1019" t="s">
        <v>92</v>
      </c>
      <c r="I1019">
        <v>0</v>
      </c>
      <c r="J1019">
        <v>2100</v>
      </c>
      <c r="K1019">
        <v>0</v>
      </c>
    </row>
    <row r="1020" spans="1:11" x14ac:dyDescent="0.2">
      <c r="A1020" t="s">
        <v>16</v>
      </c>
      <c r="B1020" t="s">
        <v>939</v>
      </c>
      <c r="C1020">
        <v>300</v>
      </c>
      <c r="D1020" t="s">
        <v>9689</v>
      </c>
      <c r="E1020" t="s">
        <v>50</v>
      </c>
      <c r="F1020">
        <v>4</v>
      </c>
      <c r="G1020">
        <v>0.26690201370572503</v>
      </c>
      <c r="H1020" t="s">
        <v>103</v>
      </c>
      <c r="I1020">
        <v>0</v>
      </c>
      <c r="J1020">
        <v>2100</v>
      </c>
      <c r="K1020">
        <v>0</v>
      </c>
    </row>
    <row r="1021" spans="1:11" x14ac:dyDescent="0.2">
      <c r="A1021" t="s">
        <v>16</v>
      </c>
      <c r="B1021" t="s">
        <v>939</v>
      </c>
      <c r="C1021">
        <v>300</v>
      </c>
      <c r="D1021" t="s">
        <v>9692</v>
      </c>
      <c r="E1021" t="s">
        <v>50</v>
      </c>
      <c r="F1021">
        <v>4</v>
      </c>
      <c r="G1021">
        <v>0.26690201370572503</v>
      </c>
      <c r="H1021" t="s">
        <v>101</v>
      </c>
      <c r="I1021">
        <v>0</v>
      </c>
      <c r="J1021">
        <v>2100</v>
      </c>
      <c r="K1021">
        <v>0</v>
      </c>
    </row>
    <row r="1022" spans="1:11" x14ac:dyDescent="0.2">
      <c r="A1022" t="s">
        <v>16</v>
      </c>
      <c r="B1022" t="s">
        <v>939</v>
      </c>
      <c r="C1022">
        <v>300</v>
      </c>
      <c r="D1022" t="s">
        <v>9690</v>
      </c>
      <c r="E1022" t="s">
        <v>50</v>
      </c>
      <c r="F1022">
        <v>4</v>
      </c>
      <c r="G1022">
        <v>0.26690201370572503</v>
      </c>
      <c r="H1022" t="s">
        <v>105</v>
      </c>
      <c r="I1022">
        <v>0</v>
      </c>
      <c r="J1022">
        <v>2100</v>
      </c>
      <c r="K1022">
        <v>0</v>
      </c>
    </row>
    <row r="1023" spans="1:11" x14ac:dyDescent="0.2">
      <c r="A1023" t="s">
        <v>16</v>
      </c>
      <c r="B1023" t="s">
        <v>939</v>
      </c>
      <c r="C1023">
        <v>300</v>
      </c>
      <c r="D1023" t="s">
        <v>9670</v>
      </c>
      <c r="E1023" t="s">
        <v>50</v>
      </c>
      <c r="F1023">
        <v>4</v>
      </c>
      <c r="G1023">
        <v>0.26690201370572503</v>
      </c>
      <c r="H1023" t="s">
        <v>92</v>
      </c>
      <c r="I1023">
        <v>0</v>
      </c>
      <c r="J1023">
        <v>2100</v>
      </c>
      <c r="K1023">
        <v>0</v>
      </c>
    </row>
    <row r="1024" spans="1:11" x14ac:dyDescent="0.2">
      <c r="A1024" t="s">
        <v>16</v>
      </c>
      <c r="B1024" t="s">
        <v>939</v>
      </c>
      <c r="C1024">
        <v>300</v>
      </c>
      <c r="D1024" t="s">
        <v>9656</v>
      </c>
      <c r="E1024" t="s">
        <v>50</v>
      </c>
      <c r="F1024">
        <v>4</v>
      </c>
      <c r="G1024">
        <v>0.26690201370572503</v>
      </c>
      <c r="H1024" t="s">
        <v>103</v>
      </c>
      <c r="I1024">
        <v>0</v>
      </c>
      <c r="J1024">
        <v>2100</v>
      </c>
      <c r="K1024">
        <v>0</v>
      </c>
    </row>
    <row r="1025" spans="1:11" x14ac:dyDescent="0.2">
      <c r="A1025" t="s">
        <v>16</v>
      </c>
      <c r="B1025" t="s">
        <v>939</v>
      </c>
      <c r="C1025">
        <v>300</v>
      </c>
      <c r="D1025" t="s">
        <v>9679</v>
      </c>
      <c r="E1025" t="s">
        <v>50</v>
      </c>
      <c r="F1025">
        <v>4</v>
      </c>
      <c r="G1025">
        <v>0.26690201370572503</v>
      </c>
      <c r="H1025" t="s">
        <v>101</v>
      </c>
      <c r="I1025">
        <v>0</v>
      </c>
      <c r="J1025">
        <v>2100</v>
      </c>
      <c r="K1025">
        <v>0</v>
      </c>
    </row>
    <row r="1026" spans="1:11" x14ac:dyDescent="0.2">
      <c r="A1026" t="s">
        <v>16</v>
      </c>
      <c r="B1026" t="s">
        <v>939</v>
      </c>
      <c r="C1026">
        <v>300</v>
      </c>
      <c r="D1026" t="s">
        <v>9652</v>
      </c>
      <c r="E1026" t="s">
        <v>50</v>
      </c>
      <c r="F1026">
        <v>4</v>
      </c>
      <c r="G1026">
        <v>0.26690201370572503</v>
      </c>
      <c r="H1026" t="s">
        <v>105</v>
      </c>
      <c r="I1026">
        <v>0</v>
      </c>
      <c r="J1026">
        <v>2100</v>
      </c>
      <c r="K1026">
        <v>0</v>
      </c>
    </row>
    <row r="1027" spans="1:11" x14ac:dyDescent="0.2">
      <c r="A1027" t="s">
        <v>16</v>
      </c>
      <c r="B1027" t="s">
        <v>939</v>
      </c>
      <c r="C1027">
        <v>300</v>
      </c>
      <c r="D1027" t="s">
        <v>9655</v>
      </c>
      <c r="E1027" t="s">
        <v>50</v>
      </c>
      <c r="F1027">
        <v>4</v>
      </c>
      <c r="G1027">
        <v>0.26690201370572503</v>
      </c>
      <c r="H1027" t="s">
        <v>92</v>
      </c>
      <c r="I1027">
        <v>0</v>
      </c>
      <c r="J1027">
        <v>2100</v>
      </c>
      <c r="K1027">
        <v>0</v>
      </c>
    </row>
    <row r="1028" spans="1:11" x14ac:dyDescent="0.2">
      <c r="A1028" t="s">
        <v>16</v>
      </c>
      <c r="B1028" t="s">
        <v>939</v>
      </c>
      <c r="C1028">
        <v>300</v>
      </c>
      <c r="D1028" t="s">
        <v>9685</v>
      </c>
      <c r="E1028" t="s">
        <v>50</v>
      </c>
      <c r="F1028">
        <v>4</v>
      </c>
      <c r="G1028">
        <v>0.26690201370572503</v>
      </c>
      <c r="H1028" t="s">
        <v>103</v>
      </c>
      <c r="I1028">
        <v>0</v>
      </c>
      <c r="J1028">
        <v>2100</v>
      </c>
      <c r="K1028">
        <v>0</v>
      </c>
    </row>
    <row r="1029" spans="1:11" x14ac:dyDescent="0.2">
      <c r="A1029" t="s">
        <v>16</v>
      </c>
      <c r="B1029" t="s">
        <v>939</v>
      </c>
      <c r="C1029">
        <v>300</v>
      </c>
      <c r="D1029" t="s">
        <v>9667</v>
      </c>
      <c r="E1029" t="s">
        <v>50</v>
      </c>
      <c r="F1029">
        <v>4</v>
      </c>
      <c r="G1029">
        <v>0.26690201370572503</v>
      </c>
      <c r="H1029" t="s">
        <v>101</v>
      </c>
      <c r="I1029">
        <v>0</v>
      </c>
      <c r="J1029">
        <v>2100</v>
      </c>
      <c r="K1029">
        <v>0</v>
      </c>
    </row>
    <row r="1030" spans="1:11" x14ac:dyDescent="0.2">
      <c r="A1030" t="s">
        <v>16</v>
      </c>
      <c r="B1030" t="s">
        <v>939</v>
      </c>
      <c r="C1030">
        <v>300</v>
      </c>
      <c r="D1030" t="s">
        <v>9680</v>
      </c>
      <c r="E1030" t="s">
        <v>50</v>
      </c>
      <c r="F1030">
        <v>4</v>
      </c>
      <c r="G1030">
        <v>0.26690201370572503</v>
      </c>
      <c r="H1030" t="s">
        <v>105</v>
      </c>
      <c r="I1030">
        <v>0</v>
      </c>
      <c r="J1030">
        <v>2100</v>
      </c>
      <c r="K1030">
        <v>0</v>
      </c>
    </row>
    <row r="1031" spans="1:11" x14ac:dyDescent="0.2">
      <c r="A1031" t="s">
        <v>16</v>
      </c>
      <c r="B1031" t="s">
        <v>939</v>
      </c>
      <c r="C1031">
        <v>300</v>
      </c>
      <c r="D1031" t="s">
        <v>9693</v>
      </c>
      <c r="E1031" t="s">
        <v>50</v>
      </c>
      <c r="F1031">
        <v>4</v>
      </c>
      <c r="G1031">
        <v>0.26690201370572503</v>
      </c>
      <c r="H1031" t="s">
        <v>92</v>
      </c>
      <c r="I1031">
        <v>0</v>
      </c>
      <c r="J1031">
        <v>2100</v>
      </c>
      <c r="K1031">
        <v>0</v>
      </c>
    </row>
    <row r="1032" spans="1:11" x14ac:dyDescent="0.2">
      <c r="A1032" t="s">
        <v>16</v>
      </c>
      <c r="B1032" t="s">
        <v>939</v>
      </c>
      <c r="C1032">
        <v>300</v>
      </c>
      <c r="D1032" t="s">
        <v>9691</v>
      </c>
      <c r="E1032" t="s">
        <v>50</v>
      </c>
      <c r="F1032">
        <v>4</v>
      </c>
      <c r="G1032">
        <v>0.26690201370572503</v>
      </c>
      <c r="H1032" t="s">
        <v>103</v>
      </c>
      <c r="I1032">
        <v>0</v>
      </c>
      <c r="J1032">
        <v>2100</v>
      </c>
      <c r="K1032">
        <v>0</v>
      </c>
    </row>
    <row r="1033" spans="1:11" x14ac:dyDescent="0.2">
      <c r="A1033" t="s">
        <v>16</v>
      </c>
      <c r="B1033" t="s">
        <v>939</v>
      </c>
      <c r="C1033">
        <v>300</v>
      </c>
      <c r="D1033" t="s">
        <v>9700</v>
      </c>
      <c r="E1033" t="s">
        <v>50</v>
      </c>
      <c r="F1033">
        <v>4</v>
      </c>
      <c r="G1033">
        <v>0.26690201370572503</v>
      </c>
      <c r="H1033" t="s">
        <v>101</v>
      </c>
      <c r="I1033">
        <v>0</v>
      </c>
      <c r="J1033">
        <v>2100</v>
      </c>
      <c r="K1033">
        <v>0</v>
      </c>
    </row>
    <row r="1034" spans="1:11" x14ac:dyDescent="0.2">
      <c r="A1034" t="s">
        <v>16</v>
      </c>
      <c r="B1034" t="s">
        <v>939</v>
      </c>
      <c r="C1034">
        <v>300</v>
      </c>
      <c r="D1034" t="s">
        <v>9653</v>
      </c>
      <c r="E1034" t="s">
        <v>50</v>
      </c>
      <c r="F1034">
        <v>4</v>
      </c>
      <c r="G1034">
        <v>0.26690201370572503</v>
      </c>
      <c r="H1034" t="s">
        <v>105</v>
      </c>
      <c r="I1034">
        <v>0</v>
      </c>
      <c r="J1034">
        <v>2100</v>
      </c>
      <c r="K1034">
        <v>0</v>
      </c>
    </row>
    <row r="1035" spans="1:11" x14ac:dyDescent="0.2">
      <c r="A1035" t="s">
        <v>16</v>
      </c>
      <c r="B1035" t="s">
        <v>939</v>
      </c>
      <c r="C1035">
        <v>300</v>
      </c>
      <c r="D1035" t="s">
        <v>9654</v>
      </c>
      <c r="E1035" t="s">
        <v>50</v>
      </c>
      <c r="F1035">
        <v>4</v>
      </c>
      <c r="G1035">
        <v>0.26690201370572503</v>
      </c>
      <c r="H1035" t="s">
        <v>92</v>
      </c>
      <c r="I1035">
        <v>0</v>
      </c>
      <c r="J1035">
        <v>2100</v>
      </c>
      <c r="K1035">
        <v>0</v>
      </c>
    </row>
    <row r="1036" spans="1:11" x14ac:dyDescent="0.2">
      <c r="A1036" t="s">
        <v>16</v>
      </c>
      <c r="B1036" t="s">
        <v>939</v>
      </c>
      <c r="C1036">
        <v>300</v>
      </c>
      <c r="D1036" t="s">
        <v>9675</v>
      </c>
      <c r="E1036" t="s">
        <v>50</v>
      </c>
      <c r="F1036">
        <v>4</v>
      </c>
      <c r="G1036">
        <v>0.26690201370572503</v>
      </c>
      <c r="H1036" t="s">
        <v>103</v>
      </c>
      <c r="I1036">
        <v>0</v>
      </c>
      <c r="J1036">
        <v>2100</v>
      </c>
      <c r="K1036">
        <v>0</v>
      </c>
    </row>
    <row r="1037" spans="1:11" x14ac:dyDescent="0.2">
      <c r="A1037" t="s">
        <v>16</v>
      </c>
      <c r="B1037" t="s">
        <v>939</v>
      </c>
      <c r="C1037">
        <v>300</v>
      </c>
      <c r="D1037" t="s">
        <v>9677</v>
      </c>
      <c r="E1037" t="s">
        <v>50</v>
      </c>
      <c r="F1037">
        <v>4</v>
      </c>
      <c r="G1037">
        <v>0.26690201370572503</v>
      </c>
      <c r="H1037" t="s">
        <v>101</v>
      </c>
      <c r="I1037">
        <v>0</v>
      </c>
      <c r="J1037">
        <v>2100</v>
      </c>
      <c r="K1037">
        <v>0</v>
      </c>
    </row>
    <row r="1038" spans="1:11" x14ac:dyDescent="0.2">
      <c r="A1038" t="s">
        <v>16</v>
      </c>
      <c r="B1038" t="s">
        <v>939</v>
      </c>
      <c r="C1038">
        <v>300</v>
      </c>
      <c r="D1038" t="s">
        <v>9696</v>
      </c>
      <c r="E1038" t="s">
        <v>50</v>
      </c>
      <c r="F1038">
        <v>4</v>
      </c>
      <c r="G1038">
        <v>0.26690201370572503</v>
      </c>
      <c r="H1038" t="s">
        <v>105</v>
      </c>
      <c r="I1038">
        <v>0</v>
      </c>
      <c r="J1038">
        <v>2100</v>
      </c>
      <c r="K1038">
        <v>0</v>
      </c>
    </row>
    <row r="1039" spans="1:11" x14ac:dyDescent="0.2">
      <c r="A1039" t="s">
        <v>16</v>
      </c>
      <c r="B1039" t="s">
        <v>939</v>
      </c>
      <c r="C1039">
        <v>300</v>
      </c>
      <c r="D1039" t="s">
        <v>9658</v>
      </c>
      <c r="E1039" t="s">
        <v>50</v>
      </c>
      <c r="F1039">
        <v>4</v>
      </c>
      <c r="G1039">
        <v>0.26690201370572503</v>
      </c>
      <c r="H1039" t="s">
        <v>92</v>
      </c>
      <c r="I1039">
        <v>0</v>
      </c>
      <c r="J1039">
        <v>2100</v>
      </c>
      <c r="K1039">
        <v>0</v>
      </c>
    </row>
    <row r="1040" spans="1:11" x14ac:dyDescent="0.2">
      <c r="A1040" t="s">
        <v>16</v>
      </c>
      <c r="B1040" t="s">
        <v>939</v>
      </c>
      <c r="C1040">
        <v>300</v>
      </c>
      <c r="D1040" t="s">
        <v>9662</v>
      </c>
      <c r="E1040" t="s">
        <v>50</v>
      </c>
      <c r="F1040">
        <v>4</v>
      </c>
      <c r="G1040">
        <v>0.26690201370572503</v>
      </c>
      <c r="H1040" t="s">
        <v>103</v>
      </c>
      <c r="I1040">
        <v>0</v>
      </c>
      <c r="J1040">
        <v>2100</v>
      </c>
      <c r="K1040">
        <v>0</v>
      </c>
    </row>
    <row r="1041" spans="1:11" x14ac:dyDescent="0.2">
      <c r="A1041" t="s">
        <v>16</v>
      </c>
      <c r="B1041" t="s">
        <v>939</v>
      </c>
      <c r="C1041">
        <v>300</v>
      </c>
      <c r="D1041" t="s">
        <v>9694</v>
      </c>
      <c r="E1041" t="s">
        <v>50</v>
      </c>
      <c r="F1041">
        <v>4</v>
      </c>
      <c r="G1041">
        <v>0.26690201370572503</v>
      </c>
      <c r="H1041" t="s">
        <v>101</v>
      </c>
      <c r="I1041">
        <v>0</v>
      </c>
      <c r="J1041">
        <v>2100</v>
      </c>
      <c r="K1041">
        <v>0</v>
      </c>
    </row>
    <row r="1042" spans="1:11" x14ac:dyDescent="0.2">
      <c r="A1042" t="s">
        <v>16</v>
      </c>
      <c r="B1042" t="s">
        <v>939</v>
      </c>
      <c r="C1042">
        <v>300</v>
      </c>
      <c r="D1042" t="s">
        <v>9687</v>
      </c>
      <c r="E1042" t="s">
        <v>50</v>
      </c>
      <c r="F1042">
        <v>4</v>
      </c>
      <c r="G1042">
        <v>0.26690201370572503</v>
      </c>
      <c r="H1042" t="s">
        <v>105</v>
      </c>
      <c r="I1042">
        <v>0</v>
      </c>
      <c r="J1042">
        <v>2100</v>
      </c>
      <c r="K1042">
        <v>0</v>
      </c>
    </row>
    <row r="1043" spans="1:11" x14ac:dyDescent="0.2">
      <c r="A1043" t="s">
        <v>16</v>
      </c>
      <c r="B1043" t="s">
        <v>939</v>
      </c>
      <c r="C1043">
        <v>300</v>
      </c>
      <c r="D1043" t="s">
        <v>9684</v>
      </c>
      <c r="E1043" t="s">
        <v>50</v>
      </c>
      <c r="F1043">
        <v>4</v>
      </c>
      <c r="G1043">
        <v>0.26690201370572503</v>
      </c>
      <c r="H1043" t="s">
        <v>92</v>
      </c>
      <c r="I1043">
        <v>0</v>
      </c>
      <c r="J1043">
        <v>2100</v>
      </c>
      <c r="K1043">
        <v>0</v>
      </c>
    </row>
    <row r="1044" spans="1:11" x14ac:dyDescent="0.2">
      <c r="A1044" t="s">
        <v>16</v>
      </c>
      <c r="B1044" t="s">
        <v>939</v>
      </c>
      <c r="C1044">
        <v>300</v>
      </c>
      <c r="D1044" t="s">
        <v>9699</v>
      </c>
      <c r="E1044" t="s">
        <v>50</v>
      </c>
      <c r="F1044">
        <v>4</v>
      </c>
      <c r="G1044">
        <v>0.26690201370572503</v>
      </c>
      <c r="H1044" t="s">
        <v>103</v>
      </c>
      <c r="I1044">
        <v>0</v>
      </c>
      <c r="J1044">
        <v>2100</v>
      </c>
      <c r="K1044">
        <v>0</v>
      </c>
    </row>
    <row r="1045" spans="1:11" x14ac:dyDescent="0.2">
      <c r="A1045" t="s">
        <v>16</v>
      </c>
      <c r="B1045" t="s">
        <v>939</v>
      </c>
      <c r="C1045">
        <v>300</v>
      </c>
      <c r="D1045" t="s">
        <v>9661</v>
      </c>
      <c r="E1045" t="s">
        <v>50</v>
      </c>
      <c r="F1045">
        <v>4</v>
      </c>
      <c r="G1045">
        <v>0.26690201370572503</v>
      </c>
      <c r="H1045" t="s">
        <v>101</v>
      </c>
      <c r="I1045">
        <v>0</v>
      </c>
      <c r="J1045">
        <v>2100</v>
      </c>
      <c r="K1045">
        <v>0</v>
      </c>
    </row>
    <row r="1046" spans="1:11" x14ac:dyDescent="0.2">
      <c r="A1046" t="s">
        <v>16</v>
      </c>
      <c r="B1046" t="s">
        <v>939</v>
      </c>
      <c r="C1046">
        <v>300</v>
      </c>
      <c r="D1046" t="s">
        <v>9660</v>
      </c>
      <c r="E1046" t="s">
        <v>50</v>
      </c>
      <c r="F1046">
        <v>4</v>
      </c>
      <c r="G1046">
        <v>0.26690201370572503</v>
      </c>
      <c r="H1046" t="s">
        <v>105</v>
      </c>
      <c r="I1046">
        <v>0</v>
      </c>
      <c r="J1046">
        <v>2100</v>
      </c>
      <c r="K1046">
        <v>0</v>
      </c>
    </row>
    <row r="1047" spans="1:11" x14ac:dyDescent="0.2">
      <c r="A1047" t="s">
        <v>16</v>
      </c>
      <c r="B1047" t="s">
        <v>939</v>
      </c>
      <c r="C1047">
        <v>300</v>
      </c>
      <c r="D1047" t="s">
        <v>9688</v>
      </c>
      <c r="E1047" t="s">
        <v>50</v>
      </c>
      <c r="F1047">
        <v>4</v>
      </c>
      <c r="G1047">
        <v>0.26690201370572503</v>
      </c>
      <c r="H1047" t="s">
        <v>92</v>
      </c>
      <c r="I1047">
        <v>0</v>
      </c>
      <c r="J1047">
        <v>2100</v>
      </c>
      <c r="K1047">
        <v>0</v>
      </c>
    </row>
    <row r="1048" spans="1:11" x14ac:dyDescent="0.2">
      <c r="A1048" t="s">
        <v>16</v>
      </c>
      <c r="B1048" t="s">
        <v>939</v>
      </c>
      <c r="C1048">
        <v>300</v>
      </c>
      <c r="D1048" t="s">
        <v>9673</v>
      </c>
      <c r="E1048" t="s">
        <v>50</v>
      </c>
      <c r="F1048">
        <v>4</v>
      </c>
      <c r="G1048">
        <v>0.26690201370572503</v>
      </c>
      <c r="H1048" t="s">
        <v>103</v>
      </c>
      <c r="I1048">
        <v>0</v>
      </c>
      <c r="J1048">
        <v>2100</v>
      </c>
      <c r="K1048">
        <v>0</v>
      </c>
    </row>
    <row r="1049" spans="1:11" x14ac:dyDescent="0.2">
      <c r="A1049" t="s">
        <v>16</v>
      </c>
      <c r="B1049" t="s">
        <v>939</v>
      </c>
      <c r="C1049">
        <v>300</v>
      </c>
      <c r="D1049" t="s">
        <v>9698</v>
      </c>
      <c r="E1049" t="s">
        <v>50</v>
      </c>
      <c r="F1049">
        <v>4</v>
      </c>
      <c r="G1049">
        <v>0.26690201370572503</v>
      </c>
      <c r="H1049" t="s">
        <v>101</v>
      </c>
      <c r="I1049">
        <v>0</v>
      </c>
      <c r="J1049">
        <v>2100</v>
      </c>
      <c r="K1049">
        <v>0</v>
      </c>
    </row>
    <row r="1050" spans="1:11" x14ac:dyDescent="0.2">
      <c r="A1050" t="s">
        <v>16</v>
      </c>
      <c r="B1050" t="s">
        <v>939</v>
      </c>
      <c r="C1050">
        <v>300</v>
      </c>
      <c r="D1050" t="s">
        <v>9669</v>
      </c>
      <c r="E1050" t="s">
        <v>50</v>
      </c>
      <c r="F1050">
        <v>4</v>
      </c>
      <c r="G1050">
        <v>0.26690201370572503</v>
      </c>
      <c r="H1050" t="s">
        <v>105</v>
      </c>
      <c r="I1050">
        <v>0</v>
      </c>
      <c r="J1050">
        <v>2100</v>
      </c>
      <c r="K1050">
        <v>0</v>
      </c>
    </row>
    <row r="1051" spans="1:11" x14ac:dyDescent="0.2">
      <c r="A1051" t="s">
        <v>16</v>
      </c>
      <c r="B1051" t="s">
        <v>939</v>
      </c>
      <c r="C1051">
        <v>300</v>
      </c>
      <c r="D1051" t="s">
        <v>9676</v>
      </c>
      <c r="E1051" t="s">
        <v>50</v>
      </c>
      <c r="F1051">
        <v>4</v>
      </c>
      <c r="G1051">
        <v>0.26690201370572503</v>
      </c>
      <c r="H1051" t="s">
        <v>92</v>
      </c>
      <c r="I1051">
        <v>0</v>
      </c>
      <c r="J1051">
        <v>2100</v>
      </c>
      <c r="K1051">
        <v>0</v>
      </c>
    </row>
    <row r="1052" spans="1:11" x14ac:dyDescent="0.2">
      <c r="A1052" t="s">
        <v>16</v>
      </c>
      <c r="B1052" t="s">
        <v>939</v>
      </c>
      <c r="C1052">
        <v>300</v>
      </c>
      <c r="D1052" t="s">
        <v>9674</v>
      </c>
      <c r="E1052" t="s">
        <v>50</v>
      </c>
      <c r="F1052">
        <v>4</v>
      </c>
      <c r="G1052">
        <v>0.26690201370572503</v>
      </c>
      <c r="H1052" t="s">
        <v>103</v>
      </c>
      <c r="I1052">
        <v>0</v>
      </c>
      <c r="J1052">
        <v>2100</v>
      </c>
      <c r="K1052">
        <v>0</v>
      </c>
    </row>
    <row r="1053" spans="1:11" x14ac:dyDescent="0.2">
      <c r="A1053" t="s">
        <v>16</v>
      </c>
      <c r="B1053" t="s">
        <v>939</v>
      </c>
      <c r="C1053">
        <v>300</v>
      </c>
      <c r="D1053" t="s">
        <v>9678</v>
      </c>
      <c r="E1053" t="s">
        <v>50</v>
      </c>
      <c r="F1053">
        <v>4</v>
      </c>
      <c r="G1053">
        <v>0.26690201370572503</v>
      </c>
      <c r="H1053" t="s">
        <v>101</v>
      </c>
      <c r="I1053">
        <v>0</v>
      </c>
      <c r="J1053">
        <v>2100</v>
      </c>
      <c r="K1053">
        <v>0</v>
      </c>
    </row>
    <row r="1054" spans="1:11" x14ac:dyDescent="0.2">
      <c r="A1054" t="s">
        <v>16</v>
      </c>
      <c r="B1054" t="s">
        <v>939</v>
      </c>
      <c r="C1054">
        <v>300</v>
      </c>
      <c r="D1054" t="s">
        <v>9686</v>
      </c>
      <c r="E1054" t="s">
        <v>50</v>
      </c>
      <c r="F1054">
        <v>4</v>
      </c>
      <c r="G1054">
        <v>0.26690201370572503</v>
      </c>
      <c r="H1054" t="s">
        <v>105</v>
      </c>
      <c r="I1054">
        <v>0</v>
      </c>
      <c r="J1054">
        <v>2100</v>
      </c>
      <c r="K1054">
        <v>0</v>
      </c>
    </row>
    <row r="1055" spans="1:11" x14ac:dyDescent="0.2">
      <c r="A1055" t="s">
        <v>16</v>
      </c>
      <c r="B1055" t="s">
        <v>939</v>
      </c>
      <c r="C1055">
        <v>300</v>
      </c>
      <c r="D1055" t="s">
        <v>9683</v>
      </c>
      <c r="E1055" t="s">
        <v>50</v>
      </c>
      <c r="F1055">
        <v>4</v>
      </c>
      <c r="G1055">
        <v>0.26690201370572503</v>
      </c>
      <c r="H1055" t="s">
        <v>92</v>
      </c>
      <c r="I1055">
        <v>0</v>
      </c>
      <c r="J1055">
        <v>2100</v>
      </c>
      <c r="K1055">
        <v>0</v>
      </c>
    </row>
    <row r="1056" spans="1:11" x14ac:dyDescent="0.2">
      <c r="A1056" t="s">
        <v>16</v>
      </c>
      <c r="B1056" t="s">
        <v>939</v>
      </c>
      <c r="C1056">
        <v>300</v>
      </c>
      <c r="D1056" t="s">
        <v>9681</v>
      </c>
      <c r="E1056" t="s">
        <v>50</v>
      </c>
      <c r="F1056">
        <v>4</v>
      </c>
      <c r="G1056">
        <v>0.26690201370572503</v>
      </c>
      <c r="H1056" t="s">
        <v>103</v>
      </c>
      <c r="I1056">
        <v>0</v>
      </c>
      <c r="J1056">
        <v>2100</v>
      </c>
      <c r="K1056">
        <v>0</v>
      </c>
    </row>
    <row r="1057" spans="1:11" x14ac:dyDescent="0.2">
      <c r="A1057" t="s">
        <v>16</v>
      </c>
      <c r="B1057" t="s">
        <v>939</v>
      </c>
      <c r="C1057">
        <v>300</v>
      </c>
      <c r="D1057" t="s">
        <v>9682</v>
      </c>
      <c r="E1057" t="s">
        <v>50</v>
      </c>
      <c r="F1057">
        <v>4</v>
      </c>
      <c r="G1057">
        <v>0.26690201370572503</v>
      </c>
      <c r="H1057" t="s">
        <v>101</v>
      </c>
      <c r="I1057">
        <v>0</v>
      </c>
      <c r="J1057">
        <v>2100</v>
      </c>
      <c r="K1057">
        <v>0</v>
      </c>
    </row>
    <row r="1058" spans="1:11" x14ac:dyDescent="0.2">
      <c r="A1058" t="s">
        <v>16</v>
      </c>
      <c r="B1058" t="s">
        <v>939</v>
      </c>
      <c r="C1058">
        <v>300</v>
      </c>
      <c r="D1058" t="s">
        <v>9663</v>
      </c>
      <c r="E1058" t="s">
        <v>50</v>
      </c>
      <c r="F1058">
        <v>4</v>
      </c>
      <c r="G1058">
        <v>0.26690201370572503</v>
      </c>
      <c r="H1058" t="s">
        <v>105</v>
      </c>
      <c r="I1058">
        <v>0</v>
      </c>
      <c r="J1058">
        <v>2100</v>
      </c>
      <c r="K1058">
        <v>0</v>
      </c>
    </row>
    <row r="1059" spans="1:11" x14ac:dyDescent="0.2">
      <c r="A1059" t="s">
        <v>16</v>
      </c>
      <c r="B1059" t="s">
        <v>939</v>
      </c>
      <c r="C1059">
        <v>300</v>
      </c>
      <c r="D1059" t="s">
        <v>9666</v>
      </c>
      <c r="E1059" t="s">
        <v>50</v>
      </c>
      <c r="F1059">
        <v>4</v>
      </c>
      <c r="G1059">
        <v>0.26690201370572503</v>
      </c>
      <c r="H1059" t="s">
        <v>92</v>
      </c>
      <c r="I1059">
        <v>0</v>
      </c>
      <c r="J1059">
        <v>2100</v>
      </c>
      <c r="K1059">
        <v>0</v>
      </c>
    </row>
    <row r="1060" spans="1:11" x14ac:dyDescent="0.2">
      <c r="A1060" t="s">
        <v>16</v>
      </c>
      <c r="B1060" t="s">
        <v>939</v>
      </c>
      <c r="C1060">
        <v>300</v>
      </c>
      <c r="D1060" t="s">
        <v>9695</v>
      </c>
      <c r="E1060" t="s">
        <v>50</v>
      </c>
      <c r="F1060">
        <v>4</v>
      </c>
      <c r="G1060">
        <v>0.26690201370572503</v>
      </c>
      <c r="H1060" t="s">
        <v>103</v>
      </c>
      <c r="I1060">
        <v>0</v>
      </c>
      <c r="J1060">
        <v>2100</v>
      </c>
      <c r="K1060">
        <v>0</v>
      </c>
    </row>
    <row r="1061" spans="1:11" x14ac:dyDescent="0.2">
      <c r="A1061" t="s">
        <v>16</v>
      </c>
      <c r="B1061" t="s">
        <v>939</v>
      </c>
      <c r="C1061">
        <v>300</v>
      </c>
      <c r="D1061" t="s">
        <v>9664</v>
      </c>
      <c r="E1061" t="s">
        <v>50</v>
      </c>
      <c r="F1061">
        <v>4</v>
      </c>
      <c r="G1061">
        <v>0.26690201370572503</v>
      </c>
      <c r="H1061" t="s">
        <v>101</v>
      </c>
      <c r="I1061">
        <v>0</v>
      </c>
      <c r="J1061">
        <v>2100</v>
      </c>
      <c r="K1061">
        <v>0</v>
      </c>
    </row>
    <row r="1062" spans="1:11" x14ac:dyDescent="0.2">
      <c r="A1062" t="s">
        <v>16</v>
      </c>
      <c r="B1062" t="s">
        <v>939</v>
      </c>
      <c r="C1062">
        <v>300</v>
      </c>
      <c r="D1062" t="s">
        <v>9701</v>
      </c>
      <c r="E1062" t="s">
        <v>50</v>
      </c>
      <c r="F1062">
        <v>4</v>
      </c>
      <c r="G1062">
        <v>0.26690201370572503</v>
      </c>
      <c r="H1062" t="s">
        <v>105</v>
      </c>
      <c r="I1062">
        <v>0</v>
      </c>
      <c r="J1062">
        <v>2100</v>
      </c>
      <c r="K1062">
        <v>0</v>
      </c>
    </row>
    <row r="1063" spans="1:11" x14ac:dyDescent="0.2">
      <c r="A1063" t="s">
        <v>16</v>
      </c>
      <c r="B1063" t="s">
        <v>939</v>
      </c>
      <c r="C1063">
        <v>300</v>
      </c>
      <c r="D1063" t="s">
        <v>9672</v>
      </c>
      <c r="E1063" t="s">
        <v>50</v>
      </c>
      <c r="F1063">
        <v>4</v>
      </c>
      <c r="G1063">
        <v>0.26690201370572503</v>
      </c>
      <c r="H1063" t="s">
        <v>92</v>
      </c>
      <c r="I1063">
        <v>0</v>
      </c>
      <c r="J1063">
        <v>2100</v>
      </c>
      <c r="K1063">
        <v>0</v>
      </c>
    </row>
    <row r="1064" spans="1:11" x14ac:dyDescent="0.2">
      <c r="A1064" t="s">
        <v>16</v>
      </c>
      <c r="B1064" t="s">
        <v>939</v>
      </c>
      <c r="C1064">
        <v>300</v>
      </c>
      <c r="D1064" t="s">
        <v>9659</v>
      </c>
      <c r="E1064" t="s">
        <v>50</v>
      </c>
      <c r="F1064">
        <v>4</v>
      </c>
      <c r="G1064">
        <v>0.26690201370572503</v>
      </c>
      <c r="H1064" t="s">
        <v>103</v>
      </c>
      <c r="I1064">
        <v>0</v>
      </c>
      <c r="J1064">
        <v>2100</v>
      </c>
      <c r="K1064">
        <v>0</v>
      </c>
    </row>
    <row r="1065" spans="1:11" x14ac:dyDescent="0.2">
      <c r="A1065" t="s">
        <v>16</v>
      </c>
      <c r="B1065" t="s">
        <v>939</v>
      </c>
      <c r="C1065">
        <v>300</v>
      </c>
      <c r="D1065" t="s">
        <v>9671</v>
      </c>
      <c r="E1065" t="s">
        <v>50</v>
      </c>
      <c r="F1065">
        <v>4</v>
      </c>
      <c r="G1065">
        <v>0.26690201370572503</v>
      </c>
      <c r="H1065" t="s">
        <v>101</v>
      </c>
      <c r="I1065">
        <v>0</v>
      </c>
      <c r="J1065">
        <v>2100</v>
      </c>
      <c r="K1065">
        <v>0</v>
      </c>
    </row>
    <row r="1066" spans="1:11" x14ac:dyDescent="0.2">
      <c r="A1066" t="s">
        <v>16</v>
      </c>
      <c r="B1066" t="s">
        <v>939</v>
      </c>
      <c r="C1066">
        <v>300</v>
      </c>
      <c r="D1066" t="s">
        <v>9668</v>
      </c>
      <c r="E1066" t="s">
        <v>50</v>
      </c>
      <c r="F1066">
        <v>4</v>
      </c>
      <c r="G1066">
        <v>0.26690201370572503</v>
      </c>
      <c r="H1066" t="s">
        <v>105</v>
      </c>
      <c r="I1066">
        <v>0</v>
      </c>
      <c r="J1066">
        <v>2100</v>
      </c>
      <c r="K1066">
        <v>0</v>
      </c>
    </row>
    <row r="1067" spans="1:11" x14ac:dyDescent="0.2">
      <c r="A1067" t="s">
        <v>16</v>
      </c>
      <c r="B1067" t="s">
        <v>939</v>
      </c>
      <c r="C1067">
        <v>300</v>
      </c>
      <c r="D1067" t="s">
        <v>9665</v>
      </c>
      <c r="E1067" t="s">
        <v>50</v>
      </c>
      <c r="F1067">
        <v>4</v>
      </c>
      <c r="G1067">
        <v>0.26690201370572503</v>
      </c>
      <c r="H1067" t="s">
        <v>92</v>
      </c>
      <c r="I1067">
        <v>0</v>
      </c>
      <c r="J1067">
        <v>2100</v>
      </c>
      <c r="K1067">
        <v>0</v>
      </c>
    </row>
    <row r="1068" spans="1:11" x14ac:dyDescent="0.2">
      <c r="A1068" t="s">
        <v>16</v>
      </c>
      <c r="B1068" t="s">
        <v>939</v>
      </c>
      <c r="C1068">
        <v>300</v>
      </c>
      <c r="D1068" t="s">
        <v>9697</v>
      </c>
      <c r="E1068" t="s">
        <v>50</v>
      </c>
      <c r="F1068">
        <v>4</v>
      </c>
      <c r="G1068">
        <v>0.26690201370572503</v>
      </c>
      <c r="H1068" t="s">
        <v>103</v>
      </c>
      <c r="I1068">
        <v>0</v>
      </c>
      <c r="J1068">
        <v>2100</v>
      </c>
      <c r="K1068">
        <v>0</v>
      </c>
    </row>
    <row r="1069" spans="1:11" x14ac:dyDescent="0.2">
      <c r="A1069" t="s">
        <v>16</v>
      </c>
      <c r="B1069" t="s">
        <v>965</v>
      </c>
      <c r="C1069">
        <v>300</v>
      </c>
      <c r="D1069" t="s">
        <v>9710</v>
      </c>
      <c r="E1069" t="s">
        <v>50</v>
      </c>
      <c r="F1069">
        <v>6</v>
      </c>
      <c r="G1069">
        <v>0.14452099106643548</v>
      </c>
      <c r="H1069" t="s">
        <v>98</v>
      </c>
      <c r="I1069">
        <v>0</v>
      </c>
      <c r="J1069">
        <v>2100</v>
      </c>
      <c r="K1069">
        <v>0</v>
      </c>
    </row>
    <row r="1070" spans="1:11" x14ac:dyDescent="0.2">
      <c r="A1070" t="s">
        <v>16</v>
      </c>
      <c r="B1070" t="s">
        <v>965</v>
      </c>
      <c r="C1070">
        <v>300</v>
      </c>
      <c r="D1070" t="s">
        <v>9704</v>
      </c>
      <c r="E1070" t="s">
        <v>50</v>
      </c>
      <c r="F1070">
        <v>6</v>
      </c>
      <c r="G1070">
        <v>0.14452099106643548</v>
      </c>
      <c r="H1070" t="s">
        <v>84</v>
      </c>
      <c r="I1070">
        <v>0</v>
      </c>
      <c r="J1070">
        <v>2100</v>
      </c>
      <c r="K1070">
        <v>0</v>
      </c>
    </row>
    <row r="1071" spans="1:11" x14ac:dyDescent="0.2">
      <c r="A1071" t="s">
        <v>16</v>
      </c>
      <c r="B1071" t="s">
        <v>965</v>
      </c>
      <c r="C1071">
        <v>300</v>
      </c>
      <c r="D1071" t="s">
        <v>9727</v>
      </c>
      <c r="E1071" t="s">
        <v>50</v>
      </c>
      <c r="F1071">
        <v>6</v>
      </c>
      <c r="G1071">
        <v>0.14452099106643548</v>
      </c>
      <c r="H1071" t="s">
        <v>93</v>
      </c>
      <c r="I1071">
        <v>0</v>
      </c>
      <c r="J1071">
        <v>2100</v>
      </c>
      <c r="K1071">
        <v>0</v>
      </c>
    </row>
    <row r="1072" spans="1:11" x14ac:dyDescent="0.2">
      <c r="A1072" t="s">
        <v>16</v>
      </c>
      <c r="B1072" t="s">
        <v>965</v>
      </c>
      <c r="C1072">
        <v>300</v>
      </c>
      <c r="D1072" t="s">
        <v>9729</v>
      </c>
      <c r="E1072" t="s">
        <v>50</v>
      </c>
      <c r="F1072">
        <v>6</v>
      </c>
      <c r="G1072">
        <v>0.14452099106643548</v>
      </c>
      <c r="H1072" t="s">
        <v>100</v>
      </c>
      <c r="I1072">
        <v>0</v>
      </c>
      <c r="J1072">
        <v>2100</v>
      </c>
      <c r="K1072">
        <v>0</v>
      </c>
    </row>
    <row r="1073" spans="1:11" x14ac:dyDescent="0.2">
      <c r="A1073" t="s">
        <v>16</v>
      </c>
      <c r="B1073" t="s">
        <v>965</v>
      </c>
      <c r="C1073">
        <v>300</v>
      </c>
      <c r="D1073" t="s">
        <v>9715</v>
      </c>
      <c r="E1073" t="s">
        <v>50</v>
      </c>
      <c r="F1073">
        <v>6</v>
      </c>
      <c r="G1073">
        <v>0.14452099106643548</v>
      </c>
      <c r="H1073" t="s">
        <v>87</v>
      </c>
      <c r="I1073">
        <v>0</v>
      </c>
      <c r="J1073">
        <v>2100</v>
      </c>
      <c r="K1073">
        <v>0</v>
      </c>
    </row>
    <row r="1074" spans="1:11" x14ac:dyDescent="0.2">
      <c r="A1074" t="s">
        <v>16</v>
      </c>
      <c r="B1074" t="s">
        <v>965</v>
      </c>
      <c r="C1074">
        <v>300</v>
      </c>
      <c r="D1074" t="s">
        <v>9744</v>
      </c>
      <c r="E1074" t="s">
        <v>50</v>
      </c>
      <c r="F1074">
        <v>6</v>
      </c>
      <c r="G1074">
        <v>0.14452099106643548</v>
      </c>
      <c r="H1074" t="s">
        <v>89</v>
      </c>
      <c r="I1074">
        <v>0</v>
      </c>
      <c r="J1074">
        <v>2100</v>
      </c>
      <c r="K1074">
        <v>0</v>
      </c>
    </row>
    <row r="1075" spans="1:11" x14ac:dyDescent="0.2">
      <c r="A1075" t="s">
        <v>16</v>
      </c>
      <c r="B1075" t="s">
        <v>965</v>
      </c>
      <c r="C1075">
        <v>300</v>
      </c>
      <c r="D1075" t="s">
        <v>9750</v>
      </c>
      <c r="E1075" t="s">
        <v>50</v>
      </c>
      <c r="F1075">
        <v>6</v>
      </c>
      <c r="G1075">
        <v>0.14452099106643548</v>
      </c>
      <c r="H1075" t="s">
        <v>98</v>
      </c>
      <c r="I1075">
        <v>0</v>
      </c>
      <c r="J1075">
        <v>2100</v>
      </c>
      <c r="K1075">
        <v>0</v>
      </c>
    </row>
    <row r="1076" spans="1:11" x14ac:dyDescent="0.2">
      <c r="A1076" t="s">
        <v>16</v>
      </c>
      <c r="B1076" t="s">
        <v>965</v>
      </c>
      <c r="C1076">
        <v>300</v>
      </c>
      <c r="D1076" t="s">
        <v>9719</v>
      </c>
      <c r="E1076" t="s">
        <v>50</v>
      </c>
      <c r="F1076">
        <v>6</v>
      </c>
      <c r="G1076">
        <v>0.14452099106643548</v>
      </c>
      <c r="H1076" t="s">
        <v>84</v>
      </c>
      <c r="I1076">
        <v>0</v>
      </c>
      <c r="J1076">
        <v>2100</v>
      </c>
      <c r="K1076">
        <v>0</v>
      </c>
    </row>
    <row r="1077" spans="1:11" x14ac:dyDescent="0.2">
      <c r="A1077" t="s">
        <v>16</v>
      </c>
      <c r="B1077" t="s">
        <v>965</v>
      </c>
      <c r="C1077">
        <v>300</v>
      </c>
      <c r="D1077" t="s">
        <v>9716</v>
      </c>
      <c r="E1077" t="s">
        <v>50</v>
      </c>
      <c r="F1077">
        <v>6</v>
      </c>
      <c r="G1077">
        <v>0.14452099106643548</v>
      </c>
      <c r="H1077" t="s">
        <v>93</v>
      </c>
      <c r="I1077">
        <v>0</v>
      </c>
      <c r="J1077">
        <v>2100</v>
      </c>
      <c r="K1077">
        <v>0</v>
      </c>
    </row>
    <row r="1078" spans="1:11" x14ac:dyDescent="0.2">
      <c r="A1078" t="s">
        <v>16</v>
      </c>
      <c r="B1078" t="s">
        <v>965</v>
      </c>
      <c r="C1078">
        <v>300</v>
      </c>
      <c r="D1078" t="s">
        <v>9708</v>
      </c>
      <c r="E1078" t="s">
        <v>50</v>
      </c>
      <c r="F1078">
        <v>6</v>
      </c>
      <c r="G1078">
        <v>0.14452099106643548</v>
      </c>
      <c r="H1078" t="s">
        <v>100</v>
      </c>
      <c r="I1078">
        <v>0</v>
      </c>
      <c r="J1078">
        <v>2100</v>
      </c>
      <c r="K1078">
        <v>0</v>
      </c>
    </row>
    <row r="1079" spans="1:11" x14ac:dyDescent="0.2">
      <c r="A1079" t="s">
        <v>16</v>
      </c>
      <c r="B1079" t="s">
        <v>965</v>
      </c>
      <c r="C1079">
        <v>300</v>
      </c>
      <c r="D1079" t="s">
        <v>9748</v>
      </c>
      <c r="E1079" t="s">
        <v>50</v>
      </c>
      <c r="F1079">
        <v>6</v>
      </c>
      <c r="G1079">
        <v>0.14452099106643548</v>
      </c>
      <c r="H1079" t="s">
        <v>87</v>
      </c>
      <c r="I1079">
        <v>0</v>
      </c>
      <c r="J1079">
        <v>2100</v>
      </c>
      <c r="K1079">
        <v>0</v>
      </c>
    </row>
    <row r="1080" spans="1:11" x14ac:dyDescent="0.2">
      <c r="A1080" t="s">
        <v>16</v>
      </c>
      <c r="B1080" t="s">
        <v>965</v>
      </c>
      <c r="C1080">
        <v>300</v>
      </c>
      <c r="D1080" t="s">
        <v>9731</v>
      </c>
      <c r="E1080" t="s">
        <v>50</v>
      </c>
      <c r="F1080">
        <v>6</v>
      </c>
      <c r="G1080">
        <v>0.14452099106643548</v>
      </c>
      <c r="H1080" t="s">
        <v>89</v>
      </c>
      <c r="I1080">
        <v>0</v>
      </c>
      <c r="J1080">
        <v>2100</v>
      </c>
      <c r="K1080">
        <v>0</v>
      </c>
    </row>
    <row r="1081" spans="1:11" x14ac:dyDescent="0.2">
      <c r="A1081" t="s">
        <v>16</v>
      </c>
      <c r="B1081" t="s">
        <v>965</v>
      </c>
      <c r="C1081">
        <v>300</v>
      </c>
      <c r="D1081" t="s">
        <v>9745</v>
      </c>
      <c r="E1081" t="s">
        <v>50</v>
      </c>
      <c r="F1081">
        <v>6</v>
      </c>
      <c r="G1081">
        <v>0.14452099106643548</v>
      </c>
      <c r="H1081" t="s">
        <v>98</v>
      </c>
      <c r="I1081">
        <v>0</v>
      </c>
      <c r="J1081">
        <v>2100</v>
      </c>
      <c r="K1081">
        <v>0</v>
      </c>
    </row>
    <row r="1082" spans="1:11" x14ac:dyDescent="0.2">
      <c r="A1082" t="s">
        <v>16</v>
      </c>
      <c r="B1082" t="s">
        <v>965</v>
      </c>
      <c r="C1082">
        <v>300</v>
      </c>
      <c r="D1082" t="s">
        <v>9746</v>
      </c>
      <c r="E1082" t="s">
        <v>50</v>
      </c>
      <c r="F1082">
        <v>6</v>
      </c>
      <c r="G1082">
        <v>0.14452099106643548</v>
      </c>
      <c r="H1082" t="s">
        <v>84</v>
      </c>
      <c r="I1082">
        <v>0</v>
      </c>
      <c r="J1082">
        <v>2100</v>
      </c>
      <c r="K1082">
        <v>0</v>
      </c>
    </row>
    <row r="1083" spans="1:11" x14ac:dyDescent="0.2">
      <c r="A1083" t="s">
        <v>16</v>
      </c>
      <c r="B1083" t="s">
        <v>965</v>
      </c>
      <c r="C1083">
        <v>300</v>
      </c>
      <c r="D1083" t="s">
        <v>9736</v>
      </c>
      <c r="E1083" t="s">
        <v>50</v>
      </c>
      <c r="F1083">
        <v>6</v>
      </c>
      <c r="G1083">
        <v>0.14452099106643548</v>
      </c>
      <c r="H1083" t="s">
        <v>93</v>
      </c>
      <c r="I1083">
        <v>0</v>
      </c>
      <c r="J1083">
        <v>2100</v>
      </c>
      <c r="K1083">
        <v>0</v>
      </c>
    </row>
    <row r="1084" spans="1:11" x14ac:dyDescent="0.2">
      <c r="A1084" t="s">
        <v>16</v>
      </c>
      <c r="B1084" t="s">
        <v>965</v>
      </c>
      <c r="C1084">
        <v>300</v>
      </c>
      <c r="D1084" t="s">
        <v>9738</v>
      </c>
      <c r="E1084" t="s">
        <v>50</v>
      </c>
      <c r="F1084">
        <v>6</v>
      </c>
      <c r="G1084">
        <v>0.14452099106643548</v>
      </c>
      <c r="H1084" t="s">
        <v>100</v>
      </c>
      <c r="I1084">
        <v>0</v>
      </c>
      <c r="J1084">
        <v>2100</v>
      </c>
      <c r="K1084">
        <v>0</v>
      </c>
    </row>
    <row r="1085" spans="1:11" x14ac:dyDescent="0.2">
      <c r="A1085" t="s">
        <v>16</v>
      </c>
      <c r="B1085" t="s">
        <v>965</v>
      </c>
      <c r="C1085">
        <v>300</v>
      </c>
      <c r="D1085" t="s">
        <v>9747</v>
      </c>
      <c r="E1085" t="s">
        <v>50</v>
      </c>
      <c r="F1085">
        <v>6</v>
      </c>
      <c r="G1085">
        <v>0.14452099106643548</v>
      </c>
      <c r="H1085" t="s">
        <v>87</v>
      </c>
      <c r="I1085">
        <v>0</v>
      </c>
      <c r="J1085">
        <v>2100</v>
      </c>
      <c r="K1085">
        <v>0</v>
      </c>
    </row>
    <row r="1086" spans="1:11" x14ac:dyDescent="0.2">
      <c r="A1086" t="s">
        <v>16</v>
      </c>
      <c r="B1086" t="s">
        <v>965</v>
      </c>
      <c r="C1086">
        <v>300</v>
      </c>
      <c r="D1086" t="s">
        <v>9741</v>
      </c>
      <c r="E1086" t="s">
        <v>50</v>
      </c>
      <c r="F1086">
        <v>6</v>
      </c>
      <c r="G1086">
        <v>0.14452099106643548</v>
      </c>
      <c r="H1086" t="s">
        <v>89</v>
      </c>
      <c r="I1086">
        <v>0</v>
      </c>
      <c r="J1086">
        <v>2100</v>
      </c>
      <c r="K1086">
        <v>0</v>
      </c>
    </row>
    <row r="1087" spans="1:11" x14ac:dyDescent="0.2">
      <c r="A1087" t="s">
        <v>16</v>
      </c>
      <c r="B1087" t="s">
        <v>965</v>
      </c>
      <c r="C1087">
        <v>300</v>
      </c>
      <c r="D1087" t="s">
        <v>9720</v>
      </c>
      <c r="E1087" t="s">
        <v>50</v>
      </c>
      <c r="F1087">
        <v>6</v>
      </c>
      <c r="G1087">
        <v>0.14452099106643548</v>
      </c>
      <c r="H1087" t="s">
        <v>98</v>
      </c>
      <c r="I1087">
        <v>0</v>
      </c>
      <c r="J1087">
        <v>2100</v>
      </c>
      <c r="K1087">
        <v>0</v>
      </c>
    </row>
    <row r="1088" spans="1:11" x14ac:dyDescent="0.2">
      <c r="A1088" t="s">
        <v>16</v>
      </c>
      <c r="B1088" t="s">
        <v>965</v>
      </c>
      <c r="C1088">
        <v>300</v>
      </c>
      <c r="D1088" t="s">
        <v>9714</v>
      </c>
      <c r="E1088" t="s">
        <v>50</v>
      </c>
      <c r="F1088">
        <v>6</v>
      </c>
      <c r="G1088">
        <v>0.14452099106643548</v>
      </c>
      <c r="H1088" t="s">
        <v>84</v>
      </c>
      <c r="I1088">
        <v>0</v>
      </c>
      <c r="J1088">
        <v>2100</v>
      </c>
      <c r="K1088">
        <v>0</v>
      </c>
    </row>
    <row r="1089" spans="1:11" x14ac:dyDescent="0.2">
      <c r="A1089" t="s">
        <v>16</v>
      </c>
      <c r="B1089" t="s">
        <v>965</v>
      </c>
      <c r="C1089">
        <v>300</v>
      </c>
      <c r="D1089" t="s">
        <v>9721</v>
      </c>
      <c r="E1089" t="s">
        <v>50</v>
      </c>
      <c r="F1089">
        <v>6</v>
      </c>
      <c r="G1089">
        <v>0.14452099106643548</v>
      </c>
      <c r="H1089" t="s">
        <v>93</v>
      </c>
      <c r="I1089">
        <v>0</v>
      </c>
      <c r="J1089">
        <v>2100</v>
      </c>
      <c r="K1089">
        <v>0</v>
      </c>
    </row>
    <row r="1090" spans="1:11" x14ac:dyDescent="0.2">
      <c r="A1090" t="s">
        <v>16</v>
      </c>
      <c r="B1090" t="s">
        <v>965</v>
      </c>
      <c r="C1090">
        <v>300</v>
      </c>
      <c r="D1090" t="s">
        <v>9730</v>
      </c>
      <c r="E1090" t="s">
        <v>50</v>
      </c>
      <c r="F1090">
        <v>6</v>
      </c>
      <c r="G1090">
        <v>0.14452099106643548</v>
      </c>
      <c r="H1090" t="s">
        <v>100</v>
      </c>
      <c r="I1090">
        <v>0</v>
      </c>
      <c r="J1090">
        <v>2100</v>
      </c>
      <c r="K1090">
        <v>0</v>
      </c>
    </row>
    <row r="1091" spans="1:11" x14ac:dyDescent="0.2">
      <c r="A1091" t="s">
        <v>16</v>
      </c>
      <c r="B1091" t="s">
        <v>965</v>
      </c>
      <c r="C1091">
        <v>300</v>
      </c>
      <c r="D1091" t="s">
        <v>9718</v>
      </c>
      <c r="E1091" t="s">
        <v>50</v>
      </c>
      <c r="F1091">
        <v>6</v>
      </c>
      <c r="G1091">
        <v>0.14452099106643548</v>
      </c>
      <c r="H1091" t="s">
        <v>87</v>
      </c>
      <c r="I1091">
        <v>0</v>
      </c>
      <c r="J1091">
        <v>2100</v>
      </c>
      <c r="K1091">
        <v>0</v>
      </c>
    </row>
    <row r="1092" spans="1:11" x14ac:dyDescent="0.2">
      <c r="A1092" t="s">
        <v>16</v>
      </c>
      <c r="B1092" t="s">
        <v>965</v>
      </c>
      <c r="C1092">
        <v>300</v>
      </c>
      <c r="D1092" t="s">
        <v>9717</v>
      </c>
      <c r="E1092" t="s">
        <v>50</v>
      </c>
      <c r="F1092">
        <v>6</v>
      </c>
      <c r="G1092">
        <v>0.14452099106643548</v>
      </c>
      <c r="H1092" t="s">
        <v>89</v>
      </c>
      <c r="I1092">
        <v>0</v>
      </c>
      <c r="J1092">
        <v>2100</v>
      </c>
      <c r="K1092">
        <v>0</v>
      </c>
    </row>
    <row r="1093" spans="1:11" x14ac:dyDescent="0.2">
      <c r="A1093" t="s">
        <v>16</v>
      </c>
      <c r="B1093" t="s">
        <v>965</v>
      </c>
      <c r="C1093">
        <v>300</v>
      </c>
      <c r="D1093" t="s">
        <v>9724</v>
      </c>
      <c r="E1093" t="s">
        <v>50</v>
      </c>
      <c r="F1093">
        <v>6</v>
      </c>
      <c r="G1093">
        <v>0.14452099106643548</v>
      </c>
      <c r="H1093" t="s">
        <v>98</v>
      </c>
      <c r="I1093">
        <v>0</v>
      </c>
      <c r="J1093">
        <v>2100</v>
      </c>
      <c r="K1093">
        <v>0</v>
      </c>
    </row>
    <row r="1094" spans="1:11" x14ac:dyDescent="0.2">
      <c r="A1094" t="s">
        <v>16</v>
      </c>
      <c r="B1094" t="s">
        <v>965</v>
      </c>
      <c r="C1094">
        <v>300</v>
      </c>
      <c r="D1094" t="s">
        <v>9712</v>
      </c>
      <c r="E1094" t="s">
        <v>50</v>
      </c>
      <c r="F1094">
        <v>6</v>
      </c>
      <c r="G1094">
        <v>0.14452099106643548</v>
      </c>
      <c r="H1094" t="s">
        <v>84</v>
      </c>
      <c r="I1094">
        <v>0</v>
      </c>
      <c r="J1094">
        <v>2100</v>
      </c>
      <c r="K1094">
        <v>0</v>
      </c>
    </row>
    <row r="1095" spans="1:11" x14ac:dyDescent="0.2">
      <c r="A1095" t="s">
        <v>16</v>
      </c>
      <c r="B1095" t="s">
        <v>965</v>
      </c>
      <c r="C1095">
        <v>300</v>
      </c>
      <c r="D1095" t="s">
        <v>9723</v>
      </c>
      <c r="E1095" t="s">
        <v>50</v>
      </c>
      <c r="F1095">
        <v>6</v>
      </c>
      <c r="G1095">
        <v>0.14452099106643548</v>
      </c>
      <c r="H1095" t="s">
        <v>93</v>
      </c>
      <c r="I1095">
        <v>0</v>
      </c>
      <c r="J1095">
        <v>2100</v>
      </c>
      <c r="K1095">
        <v>0</v>
      </c>
    </row>
    <row r="1096" spans="1:11" x14ac:dyDescent="0.2">
      <c r="A1096" t="s">
        <v>16</v>
      </c>
      <c r="B1096" t="s">
        <v>965</v>
      </c>
      <c r="C1096">
        <v>300</v>
      </c>
      <c r="D1096" t="s">
        <v>9703</v>
      </c>
      <c r="E1096" t="s">
        <v>50</v>
      </c>
      <c r="F1096">
        <v>6</v>
      </c>
      <c r="G1096">
        <v>0.14452099106643548</v>
      </c>
      <c r="H1096" t="s">
        <v>100</v>
      </c>
      <c r="I1096">
        <v>0</v>
      </c>
      <c r="J1096">
        <v>2100</v>
      </c>
      <c r="K1096">
        <v>0</v>
      </c>
    </row>
    <row r="1097" spans="1:11" x14ac:dyDescent="0.2">
      <c r="A1097" t="s">
        <v>16</v>
      </c>
      <c r="B1097" t="s">
        <v>965</v>
      </c>
      <c r="C1097">
        <v>300</v>
      </c>
      <c r="D1097" t="s">
        <v>9749</v>
      </c>
      <c r="E1097" t="s">
        <v>50</v>
      </c>
      <c r="F1097">
        <v>6</v>
      </c>
      <c r="G1097">
        <v>0.14452099106643548</v>
      </c>
      <c r="H1097" t="s">
        <v>87</v>
      </c>
      <c r="I1097">
        <v>0</v>
      </c>
      <c r="J1097">
        <v>2100</v>
      </c>
      <c r="K1097">
        <v>0</v>
      </c>
    </row>
    <row r="1098" spans="1:11" x14ac:dyDescent="0.2">
      <c r="A1098" t="s">
        <v>16</v>
      </c>
      <c r="B1098" t="s">
        <v>965</v>
      </c>
      <c r="C1098">
        <v>300</v>
      </c>
      <c r="D1098" t="s">
        <v>9728</v>
      </c>
      <c r="E1098" t="s">
        <v>50</v>
      </c>
      <c r="F1098">
        <v>6</v>
      </c>
      <c r="G1098">
        <v>0.14452099106643548</v>
      </c>
      <c r="H1098" t="s">
        <v>89</v>
      </c>
      <c r="I1098">
        <v>0</v>
      </c>
      <c r="J1098">
        <v>2100</v>
      </c>
      <c r="K1098">
        <v>0</v>
      </c>
    </row>
    <row r="1099" spans="1:11" x14ac:dyDescent="0.2">
      <c r="A1099" t="s">
        <v>16</v>
      </c>
      <c r="B1099" t="s">
        <v>965</v>
      </c>
      <c r="C1099">
        <v>300</v>
      </c>
      <c r="D1099" t="s">
        <v>9709</v>
      </c>
      <c r="E1099" t="s">
        <v>50</v>
      </c>
      <c r="F1099">
        <v>6</v>
      </c>
      <c r="G1099">
        <v>0.14452099106643548</v>
      </c>
      <c r="H1099" t="s">
        <v>98</v>
      </c>
      <c r="I1099">
        <v>0</v>
      </c>
      <c r="J1099">
        <v>2100</v>
      </c>
      <c r="K1099">
        <v>0</v>
      </c>
    </row>
    <row r="1100" spans="1:11" x14ac:dyDescent="0.2">
      <c r="A1100" t="s">
        <v>16</v>
      </c>
      <c r="B1100" t="s">
        <v>965</v>
      </c>
      <c r="C1100">
        <v>300</v>
      </c>
      <c r="D1100" t="s">
        <v>9740</v>
      </c>
      <c r="E1100" t="s">
        <v>50</v>
      </c>
      <c r="F1100">
        <v>6</v>
      </c>
      <c r="G1100">
        <v>0.14452099106643548</v>
      </c>
      <c r="H1100" t="s">
        <v>84</v>
      </c>
      <c r="I1100">
        <v>0</v>
      </c>
      <c r="J1100">
        <v>2100</v>
      </c>
      <c r="K1100">
        <v>0</v>
      </c>
    </row>
    <row r="1101" spans="1:11" x14ac:dyDescent="0.2">
      <c r="A1101" t="s">
        <v>16</v>
      </c>
      <c r="B1101" t="s">
        <v>965</v>
      </c>
      <c r="C1101">
        <v>300</v>
      </c>
      <c r="D1101" t="s">
        <v>9739</v>
      </c>
      <c r="E1101" t="s">
        <v>50</v>
      </c>
      <c r="F1101">
        <v>6</v>
      </c>
      <c r="G1101">
        <v>0.14452099106643548</v>
      </c>
      <c r="H1101" t="s">
        <v>93</v>
      </c>
      <c r="I1101">
        <v>0</v>
      </c>
      <c r="J1101">
        <v>2100</v>
      </c>
      <c r="K1101">
        <v>0</v>
      </c>
    </row>
    <row r="1102" spans="1:11" x14ac:dyDescent="0.2">
      <c r="A1102" t="s">
        <v>16</v>
      </c>
      <c r="B1102" t="s">
        <v>965</v>
      </c>
      <c r="C1102">
        <v>300</v>
      </c>
      <c r="D1102" t="s">
        <v>9705</v>
      </c>
      <c r="E1102" t="s">
        <v>50</v>
      </c>
      <c r="F1102">
        <v>6</v>
      </c>
      <c r="G1102">
        <v>0.14452099106643548</v>
      </c>
      <c r="H1102" t="s">
        <v>100</v>
      </c>
      <c r="I1102">
        <v>0</v>
      </c>
      <c r="J1102">
        <v>2100</v>
      </c>
      <c r="K1102">
        <v>0</v>
      </c>
    </row>
    <row r="1103" spans="1:11" x14ac:dyDescent="0.2">
      <c r="A1103" t="s">
        <v>16</v>
      </c>
      <c r="B1103" t="s">
        <v>965</v>
      </c>
      <c r="C1103">
        <v>300</v>
      </c>
      <c r="D1103" t="s">
        <v>9725</v>
      </c>
      <c r="E1103" t="s">
        <v>50</v>
      </c>
      <c r="F1103">
        <v>6</v>
      </c>
      <c r="G1103">
        <v>0.14452099106643548</v>
      </c>
      <c r="H1103" t="s">
        <v>87</v>
      </c>
      <c r="I1103">
        <v>0</v>
      </c>
      <c r="J1103">
        <v>2100</v>
      </c>
      <c r="K1103">
        <v>0</v>
      </c>
    </row>
    <row r="1104" spans="1:11" x14ac:dyDescent="0.2">
      <c r="A1104" t="s">
        <v>16</v>
      </c>
      <c r="B1104" t="s">
        <v>965</v>
      </c>
      <c r="C1104">
        <v>300</v>
      </c>
      <c r="D1104" t="s">
        <v>9743</v>
      </c>
      <c r="E1104" t="s">
        <v>50</v>
      </c>
      <c r="F1104">
        <v>6</v>
      </c>
      <c r="G1104">
        <v>0.14452099106643548</v>
      </c>
      <c r="H1104" t="s">
        <v>89</v>
      </c>
      <c r="I1104">
        <v>0</v>
      </c>
      <c r="J1104">
        <v>2100</v>
      </c>
      <c r="K1104">
        <v>0</v>
      </c>
    </row>
    <row r="1105" spans="1:11" x14ac:dyDescent="0.2">
      <c r="A1105" t="s">
        <v>16</v>
      </c>
      <c r="B1105" t="s">
        <v>965</v>
      </c>
      <c r="C1105">
        <v>300</v>
      </c>
      <c r="D1105" t="s">
        <v>9722</v>
      </c>
      <c r="E1105" t="s">
        <v>50</v>
      </c>
      <c r="F1105">
        <v>6</v>
      </c>
      <c r="G1105">
        <v>0.14452099106643548</v>
      </c>
      <c r="H1105" t="s">
        <v>98</v>
      </c>
      <c r="I1105">
        <v>0</v>
      </c>
      <c r="J1105">
        <v>2100</v>
      </c>
      <c r="K1105">
        <v>0</v>
      </c>
    </row>
    <row r="1106" spans="1:11" x14ac:dyDescent="0.2">
      <c r="A1106" t="s">
        <v>16</v>
      </c>
      <c r="B1106" t="s">
        <v>965</v>
      </c>
      <c r="C1106">
        <v>300</v>
      </c>
      <c r="D1106" t="s">
        <v>9702</v>
      </c>
      <c r="E1106" t="s">
        <v>50</v>
      </c>
      <c r="F1106">
        <v>6</v>
      </c>
      <c r="G1106">
        <v>0.14452099106643548</v>
      </c>
      <c r="H1106" t="s">
        <v>84</v>
      </c>
      <c r="I1106">
        <v>0</v>
      </c>
      <c r="J1106">
        <v>2100</v>
      </c>
      <c r="K1106">
        <v>0</v>
      </c>
    </row>
    <row r="1107" spans="1:11" x14ac:dyDescent="0.2">
      <c r="A1107" t="s">
        <v>16</v>
      </c>
      <c r="B1107" t="s">
        <v>965</v>
      </c>
      <c r="C1107">
        <v>300</v>
      </c>
      <c r="D1107" t="s">
        <v>9733</v>
      </c>
      <c r="E1107" t="s">
        <v>50</v>
      </c>
      <c r="F1107">
        <v>6</v>
      </c>
      <c r="G1107">
        <v>0.14452099106643548</v>
      </c>
      <c r="H1107" t="s">
        <v>93</v>
      </c>
      <c r="I1107">
        <v>0</v>
      </c>
      <c r="J1107">
        <v>2100</v>
      </c>
      <c r="K1107">
        <v>0</v>
      </c>
    </row>
    <row r="1108" spans="1:11" x14ac:dyDescent="0.2">
      <c r="A1108" t="s">
        <v>16</v>
      </c>
      <c r="B1108" t="s">
        <v>965</v>
      </c>
      <c r="C1108">
        <v>300</v>
      </c>
      <c r="D1108" t="s">
        <v>9732</v>
      </c>
      <c r="E1108" t="s">
        <v>50</v>
      </c>
      <c r="F1108">
        <v>6</v>
      </c>
      <c r="G1108">
        <v>0.14452099106643548</v>
      </c>
      <c r="H1108" t="s">
        <v>100</v>
      </c>
      <c r="I1108">
        <v>0</v>
      </c>
      <c r="J1108">
        <v>2100</v>
      </c>
      <c r="K1108">
        <v>0</v>
      </c>
    </row>
    <row r="1109" spans="1:11" x14ac:dyDescent="0.2">
      <c r="A1109" t="s">
        <v>16</v>
      </c>
      <c r="B1109" t="s">
        <v>965</v>
      </c>
      <c r="C1109">
        <v>300</v>
      </c>
      <c r="D1109" t="s">
        <v>9742</v>
      </c>
      <c r="E1109" t="s">
        <v>50</v>
      </c>
      <c r="F1109">
        <v>6</v>
      </c>
      <c r="G1109">
        <v>0.14452099106643548</v>
      </c>
      <c r="H1109" t="s">
        <v>87</v>
      </c>
      <c r="I1109">
        <v>0</v>
      </c>
      <c r="J1109">
        <v>2100</v>
      </c>
      <c r="K1109">
        <v>0</v>
      </c>
    </row>
    <row r="1110" spans="1:11" x14ac:dyDescent="0.2">
      <c r="A1110" t="s">
        <v>16</v>
      </c>
      <c r="B1110" t="s">
        <v>965</v>
      </c>
      <c r="C1110">
        <v>300</v>
      </c>
      <c r="D1110" t="s">
        <v>9711</v>
      </c>
      <c r="E1110" t="s">
        <v>50</v>
      </c>
      <c r="F1110">
        <v>6</v>
      </c>
      <c r="G1110">
        <v>0.14452099106643548</v>
      </c>
      <c r="H1110" t="s">
        <v>89</v>
      </c>
      <c r="I1110">
        <v>0</v>
      </c>
      <c r="J1110">
        <v>2100</v>
      </c>
      <c r="K1110">
        <v>0</v>
      </c>
    </row>
    <row r="1111" spans="1:11" x14ac:dyDescent="0.2">
      <c r="A1111" t="s">
        <v>16</v>
      </c>
      <c r="B1111" t="s">
        <v>965</v>
      </c>
      <c r="C1111">
        <v>300</v>
      </c>
      <c r="D1111" t="s">
        <v>9713</v>
      </c>
      <c r="E1111" t="s">
        <v>50</v>
      </c>
      <c r="F1111">
        <v>6</v>
      </c>
      <c r="G1111">
        <v>0.14452099106643548</v>
      </c>
      <c r="H1111" t="s">
        <v>98</v>
      </c>
      <c r="I1111">
        <v>0</v>
      </c>
      <c r="J1111">
        <v>2100</v>
      </c>
      <c r="K1111">
        <v>0</v>
      </c>
    </row>
    <row r="1112" spans="1:11" x14ac:dyDescent="0.2">
      <c r="A1112" t="s">
        <v>16</v>
      </c>
      <c r="B1112" t="s">
        <v>965</v>
      </c>
      <c r="C1112">
        <v>300</v>
      </c>
      <c r="D1112" t="s">
        <v>9707</v>
      </c>
      <c r="E1112" t="s">
        <v>50</v>
      </c>
      <c r="F1112">
        <v>6</v>
      </c>
      <c r="G1112">
        <v>0.14452099106643548</v>
      </c>
      <c r="H1112" t="s">
        <v>84</v>
      </c>
      <c r="I1112">
        <v>0</v>
      </c>
      <c r="J1112">
        <v>2100</v>
      </c>
      <c r="K1112">
        <v>0</v>
      </c>
    </row>
    <row r="1113" spans="1:11" x14ac:dyDescent="0.2">
      <c r="A1113" t="s">
        <v>16</v>
      </c>
      <c r="B1113" t="s">
        <v>965</v>
      </c>
      <c r="C1113">
        <v>300</v>
      </c>
      <c r="D1113" t="s">
        <v>9751</v>
      </c>
      <c r="E1113" t="s">
        <v>50</v>
      </c>
      <c r="F1113">
        <v>6</v>
      </c>
      <c r="G1113">
        <v>0.14452099106643548</v>
      </c>
      <c r="H1113" t="s">
        <v>93</v>
      </c>
      <c r="I1113">
        <v>0</v>
      </c>
      <c r="J1113">
        <v>2100</v>
      </c>
      <c r="K1113">
        <v>0</v>
      </c>
    </row>
    <row r="1114" spans="1:11" x14ac:dyDescent="0.2">
      <c r="A1114" t="s">
        <v>16</v>
      </c>
      <c r="B1114" t="s">
        <v>965</v>
      </c>
      <c r="C1114">
        <v>300</v>
      </c>
      <c r="D1114" t="s">
        <v>9735</v>
      </c>
      <c r="E1114" t="s">
        <v>50</v>
      </c>
      <c r="F1114">
        <v>6</v>
      </c>
      <c r="G1114">
        <v>0.14452099106643548</v>
      </c>
      <c r="H1114" t="s">
        <v>100</v>
      </c>
      <c r="I1114">
        <v>0</v>
      </c>
      <c r="J1114">
        <v>2100</v>
      </c>
      <c r="K1114">
        <v>0</v>
      </c>
    </row>
    <row r="1115" spans="1:11" x14ac:dyDescent="0.2">
      <c r="A1115" t="s">
        <v>16</v>
      </c>
      <c r="B1115" t="s">
        <v>965</v>
      </c>
      <c r="C1115">
        <v>300</v>
      </c>
      <c r="D1115" t="s">
        <v>9737</v>
      </c>
      <c r="E1115" t="s">
        <v>50</v>
      </c>
      <c r="F1115">
        <v>6</v>
      </c>
      <c r="G1115">
        <v>0.14452099106643548</v>
      </c>
      <c r="H1115" t="s">
        <v>87</v>
      </c>
      <c r="I1115">
        <v>0</v>
      </c>
      <c r="J1115">
        <v>2100</v>
      </c>
      <c r="K1115">
        <v>0</v>
      </c>
    </row>
    <row r="1116" spans="1:11" x14ac:dyDescent="0.2">
      <c r="A1116" t="s">
        <v>16</v>
      </c>
      <c r="B1116" t="s">
        <v>965</v>
      </c>
      <c r="C1116">
        <v>300</v>
      </c>
      <c r="D1116" t="s">
        <v>9734</v>
      </c>
      <c r="E1116" t="s">
        <v>50</v>
      </c>
      <c r="F1116">
        <v>6</v>
      </c>
      <c r="G1116">
        <v>0.14452099106643548</v>
      </c>
      <c r="H1116" t="s">
        <v>89</v>
      </c>
      <c r="I1116">
        <v>0</v>
      </c>
      <c r="J1116">
        <v>2100</v>
      </c>
      <c r="K1116">
        <v>0</v>
      </c>
    </row>
    <row r="1117" spans="1:11" x14ac:dyDescent="0.2">
      <c r="A1117" t="s">
        <v>16</v>
      </c>
      <c r="B1117" t="s">
        <v>965</v>
      </c>
      <c r="C1117">
        <v>300</v>
      </c>
      <c r="D1117" t="s">
        <v>9706</v>
      </c>
      <c r="E1117" t="s">
        <v>50</v>
      </c>
      <c r="F1117">
        <v>6</v>
      </c>
      <c r="G1117">
        <v>0.14452099106643548</v>
      </c>
      <c r="H1117" t="s">
        <v>98</v>
      </c>
      <c r="I1117">
        <v>0</v>
      </c>
      <c r="J1117">
        <v>2100</v>
      </c>
      <c r="K1117">
        <v>0</v>
      </c>
    </row>
    <row r="1118" spans="1:11" x14ac:dyDescent="0.2">
      <c r="A1118" t="s">
        <v>16</v>
      </c>
      <c r="B1118" t="s">
        <v>965</v>
      </c>
      <c r="C1118">
        <v>300</v>
      </c>
      <c r="D1118" t="s">
        <v>9726</v>
      </c>
      <c r="E1118" t="s">
        <v>50</v>
      </c>
      <c r="F1118">
        <v>6</v>
      </c>
      <c r="G1118">
        <v>0.14452099106643548</v>
      </c>
      <c r="H1118" t="s">
        <v>84</v>
      </c>
      <c r="I1118">
        <v>0</v>
      </c>
      <c r="J1118">
        <v>2100</v>
      </c>
      <c r="K1118">
        <v>0</v>
      </c>
    </row>
    <row r="1119" spans="1:11" x14ac:dyDescent="0.2">
      <c r="A1119" t="s">
        <v>16</v>
      </c>
      <c r="B1119" t="s">
        <v>775</v>
      </c>
      <c r="C1119">
        <v>100</v>
      </c>
      <c r="D1119" t="s">
        <v>10373</v>
      </c>
      <c r="E1119" t="s">
        <v>5654</v>
      </c>
      <c r="F1119">
        <v>1</v>
      </c>
      <c r="G1119">
        <v>0.18243865751621699</v>
      </c>
      <c r="H1119" t="s">
        <v>98</v>
      </c>
      <c r="I1119">
        <v>0</v>
      </c>
      <c r="J1119">
        <v>2100</v>
      </c>
      <c r="K1119">
        <v>0</v>
      </c>
    </row>
    <row r="1120" spans="1:11" x14ac:dyDescent="0.2">
      <c r="A1120" t="s">
        <v>16</v>
      </c>
      <c r="B1120" t="s">
        <v>4381</v>
      </c>
      <c r="C1120">
        <v>200</v>
      </c>
      <c r="D1120" t="s">
        <v>9854</v>
      </c>
      <c r="E1120" t="s">
        <v>50</v>
      </c>
      <c r="F1120">
        <v>6</v>
      </c>
      <c r="G1120">
        <v>0.28312863995707221</v>
      </c>
      <c r="H1120" t="s">
        <v>90</v>
      </c>
      <c r="I1120">
        <v>0</v>
      </c>
      <c r="J1120">
        <v>2000</v>
      </c>
      <c r="K1120">
        <v>0</v>
      </c>
    </row>
    <row r="1121" spans="1:11" x14ac:dyDescent="0.2">
      <c r="A1121" t="s">
        <v>16</v>
      </c>
      <c r="B1121" t="s">
        <v>4619</v>
      </c>
      <c r="C1121">
        <v>50</v>
      </c>
      <c r="D1121" t="s">
        <v>9888</v>
      </c>
      <c r="E1121" t="s">
        <v>50</v>
      </c>
      <c r="F1121">
        <v>1</v>
      </c>
      <c r="G1121">
        <v>0.2118825530916344</v>
      </c>
      <c r="H1121" t="s">
        <v>90</v>
      </c>
      <c r="I1121">
        <v>0</v>
      </c>
      <c r="J1121">
        <v>2000</v>
      </c>
      <c r="K1121">
        <v>0</v>
      </c>
    </row>
    <row r="1122" spans="1:11" x14ac:dyDescent="0.2">
      <c r="A1122" t="s">
        <v>16</v>
      </c>
      <c r="B1122" t="s">
        <v>5090</v>
      </c>
      <c r="C1122">
        <v>50</v>
      </c>
      <c r="D1122" t="s">
        <v>10165</v>
      </c>
      <c r="E1122" t="s">
        <v>50</v>
      </c>
      <c r="F1122">
        <v>2</v>
      </c>
      <c r="G1122">
        <v>0.18768103348395318</v>
      </c>
      <c r="H1122" t="s">
        <v>91</v>
      </c>
      <c r="I1122">
        <v>0</v>
      </c>
      <c r="J1122">
        <v>2000</v>
      </c>
      <c r="K1122">
        <v>0</v>
      </c>
    </row>
    <row r="1123" spans="1:11" x14ac:dyDescent="0.2">
      <c r="A1123" t="s">
        <v>16</v>
      </c>
      <c r="B1123" t="s">
        <v>5920</v>
      </c>
      <c r="C1123">
        <v>75</v>
      </c>
      <c r="D1123" t="s">
        <v>10177</v>
      </c>
      <c r="E1123" t="s">
        <v>50</v>
      </c>
      <c r="F1123">
        <v>2</v>
      </c>
      <c r="G1123">
        <v>0.16706066809644507</v>
      </c>
      <c r="H1123" t="s">
        <v>95</v>
      </c>
      <c r="I1123">
        <v>0</v>
      </c>
      <c r="J1123">
        <v>1950</v>
      </c>
      <c r="K1123">
        <v>0</v>
      </c>
    </row>
    <row r="1124" spans="1:11" x14ac:dyDescent="0.2">
      <c r="A1124" t="s">
        <v>16</v>
      </c>
      <c r="B1124" t="s">
        <v>688</v>
      </c>
      <c r="C1124">
        <v>100</v>
      </c>
      <c r="D1124" t="s">
        <v>9570</v>
      </c>
      <c r="E1124" t="s">
        <v>50</v>
      </c>
      <c r="F1124">
        <v>11</v>
      </c>
      <c r="G1124">
        <v>7.9915370124556004E-2</v>
      </c>
      <c r="H1124" t="s">
        <v>90</v>
      </c>
      <c r="I1124">
        <v>0</v>
      </c>
      <c r="J1124">
        <v>1900</v>
      </c>
      <c r="K1124">
        <v>0</v>
      </c>
    </row>
    <row r="1125" spans="1:11" x14ac:dyDescent="0.2">
      <c r="A1125" t="s">
        <v>16</v>
      </c>
      <c r="B1125" t="s">
        <v>6029</v>
      </c>
      <c r="C1125">
        <v>270</v>
      </c>
      <c r="D1125" t="s">
        <v>10249</v>
      </c>
      <c r="E1125" t="s">
        <v>50</v>
      </c>
      <c r="F1125">
        <v>6</v>
      </c>
      <c r="G1125">
        <v>0.41667604049493812</v>
      </c>
      <c r="H1125" t="s">
        <v>99</v>
      </c>
      <c r="I1125">
        <v>0</v>
      </c>
      <c r="J1125">
        <v>1890</v>
      </c>
      <c r="K1125">
        <v>0</v>
      </c>
    </row>
    <row r="1126" spans="1:11" x14ac:dyDescent="0.2">
      <c r="A1126" t="s">
        <v>16</v>
      </c>
      <c r="B1126" t="s">
        <v>6029</v>
      </c>
      <c r="C1126">
        <v>270</v>
      </c>
      <c r="D1126" t="s">
        <v>10248</v>
      </c>
      <c r="E1126" t="s">
        <v>50</v>
      </c>
      <c r="F1126">
        <v>6</v>
      </c>
      <c r="G1126">
        <v>0.41667604049493812</v>
      </c>
      <c r="H1126" t="s">
        <v>91</v>
      </c>
      <c r="I1126">
        <v>0</v>
      </c>
      <c r="J1126">
        <v>1890</v>
      </c>
      <c r="K1126">
        <v>0</v>
      </c>
    </row>
    <row r="1127" spans="1:11" x14ac:dyDescent="0.2">
      <c r="A1127" t="s">
        <v>16</v>
      </c>
      <c r="B1127" t="s">
        <v>6018</v>
      </c>
      <c r="C1127">
        <v>270</v>
      </c>
      <c r="D1127" t="s">
        <v>10252</v>
      </c>
      <c r="E1127" t="s">
        <v>50</v>
      </c>
      <c r="F1127">
        <v>8</v>
      </c>
      <c r="G1127">
        <v>0.38671829901866467</v>
      </c>
      <c r="H1127" t="s">
        <v>97</v>
      </c>
      <c r="I1127">
        <v>0</v>
      </c>
      <c r="J1127">
        <v>1890</v>
      </c>
      <c r="K1127">
        <v>0</v>
      </c>
    </row>
    <row r="1128" spans="1:11" x14ac:dyDescent="0.2">
      <c r="A1128" t="s">
        <v>16</v>
      </c>
      <c r="B1128" t="s">
        <v>6018</v>
      </c>
      <c r="C1128">
        <v>270</v>
      </c>
      <c r="D1128" t="s">
        <v>10250</v>
      </c>
      <c r="E1128" t="s">
        <v>50</v>
      </c>
      <c r="F1128">
        <v>8</v>
      </c>
      <c r="G1128">
        <v>0.38671829901866467</v>
      </c>
      <c r="H1128" t="s">
        <v>96</v>
      </c>
      <c r="I1128">
        <v>0</v>
      </c>
      <c r="J1128">
        <v>1890</v>
      </c>
      <c r="K1128">
        <v>0</v>
      </c>
    </row>
    <row r="1129" spans="1:11" x14ac:dyDescent="0.2">
      <c r="A1129" t="s">
        <v>16</v>
      </c>
      <c r="B1129" t="s">
        <v>287</v>
      </c>
      <c r="C1129">
        <v>150</v>
      </c>
      <c r="D1129" t="s">
        <v>9632</v>
      </c>
      <c r="E1129" t="s">
        <v>50</v>
      </c>
      <c r="F1129">
        <v>6</v>
      </c>
      <c r="G1129">
        <v>0.40926068782404335</v>
      </c>
      <c r="H1129" t="s">
        <v>104</v>
      </c>
      <c r="I1129">
        <v>0</v>
      </c>
      <c r="J1129">
        <v>1800</v>
      </c>
      <c r="K1129">
        <v>0</v>
      </c>
    </row>
    <row r="1130" spans="1:11" x14ac:dyDescent="0.2">
      <c r="A1130" t="s">
        <v>16</v>
      </c>
      <c r="B1130" t="s">
        <v>414</v>
      </c>
      <c r="C1130">
        <v>150</v>
      </c>
      <c r="D1130" t="s">
        <v>9635</v>
      </c>
      <c r="E1130" t="s">
        <v>50</v>
      </c>
      <c r="F1130">
        <v>8</v>
      </c>
      <c r="G1130">
        <v>0.40926068782404335</v>
      </c>
      <c r="H1130" t="s">
        <v>90</v>
      </c>
      <c r="I1130">
        <v>0</v>
      </c>
      <c r="J1130">
        <v>1800</v>
      </c>
      <c r="K1130">
        <v>0</v>
      </c>
    </row>
    <row r="1131" spans="1:11" x14ac:dyDescent="0.2">
      <c r="A1131" t="s">
        <v>16</v>
      </c>
      <c r="B1131" t="s">
        <v>218</v>
      </c>
      <c r="C1131">
        <v>150</v>
      </c>
      <c r="D1131" t="s">
        <v>9636</v>
      </c>
      <c r="E1131" t="s">
        <v>50</v>
      </c>
      <c r="F1131">
        <v>7</v>
      </c>
      <c r="G1131">
        <v>0.40926068782404335</v>
      </c>
      <c r="H1131" t="s">
        <v>99</v>
      </c>
      <c r="I1131">
        <v>0</v>
      </c>
      <c r="J1131">
        <v>1800</v>
      </c>
      <c r="K1131">
        <v>0</v>
      </c>
    </row>
    <row r="1132" spans="1:11" x14ac:dyDescent="0.2">
      <c r="A1132" t="s">
        <v>16</v>
      </c>
      <c r="B1132" t="s">
        <v>303</v>
      </c>
      <c r="C1132">
        <v>150</v>
      </c>
      <c r="D1132" t="s">
        <v>9638</v>
      </c>
      <c r="E1132" t="s">
        <v>50</v>
      </c>
      <c r="F1132">
        <v>2</v>
      </c>
      <c r="G1132">
        <v>0.40926068782404335</v>
      </c>
      <c r="H1132" t="s">
        <v>91</v>
      </c>
      <c r="I1132">
        <v>0</v>
      </c>
      <c r="J1132">
        <v>1800</v>
      </c>
      <c r="K1132">
        <v>0</v>
      </c>
    </row>
    <row r="1133" spans="1:11" x14ac:dyDescent="0.2">
      <c r="A1133" t="s">
        <v>16</v>
      </c>
      <c r="B1133" t="s">
        <v>1003</v>
      </c>
      <c r="C1133">
        <v>200</v>
      </c>
      <c r="D1133" t="s">
        <v>9768</v>
      </c>
      <c r="E1133" t="s">
        <v>50</v>
      </c>
      <c r="F1133">
        <v>2</v>
      </c>
      <c r="G1133">
        <v>0.33182534252024887</v>
      </c>
      <c r="H1133" t="s">
        <v>93</v>
      </c>
      <c r="I1133">
        <v>0</v>
      </c>
      <c r="J1133">
        <v>1800</v>
      </c>
      <c r="K1133">
        <v>0</v>
      </c>
    </row>
    <row r="1134" spans="1:11" x14ac:dyDescent="0.2">
      <c r="A1134" t="s">
        <v>16</v>
      </c>
      <c r="B1134" t="s">
        <v>713</v>
      </c>
      <c r="C1134">
        <v>100</v>
      </c>
      <c r="D1134" t="s">
        <v>9791</v>
      </c>
      <c r="E1134" t="s">
        <v>50</v>
      </c>
      <c r="F1134">
        <v>2</v>
      </c>
      <c r="G1134">
        <v>0.12605207229792881</v>
      </c>
      <c r="H1134" t="s">
        <v>84</v>
      </c>
      <c r="I1134">
        <v>0</v>
      </c>
      <c r="J1134">
        <v>1800</v>
      </c>
      <c r="K1134">
        <v>0</v>
      </c>
    </row>
    <row r="1135" spans="1:11" x14ac:dyDescent="0.2">
      <c r="A1135" t="s">
        <v>16</v>
      </c>
      <c r="B1135" t="s">
        <v>713</v>
      </c>
      <c r="C1135">
        <v>100</v>
      </c>
      <c r="D1135" t="s">
        <v>9790</v>
      </c>
      <c r="E1135" t="s">
        <v>50</v>
      </c>
      <c r="F1135">
        <v>2</v>
      </c>
      <c r="G1135">
        <v>0.12605207229792881</v>
      </c>
      <c r="H1135" t="s">
        <v>84</v>
      </c>
      <c r="I1135">
        <v>0</v>
      </c>
      <c r="J1135">
        <v>1800</v>
      </c>
      <c r="K1135">
        <v>0</v>
      </c>
    </row>
    <row r="1136" spans="1:11" x14ac:dyDescent="0.2">
      <c r="A1136" t="s">
        <v>16</v>
      </c>
      <c r="B1136" t="s">
        <v>713</v>
      </c>
      <c r="C1136">
        <v>100</v>
      </c>
      <c r="D1136" t="s">
        <v>9787</v>
      </c>
      <c r="E1136" t="s">
        <v>50</v>
      </c>
      <c r="F1136">
        <v>2</v>
      </c>
      <c r="G1136">
        <v>0.12605207229792881</v>
      </c>
      <c r="H1136" t="s">
        <v>98</v>
      </c>
      <c r="I1136">
        <v>0</v>
      </c>
      <c r="J1136">
        <v>1800</v>
      </c>
      <c r="K1136">
        <v>0</v>
      </c>
    </row>
    <row r="1137" spans="1:11" x14ac:dyDescent="0.2">
      <c r="A1137" t="s">
        <v>16</v>
      </c>
      <c r="B1137" t="s">
        <v>767</v>
      </c>
      <c r="C1137">
        <v>100</v>
      </c>
      <c r="D1137" t="s">
        <v>9792</v>
      </c>
      <c r="E1137" t="s">
        <v>50</v>
      </c>
      <c r="F1137">
        <v>1</v>
      </c>
      <c r="G1137">
        <v>0.12605207229792881</v>
      </c>
      <c r="H1137" t="s">
        <v>91</v>
      </c>
      <c r="I1137">
        <v>0</v>
      </c>
      <c r="J1137">
        <v>1800</v>
      </c>
      <c r="K1137">
        <v>0</v>
      </c>
    </row>
    <row r="1138" spans="1:11" x14ac:dyDescent="0.2">
      <c r="A1138" t="s">
        <v>16</v>
      </c>
      <c r="B1138" t="s">
        <v>767</v>
      </c>
      <c r="C1138">
        <v>100</v>
      </c>
      <c r="D1138" t="s">
        <v>9795</v>
      </c>
      <c r="E1138" t="s">
        <v>50</v>
      </c>
      <c r="F1138">
        <v>1</v>
      </c>
      <c r="G1138">
        <v>0.12605207229792881</v>
      </c>
      <c r="H1138" t="s">
        <v>91</v>
      </c>
      <c r="I1138">
        <v>0</v>
      </c>
      <c r="J1138">
        <v>1800</v>
      </c>
      <c r="K1138">
        <v>0</v>
      </c>
    </row>
    <row r="1139" spans="1:11" x14ac:dyDescent="0.2">
      <c r="A1139" t="s">
        <v>16</v>
      </c>
      <c r="B1139" t="s">
        <v>767</v>
      </c>
      <c r="C1139">
        <v>100</v>
      </c>
      <c r="D1139" t="s">
        <v>9796</v>
      </c>
      <c r="E1139" t="s">
        <v>50</v>
      </c>
      <c r="F1139">
        <v>1</v>
      </c>
      <c r="G1139">
        <v>0.12605207229792881</v>
      </c>
      <c r="H1139" t="s">
        <v>91</v>
      </c>
      <c r="I1139">
        <v>0</v>
      </c>
      <c r="J1139">
        <v>1800</v>
      </c>
      <c r="K1139">
        <v>0</v>
      </c>
    </row>
    <row r="1140" spans="1:11" x14ac:dyDescent="0.2">
      <c r="A1140" t="s">
        <v>16</v>
      </c>
      <c r="B1140" t="s">
        <v>522</v>
      </c>
      <c r="C1140">
        <v>300</v>
      </c>
      <c r="D1140" t="s">
        <v>10137</v>
      </c>
      <c r="E1140" t="s">
        <v>50</v>
      </c>
      <c r="F1140">
        <v>4</v>
      </c>
      <c r="G1140">
        <v>0.29637629699767237</v>
      </c>
      <c r="H1140" t="s">
        <v>97</v>
      </c>
      <c r="I1140">
        <v>0</v>
      </c>
      <c r="J1140">
        <v>1800</v>
      </c>
      <c r="K1140">
        <v>0</v>
      </c>
    </row>
    <row r="1141" spans="1:11" x14ac:dyDescent="0.2">
      <c r="A1141" t="s">
        <v>16</v>
      </c>
      <c r="B1141" t="s">
        <v>522</v>
      </c>
      <c r="C1141">
        <v>300</v>
      </c>
      <c r="D1141" t="s">
        <v>10134</v>
      </c>
      <c r="E1141" t="s">
        <v>50</v>
      </c>
      <c r="F1141">
        <v>4</v>
      </c>
      <c r="G1141">
        <v>0.29637629699767237</v>
      </c>
      <c r="H1141" t="s">
        <v>96</v>
      </c>
      <c r="I1141">
        <v>0</v>
      </c>
      <c r="J1141">
        <v>1800</v>
      </c>
      <c r="K1141">
        <v>0</v>
      </c>
    </row>
    <row r="1142" spans="1:11" x14ac:dyDescent="0.2">
      <c r="A1142" t="s">
        <v>16</v>
      </c>
      <c r="B1142" t="s">
        <v>522</v>
      </c>
      <c r="C1142">
        <v>300</v>
      </c>
      <c r="D1142" t="s">
        <v>10135</v>
      </c>
      <c r="E1142" t="s">
        <v>50</v>
      </c>
      <c r="F1142">
        <v>4</v>
      </c>
      <c r="G1142">
        <v>0.29637629699767237</v>
      </c>
      <c r="H1142" t="s">
        <v>104</v>
      </c>
      <c r="I1142">
        <v>0</v>
      </c>
      <c r="J1142">
        <v>1800</v>
      </c>
      <c r="K1142">
        <v>0</v>
      </c>
    </row>
    <row r="1143" spans="1:11" x14ac:dyDescent="0.2">
      <c r="A1143" t="s">
        <v>16</v>
      </c>
      <c r="B1143" t="s">
        <v>520</v>
      </c>
      <c r="C1143">
        <v>300</v>
      </c>
      <c r="D1143" t="s">
        <v>10138</v>
      </c>
      <c r="E1143" t="s">
        <v>50</v>
      </c>
      <c r="F1143">
        <v>4</v>
      </c>
      <c r="G1143">
        <v>0.28464559101302317</v>
      </c>
      <c r="H1143" t="s">
        <v>95</v>
      </c>
      <c r="I1143">
        <v>0</v>
      </c>
      <c r="J1143">
        <v>1800</v>
      </c>
      <c r="K1143">
        <v>0</v>
      </c>
    </row>
    <row r="1144" spans="1:11" x14ac:dyDescent="0.2">
      <c r="A1144" t="s">
        <v>16</v>
      </c>
      <c r="B1144" t="s">
        <v>520</v>
      </c>
      <c r="C1144">
        <v>300</v>
      </c>
      <c r="D1144" t="s">
        <v>10141</v>
      </c>
      <c r="E1144" t="s">
        <v>50</v>
      </c>
      <c r="F1144">
        <v>4</v>
      </c>
      <c r="G1144">
        <v>0.28464559101302317</v>
      </c>
      <c r="H1144" t="s">
        <v>90</v>
      </c>
      <c r="I1144">
        <v>0</v>
      </c>
      <c r="J1144">
        <v>1800</v>
      </c>
      <c r="K1144">
        <v>0</v>
      </c>
    </row>
    <row r="1145" spans="1:11" x14ac:dyDescent="0.2">
      <c r="A1145" t="s">
        <v>16</v>
      </c>
      <c r="B1145" t="s">
        <v>520</v>
      </c>
      <c r="C1145">
        <v>300</v>
      </c>
      <c r="D1145" t="s">
        <v>10140</v>
      </c>
      <c r="E1145" t="s">
        <v>50</v>
      </c>
      <c r="F1145">
        <v>4</v>
      </c>
      <c r="G1145">
        <v>0.28464559101302317</v>
      </c>
      <c r="H1145" t="s">
        <v>99</v>
      </c>
      <c r="I1145">
        <v>0</v>
      </c>
      <c r="J1145">
        <v>1800</v>
      </c>
      <c r="K1145">
        <v>0</v>
      </c>
    </row>
    <row r="1146" spans="1:11" x14ac:dyDescent="0.2">
      <c r="A1146" t="s">
        <v>16</v>
      </c>
      <c r="B1146" t="s">
        <v>5170</v>
      </c>
      <c r="C1146">
        <v>50</v>
      </c>
      <c r="D1146" t="s">
        <v>10186</v>
      </c>
      <c r="E1146" t="s">
        <v>50</v>
      </c>
      <c r="F1146">
        <v>1</v>
      </c>
      <c r="G1146">
        <v>0.1144925106192712</v>
      </c>
      <c r="H1146" t="s">
        <v>97</v>
      </c>
      <c r="I1146">
        <v>0</v>
      </c>
      <c r="J1146">
        <v>1800</v>
      </c>
      <c r="K1146">
        <v>0</v>
      </c>
    </row>
    <row r="1147" spans="1:11" x14ac:dyDescent="0.2">
      <c r="A1147" t="s">
        <v>16</v>
      </c>
      <c r="B1147" t="s">
        <v>5172</v>
      </c>
      <c r="C1147">
        <v>50</v>
      </c>
      <c r="D1147" t="s">
        <v>10187</v>
      </c>
      <c r="E1147" t="s">
        <v>50</v>
      </c>
      <c r="F1147">
        <v>1</v>
      </c>
      <c r="G1147">
        <v>0.1144925106192712</v>
      </c>
      <c r="H1147" t="s">
        <v>96</v>
      </c>
      <c r="I1147">
        <v>0</v>
      </c>
      <c r="J1147">
        <v>1800</v>
      </c>
      <c r="K1147">
        <v>0</v>
      </c>
    </row>
    <row r="1148" spans="1:11" x14ac:dyDescent="0.2">
      <c r="A1148" t="s">
        <v>16</v>
      </c>
      <c r="B1148" t="s">
        <v>1023</v>
      </c>
      <c r="C1148">
        <v>120</v>
      </c>
      <c r="D1148" t="s">
        <v>9206</v>
      </c>
      <c r="E1148" t="s">
        <v>50</v>
      </c>
      <c r="F1148">
        <v>9</v>
      </c>
      <c r="G1148">
        <v>0.12318084468745301</v>
      </c>
      <c r="H1148" t="s">
        <v>104</v>
      </c>
      <c r="I1148">
        <v>0</v>
      </c>
      <c r="J1148">
        <v>1680</v>
      </c>
      <c r="K1148">
        <v>0</v>
      </c>
    </row>
    <row r="1149" spans="1:11" x14ac:dyDescent="0.2">
      <c r="A1149" t="s">
        <v>16</v>
      </c>
      <c r="B1149" t="s">
        <v>693</v>
      </c>
      <c r="C1149">
        <v>120</v>
      </c>
      <c r="D1149" t="s">
        <v>9233</v>
      </c>
      <c r="E1149" t="s">
        <v>50</v>
      </c>
      <c r="F1149">
        <v>8</v>
      </c>
      <c r="G1149">
        <v>9.5696696445416077E-2</v>
      </c>
      <c r="H1149" t="s">
        <v>90</v>
      </c>
      <c r="I1149">
        <v>0</v>
      </c>
      <c r="J1149">
        <v>1680</v>
      </c>
      <c r="K1149">
        <v>0</v>
      </c>
    </row>
    <row r="1150" spans="1:11" x14ac:dyDescent="0.2">
      <c r="A1150" t="s">
        <v>16</v>
      </c>
      <c r="B1150" t="s">
        <v>970</v>
      </c>
      <c r="C1150">
        <v>120</v>
      </c>
      <c r="D1150" t="s">
        <v>9252</v>
      </c>
      <c r="E1150" t="s">
        <v>50</v>
      </c>
      <c r="F1150">
        <v>8</v>
      </c>
      <c r="G1150">
        <v>9.5696696445416077E-2</v>
      </c>
      <c r="H1150" t="s">
        <v>99</v>
      </c>
      <c r="I1150">
        <v>0</v>
      </c>
      <c r="J1150">
        <v>1680</v>
      </c>
      <c r="K1150">
        <v>0</v>
      </c>
    </row>
    <row r="1151" spans="1:11" x14ac:dyDescent="0.2">
      <c r="A1151" t="s">
        <v>16</v>
      </c>
      <c r="B1151" t="s">
        <v>2501</v>
      </c>
      <c r="C1151">
        <v>110</v>
      </c>
      <c r="D1151" t="s">
        <v>9327</v>
      </c>
      <c r="E1151" t="s">
        <v>50</v>
      </c>
      <c r="F1151">
        <v>18</v>
      </c>
      <c r="G1151">
        <v>0.13355540542231231</v>
      </c>
      <c r="H1151" t="s">
        <v>95</v>
      </c>
      <c r="I1151">
        <v>0</v>
      </c>
      <c r="J1151">
        <v>1650</v>
      </c>
      <c r="K1151">
        <v>0</v>
      </c>
    </row>
    <row r="1152" spans="1:11" x14ac:dyDescent="0.2">
      <c r="A1152" t="s">
        <v>16</v>
      </c>
      <c r="B1152" t="s">
        <v>238</v>
      </c>
      <c r="C1152">
        <v>300</v>
      </c>
      <c r="D1152" t="s">
        <v>9515</v>
      </c>
      <c r="E1152" t="s">
        <v>50</v>
      </c>
      <c r="F1152">
        <v>1</v>
      </c>
      <c r="G1152">
        <v>0.59028241959003069</v>
      </c>
      <c r="H1152" t="s">
        <v>97</v>
      </c>
      <c r="I1152">
        <v>0</v>
      </c>
      <c r="J1152">
        <v>1500</v>
      </c>
      <c r="K1152">
        <v>0</v>
      </c>
    </row>
    <row r="1153" spans="1:11" x14ac:dyDescent="0.2">
      <c r="A1153" t="s">
        <v>16</v>
      </c>
      <c r="B1153" t="s">
        <v>238</v>
      </c>
      <c r="C1153">
        <v>300</v>
      </c>
      <c r="D1153" t="s">
        <v>9517</v>
      </c>
      <c r="E1153" t="s">
        <v>50</v>
      </c>
      <c r="F1153">
        <v>1</v>
      </c>
      <c r="G1153">
        <v>0.59028241959003069</v>
      </c>
      <c r="H1153" t="s">
        <v>97</v>
      </c>
      <c r="I1153">
        <v>0</v>
      </c>
      <c r="J1153">
        <v>1500</v>
      </c>
      <c r="K1153">
        <v>0</v>
      </c>
    </row>
    <row r="1154" spans="1:11" x14ac:dyDescent="0.2">
      <c r="A1154" t="s">
        <v>16</v>
      </c>
      <c r="B1154" t="s">
        <v>238</v>
      </c>
      <c r="C1154">
        <v>300</v>
      </c>
      <c r="D1154" t="s">
        <v>9519</v>
      </c>
      <c r="E1154" t="s">
        <v>50</v>
      </c>
      <c r="F1154">
        <v>1</v>
      </c>
      <c r="G1154">
        <v>0.59028241959003069</v>
      </c>
      <c r="H1154" t="s">
        <v>97</v>
      </c>
      <c r="I1154">
        <v>0</v>
      </c>
      <c r="J1154">
        <v>1500</v>
      </c>
      <c r="K1154">
        <v>0</v>
      </c>
    </row>
    <row r="1155" spans="1:11" x14ac:dyDescent="0.2">
      <c r="A1155" t="s">
        <v>16</v>
      </c>
      <c r="B1155" t="s">
        <v>238</v>
      </c>
      <c r="C1155">
        <v>300</v>
      </c>
      <c r="D1155" t="s">
        <v>9518</v>
      </c>
      <c r="E1155" t="s">
        <v>50</v>
      </c>
      <c r="F1155">
        <v>1</v>
      </c>
      <c r="G1155">
        <v>0.59028241959003069</v>
      </c>
      <c r="H1155" t="s">
        <v>97</v>
      </c>
      <c r="I1155">
        <v>0</v>
      </c>
      <c r="J1155">
        <v>1500</v>
      </c>
      <c r="K1155">
        <v>0</v>
      </c>
    </row>
    <row r="1156" spans="1:11" x14ac:dyDescent="0.2">
      <c r="A1156" t="s">
        <v>16</v>
      </c>
      <c r="B1156" t="s">
        <v>243</v>
      </c>
      <c r="C1156">
        <v>300</v>
      </c>
      <c r="D1156" t="s">
        <v>9524</v>
      </c>
      <c r="E1156" t="s">
        <v>50</v>
      </c>
      <c r="F1156">
        <v>2</v>
      </c>
      <c r="G1156">
        <v>0.37924626946232848</v>
      </c>
      <c r="H1156" t="s">
        <v>104</v>
      </c>
      <c r="I1156">
        <v>0</v>
      </c>
      <c r="J1156">
        <v>1500</v>
      </c>
      <c r="K1156">
        <v>0</v>
      </c>
    </row>
    <row r="1157" spans="1:11" x14ac:dyDescent="0.2">
      <c r="A1157" t="s">
        <v>16</v>
      </c>
      <c r="B1157" t="s">
        <v>243</v>
      </c>
      <c r="C1157">
        <v>300</v>
      </c>
      <c r="D1157" t="s">
        <v>9523</v>
      </c>
      <c r="E1157" t="s">
        <v>50</v>
      </c>
      <c r="F1157">
        <v>2</v>
      </c>
      <c r="G1157">
        <v>0.37924626946232848</v>
      </c>
      <c r="H1157" t="s">
        <v>96</v>
      </c>
      <c r="I1157">
        <v>0</v>
      </c>
      <c r="J1157">
        <v>1500</v>
      </c>
      <c r="K1157">
        <v>0</v>
      </c>
    </row>
    <row r="1158" spans="1:11" x14ac:dyDescent="0.2">
      <c r="A1158" t="s">
        <v>16</v>
      </c>
      <c r="B1158" t="s">
        <v>253</v>
      </c>
      <c r="C1158">
        <v>300</v>
      </c>
      <c r="D1158" t="s">
        <v>9527</v>
      </c>
      <c r="E1158" t="s">
        <v>50</v>
      </c>
      <c r="F1158">
        <v>2</v>
      </c>
      <c r="G1158">
        <v>0.49834187373102579</v>
      </c>
      <c r="H1158" t="s">
        <v>95</v>
      </c>
      <c r="I1158">
        <v>0</v>
      </c>
      <c r="J1158">
        <v>1500</v>
      </c>
      <c r="K1158">
        <v>0</v>
      </c>
    </row>
    <row r="1159" spans="1:11" x14ac:dyDescent="0.2">
      <c r="A1159" t="s">
        <v>16</v>
      </c>
      <c r="B1159" t="s">
        <v>523</v>
      </c>
      <c r="C1159">
        <v>300</v>
      </c>
      <c r="D1159" t="s">
        <v>10154</v>
      </c>
      <c r="E1159" t="s">
        <v>50</v>
      </c>
      <c r="F1159">
        <v>2</v>
      </c>
      <c r="G1159">
        <v>0.42578605583247725</v>
      </c>
      <c r="H1159" t="s">
        <v>90</v>
      </c>
      <c r="I1159">
        <v>0</v>
      </c>
      <c r="J1159">
        <v>1500</v>
      </c>
      <c r="K1159">
        <v>0</v>
      </c>
    </row>
    <row r="1160" spans="1:11" x14ac:dyDescent="0.2">
      <c r="A1160" t="s">
        <v>16</v>
      </c>
      <c r="B1160" t="s">
        <v>5054</v>
      </c>
      <c r="C1160">
        <v>50</v>
      </c>
      <c r="D1160" t="s">
        <v>10164</v>
      </c>
      <c r="E1160" t="s">
        <v>50</v>
      </c>
      <c r="F1160">
        <v>2</v>
      </c>
      <c r="G1160">
        <v>0.13212014923412418</v>
      </c>
      <c r="H1160" t="s">
        <v>99</v>
      </c>
      <c r="I1160">
        <v>0</v>
      </c>
      <c r="J1160">
        <v>1500</v>
      </c>
      <c r="K1160">
        <v>0</v>
      </c>
    </row>
    <row r="1161" spans="1:11" x14ac:dyDescent="0.2">
      <c r="A1161" t="s">
        <v>16</v>
      </c>
      <c r="B1161" t="s">
        <v>5191</v>
      </c>
      <c r="C1161">
        <v>60</v>
      </c>
      <c r="D1161" t="s">
        <v>10189</v>
      </c>
      <c r="E1161" t="s">
        <v>50</v>
      </c>
      <c r="F1161">
        <v>2</v>
      </c>
      <c r="G1161">
        <v>0.23378700762601684</v>
      </c>
      <c r="H1161" t="s">
        <v>104</v>
      </c>
      <c r="I1161">
        <v>0</v>
      </c>
      <c r="J1161">
        <v>1500</v>
      </c>
      <c r="K1161">
        <v>0</v>
      </c>
    </row>
    <row r="1162" spans="1:11" x14ac:dyDescent="0.2">
      <c r="A1162" t="s">
        <v>16</v>
      </c>
      <c r="B1162" t="s">
        <v>5195</v>
      </c>
      <c r="C1162">
        <v>60</v>
      </c>
      <c r="D1162" t="s">
        <v>10192</v>
      </c>
      <c r="E1162" t="s">
        <v>50</v>
      </c>
      <c r="F1162">
        <v>2</v>
      </c>
      <c r="G1162">
        <v>0.23378700762601684</v>
      </c>
      <c r="H1162" t="s">
        <v>96</v>
      </c>
      <c r="I1162">
        <v>0</v>
      </c>
      <c r="J1162">
        <v>1500</v>
      </c>
      <c r="K1162">
        <v>0</v>
      </c>
    </row>
    <row r="1163" spans="1:11" x14ac:dyDescent="0.2">
      <c r="A1163" t="s">
        <v>16</v>
      </c>
      <c r="B1163" t="s">
        <v>5197</v>
      </c>
      <c r="C1163">
        <v>60</v>
      </c>
      <c r="D1163" t="s">
        <v>10193</v>
      </c>
      <c r="E1163" t="s">
        <v>50</v>
      </c>
      <c r="F1163">
        <v>2</v>
      </c>
      <c r="G1163">
        <v>0.23378700762601684</v>
      </c>
      <c r="H1163" t="s">
        <v>95</v>
      </c>
      <c r="I1163">
        <v>0</v>
      </c>
      <c r="J1163">
        <v>1500</v>
      </c>
      <c r="K1163">
        <v>0</v>
      </c>
    </row>
    <row r="1164" spans="1:11" x14ac:dyDescent="0.2">
      <c r="A1164" t="s">
        <v>16</v>
      </c>
      <c r="B1164" t="s">
        <v>5199</v>
      </c>
      <c r="C1164">
        <v>60</v>
      </c>
      <c r="D1164" t="s">
        <v>10196</v>
      </c>
      <c r="E1164" t="s">
        <v>50</v>
      </c>
      <c r="F1164">
        <v>2</v>
      </c>
      <c r="G1164">
        <v>0.23378700762601684</v>
      </c>
      <c r="H1164" t="s">
        <v>90</v>
      </c>
      <c r="I1164">
        <v>0</v>
      </c>
      <c r="J1164">
        <v>1500</v>
      </c>
      <c r="K1164">
        <v>0</v>
      </c>
    </row>
    <row r="1165" spans="1:11" x14ac:dyDescent="0.2">
      <c r="A1165" t="s">
        <v>16</v>
      </c>
      <c r="B1165" t="s">
        <v>959</v>
      </c>
      <c r="C1165">
        <v>180</v>
      </c>
      <c r="D1165" t="s">
        <v>10153</v>
      </c>
      <c r="E1165" t="s">
        <v>50</v>
      </c>
      <c r="F1165">
        <v>2</v>
      </c>
      <c r="G1165">
        <v>0.34485102742842583</v>
      </c>
      <c r="H1165" t="s">
        <v>87</v>
      </c>
      <c r="I1165">
        <v>0</v>
      </c>
      <c r="J1165">
        <v>1440</v>
      </c>
      <c r="K1165">
        <v>0</v>
      </c>
    </row>
    <row r="1166" spans="1:11" x14ac:dyDescent="0.2">
      <c r="A1166" t="s">
        <v>16</v>
      </c>
      <c r="B1166" t="s">
        <v>463</v>
      </c>
      <c r="C1166">
        <v>200</v>
      </c>
      <c r="D1166" t="s">
        <v>9482</v>
      </c>
      <c r="E1166" t="s">
        <v>50</v>
      </c>
      <c r="F1166">
        <v>2</v>
      </c>
      <c r="G1166">
        <v>0.21453593373667737</v>
      </c>
      <c r="H1166" t="s">
        <v>93</v>
      </c>
      <c r="I1166">
        <v>0</v>
      </c>
      <c r="J1166">
        <v>1400</v>
      </c>
      <c r="K1166">
        <v>0</v>
      </c>
    </row>
    <row r="1167" spans="1:11" x14ac:dyDescent="0.2">
      <c r="A1167" t="s">
        <v>16</v>
      </c>
      <c r="B1167" t="s">
        <v>437</v>
      </c>
      <c r="C1167">
        <v>150</v>
      </c>
      <c r="D1167" t="s">
        <v>9328</v>
      </c>
      <c r="E1167" t="s">
        <v>50</v>
      </c>
      <c r="F1167">
        <v>2</v>
      </c>
      <c r="G1167">
        <v>0.18397589847583229</v>
      </c>
      <c r="H1167" t="s">
        <v>105</v>
      </c>
      <c r="I1167">
        <v>0</v>
      </c>
      <c r="J1167">
        <v>1350</v>
      </c>
      <c r="K1167">
        <v>0</v>
      </c>
    </row>
    <row r="1168" spans="1:11" x14ac:dyDescent="0.2">
      <c r="A1168" t="s">
        <v>16</v>
      </c>
      <c r="B1168" t="s">
        <v>296</v>
      </c>
      <c r="C1168">
        <v>270</v>
      </c>
      <c r="D1168" t="s">
        <v>9514</v>
      </c>
      <c r="E1168" t="s">
        <v>50</v>
      </c>
      <c r="F1168">
        <v>3</v>
      </c>
      <c r="G1168">
        <v>0.5071970889449664</v>
      </c>
      <c r="H1168" t="s">
        <v>99</v>
      </c>
      <c r="I1168">
        <v>0</v>
      </c>
      <c r="J1168">
        <v>1350</v>
      </c>
      <c r="K1168">
        <v>0</v>
      </c>
    </row>
    <row r="1169" spans="1:11" x14ac:dyDescent="0.2">
      <c r="A1169" t="s">
        <v>16</v>
      </c>
      <c r="B1169" t="s">
        <v>5127</v>
      </c>
      <c r="C1169">
        <v>120</v>
      </c>
      <c r="D1169" t="s">
        <v>10180</v>
      </c>
      <c r="E1169" t="s">
        <v>50</v>
      </c>
      <c r="F1169">
        <v>4</v>
      </c>
      <c r="G1169">
        <v>0.17641190731687931</v>
      </c>
      <c r="H1169" t="s">
        <v>104</v>
      </c>
      <c r="I1169">
        <v>0</v>
      </c>
      <c r="J1169">
        <v>1320</v>
      </c>
      <c r="K1169">
        <v>0</v>
      </c>
    </row>
    <row r="1170" spans="1:11" x14ac:dyDescent="0.2">
      <c r="A1170" t="s">
        <v>16</v>
      </c>
      <c r="B1170" t="s">
        <v>6013</v>
      </c>
      <c r="C1170">
        <v>180</v>
      </c>
      <c r="D1170" t="s">
        <v>10315</v>
      </c>
      <c r="E1170" t="s">
        <v>50</v>
      </c>
      <c r="F1170">
        <v>9</v>
      </c>
      <c r="G1170">
        <v>0.289793954824003</v>
      </c>
      <c r="H1170" t="s">
        <v>96</v>
      </c>
      <c r="I1170">
        <v>0</v>
      </c>
      <c r="J1170">
        <v>1260</v>
      </c>
      <c r="K1170">
        <v>0</v>
      </c>
    </row>
    <row r="1171" spans="1:11" x14ac:dyDescent="0.2">
      <c r="A1171" t="s">
        <v>16</v>
      </c>
      <c r="B1171" t="s">
        <v>269</v>
      </c>
      <c r="C1171">
        <v>240</v>
      </c>
      <c r="D1171" t="s">
        <v>9504</v>
      </c>
      <c r="E1171" t="s">
        <v>50</v>
      </c>
      <c r="F1171">
        <v>2</v>
      </c>
      <c r="G1171">
        <v>0.29279930377850111</v>
      </c>
      <c r="H1171" t="s">
        <v>95</v>
      </c>
      <c r="I1171">
        <v>0</v>
      </c>
      <c r="J1171">
        <v>1200</v>
      </c>
      <c r="K1171">
        <v>0</v>
      </c>
    </row>
    <row r="1172" spans="1:11" x14ac:dyDescent="0.2">
      <c r="A1172" t="s">
        <v>16</v>
      </c>
      <c r="B1172" t="s">
        <v>269</v>
      </c>
      <c r="C1172">
        <v>240</v>
      </c>
      <c r="D1172" t="s">
        <v>9512</v>
      </c>
      <c r="E1172" t="s">
        <v>50</v>
      </c>
      <c r="F1172">
        <v>2</v>
      </c>
      <c r="G1172">
        <v>0.29279930377850111</v>
      </c>
      <c r="H1172" t="s">
        <v>91</v>
      </c>
      <c r="I1172">
        <v>0</v>
      </c>
      <c r="J1172">
        <v>1200</v>
      </c>
      <c r="K1172">
        <v>0</v>
      </c>
    </row>
    <row r="1173" spans="1:11" x14ac:dyDescent="0.2">
      <c r="A1173" t="s">
        <v>16</v>
      </c>
      <c r="B1173" t="s">
        <v>269</v>
      </c>
      <c r="C1173">
        <v>240</v>
      </c>
      <c r="D1173" t="s">
        <v>9507</v>
      </c>
      <c r="E1173" t="s">
        <v>50</v>
      </c>
      <c r="F1173">
        <v>2</v>
      </c>
      <c r="G1173">
        <v>0.29279930377850111</v>
      </c>
      <c r="H1173" t="s">
        <v>95</v>
      </c>
      <c r="I1173">
        <v>0</v>
      </c>
      <c r="J1173">
        <v>1200</v>
      </c>
      <c r="K1173">
        <v>0</v>
      </c>
    </row>
    <row r="1174" spans="1:11" x14ac:dyDescent="0.2">
      <c r="A1174" t="s">
        <v>16</v>
      </c>
      <c r="B1174" t="s">
        <v>269</v>
      </c>
      <c r="C1174">
        <v>240</v>
      </c>
      <c r="D1174" t="s">
        <v>9506</v>
      </c>
      <c r="E1174" t="s">
        <v>50</v>
      </c>
      <c r="F1174">
        <v>2</v>
      </c>
      <c r="G1174">
        <v>0.29279930377850111</v>
      </c>
      <c r="H1174" t="s">
        <v>91</v>
      </c>
      <c r="I1174">
        <v>0</v>
      </c>
      <c r="J1174">
        <v>1200</v>
      </c>
      <c r="K1174">
        <v>0</v>
      </c>
    </row>
    <row r="1175" spans="1:11" x14ac:dyDescent="0.2">
      <c r="A1175" t="s">
        <v>16</v>
      </c>
      <c r="B1175" t="s">
        <v>269</v>
      </c>
      <c r="C1175">
        <v>240</v>
      </c>
      <c r="D1175" t="s">
        <v>9513</v>
      </c>
      <c r="E1175" t="s">
        <v>50</v>
      </c>
      <c r="F1175">
        <v>2</v>
      </c>
      <c r="G1175">
        <v>0.29279930377850111</v>
      </c>
      <c r="H1175" t="s">
        <v>95</v>
      </c>
      <c r="I1175">
        <v>0</v>
      </c>
      <c r="J1175">
        <v>1200</v>
      </c>
      <c r="K1175">
        <v>0</v>
      </c>
    </row>
    <row r="1176" spans="1:11" x14ac:dyDescent="0.2">
      <c r="A1176" t="s">
        <v>16</v>
      </c>
      <c r="B1176" t="s">
        <v>269</v>
      </c>
      <c r="C1176">
        <v>240</v>
      </c>
      <c r="D1176" t="s">
        <v>9505</v>
      </c>
      <c r="E1176" t="s">
        <v>50</v>
      </c>
      <c r="F1176">
        <v>2</v>
      </c>
      <c r="G1176">
        <v>0.29279930377850111</v>
      </c>
      <c r="H1176" t="s">
        <v>91</v>
      </c>
      <c r="I1176">
        <v>0</v>
      </c>
      <c r="J1176">
        <v>1200</v>
      </c>
      <c r="K1176">
        <v>0</v>
      </c>
    </row>
    <row r="1177" spans="1:11" x14ac:dyDescent="0.2">
      <c r="A1177" t="s">
        <v>16</v>
      </c>
      <c r="B1177" t="s">
        <v>269</v>
      </c>
      <c r="C1177">
        <v>240</v>
      </c>
      <c r="D1177" t="s">
        <v>9508</v>
      </c>
      <c r="E1177" t="s">
        <v>50</v>
      </c>
      <c r="F1177">
        <v>2</v>
      </c>
      <c r="G1177">
        <v>0.29279930377850111</v>
      </c>
      <c r="H1177" t="s">
        <v>95</v>
      </c>
      <c r="I1177">
        <v>0</v>
      </c>
      <c r="J1177">
        <v>1200</v>
      </c>
      <c r="K1177">
        <v>0</v>
      </c>
    </row>
    <row r="1178" spans="1:11" x14ac:dyDescent="0.2">
      <c r="A1178" t="s">
        <v>16</v>
      </c>
      <c r="B1178" t="s">
        <v>269</v>
      </c>
      <c r="C1178">
        <v>240</v>
      </c>
      <c r="D1178" t="s">
        <v>9511</v>
      </c>
      <c r="E1178" t="s">
        <v>50</v>
      </c>
      <c r="F1178">
        <v>2</v>
      </c>
      <c r="G1178">
        <v>0.29279930377850111</v>
      </c>
      <c r="H1178" t="s">
        <v>91</v>
      </c>
      <c r="I1178">
        <v>0</v>
      </c>
      <c r="J1178">
        <v>1200</v>
      </c>
      <c r="K1178">
        <v>0</v>
      </c>
    </row>
    <row r="1179" spans="1:11" x14ac:dyDescent="0.2">
      <c r="A1179" t="s">
        <v>16</v>
      </c>
      <c r="B1179" t="s">
        <v>269</v>
      </c>
      <c r="C1179">
        <v>240</v>
      </c>
      <c r="D1179" t="s">
        <v>9510</v>
      </c>
      <c r="E1179" t="s">
        <v>50</v>
      </c>
      <c r="F1179">
        <v>2</v>
      </c>
      <c r="G1179">
        <v>0.29279930377850111</v>
      </c>
      <c r="H1179" t="s">
        <v>95</v>
      </c>
      <c r="I1179">
        <v>0</v>
      </c>
      <c r="J1179">
        <v>1200</v>
      </c>
      <c r="K1179">
        <v>0</v>
      </c>
    </row>
    <row r="1180" spans="1:11" x14ac:dyDescent="0.2">
      <c r="A1180" t="s">
        <v>16</v>
      </c>
      <c r="B1180" t="s">
        <v>500</v>
      </c>
      <c r="C1180">
        <v>100</v>
      </c>
      <c r="D1180" t="s">
        <v>9630</v>
      </c>
      <c r="E1180" t="s">
        <v>50</v>
      </c>
      <c r="F1180">
        <v>4</v>
      </c>
      <c r="G1180">
        <v>0.27284045854936223</v>
      </c>
      <c r="H1180" t="s">
        <v>99</v>
      </c>
      <c r="I1180">
        <v>0</v>
      </c>
      <c r="J1180">
        <v>1200</v>
      </c>
      <c r="K1180">
        <v>0</v>
      </c>
    </row>
    <row r="1181" spans="1:11" x14ac:dyDescent="0.2">
      <c r="A1181" t="s">
        <v>16</v>
      </c>
      <c r="B1181" t="s">
        <v>746</v>
      </c>
      <c r="C1181">
        <v>100</v>
      </c>
      <c r="D1181" t="s">
        <v>9631</v>
      </c>
      <c r="E1181" t="s">
        <v>50</v>
      </c>
      <c r="F1181">
        <v>3</v>
      </c>
      <c r="G1181">
        <v>0.27284045854936223</v>
      </c>
      <c r="H1181" t="s">
        <v>90</v>
      </c>
      <c r="I1181">
        <v>0</v>
      </c>
      <c r="J1181">
        <v>1200</v>
      </c>
      <c r="K1181">
        <v>0</v>
      </c>
    </row>
    <row r="1182" spans="1:11" x14ac:dyDescent="0.2">
      <c r="A1182" t="s">
        <v>16</v>
      </c>
      <c r="B1182" t="s">
        <v>502</v>
      </c>
      <c r="C1182">
        <v>100</v>
      </c>
      <c r="D1182" t="s">
        <v>9639</v>
      </c>
      <c r="E1182" t="s">
        <v>50</v>
      </c>
      <c r="F1182">
        <v>3</v>
      </c>
      <c r="G1182">
        <v>0.27284045854936223</v>
      </c>
      <c r="H1182" t="s">
        <v>104</v>
      </c>
      <c r="I1182">
        <v>0</v>
      </c>
      <c r="J1182">
        <v>1200</v>
      </c>
      <c r="K1182">
        <v>0</v>
      </c>
    </row>
    <row r="1183" spans="1:11" x14ac:dyDescent="0.2">
      <c r="A1183" t="s">
        <v>16</v>
      </c>
      <c r="B1183" t="s">
        <v>522</v>
      </c>
      <c r="C1183">
        <v>200</v>
      </c>
      <c r="D1183" t="s">
        <v>10136</v>
      </c>
      <c r="E1183" t="s">
        <v>50</v>
      </c>
      <c r="F1183">
        <v>4</v>
      </c>
      <c r="G1183">
        <v>0.19758419799844823</v>
      </c>
      <c r="H1183" t="s">
        <v>96</v>
      </c>
      <c r="I1183">
        <v>0</v>
      </c>
      <c r="J1183">
        <v>1200</v>
      </c>
      <c r="K1183">
        <v>0</v>
      </c>
    </row>
    <row r="1184" spans="1:11" x14ac:dyDescent="0.2">
      <c r="A1184" t="s">
        <v>16</v>
      </c>
      <c r="B1184" t="s">
        <v>520</v>
      </c>
      <c r="C1184">
        <v>200</v>
      </c>
      <c r="D1184" t="s">
        <v>10139</v>
      </c>
      <c r="E1184" t="s">
        <v>50</v>
      </c>
      <c r="F1184">
        <v>4</v>
      </c>
      <c r="G1184">
        <v>0.18976372734201546</v>
      </c>
      <c r="H1184" t="s">
        <v>100</v>
      </c>
      <c r="I1184">
        <v>0</v>
      </c>
      <c r="J1184">
        <v>1200</v>
      </c>
      <c r="K1184">
        <v>0</v>
      </c>
    </row>
    <row r="1185" spans="1:11" x14ac:dyDescent="0.2">
      <c r="A1185" t="s">
        <v>16</v>
      </c>
      <c r="B1185" t="s">
        <v>3762</v>
      </c>
      <c r="C1185">
        <v>200</v>
      </c>
      <c r="D1185" t="s">
        <v>10372</v>
      </c>
      <c r="E1185" t="s">
        <v>5654</v>
      </c>
      <c r="F1185">
        <v>3</v>
      </c>
      <c r="G1185">
        <v>0.32701876664118451</v>
      </c>
      <c r="H1185" t="s">
        <v>99</v>
      </c>
      <c r="I1185">
        <v>0</v>
      </c>
      <c r="J1185">
        <v>1200</v>
      </c>
      <c r="K1185">
        <v>0</v>
      </c>
    </row>
    <row r="1186" spans="1:11" x14ac:dyDescent="0.2">
      <c r="A1186" t="s">
        <v>16</v>
      </c>
      <c r="B1186" t="s">
        <v>461</v>
      </c>
      <c r="C1186">
        <v>100</v>
      </c>
      <c r="D1186" t="s">
        <v>10005</v>
      </c>
      <c r="E1186" t="s">
        <v>50</v>
      </c>
      <c r="F1186">
        <v>7</v>
      </c>
      <c r="G1186">
        <v>0.10957439503322861</v>
      </c>
      <c r="H1186" t="s">
        <v>90</v>
      </c>
      <c r="I1186">
        <v>0</v>
      </c>
      <c r="J1186">
        <v>1100</v>
      </c>
      <c r="K1186">
        <v>0</v>
      </c>
    </row>
    <row r="1187" spans="1:11" x14ac:dyDescent="0.2">
      <c r="A1187" t="s">
        <v>16</v>
      </c>
      <c r="B1187" t="s">
        <v>5995</v>
      </c>
      <c r="C1187">
        <v>100</v>
      </c>
      <c r="D1187" t="s">
        <v>10305</v>
      </c>
      <c r="E1187" t="s">
        <v>50</v>
      </c>
      <c r="F1187">
        <v>26</v>
      </c>
      <c r="G1187">
        <v>0.18628429415678449</v>
      </c>
      <c r="H1187" t="s">
        <v>104</v>
      </c>
      <c r="I1187">
        <v>0</v>
      </c>
      <c r="J1187">
        <v>1100</v>
      </c>
      <c r="K1187">
        <v>0</v>
      </c>
    </row>
    <row r="1188" spans="1:11" x14ac:dyDescent="0.2">
      <c r="A1188" t="s">
        <v>16</v>
      </c>
      <c r="B1188" t="s">
        <v>6004</v>
      </c>
      <c r="C1188">
        <v>360</v>
      </c>
      <c r="D1188" t="s">
        <v>10289</v>
      </c>
      <c r="E1188" t="s">
        <v>50</v>
      </c>
      <c r="F1188">
        <v>11</v>
      </c>
      <c r="G1188">
        <v>0.63735798988307479</v>
      </c>
      <c r="H1188" t="s">
        <v>96</v>
      </c>
      <c r="I1188">
        <v>0</v>
      </c>
      <c r="J1188">
        <v>1080</v>
      </c>
      <c r="K1188">
        <v>0</v>
      </c>
    </row>
    <row r="1189" spans="1:11" x14ac:dyDescent="0.2">
      <c r="A1189" t="s">
        <v>16</v>
      </c>
      <c r="B1189" t="s">
        <v>6004</v>
      </c>
      <c r="C1189">
        <v>360</v>
      </c>
      <c r="D1189" t="s">
        <v>10288</v>
      </c>
      <c r="E1189" t="s">
        <v>50</v>
      </c>
      <c r="F1189">
        <v>11</v>
      </c>
      <c r="G1189">
        <v>0.63735798988307479</v>
      </c>
      <c r="H1189" t="s">
        <v>97</v>
      </c>
      <c r="I1189">
        <v>0</v>
      </c>
      <c r="J1189">
        <v>1080</v>
      </c>
      <c r="K1189">
        <v>0</v>
      </c>
    </row>
    <row r="1190" spans="1:11" x14ac:dyDescent="0.2">
      <c r="A1190" t="s">
        <v>16</v>
      </c>
      <c r="B1190" t="s">
        <v>6004</v>
      </c>
      <c r="C1190">
        <v>360</v>
      </c>
      <c r="D1190" t="s">
        <v>10287</v>
      </c>
      <c r="E1190" t="s">
        <v>50</v>
      </c>
      <c r="F1190">
        <v>11</v>
      </c>
      <c r="G1190">
        <v>0.63735798988307479</v>
      </c>
      <c r="H1190" t="s">
        <v>100</v>
      </c>
      <c r="I1190">
        <v>0</v>
      </c>
      <c r="J1190">
        <v>1080</v>
      </c>
      <c r="K1190">
        <v>0</v>
      </c>
    </row>
    <row r="1191" spans="1:11" x14ac:dyDescent="0.2">
      <c r="A1191" t="s">
        <v>16</v>
      </c>
      <c r="B1191" t="s">
        <v>6004</v>
      </c>
      <c r="C1191">
        <v>360</v>
      </c>
      <c r="D1191" t="s">
        <v>10286</v>
      </c>
      <c r="E1191" t="s">
        <v>50</v>
      </c>
      <c r="F1191">
        <v>11</v>
      </c>
      <c r="G1191">
        <v>0.63735798988307479</v>
      </c>
      <c r="H1191" t="s">
        <v>87</v>
      </c>
      <c r="I1191">
        <v>0</v>
      </c>
      <c r="J1191">
        <v>1080</v>
      </c>
      <c r="K1191">
        <v>0</v>
      </c>
    </row>
    <row r="1192" spans="1:11" x14ac:dyDescent="0.2">
      <c r="A1192" t="s">
        <v>16</v>
      </c>
      <c r="B1192" t="s">
        <v>6004</v>
      </c>
      <c r="C1192">
        <v>360</v>
      </c>
      <c r="D1192" t="s">
        <v>10284</v>
      </c>
      <c r="E1192" t="s">
        <v>50</v>
      </c>
      <c r="F1192">
        <v>11</v>
      </c>
      <c r="G1192">
        <v>0.63735798988307479</v>
      </c>
      <c r="H1192" t="s">
        <v>89</v>
      </c>
      <c r="I1192">
        <v>0</v>
      </c>
      <c r="J1192">
        <v>1080</v>
      </c>
      <c r="K1192">
        <v>0</v>
      </c>
    </row>
    <row r="1193" spans="1:11" x14ac:dyDescent="0.2">
      <c r="A1193" t="s">
        <v>16</v>
      </c>
      <c r="B1193" t="s">
        <v>246</v>
      </c>
      <c r="C1193">
        <v>210</v>
      </c>
      <c r="D1193" t="s">
        <v>9531</v>
      </c>
      <c r="E1193" t="s">
        <v>50</v>
      </c>
      <c r="F1193">
        <v>3</v>
      </c>
      <c r="G1193">
        <v>0.35316724523363807</v>
      </c>
      <c r="H1193" t="s">
        <v>99</v>
      </c>
      <c r="I1193">
        <v>0</v>
      </c>
      <c r="J1193">
        <v>1050</v>
      </c>
      <c r="K1193">
        <v>0</v>
      </c>
    </row>
    <row r="1194" spans="1:11" x14ac:dyDescent="0.2">
      <c r="A1194" t="s">
        <v>16</v>
      </c>
      <c r="B1194" t="s">
        <v>246</v>
      </c>
      <c r="C1194">
        <v>210</v>
      </c>
      <c r="D1194" t="s">
        <v>9534</v>
      </c>
      <c r="E1194" t="s">
        <v>50</v>
      </c>
      <c r="F1194">
        <v>3</v>
      </c>
      <c r="G1194">
        <v>0.35316724523363807</v>
      </c>
      <c r="H1194" t="s">
        <v>90</v>
      </c>
      <c r="I1194">
        <v>0</v>
      </c>
      <c r="J1194">
        <v>1050</v>
      </c>
      <c r="K1194">
        <v>0</v>
      </c>
    </row>
    <row r="1195" spans="1:11" x14ac:dyDescent="0.2">
      <c r="A1195" t="s">
        <v>16</v>
      </c>
      <c r="B1195" t="s">
        <v>246</v>
      </c>
      <c r="C1195">
        <v>210</v>
      </c>
      <c r="D1195" t="s">
        <v>9535</v>
      </c>
      <c r="E1195" t="s">
        <v>50</v>
      </c>
      <c r="F1195">
        <v>3</v>
      </c>
      <c r="G1195">
        <v>0.35316724523363807</v>
      </c>
      <c r="H1195" t="s">
        <v>96</v>
      </c>
      <c r="I1195">
        <v>0</v>
      </c>
      <c r="J1195">
        <v>1050</v>
      </c>
      <c r="K1195">
        <v>0</v>
      </c>
    </row>
    <row r="1196" spans="1:11" x14ac:dyDescent="0.2">
      <c r="A1196" t="s">
        <v>16</v>
      </c>
      <c r="B1196" t="s">
        <v>246</v>
      </c>
      <c r="C1196">
        <v>210</v>
      </c>
      <c r="D1196" t="s">
        <v>9533</v>
      </c>
      <c r="E1196" t="s">
        <v>50</v>
      </c>
      <c r="F1196">
        <v>3</v>
      </c>
      <c r="G1196">
        <v>0.35316724523363807</v>
      </c>
      <c r="H1196" t="s">
        <v>99</v>
      </c>
      <c r="I1196">
        <v>0</v>
      </c>
      <c r="J1196">
        <v>1050</v>
      </c>
      <c r="K1196">
        <v>0</v>
      </c>
    </row>
    <row r="1197" spans="1:11" x14ac:dyDescent="0.2">
      <c r="A1197" t="s">
        <v>16</v>
      </c>
      <c r="B1197" t="s">
        <v>246</v>
      </c>
      <c r="C1197">
        <v>210</v>
      </c>
      <c r="D1197" t="s">
        <v>9529</v>
      </c>
      <c r="E1197" t="s">
        <v>50</v>
      </c>
      <c r="F1197">
        <v>3</v>
      </c>
      <c r="G1197">
        <v>0.35316724523363807</v>
      </c>
      <c r="H1197" t="s">
        <v>90</v>
      </c>
      <c r="I1197">
        <v>0</v>
      </c>
      <c r="J1197">
        <v>1050</v>
      </c>
      <c r="K1197">
        <v>0</v>
      </c>
    </row>
    <row r="1198" spans="1:11" x14ac:dyDescent="0.2">
      <c r="A1198" t="s">
        <v>16</v>
      </c>
      <c r="B1198" t="s">
        <v>246</v>
      </c>
      <c r="C1198">
        <v>210</v>
      </c>
      <c r="D1198" t="s">
        <v>9528</v>
      </c>
      <c r="E1198" t="s">
        <v>50</v>
      </c>
      <c r="F1198">
        <v>3</v>
      </c>
      <c r="G1198">
        <v>0.35316724523363807</v>
      </c>
      <c r="H1198" t="s">
        <v>96</v>
      </c>
      <c r="I1198">
        <v>0</v>
      </c>
      <c r="J1198">
        <v>1050</v>
      </c>
      <c r="K1198">
        <v>0</v>
      </c>
    </row>
    <row r="1199" spans="1:11" x14ac:dyDescent="0.2">
      <c r="A1199" t="s">
        <v>16</v>
      </c>
      <c r="B1199" t="s">
        <v>246</v>
      </c>
      <c r="C1199">
        <v>210</v>
      </c>
      <c r="D1199" t="s">
        <v>9536</v>
      </c>
      <c r="E1199" t="s">
        <v>50</v>
      </c>
      <c r="F1199">
        <v>3</v>
      </c>
      <c r="G1199">
        <v>0.35316724523363807</v>
      </c>
      <c r="H1199" t="s">
        <v>99</v>
      </c>
      <c r="I1199">
        <v>0</v>
      </c>
      <c r="J1199">
        <v>1050</v>
      </c>
      <c r="K1199">
        <v>0</v>
      </c>
    </row>
    <row r="1200" spans="1:11" x14ac:dyDescent="0.2">
      <c r="A1200" t="s">
        <v>16</v>
      </c>
      <c r="B1200" t="s">
        <v>246</v>
      </c>
      <c r="C1200">
        <v>210</v>
      </c>
      <c r="D1200" t="s">
        <v>9530</v>
      </c>
      <c r="E1200" t="s">
        <v>50</v>
      </c>
      <c r="F1200">
        <v>3</v>
      </c>
      <c r="G1200">
        <v>0.35316724523363807</v>
      </c>
      <c r="H1200" t="s">
        <v>90</v>
      </c>
      <c r="I1200">
        <v>0</v>
      </c>
      <c r="J1200">
        <v>1050</v>
      </c>
      <c r="K1200">
        <v>0</v>
      </c>
    </row>
    <row r="1201" spans="1:11" x14ac:dyDescent="0.2">
      <c r="A1201" t="s">
        <v>16</v>
      </c>
      <c r="B1201" t="s">
        <v>511</v>
      </c>
      <c r="C1201">
        <v>210</v>
      </c>
      <c r="D1201" t="s">
        <v>10130</v>
      </c>
      <c r="E1201" t="s">
        <v>50</v>
      </c>
      <c r="F1201">
        <v>2</v>
      </c>
      <c r="G1201">
        <v>0.35587741393786732</v>
      </c>
      <c r="H1201" t="s">
        <v>104</v>
      </c>
      <c r="I1201">
        <v>0</v>
      </c>
      <c r="J1201">
        <v>1050</v>
      </c>
      <c r="K1201">
        <v>0</v>
      </c>
    </row>
    <row r="1202" spans="1:11" x14ac:dyDescent="0.2">
      <c r="A1202" t="s">
        <v>16</v>
      </c>
      <c r="B1202" t="s">
        <v>511</v>
      </c>
      <c r="C1202">
        <v>210</v>
      </c>
      <c r="D1202" t="s">
        <v>10128</v>
      </c>
      <c r="E1202" t="s">
        <v>50</v>
      </c>
      <c r="F1202">
        <v>2</v>
      </c>
      <c r="G1202">
        <v>0.35587741393786732</v>
      </c>
      <c r="H1202" t="s">
        <v>97</v>
      </c>
      <c r="I1202">
        <v>0</v>
      </c>
      <c r="J1202">
        <v>1050</v>
      </c>
      <c r="K1202">
        <v>0</v>
      </c>
    </row>
    <row r="1203" spans="1:11" x14ac:dyDescent="0.2">
      <c r="A1203" t="s">
        <v>16</v>
      </c>
      <c r="B1203" t="s">
        <v>511</v>
      </c>
      <c r="C1203">
        <v>210</v>
      </c>
      <c r="D1203" t="s">
        <v>10129</v>
      </c>
      <c r="E1203" t="s">
        <v>50</v>
      </c>
      <c r="F1203">
        <v>2</v>
      </c>
      <c r="G1203">
        <v>0.35587741393786732</v>
      </c>
      <c r="H1203" t="s">
        <v>104</v>
      </c>
      <c r="I1203">
        <v>0</v>
      </c>
      <c r="J1203">
        <v>1050</v>
      </c>
      <c r="K1203">
        <v>0</v>
      </c>
    </row>
    <row r="1204" spans="1:11" x14ac:dyDescent="0.2">
      <c r="A1204" t="s">
        <v>16</v>
      </c>
      <c r="B1204" t="s">
        <v>6000</v>
      </c>
      <c r="C1204">
        <v>330</v>
      </c>
      <c r="D1204" t="s">
        <v>10294</v>
      </c>
      <c r="E1204" t="s">
        <v>50</v>
      </c>
      <c r="F1204">
        <v>17</v>
      </c>
      <c r="G1204">
        <v>0.58824744882319824</v>
      </c>
      <c r="H1204" t="s">
        <v>100</v>
      </c>
      <c r="I1204">
        <v>0</v>
      </c>
      <c r="J1204">
        <v>990</v>
      </c>
      <c r="K1204">
        <v>0</v>
      </c>
    </row>
    <row r="1205" spans="1:11" x14ac:dyDescent="0.2">
      <c r="A1205" t="s">
        <v>16</v>
      </c>
      <c r="B1205" t="s">
        <v>6000</v>
      </c>
      <c r="C1205">
        <v>330</v>
      </c>
      <c r="D1205" t="s">
        <v>10293</v>
      </c>
      <c r="E1205" t="s">
        <v>50</v>
      </c>
      <c r="F1205">
        <v>17</v>
      </c>
      <c r="G1205">
        <v>0.58824744882319824</v>
      </c>
      <c r="H1205" t="s">
        <v>87</v>
      </c>
      <c r="I1205">
        <v>0</v>
      </c>
      <c r="J1205">
        <v>990</v>
      </c>
      <c r="K1205">
        <v>0</v>
      </c>
    </row>
    <row r="1206" spans="1:11" x14ac:dyDescent="0.2">
      <c r="A1206" t="s">
        <v>16</v>
      </c>
      <c r="B1206" t="s">
        <v>6000</v>
      </c>
      <c r="C1206">
        <v>330</v>
      </c>
      <c r="D1206" t="s">
        <v>10295</v>
      </c>
      <c r="E1206" t="s">
        <v>50</v>
      </c>
      <c r="F1206">
        <v>17</v>
      </c>
      <c r="G1206">
        <v>0.58824744882319824</v>
      </c>
      <c r="H1206" t="s">
        <v>89</v>
      </c>
      <c r="I1206">
        <v>0</v>
      </c>
      <c r="J1206">
        <v>990</v>
      </c>
      <c r="K1206">
        <v>0</v>
      </c>
    </row>
    <row r="1207" spans="1:11" x14ac:dyDescent="0.2">
      <c r="A1207" t="s">
        <v>16</v>
      </c>
      <c r="B1207" t="s">
        <v>6000</v>
      </c>
      <c r="C1207">
        <v>330</v>
      </c>
      <c r="D1207" t="s">
        <v>10299</v>
      </c>
      <c r="E1207" t="s">
        <v>50</v>
      </c>
      <c r="F1207">
        <v>17</v>
      </c>
      <c r="G1207">
        <v>0.58824744882319824</v>
      </c>
      <c r="H1207" t="s">
        <v>93</v>
      </c>
      <c r="I1207">
        <v>0</v>
      </c>
      <c r="J1207">
        <v>990</v>
      </c>
      <c r="K1207">
        <v>0</v>
      </c>
    </row>
    <row r="1208" spans="1:11" x14ac:dyDescent="0.2">
      <c r="A1208" t="s">
        <v>16</v>
      </c>
      <c r="B1208" t="s">
        <v>6000</v>
      </c>
      <c r="C1208">
        <v>330</v>
      </c>
      <c r="D1208" t="s">
        <v>10292</v>
      </c>
      <c r="E1208" t="s">
        <v>50</v>
      </c>
      <c r="F1208">
        <v>17</v>
      </c>
      <c r="G1208">
        <v>0.58824744882319824</v>
      </c>
      <c r="H1208" t="s">
        <v>97</v>
      </c>
      <c r="I1208">
        <v>0</v>
      </c>
      <c r="J1208">
        <v>990</v>
      </c>
      <c r="K1208">
        <v>0</v>
      </c>
    </row>
    <row r="1209" spans="1:11" x14ac:dyDescent="0.2">
      <c r="A1209" t="s">
        <v>16</v>
      </c>
      <c r="B1209" t="s">
        <v>6000</v>
      </c>
      <c r="C1209">
        <v>330</v>
      </c>
      <c r="D1209" t="s">
        <v>10298</v>
      </c>
      <c r="E1209" t="s">
        <v>50</v>
      </c>
      <c r="F1209">
        <v>17</v>
      </c>
      <c r="G1209">
        <v>0.58824744882319824</v>
      </c>
      <c r="H1209" t="s">
        <v>100</v>
      </c>
      <c r="I1209">
        <v>0</v>
      </c>
      <c r="J1209">
        <v>990</v>
      </c>
      <c r="K1209">
        <v>0</v>
      </c>
    </row>
    <row r="1210" spans="1:11" x14ac:dyDescent="0.2">
      <c r="A1210" t="s">
        <v>16</v>
      </c>
      <c r="B1210" t="s">
        <v>6000</v>
      </c>
      <c r="C1210">
        <v>330</v>
      </c>
      <c r="D1210" t="s">
        <v>10296</v>
      </c>
      <c r="E1210" t="s">
        <v>50</v>
      </c>
      <c r="F1210">
        <v>17</v>
      </c>
      <c r="G1210">
        <v>0.58824744882319824</v>
      </c>
      <c r="H1210" t="s">
        <v>91</v>
      </c>
      <c r="I1210">
        <v>0</v>
      </c>
      <c r="J1210">
        <v>990</v>
      </c>
      <c r="K1210">
        <v>0</v>
      </c>
    </row>
    <row r="1211" spans="1:11" x14ac:dyDescent="0.2">
      <c r="A1211" t="s">
        <v>16</v>
      </c>
      <c r="B1211" t="s">
        <v>6000</v>
      </c>
      <c r="C1211">
        <v>330</v>
      </c>
      <c r="D1211" t="s">
        <v>10290</v>
      </c>
      <c r="E1211" t="s">
        <v>50</v>
      </c>
      <c r="F1211">
        <v>17</v>
      </c>
      <c r="G1211">
        <v>0.58824744882319824</v>
      </c>
      <c r="H1211" t="s">
        <v>87</v>
      </c>
      <c r="I1211">
        <v>0</v>
      </c>
      <c r="J1211">
        <v>990</v>
      </c>
      <c r="K1211">
        <v>0</v>
      </c>
    </row>
    <row r="1212" spans="1:11" x14ac:dyDescent="0.2">
      <c r="A1212" t="s">
        <v>16</v>
      </c>
      <c r="B1212" t="s">
        <v>224</v>
      </c>
      <c r="C1212">
        <v>240</v>
      </c>
      <c r="D1212" t="s">
        <v>9521</v>
      </c>
      <c r="E1212" t="s">
        <v>50</v>
      </c>
      <c r="F1212">
        <v>3</v>
      </c>
      <c r="G1212">
        <v>0.40934687230607419</v>
      </c>
      <c r="H1212" t="s">
        <v>89</v>
      </c>
      <c r="I1212">
        <v>0</v>
      </c>
      <c r="J1212">
        <v>960</v>
      </c>
      <c r="K1212">
        <v>0</v>
      </c>
    </row>
    <row r="1213" spans="1:11" x14ac:dyDescent="0.2">
      <c r="A1213" t="s">
        <v>16</v>
      </c>
      <c r="B1213" t="s">
        <v>4929</v>
      </c>
      <c r="C1213">
        <v>85</v>
      </c>
      <c r="D1213" t="s">
        <v>10162</v>
      </c>
      <c r="E1213" t="s">
        <v>50</v>
      </c>
      <c r="F1213">
        <v>3</v>
      </c>
      <c r="G1213">
        <v>0.15899736011562399</v>
      </c>
      <c r="H1213" t="s">
        <v>96</v>
      </c>
      <c r="I1213">
        <v>0</v>
      </c>
      <c r="J1213">
        <v>935</v>
      </c>
      <c r="K1213">
        <v>0</v>
      </c>
    </row>
    <row r="1214" spans="1:11" x14ac:dyDescent="0.2">
      <c r="A1214" t="s">
        <v>16</v>
      </c>
      <c r="B1214" t="s">
        <v>1893</v>
      </c>
      <c r="C1214">
        <v>300</v>
      </c>
      <c r="D1214" t="s">
        <v>9164</v>
      </c>
      <c r="E1214" t="s">
        <v>50</v>
      </c>
      <c r="F1214">
        <v>3</v>
      </c>
      <c r="G1214">
        <v>0.367668652324947</v>
      </c>
      <c r="H1214" t="s">
        <v>104</v>
      </c>
      <c r="I1214">
        <v>0</v>
      </c>
      <c r="J1214">
        <v>900</v>
      </c>
      <c r="K1214">
        <v>0</v>
      </c>
    </row>
    <row r="1215" spans="1:11" x14ac:dyDescent="0.2">
      <c r="A1215" t="s">
        <v>16</v>
      </c>
      <c r="B1215" t="s">
        <v>1893</v>
      </c>
      <c r="C1215">
        <v>300</v>
      </c>
      <c r="D1215" t="s">
        <v>9160</v>
      </c>
      <c r="E1215" t="s">
        <v>50</v>
      </c>
      <c r="F1215">
        <v>3</v>
      </c>
      <c r="G1215">
        <v>0.367668652324947</v>
      </c>
      <c r="H1215" t="s">
        <v>93</v>
      </c>
      <c r="I1215">
        <v>0</v>
      </c>
      <c r="J1215">
        <v>900</v>
      </c>
      <c r="K1215">
        <v>0</v>
      </c>
    </row>
    <row r="1216" spans="1:11" x14ac:dyDescent="0.2">
      <c r="A1216" t="s">
        <v>16</v>
      </c>
      <c r="B1216" t="s">
        <v>1893</v>
      </c>
      <c r="C1216">
        <v>300</v>
      </c>
      <c r="D1216" t="s">
        <v>9157</v>
      </c>
      <c r="E1216" t="s">
        <v>50</v>
      </c>
      <c r="F1216">
        <v>3</v>
      </c>
      <c r="G1216">
        <v>0.367668652324947</v>
      </c>
      <c r="H1216" t="s">
        <v>97</v>
      </c>
      <c r="I1216">
        <v>0</v>
      </c>
      <c r="J1216">
        <v>900</v>
      </c>
      <c r="K1216">
        <v>0</v>
      </c>
    </row>
    <row r="1217" spans="1:11" x14ac:dyDescent="0.2">
      <c r="A1217" t="s">
        <v>16</v>
      </c>
      <c r="B1217" t="s">
        <v>1893</v>
      </c>
      <c r="C1217">
        <v>300</v>
      </c>
      <c r="D1217" t="s">
        <v>9159</v>
      </c>
      <c r="E1217" t="s">
        <v>50</v>
      </c>
      <c r="F1217">
        <v>3</v>
      </c>
      <c r="G1217">
        <v>0.367668652324947</v>
      </c>
      <c r="H1217" t="s">
        <v>104</v>
      </c>
      <c r="I1217">
        <v>0</v>
      </c>
      <c r="J1217">
        <v>900</v>
      </c>
      <c r="K1217">
        <v>0</v>
      </c>
    </row>
    <row r="1218" spans="1:11" x14ac:dyDescent="0.2">
      <c r="A1218" t="s">
        <v>16</v>
      </c>
      <c r="B1218" t="s">
        <v>1893</v>
      </c>
      <c r="C1218">
        <v>300</v>
      </c>
      <c r="D1218" t="s">
        <v>9161</v>
      </c>
      <c r="E1218" t="s">
        <v>50</v>
      </c>
      <c r="F1218">
        <v>3</v>
      </c>
      <c r="G1218">
        <v>0.367668652324947</v>
      </c>
      <c r="H1218" t="s">
        <v>93</v>
      </c>
      <c r="I1218">
        <v>0</v>
      </c>
      <c r="J1218">
        <v>900</v>
      </c>
      <c r="K1218">
        <v>0</v>
      </c>
    </row>
    <row r="1219" spans="1:11" x14ac:dyDescent="0.2">
      <c r="A1219" t="s">
        <v>16</v>
      </c>
      <c r="B1219" t="s">
        <v>1893</v>
      </c>
      <c r="C1219">
        <v>300</v>
      </c>
      <c r="D1219" t="s">
        <v>9162</v>
      </c>
      <c r="E1219" t="s">
        <v>50</v>
      </c>
      <c r="F1219">
        <v>3</v>
      </c>
      <c r="G1219">
        <v>0.367668652324947</v>
      </c>
      <c r="H1219" t="s">
        <v>97</v>
      </c>
      <c r="I1219">
        <v>0</v>
      </c>
      <c r="J1219">
        <v>900</v>
      </c>
      <c r="K1219">
        <v>0</v>
      </c>
    </row>
    <row r="1220" spans="1:11" x14ac:dyDescent="0.2">
      <c r="A1220" t="s">
        <v>16</v>
      </c>
      <c r="B1220" t="s">
        <v>1894</v>
      </c>
      <c r="C1220">
        <v>300</v>
      </c>
      <c r="D1220" t="s">
        <v>9171</v>
      </c>
      <c r="E1220" t="s">
        <v>50</v>
      </c>
      <c r="F1220">
        <v>8</v>
      </c>
      <c r="G1220">
        <v>0.30079096549178652</v>
      </c>
      <c r="H1220" t="s">
        <v>100</v>
      </c>
      <c r="I1220">
        <v>0</v>
      </c>
      <c r="J1220">
        <v>900</v>
      </c>
      <c r="K1220">
        <v>0</v>
      </c>
    </row>
    <row r="1221" spans="1:11" x14ac:dyDescent="0.2">
      <c r="A1221" t="s">
        <v>16</v>
      </c>
      <c r="B1221" t="s">
        <v>1894</v>
      </c>
      <c r="C1221">
        <v>300</v>
      </c>
      <c r="D1221" t="s">
        <v>9168</v>
      </c>
      <c r="E1221" t="s">
        <v>50</v>
      </c>
      <c r="F1221">
        <v>8</v>
      </c>
      <c r="G1221">
        <v>0.30079096549178652</v>
      </c>
      <c r="H1221" t="s">
        <v>91</v>
      </c>
      <c r="I1221">
        <v>0</v>
      </c>
      <c r="J1221">
        <v>900</v>
      </c>
      <c r="K1221">
        <v>0</v>
      </c>
    </row>
    <row r="1222" spans="1:11" x14ac:dyDescent="0.2">
      <c r="A1222" t="s">
        <v>16</v>
      </c>
      <c r="B1222" t="s">
        <v>1894</v>
      </c>
      <c r="C1222">
        <v>300</v>
      </c>
      <c r="D1222" t="s">
        <v>9173</v>
      </c>
      <c r="E1222" t="s">
        <v>50</v>
      </c>
      <c r="F1222">
        <v>8</v>
      </c>
      <c r="G1222">
        <v>0.30079096549178652</v>
      </c>
      <c r="H1222" t="s">
        <v>89</v>
      </c>
      <c r="I1222">
        <v>0</v>
      </c>
      <c r="J1222">
        <v>900</v>
      </c>
      <c r="K1222">
        <v>0</v>
      </c>
    </row>
    <row r="1223" spans="1:11" x14ac:dyDescent="0.2">
      <c r="A1223" t="s">
        <v>16</v>
      </c>
      <c r="B1223" t="s">
        <v>1894</v>
      </c>
      <c r="C1223">
        <v>300</v>
      </c>
      <c r="D1223" t="s">
        <v>9172</v>
      </c>
      <c r="E1223" t="s">
        <v>50</v>
      </c>
      <c r="F1223">
        <v>8</v>
      </c>
      <c r="G1223">
        <v>0.30079096549178652</v>
      </c>
      <c r="H1223" t="s">
        <v>87</v>
      </c>
      <c r="I1223">
        <v>0</v>
      </c>
      <c r="J1223">
        <v>900</v>
      </c>
      <c r="K1223">
        <v>0</v>
      </c>
    </row>
    <row r="1224" spans="1:11" x14ac:dyDescent="0.2">
      <c r="A1224" t="s">
        <v>16</v>
      </c>
      <c r="B1224" t="s">
        <v>1894</v>
      </c>
      <c r="C1224">
        <v>300</v>
      </c>
      <c r="D1224" t="s">
        <v>9169</v>
      </c>
      <c r="E1224" t="s">
        <v>50</v>
      </c>
      <c r="F1224">
        <v>8</v>
      </c>
      <c r="G1224">
        <v>0.30079096549178652</v>
      </c>
      <c r="H1224" t="s">
        <v>95</v>
      </c>
      <c r="I1224">
        <v>0</v>
      </c>
      <c r="J1224">
        <v>900</v>
      </c>
      <c r="K1224">
        <v>0</v>
      </c>
    </row>
    <row r="1225" spans="1:11" x14ac:dyDescent="0.2">
      <c r="A1225" t="s">
        <v>16</v>
      </c>
      <c r="B1225" t="s">
        <v>1894</v>
      </c>
      <c r="C1225">
        <v>300</v>
      </c>
      <c r="D1225" t="s">
        <v>9166</v>
      </c>
      <c r="E1225" t="s">
        <v>50</v>
      </c>
      <c r="F1225">
        <v>8</v>
      </c>
      <c r="G1225">
        <v>0.30079096549178652</v>
      </c>
      <c r="H1225" t="s">
        <v>99</v>
      </c>
      <c r="I1225">
        <v>0</v>
      </c>
      <c r="J1225">
        <v>900</v>
      </c>
      <c r="K1225">
        <v>0</v>
      </c>
    </row>
    <row r="1226" spans="1:11" x14ac:dyDescent="0.2">
      <c r="A1226" t="s">
        <v>16</v>
      </c>
      <c r="B1226" t="s">
        <v>482</v>
      </c>
      <c r="C1226">
        <v>300</v>
      </c>
      <c r="D1226" t="s">
        <v>9584</v>
      </c>
      <c r="E1226" t="s">
        <v>50</v>
      </c>
      <c r="F1226">
        <v>6</v>
      </c>
      <c r="G1226">
        <v>0.22860424801127616</v>
      </c>
      <c r="H1226" t="s">
        <v>96</v>
      </c>
      <c r="I1226">
        <v>0</v>
      </c>
      <c r="J1226">
        <v>900</v>
      </c>
      <c r="K1226">
        <v>0</v>
      </c>
    </row>
    <row r="1227" spans="1:11" x14ac:dyDescent="0.2">
      <c r="A1227" t="s">
        <v>16</v>
      </c>
      <c r="B1227" t="s">
        <v>482</v>
      </c>
      <c r="C1227">
        <v>300</v>
      </c>
      <c r="D1227" t="s">
        <v>9610</v>
      </c>
      <c r="E1227" t="s">
        <v>50</v>
      </c>
      <c r="F1227">
        <v>6</v>
      </c>
      <c r="G1227">
        <v>0.22860424801127616</v>
      </c>
      <c r="H1227" t="s">
        <v>90</v>
      </c>
      <c r="I1227">
        <v>0</v>
      </c>
      <c r="J1227">
        <v>900</v>
      </c>
      <c r="K1227">
        <v>0</v>
      </c>
    </row>
    <row r="1228" spans="1:11" x14ac:dyDescent="0.2">
      <c r="A1228" t="s">
        <v>16</v>
      </c>
      <c r="B1228" t="s">
        <v>482</v>
      </c>
      <c r="C1228">
        <v>300</v>
      </c>
      <c r="D1228" t="s">
        <v>9613</v>
      </c>
      <c r="E1228" t="s">
        <v>50</v>
      </c>
      <c r="F1228">
        <v>6</v>
      </c>
      <c r="G1228">
        <v>0.22860424801127616</v>
      </c>
      <c r="H1228" t="s">
        <v>100</v>
      </c>
      <c r="I1228">
        <v>0</v>
      </c>
      <c r="J1228">
        <v>900</v>
      </c>
      <c r="K1228">
        <v>0</v>
      </c>
    </row>
    <row r="1229" spans="1:11" x14ac:dyDescent="0.2">
      <c r="A1229" t="s">
        <v>16</v>
      </c>
      <c r="B1229" t="s">
        <v>482</v>
      </c>
      <c r="C1229">
        <v>300</v>
      </c>
      <c r="D1229" t="s">
        <v>9604</v>
      </c>
      <c r="E1229" t="s">
        <v>50</v>
      </c>
      <c r="F1229">
        <v>6</v>
      </c>
      <c r="G1229">
        <v>0.22860424801127616</v>
      </c>
      <c r="H1229" t="s">
        <v>91</v>
      </c>
      <c r="I1229">
        <v>0</v>
      </c>
      <c r="J1229">
        <v>900</v>
      </c>
      <c r="K1229">
        <v>0</v>
      </c>
    </row>
    <row r="1230" spans="1:11" x14ac:dyDescent="0.2">
      <c r="A1230" t="s">
        <v>16</v>
      </c>
      <c r="B1230" t="s">
        <v>482</v>
      </c>
      <c r="C1230">
        <v>300</v>
      </c>
      <c r="D1230" t="s">
        <v>9603</v>
      </c>
      <c r="E1230" t="s">
        <v>50</v>
      </c>
      <c r="F1230">
        <v>6</v>
      </c>
      <c r="G1230">
        <v>0.22860424801127616</v>
      </c>
      <c r="H1230" t="s">
        <v>89</v>
      </c>
      <c r="I1230">
        <v>0</v>
      </c>
      <c r="J1230">
        <v>900</v>
      </c>
      <c r="K1230">
        <v>0</v>
      </c>
    </row>
    <row r="1231" spans="1:11" x14ac:dyDescent="0.2">
      <c r="A1231" t="s">
        <v>16</v>
      </c>
      <c r="B1231" t="s">
        <v>482</v>
      </c>
      <c r="C1231">
        <v>300</v>
      </c>
      <c r="D1231" t="s">
        <v>9628</v>
      </c>
      <c r="E1231" t="s">
        <v>50</v>
      </c>
      <c r="F1231">
        <v>6</v>
      </c>
      <c r="G1231">
        <v>0.22860424801127616</v>
      </c>
      <c r="H1231" t="s">
        <v>87</v>
      </c>
      <c r="I1231">
        <v>0</v>
      </c>
      <c r="J1231">
        <v>900</v>
      </c>
      <c r="K1231">
        <v>0</v>
      </c>
    </row>
    <row r="1232" spans="1:11" x14ac:dyDescent="0.2">
      <c r="A1232" t="s">
        <v>16</v>
      </c>
      <c r="B1232" t="s">
        <v>482</v>
      </c>
      <c r="C1232">
        <v>300</v>
      </c>
      <c r="D1232" t="s">
        <v>9585</v>
      </c>
      <c r="E1232" t="s">
        <v>50</v>
      </c>
      <c r="F1232">
        <v>6</v>
      </c>
      <c r="G1232">
        <v>0.22860424801127616</v>
      </c>
      <c r="H1232" t="s">
        <v>96</v>
      </c>
      <c r="I1232">
        <v>0</v>
      </c>
      <c r="J1232">
        <v>900</v>
      </c>
      <c r="K1232">
        <v>0</v>
      </c>
    </row>
    <row r="1233" spans="1:11" x14ac:dyDescent="0.2">
      <c r="A1233" t="s">
        <v>16</v>
      </c>
      <c r="B1233" t="s">
        <v>482</v>
      </c>
      <c r="C1233">
        <v>300</v>
      </c>
      <c r="D1233" t="s">
        <v>9587</v>
      </c>
      <c r="E1233" t="s">
        <v>50</v>
      </c>
      <c r="F1233">
        <v>6</v>
      </c>
      <c r="G1233">
        <v>0.22860424801127616</v>
      </c>
      <c r="H1233" t="s">
        <v>90</v>
      </c>
      <c r="I1233">
        <v>0</v>
      </c>
      <c r="J1233">
        <v>900</v>
      </c>
      <c r="K1233">
        <v>0</v>
      </c>
    </row>
    <row r="1234" spans="1:11" x14ac:dyDescent="0.2">
      <c r="A1234" t="s">
        <v>16</v>
      </c>
      <c r="B1234" t="s">
        <v>482</v>
      </c>
      <c r="C1234">
        <v>300</v>
      </c>
      <c r="D1234" t="s">
        <v>9626</v>
      </c>
      <c r="E1234" t="s">
        <v>50</v>
      </c>
      <c r="F1234">
        <v>6</v>
      </c>
      <c r="G1234">
        <v>0.22860424801127616</v>
      </c>
      <c r="H1234" t="s">
        <v>100</v>
      </c>
      <c r="I1234">
        <v>0</v>
      </c>
      <c r="J1234">
        <v>900</v>
      </c>
      <c r="K1234">
        <v>0</v>
      </c>
    </row>
    <row r="1235" spans="1:11" x14ac:dyDescent="0.2">
      <c r="A1235" t="s">
        <v>16</v>
      </c>
      <c r="B1235" t="s">
        <v>482</v>
      </c>
      <c r="C1235">
        <v>300</v>
      </c>
      <c r="D1235" t="s">
        <v>9609</v>
      </c>
      <c r="E1235" t="s">
        <v>50</v>
      </c>
      <c r="F1235">
        <v>6</v>
      </c>
      <c r="G1235">
        <v>0.22860424801127616</v>
      </c>
      <c r="H1235" t="s">
        <v>91</v>
      </c>
      <c r="I1235">
        <v>0</v>
      </c>
      <c r="J1235">
        <v>900</v>
      </c>
      <c r="K1235">
        <v>0</v>
      </c>
    </row>
    <row r="1236" spans="1:11" x14ac:dyDescent="0.2">
      <c r="A1236" t="s">
        <v>16</v>
      </c>
      <c r="B1236" t="s">
        <v>482</v>
      </c>
      <c r="C1236">
        <v>300</v>
      </c>
      <c r="D1236" t="s">
        <v>9615</v>
      </c>
      <c r="E1236" t="s">
        <v>50</v>
      </c>
      <c r="F1236">
        <v>6</v>
      </c>
      <c r="G1236">
        <v>0.22860424801127616</v>
      </c>
      <c r="H1236" t="s">
        <v>89</v>
      </c>
      <c r="I1236">
        <v>0</v>
      </c>
      <c r="J1236">
        <v>900</v>
      </c>
      <c r="K1236">
        <v>0</v>
      </c>
    </row>
    <row r="1237" spans="1:11" x14ac:dyDescent="0.2">
      <c r="A1237" t="s">
        <v>16</v>
      </c>
      <c r="B1237" t="s">
        <v>482</v>
      </c>
      <c r="C1237">
        <v>300</v>
      </c>
      <c r="D1237" t="s">
        <v>9606</v>
      </c>
      <c r="E1237" t="s">
        <v>50</v>
      </c>
      <c r="F1237">
        <v>6</v>
      </c>
      <c r="G1237">
        <v>0.22860424801127616</v>
      </c>
      <c r="H1237" t="s">
        <v>87</v>
      </c>
      <c r="I1237">
        <v>0</v>
      </c>
      <c r="J1237">
        <v>900</v>
      </c>
      <c r="K1237">
        <v>0</v>
      </c>
    </row>
    <row r="1238" spans="1:11" x14ac:dyDescent="0.2">
      <c r="A1238" t="s">
        <v>16</v>
      </c>
      <c r="B1238" t="s">
        <v>482</v>
      </c>
      <c r="C1238">
        <v>300</v>
      </c>
      <c r="D1238" t="s">
        <v>9617</v>
      </c>
      <c r="E1238" t="s">
        <v>50</v>
      </c>
      <c r="F1238">
        <v>6</v>
      </c>
      <c r="G1238">
        <v>0.22860424801127616</v>
      </c>
      <c r="H1238" t="s">
        <v>96</v>
      </c>
      <c r="I1238">
        <v>0</v>
      </c>
      <c r="J1238">
        <v>900</v>
      </c>
      <c r="K1238">
        <v>0</v>
      </c>
    </row>
    <row r="1239" spans="1:11" x14ac:dyDescent="0.2">
      <c r="A1239" t="s">
        <v>16</v>
      </c>
      <c r="B1239" t="s">
        <v>482</v>
      </c>
      <c r="C1239">
        <v>300</v>
      </c>
      <c r="D1239" t="s">
        <v>9611</v>
      </c>
      <c r="E1239" t="s">
        <v>50</v>
      </c>
      <c r="F1239">
        <v>6</v>
      </c>
      <c r="G1239">
        <v>0.22860424801127616</v>
      </c>
      <c r="H1239" t="s">
        <v>90</v>
      </c>
      <c r="I1239">
        <v>0</v>
      </c>
      <c r="J1239">
        <v>900</v>
      </c>
      <c r="K1239">
        <v>0</v>
      </c>
    </row>
    <row r="1240" spans="1:11" x14ac:dyDescent="0.2">
      <c r="A1240" t="s">
        <v>16</v>
      </c>
      <c r="B1240" t="s">
        <v>482</v>
      </c>
      <c r="C1240">
        <v>300</v>
      </c>
      <c r="D1240" t="s">
        <v>9607</v>
      </c>
      <c r="E1240" t="s">
        <v>50</v>
      </c>
      <c r="F1240">
        <v>6</v>
      </c>
      <c r="G1240">
        <v>0.22860424801127616</v>
      </c>
      <c r="H1240" t="s">
        <v>100</v>
      </c>
      <c r="I1240">
        <v>0</v>
      </c>
      <c r="J1240">
        <v>900</v>
      </c>
      <c r="K1240">
        <v>0</v>
      </c>
    </row>
    <row r="1241" spans="1:11" x14ac:dyDescent="0.2">
      <c r="A1241" t="s">
        <v>16</v>
      </c>
      <c r="B1241" t="s">
        <v>482</v>
      </c>
      <c r="C1241">
        <v>300</v>
      </c>
      <c r="D1241" t="s">
        <v>9621</v>
      </c>
      <c r="E1241" t="s">
        <v>50</v>
      </c>
      <c r="F1241">
        <v>6</v>
      </c>
      <c r="G1241">
        <v>0.22860424801127616</v>
      </c>
      <c r="H1241" t="s">
        <v>91</v>
      </c>
      <c r="I1241">
        <v>0</v>
      </c>
      <c r="J1241">
        <v>900</v>
      </c>
      <c r="K1241">
        <v>0</v>
      </c>
    </row>
    <row r="1242" spans="1:11" x14ac:dyDescent="0.2">
      <c r="A1242" t="s">
        <v>16</v>
      </c>
      <c r="B1242" t="s">
        <v>482</v>
      </c>
      <c r="C1242">
        <v>300</v>
      </c>
      <c r="D1242" t="s">
        <v>9597</v>
      </c>
      <c r="E1242" t="s">
        <v>50</v>
      </c>
      <c r="F1242">
        <v>6</v>
      </c>
      <c r="G1242">
        <v>0.22860424801127616</v>
      </c>
      <c r="H1242" t="s">
        <v>89</v>
      </c>
      <c r="I1242">
        <v>0</v>
      </c>
      <c r="J1242">
        <v>900</v>
      </c>
      <c r="K1242">
        <v>0</v>
      </c>
    </row>
    <row r="1243" spans="1:11" x14ac:dyDescent="0.2">
      <c r="A1243" t="s">
        <v>16</v>
      </c>
      <c r="B1243" t="s">
        <v>482</v>
      </c>
      <c r="C1243">
        <v>300</v>
      </c>
      <c r="D1243" t="s">
        <v>9602</v>
      </c>
      <c r="E1243" t="s">
        <v>50</v>
      </c>
      <c r="F1243">
        <v>6</v>
      </c>
      <c r="G1243">
        <v>0.22860424801127616</v>
      </c>
      <c r="H1243" t="s">
        <v>87</v>
      </c>
      <c r="I1243">
        <v>0</v>
      </c>
      <c r="J1243">
        <v>900</v>
      </c>
      <c r="K1243">
        <v>0</v>
      </c>
    </row>
    <row r="1244" spans="1:11" x14ac:dyDescent="0.2">
      <c r="A1244" t="s">
        <v>16</v>
      </c>
      <c r="B1244" t="s">
        <v>482</v>
      </c>
      <c r="C1244">
        <v>300</v>
      </c>
      <c r="D1244" t="s">
        <v>9601</v>
      </c>
      <c r="E1244" t="s">
        <v>50</v>
      </c>
      <c r="F1244">
        <v>6</v>
      </c>
      <c r="G1244">
        <v>0.22860424801127616</v>
      </c>
      <c r="H1244" t="s">
        <v>96</v>
      </c>
      <c r="I1244">
        <v>0</v>
      </c>
      <c r="J1244">
        <v>900</v>
      </c>
      <c r="K1244">
        <v>0</v>
      </c>
    </row>
    <row r="1245" spans="1:11" x14ac:dyDescent="0.2">
      <c r="A1245" t="s">
        <v>16</v>
      </c>
      <c r="B1245" t="s">
        <v>482</v>
      </c>
      <c r="C1245">
        <v>300</v>
      </c>
      <c r="D1245" t="s">
        <v>9600</v>
      </c>
      <c r="E1245" t="s">
        <v>50</v>
      </c>
      <c r="F1245">
        <v>6</v>
      </c>
      <c r="G1245">
        <v>0.22860424801127616</v>
      </c>
      <c r="H1245" t="s">
        <v>90</v>
      </c>
      <c r="I1245">
        <v>0</v>
      </c>
      <c r="J1245">
        <v>900</v>
      </c>
      <c r="K1245">
        <v>0</v>
      </c>
    </row>
    <row r="1246" spans="1:11" x14ac:dyDescent="0.2">
      <c r="A1246" t="s">
        <v>16</v>
      </c>
      <c r="B1246" t="s">
        <v>482</v>
      </c>
      <c r="C1246">
        <v>300</v>
      </c>
      <c r="D1246" t="s">
        <v>9627</v>
      </c>
      <c r="E1246" t="s">
        <v>50</v>
      </c>
      <c r="F1246">
        <v>6</v>
      </c>
      <c r="G1246">
        <v>0.22860424801127616</v>
      </c>
      <c r="H1246" t="s">
        <v>100</v>
      </c>
      <c r="I1246">
        <v>0</v>
      </c>
      <c r="J1246">
        <v>900</v>
      </c>
      <c r="K1246">
        <v>0</v>
      </c>
    </row>
    <row r="1247" spans="1:11" x14ac:dyDescent="0.2">
      <c r="A1247" t="s">
        <v>16</v>
      </c>
      <c r="B1247" t="s">
        <v>482</v>
      </c>
      <c r="C1247">
        <v>300</v>
      </c>
      <c r="D1247" t="s">
        <v>9612</v>
      </c>
      <c r="E1247" t="s">
        <v>50</v>
      </c>
      <c r="F1247">
        <v>6</v>
      </c>
      <c r="G1247">
        <v>0.22860424801127616</v>
      </c>
      <c r="H1247" t="s">
        <v>91</v>
      </c>
      <c r="I1247">
        <v>0</v>
      </c>
      <c r="J1247">
        <v>900</v>
      </c>
      <c r="K1247">
        <v>0</v>
      </c>
    </row>
    <row r="1248" spans="1:11" x14ac:dyDescent="0.2">
      <c r="A1248" t="s">
        <v>16</v>
      </c>
      <c r="B1248" t="s">
        <v>482</v>
      </c>
      <c r="C1248">
        <v>300</v>
      </c>
      <c r="D1248" t="s">
        <v>9589</v>
      </c>
      <c r="E1248" t="s">
        <v>50</v>
      </c>
      <c r="F1248">
        <v>6</v>
      </c>
      <c r="G1248">
        <v>0.22860424801127616</v>
      </c>
      <c r="H1248" t="s">
        <v>89</v>
      </c>
      <c r="I1248">
        <v>0</v>
      </c>
      <c r="J1248">
        <v>900</v>
      </c>
      <c r="K1248">
        <v>0</v>
      </c>
    </row>
    <row r="1249" spans="1:11" x14ac:dyDescent="0.2">
      <c r="A1249" t="s">
        <v>16</v>
      </c>
      <c r="B1249" t="s">
        <v>482</v>
      </c>
      <c r="C1249">
        <v>300</v>
      </c>
      <c r="D1249" t="s">
        <v>9629</v>
      </c>
      <c r="E1249" t="s">
        <v>50</v>
      </c>
      <c r="F1249">
        <v>6</v>
      </c>
      <c r="G1249">
        <v>0.22860424801127616</v>
      </c>
      <c r="H1249" t="s">
        <v>87</v>
      </c>
      <c r="I1249">
        <v>0</v>
      </c>
      <c r="J1249">
        <v>900</v>
      </c>
      <c r="K1249">
        <v>0</v>
      </c>
    </row>
    <row r="1250" spans="1:11" x14ac:dyDescent="0.2">
      <c r="A1250" t="s">
        <v>16</v>
      </c>
      <c r="B1250" t="s">
        <v>482</v>
      </c>
      <c r="C1250">
        <v>300</v>
      </c>
      <c r="D1250" t="s">
        <v>9582</v>
      </c>
      <c r="E1250" t="s">
        <v>50</v>
      </c>
      <c r="F1250">
        <v>6</v>
      </c>
      <c r="G1250">
        <v>0.22860424801127616</v>
      </c>
      <c r="H1250" t="s">
        <v>96</v>
      </c>
      <c r="I1250">
        <v>0</v>
      </c>
      <c r="J1250">
        <v>900</v>
      </c>
      <c r="K1250">
        <v>0</v>
      </c>
    </row>
    <row r="1251" spans="1:11" x14ac:dyDescent="0.2">
      <c r="A1251" t="s">
        <v>16</v>
      </c>
      <c r="B1251" t="s">
        <v>482</v>
      </c>
      <c r="C1251">
        <v>300</v>
      </c>
      <c r="D1251" t="s">
        <v>9625</v>
      </c>
      <c r="E1251" t="s">
        <v>50</v>
      </c>
      <c r="F1251">
        <v>6</v>
      </c>
      <c r="G1251">
        <v>0.22860424801127616</v>
      </c>
      <c r="H1251" t="s">
        <v>90</v>
      </c>
      <c r="I1251">
        <v>0</v>
      </c>
      <c r="J1251">
        <v>900</v>
      </c>
      <c r="K1251">
        <v>0</v>
      </c>
    </row>
    <row r="1252" spans="1:11" x14ac:dyDescent="0.2">
      <c r="A1252" t="s">
        <v>16</v>
      </c>
      <c r="B1252" t="s">
        <v>482</v>
      </c>
      <c r="C1252">
        <v>300</v>
      </c>
      <c r="D1252" t="s">
        <v>9583</v>
      </c>
      <c r="E1252" t="s">
        <v>50</v>
      </c>
      <c r="F1252">
        <v>6</v>
      </c>
      <c r="G1252">
        <v>0.22860424801127616</v>
      </c>
      <c r="H1252" t="s">
        <v>100</v>
      </c>
      <c r="I1252">
        <v>0</v>
      </c>
      <c r="J1252">
        <v>900</v>
      </c>
      <c r="K1252">
        <v>0</v>
      </c>
    </row>
    <row r="1253" spans="1:11" x14ac:dyDescent="0.2">
      <c r="A1253" t="s">
        <v>16</v>
      </c>
      <c r="B1253" t="s">
        <v>482</v>
      </c>
      <c r="C1253">
        <v>300</v>
      </c>
      <c r="D1253" t="s">
        <v>9614</v>
      </c>
      <c r="E1253" t="s">
        <v>50</v>
      </c>
      <c r="F1253">
        <v>6</v>
      </c>
      <c r="G1253">
        <v>0.22860424801127616</v>
      </c>
      <c r="H1253" t="s">
        <v>91</v>
      </c>
      <c r="I1253">
        <v>0</v>
      </c>
      <c r="J1253">
        <v>900</v>
      </c>
      <c r="K1253">
        <v>0</v>
      </c>
    </row>
    <row r="1254" spans="1:11" x14ac:dyDescent="0.2">
      <c r="A1254" t="s">
        <v>16</v>
      </c>
      <c r="B1254" t="s">
        <v>482</v>
      </c>
      <c r="C1254">
        <v>300</v>
      </c>
      <c r="D1254" t="s">
        <v>9595</v>
      </c>
      <c r="E1254" t="s">
        <v>50</v>
      </c>
      <c r="F1254">
        <v>6</v>
      </c>
      <c r="G1254">
        <v>0.22860424801127616</v>
      </c>
      <c r="H1254" t="s">
        <v>89</v>
      </c>
      <c r="I1254">
        <v>0</v>
      </c>
      <c r="J1254">
        <v>900</v>
      </c>
      <c r="K1254">
        <v>0</v>
      </c>
    </row>
    <row r="1255" spans="1:11" x14ac:dyDescent="0.2">
      <c r="A1255" t="s">
        <v>16</v>
      </c>
      <c r="B1255" t="s">
        <v>482</v>
      </c>
      <c r="C1255">
        <v>300</v>
      </c>
      <c r="D1255" t="s">
        <v>9599</v>
      </c>
      <c r="E1255" t="s">
        <v>50</v>
      </c>
      <c r="F1255">
        <v>6</v>
      </c>
      <c r="G1255">
        <v>0.22860424801127616</v>
      </c>
      <c r="H1255" t="s">
        <v>87</v>
      </c>
      <c r="I1255">
        <v>0</v>
      </c>
      <c r="J1255">
        <v>900</v>
      </c>
      <c r="K1255">
        <v>0</v>
      </c>
    </row>
    <row r="1256" spans="1:11" x14ac:dyDescent="0.2">
      <c r="A1256" t="s">
        <v>16</v>
      </c>
      <c r="B1256" t="s">
        <v>482</v>
      </c>
      <c r="C1256">
        <v>300</v>
      </c>
      <c r="D1256" t="s">
        <v>9586</v>
      </c>
      <c r="E1256" t="s">
        <v>50</v>
      </c>
      <c r="F1256">
        <v>6</v>
      </c>
      <c r="G1256">
        <v>0.22860424801127616</v>
      </c>
      <c r="H1256" t="s">
        <v>96</v>
      </c>
      <c r="I1256">
        <v>0</v>
      </c>
      <c r="J1256">
        <v>900</v>
      </c>
      <c r="K1256">
        <v>0</v>
      </c>
    </row>
    <row r="1257" spans="1:11" x14ac:dyDescent="0.2">
      <c r="A1257" t="s">
        <v>16</v>
      </c>
      <c r="B1257" t="s">
        <v>482</v>
      </c>
      <c r="C1257">
        <v>300</v>
      </c>
      <c r="D1257" t="s">
        <v>9624</v>
      </c>
      <c r="E1257" t="s">
        <v>50</v>
      </c>
      <c r="F1257">
        <v>6</v>
      </c>
      <c r="G1257">
        <v>0.22860424801127616</v>
      </c>
      <c r="H1257" t="s">
        <v>90</v>
      </c>
      <c r="I1257">
        <v>0</v>
      </c>
      <c r="J1257">
        <v>900</v>
      </c>
      <c r="K1257">
        <v>0</v>
      </c>
    </row>
    <row r="1258" spans="1:11" x14ac:dyDescent="0.2">
      <c r="A1258" t="s">
        <v>16</v>
      </c>
      <c r="B1258" t="s">
        <v>482</v>
      </c>
      <c r="C1258">
        <v>300</v>
      </c>
      <c r="D1258" t="s">
        <v>9623</v>
      </c>
      <c r="E1258" t="s">
        <v>50</v>
      </c>
      <c r="F1258">
        <v>6</v>
      </c>
      <c r="G1258">
        <v>0.22860424801127616</v>
      </c>
      <c r="H1258" t="s">
        <v>100</v>
      </c>
      <c r="I1258">
        <v>0</v>
      </c>
      <c r="J1258">
        <v>900</v>
      </c>
      <c r="K1258">
        <v>0</v>
      </c>
    </row>
    <row r="1259" spans="1:11" x14ac:dyDescent="0.2">
      <c r="A1259" t="s">
        <v>16</v>
      </c>
      <c r="B1259" t="s">
        <v>482</v>
      </c>
      <c r="C1259">
        <v>300</v>
      </c>
      <c r="D1259" t="s">
        <v>9605</v>
      </c>
      <c r="E1259" t="s">
        <v>50</v>
      </c>
      <c r="F1259">
        <v>6</v>
      </c>
      <c r="G1259">
        <v>0.22860424801127616</v>
      </c>
      <c r="H1259" t="s">
        <v>91</v>
      </c>
      <c r="I1259">
        <v>0</v>
      </c>
      <c r="J1259">
        <v>900</v>
      </c>
      <c r="K1259">
        <v>0</v>
      </c>
    </row>
    <row r="1260" spans="1:11" x14ac:dyDescent="0.2">
      <c r="A1260" t="s">
        <v>16</v>
      </c>
      <c r="B1260" t="s">
        <v>482</v>
      </c>
      <c r="C1260">
        <v>300</v>
      </c>
      <c r="D1260" t="s">
        <v>9620</v>
      </c>
      <c r="E1260" t="s">
        <v>50</v>
      </c>
      <c r="F1260">
        <v>6</v>
      </c>
      <c r="G1260">
        <v>0.22860424801127616</v>
      </c>
      <c r="H1260" t="s">
        <v>89</v>
      </c>
      <c r="I1260">
        <v>0</v>
      </c>
      <c r="J1260">
        <v>900</v>
      </c>
      <c r="K1260">
        <v>0</v>
      </c>
    </row>
    <row r="1261" spans="1:11" x14ac:dyDescent="0.2">
      <c r="A1261" t="s">
        <v>16</v>
      </c>
      <c r="B1261" t="s">
        <v>482</v>
      </c>
      <c r="C1261">
        <v>300</v>
      </c>
      <c r="D1261" t="s">
        <v>9616</v>
      </c>
      <c r="E1261" t="s">
        <v>50</v>
      </c>
      <c r="F1261">
        <v>6</v>
      </c>
      <c r="G1261">
        <v>0.22860424801127616</v>
      </c>
      <c r="H1261" t="s">
        <v>87</v>
      </c>
      <c r="I1261">
        <v>0</v>
      </c>
      <c r="J1261">
        <v>900</v>
      </c>
      <c r="K1261">
        <v>0</v>
      </c>
    </row>
    <row r="1262" spans="1:11" x14ac:dyDescent="0.2">
      <c r="A1262" t="s">
        <v>16</v>
      </c>
      <c r="B1262" t="s">
        <v>482</v>
      </c>
      <c r="C1262">
        <v>300</v>
      </c>
      <c r="D1262" t="s">
        <v>9619</v>
      </c>
      <c r="E1262" t="s">
        <v>50</v>
      </c>
      <c r="F1262">
        <v>6</v>
      </c>
      <c r="G1262">
        <v>0.22860424801127616</v>
      </c>
      <c r="H1262" t="s">
        <v>96</v>
      </c>
      <c r="I1262">
        <v>0</v>
      </c>
      <c r="J1262">
        <v>900</v>
      </c>
      <c r="K1262">
        <v>0</v>
      </c>
    </row>
    <row r="1263" spans="1:11" x14ac:dyDescent="0.2">
      <c r="A1263" t="s">
        <v>16</v>
      </c>
      <c r="B1263" t="s">
        <v>482</v>
      </c>
      <c r="C1263">
        <v>300</v>
      </c>
      <c r="D1263" t="s">
        <v>9622</v>
      </c>
      <c r="E1263" t="s">
        <v>50</v>
      </c>
      <c r="F1263">
        <v>6</v>
      </c>
      <c r="G1263">
        <v>0.22860424801127616</v>
      </c>
      <c r="H1263" t="s">
        <v>90</v>
      </c>
      <c r="I1263">
        <v>0</v>
      </c>
      <c r="J1263">
        <v>900</v>
      </c>
      <c r="K1263">
        <v>0</v>
      </c>
    </row>
    <row r="1264" spans="1:11" x14ac:dyDescent="0.2">
      <c r="A1264" t="s">
        <v>16</v>
      </c>
      <c r="B1264" t="s">
        <v>482</v>
      </c>
      <c r="C1264">
        <v>300</v>
      </c>
      <c r="D1264" t="s">
        <v>9598</v>
      </c>
      <c r="E1264" t="s">
        <v>50</v>
      </c>
      <c r="F1264">
        <v>6</v>
      </c>
      <c r="G1264">
        <v>0.22860424801127616</v>
      </c>
      <c r="H1264" t="s">
        <v>100</v>
      </c>
      <c r="I1264">
        <v>0</v>
      </c>
      <c r="J1264">
        <v>900</v>
      </c>
      <c r="K1264">
        <v>0</v>
      </c>
    </row>
    <row r="1265" spans="1:11" x14ac:dyDescent="0.2">
      <c r="A1265" t="s">
        <v>16</v>
      </c>
      <c r="B1265" t="s">
        <v>482</v>
      </c>
      <c r="C1265">
        <v>300</v>
      </c>
      <c r="D1265" t="s">
        <v>9590</v>
      </c>
      <c r="E1265" t="s">
        <v>50</v>
      </c>
      <c r="F1265">
        <v>6</v>
      </c>
      <c r="G1265">
        <v>0.22860424801127616</v>
      </c>
      <c r="H1265" t="s">
        <v>91</v>
      </c>
      <c r="I1265">
        <v>0</v>
      </c>
      <c r="J1265">
        <v>900</v>
      </c>
      <c r="K1265">
        <v>0</v>
      </c>
    </row>
    <row r="1266" spans="1:11" x14ac:dyDescent="0.2">
      <c r="A1266" t="s">
        <v>16</v>
      </c>
      <c r="B1266" t="s">
        <v>482</v>
      </c>
      <c r="C1266">
        <v>300</v>
      </c>
      <c r="D1266" t="s">
        <v>9608</v>
      </c>
      <c r="E1266" t="s">
        <v>50</v>
      </c>
      <c r="F1266">
        <v>6</v>
      </c>
      <c r="G1266">
        <v>0.22860424801127616</v>
      </c>
      <c r="H1266" t="s">
        <v>89</v>
      </c>
      <c r="I1266">
        <v>0</v>
      </c>
      <c r="J1266">
        <v>900</v>
      </c>
      <c r="K1266">
        <v>0</v>
      </c>
    </row>
    <row r="1267" spans="1:11" x14ac:dyDescent="0.2">
      <c r="A1267" t="s">
        <v>16</v>
      </c>
      <c r="B1267" t="s">
        <v>482</v>
      </c>
      <c r="C1267">
        <v>300</v>
      </c>
      <c r="D1267" t="s">
        <v>9596</v>
      </c>
      <c r="E1267" t="s">
        <v>50</v>
      </c>
      <c r="F1267">
        <v>6</v>
      </c>
      <c r="G1267">
        <v>0.22860424801127616</v>
      </c>
      <c r="H1267" t="s">
        <v>87</v>
      </c>
      <c r="I1267">
        <v>0</v>
      </c>
      <c r="J1267">
        <v>900</v>
      </c>
      <c r="K1267">
        <v>0</v>
      </c>
    </row>
    <row r="1268" spans="1:11" x14ac:dyDescent="0.2">
      <c r="A1268" t="s">
        <v>16</v>
      </c>
      <c r="B1268" t="s">
        <v>482</v>
      </c>
      <c r="C1268">
        <v>300</v>
      </c>
      <c r="D1268" t="s">
        <v>9588</v>
      </c>
      <c r="E1268" t="s">
        <v>50</v>
      </c>
      <c r="F1268">
        <v>6</v>
      </c>
      <c r="G1268">
        <v>0.22860424801127616</v>
      </c>
      <c r="H1268" t="s">
        <v>96</v>
      </c>
      <c r="I1268">
        <v>0</v>
      </c>
      <c r="J1268">
        <v>900</v>
      </c>
      <c r="K1268">
        <v>0</v>
      </c>
    </row>
    <row r="1269" spans="1:11" x14ac:dyDescent="0.2">
      <c r="A1269" t="s">
        <v>16</v>
      </c>
      <c r="B1269" t="s">
        <v>482</v>
      </c>
      <c r="C1269">
        <v>300</v>
      </c>
      <c r="D1269" t="s">
        <v>9593</v>
      </c>
      <c r="E1269" t="s">
        <v>50</v>
      </c>
      <c r="F1269">
        <v>6</v>
      </c>
      <c r="G1269">
        <v>0.22860424801127616</v>
      </c>
      <c r="H1269" t="s">
        <v>90</v>
      </c>
      <c r="I1269">
        <v>0</v>
      </c>
      <c r="J1269">
        <v>900</v>
      </c>
      <c r="K1269">
        <v>0</v>
      </c>
    </row>
    <row r="1270" spans="1:11" x14ac:dyDescent="0.2">
      <c r="A1270" t="s">
        <v>16</v>
      </c>
      <c r="B1270" t="s">
        <v>482</v>
      </c>
      <c r="C1270">
        <v>300</v>
      </c>
      <c r="D1270" t="s">
        <v>9592</v>
      </c>
      <c r="E1270" t="s">
        <v>50</v>
      </c>
      <c r="F1270">
        <v>6</v>
      </c>
      <c r="G1270">
        <v>0.22860424801127616</v>
      </c>
      <c r="H1270" t="s">
        <v>100</v>
      </c>
      <c r="I1270">
        <v>0</v>
      </c>
      <c r="J1270">
        <v>900</v>
      </c>
      <c r="K1270">
        <v>0</v>
      </c>
    </row>
    <row r="1271" spans="1:11" x14ac:dyDescent="0.2">
      <c r="A1271" t="s">
        <v>16</v>
      </c>
      <c r="B1271" t="s">
        <v>482</v>
      </c>
      <c r="C1271">
        <v>300</v>
      </c>
      <c r="D1271" t="s">
        <v>9594</v>
      </c>
      <c r="E1271" t="s">
        <v>50</v>
      </c>
      <c r="F1271">
        <v>6</v>
      </c>
      <c r="G1271">
        <v>0.22860424801127616</v>
      </c>
      <c r="H1271" t="s">
        <v>91</v>
      </c>
      <c r="I1271">
        <v>0</v>
      </c>
      <c r="J1271">
        <v>900</v>
      </c>
      <c r="K1271">
        <v>0</v>
      </c>
    </row>
    <row r="1272" spans="1:11" x14ac:dyDescent="0.2">
      <c r="A1272" t="s">
        <v>16</v>
      </c>
      <c r="B1272" t="s">
        <v>482</v>
      </c>
      <c r="C1272">
        <v>300</v>
      </c>
      <c r="D1272" t="s">
        <v>9618</v>
      </c>
      <c r="E1272" t="s">
        <v>50</v>
      </c>
      <c r="F1272">
        <v>6</v>
      </c>
      <c r="G1272">
        <v>0.22860424801127616</v>
      </c>
      <c r="H1272" t="s">
        <v>89</v>
      </c>
      <c r="I1272">
        <v>0</v>
      </c>
      <c r="J1272">
        <v>900</v>
      </c>
      <c r="K1272">
        <v>0</v>
      </c>
    </row>
    <row r="1273" spans="1:11" x14ac:dyDescent="0.2">
      <c r="A1273" t="s">
        <v>16</v>
      </c>
      <c r="B1273" t="s">
        <v>1003</v>
      </c>
      <c r="C1273">
        <v>100</v>
      </c>
      <c r="D1273" t="s">
        <v>9769</v>
      </c>
      <c r="E1273" t="s">
        <v>50</v>
      </c>
      <c r="F1273">
        <v>2</v>
      </c>
      <c r="G1273">
        <v>0.16591267126012443</v>
      </c>
      <c r="H1273" t="s">
        <v>93</v>
      </c>
      <c r="I1273">
        <v>0</v>
      </c>
      <c r="J1273">
        <v>900</v>
      </c>
      <c r="K1273">
        <v>0</v>
      </c>
    </row>
    <row r="1274" spans="1:11" x14ac:dyDescent="0.2">
      <c r="A1274" t="s">
        <v>16</v>
      </c>
      <c r="B1274" t="s">
        <v>752</v>
      </c>
      <c r="C1274">
        <v>300</v>
      </c>
      <c r="D1274" t="s">
        <v>9990</v>
      </c>
      <c r="E1274" t="s">
        <v>50</v>
      </c>
      <c r="F1274">
        <v>6</v>
      </c>
      <c r="G1274">
        <v>0.30716753022452503</v>
      </c>
      <c r="H1274" t="s">
        <v>95</v>
      </c>
      <c r="I1274">
        <v>0</v>
      </c>
      <c r="J1274">
        <v>900</v>
      </c>
      <c r="K1274">
        <v>0</v>
      </c>
    </row>
    <row r="1275" spans="1:11" x14ac:dyDescent="0.2">
      <c r="A1275" t="s">
        <v>16</v>
      </c>
      <c r="B1275" t="s">
        <v>697</v>
      </c>
      <c r="C1275">
        <v>300</v>
      </c>
      <c r="D1275" t="s">
        <v>9991</v>
      </c>
      <c r="E1275" t="s">
        <v>50</v>
      </c>
      <c r="F1275">
        <v>6</v>
      </c>
      <c r="G1275">
        <v>0.31191637247182924</v>
      </c>
      <c r="H1275" t="s">
        <v>84</v>
      </c>
      <c r="I1275">
        <v>0</v>
      </c>
      <c r="J1275">
        <v>900</v>
      </c>
      <c r="K1275">
        <v>0</v>
      </c>
    </row>
    <row r="1276" spans="1:11" x14ac:dyDescent="0.2">
      <c r="A1276" t="s">
        <v>16</v>
      </c>
      <c r="B1276" t="s">
        <v>5014</v>
      </c>
      <c r="C1276">
        <v>60</v>
      </c>
      <c r="D1276" t="s">
        <v>10160</v>
      </c>
      <c r="E1276" t="s">
        <v>50</v>
      </c>
      <c r="F1276">
        <v>1</v>
      </c>
      <c r="G1276">
        <v>0.14839326080239384</v>
      </c>
      <c r="H1276" t="s">
        <v>98</v>
      </c>
      <c r="I1276">
        <v>0</v>
      </c>
      <c r="J1276">
        <v>900</v>
      </c>
      <c r="K1276">
        <v>0</v>
      </c>
    </row>
    <row r="1277" spans="1:11" x14ac:dyDescent="0.2">
      <c r="A1277" t="s">
        <v>16</v>
      </c>
      <c r="B1277" t="s">
        <v>5020</v>
      </c>
      <c r="C1277">
        <v>60</v>
      </c>
      <c r="D1277" t="s">
        <v>10161</v>
      </c>
      <c r="E1277" t="s">
        <v>50</v>
      </c>
      <c r="F1277">
        <v>2</v>
      </c>
      <c r="G1277">
        <v>0.14839326080239384</v>
      </c>
      <c r="H1277" t="s">
        <v>104</v>
      </c>
      <c r="I1277">
        <v>0</v>
      </c>
      <c r="J1277">
        <v>900</v>
      </c>
      <c r="K1277">
        <v>0</v>
      </c>
    </row>
    <row r="1278" spans="1:11" x14ac:dyDescent="0.2">
      <c r="A1278" t="s">
        <v>16</v>
      </c>
      <c r="B1278" t="s">
        <v>4923</v>
      </c>
      <c r="C1278">
        <v>100</v>
      </c>
      <c r="D1278" t="s">
        <v>10163</v>
      </c>
      <c r="E1278" t="s">
        <v>50</v>
      </c>
      <c r="F1278">
        <v>4</v>
      </c>
      <c r="G1278">
        <v>0.12462695133149679</v>
      </c>
      <c r="H1278" t="s">
        <v>99</v>
      </c>
      <c r="I1278">
        <v>0</v>
      </c>
      <c r="J1278">
        <v>900</v>
      </c>
      <c r="K1278">
        <v>0</v>
      </c>
    </row>
    <row r="1279" spans="1:11" x14ac:dyDescent="0.2">
      <c r="A1279" t="s">
        <v>16</v>
      </c>
      <c r="B1279" t="s">
        <v>5658</v>
      </c>
      <c r="C1279">
        <v>900</v>
      </c>
      <c r="D1279" t="s">
        <v>10279</v>
      </c>
      <c r="E1279" t="s">
        <v>50</v>
      </c>
      <c r="F1279">
        <v>13</v>
      </c>
      <c r="G1279">
        <v>0.59211455840373695</v>
      </c>
      <c r="H1279" t="s">
        <v>97</v>
      </c>
      <c r="I1279">
        <v>0</v>
      </c>
      <c r="J1279">
        <v>900</v>
      </c>
      <c r="K1279">
        <v>0</v>
      </c>
    </row>
    <row r="1280" spans="1:11" x14ac:dyDescent="0.2">
      <c r="A1280" t="s">
        <v>16</v>
      </c>
      <c r="B1280" t="s">
        <v>5658</v>
      </c>
      <c r="C1280">
        <v>900</v>
      </c>
      <c r="D1280" t="s">
        <v>10281</v>
      </c>
      <c r="E1280" t="s">
        <v>50</v>
      </c>
      <c r="F1280">
        <v>13</v>
      </c>
      <c r="G1280">
        <v>0.59211455840373695</v>
      </c>
      <c r="H1280" t="s">
        <v>95</v>
      </c>
      <c r="I1280">
        <v>0</v>
      </c>
      <c r="J1280">
        <v>900</v>
      </c>
      <c r="K1280">
        <v>0</v>
      </c>
    </row>
    <row r="1281" spans="1:11" x14ac:dyDescent="0.2">
      <c r="A1281" t="s">
        <v>16</v>
      </c>
      <c r="B1281" t="s">
        <v>5658</v>
      </c>
      <c r="C1281">
        <v>900</v>
      </c>
      <c r="D1281" t="s">
        <v>10280</v>
      </c>
      <c r="E1281" t="s">
        <v>50</v>
      </c>
      <c r="F1281">
        <v>13</v>
      </c>
      <c r="G1281">
        <v>0.59211455840373695</v>
      </c>
      <c r="H1281" t="s">
        <v>84</v>
      </c>
      <c r="I1281">
        <v>0</v>
      </c>
      <c r="J1281">
        <v>900</v>
      </c>
      <c r="K1281">
        <v>0</v>
      </c>
    </row>
    <row r="1282" spans="1:11" x14ac:dyDescent="0.2">
      <c r="A1282" t="s">
        <v>16</v>
      </c>
      <c r="B1282" t="s">
        <v>5658</v>
      </c>
      <c r="C1282">
        <v>900</v>
      </c>
      <c r="D1282" t="s">
        <v>10277</v>
      </c>
      <c r="E1282" t="s">
        <v>50</v>
      </c>
      <c r="F1282">
        <v>13</v>
      </c>
      <c r="G1282">
        <v>0.59211455840373695</v>
      </c>
      <c r="H1282" t="s">
        <v>98</v>
      </c>
      <c r="I1282">
        <v>0</v>
      </c>
      <c r="J1282">
        <v>900</v>
      </c>
      <c r="K1282">
        <v>0</v>
      </c>
    </row>
    <row r="1283" spans="1:11" x14ac:dyDescent="0.2">
      <c r="A1283" t="s">
        <v>16</v>
      </c>
      <c r="B1283" t="s">
        <v>6025</v>
      </c>
      <c r="C1283">
        <v>900</v>
      </c>
      <c r="D1283" t="s">
        <v>10304</v>
      </c>
      <c r="E1283" t="s">
        <v>50</v>
      </c>
      <c r="F1283">
        <v>7</v>
      </c>
      <c r="G1283">
        <v>0.65168881794123179</v>
      </c>
      <c r="H1283" t="s">
        <v>104</v>
      </c>
      <c r="I1283">
        <v>0</v>
      </c>
      <c r="J1283">
        <v>900</v>
      </c>
      <c r="K1283">
        <v>0</v>
      </c>
    </row>
    <row r="1284" spans="1:11" x14ac:dyDescent="0.2">
      <c r="A1284" t="s">
        <v>16</v>
      </c>
      <c r="B1284" t="s">
        <v>6025</v>
      </c>
      <c r="C1284">
        <v>900</v>
      </c>
      <c r="D1284" t="s">
        <v>10302</v>
      </c>
      <c r="E1284" t="s">
        <v>50</v>
      </c>
      <c r="F1284">
        <v>7</v>
      </c>
      <c r="G1284">
        <v>0.65168881794123179</v>
      </c>
      <c r="H1284" t="s">
        <v>99</v>
      </c>
      <c r="I1284">
        <v>0</v>
      </c>
      <c r="J1284">
        <v>900</v>
      </c>
      <c r="K1284">
        <v>0</v>
      </c>
    </row>
    <row r="1285" spans="1:11" x14ac:dyDescent="0.2">
      <c r="A1285" t="s">
        <v>16</v>
      </c>
      <c r="B1285" t="s">
        <v>6025</v>
      </c>
      <c r="C1285">
        <v>900</v>
      </c>
      <c r="D1285" t="s">
        <v>10301</v>
      </c>
      <c r="E1285" t="s">
        <v>50</v>
      </c>
      <c r="F1285">
        <v>7</v>
      </c>
      <c r="G1285">
        <v>0.65168881794123179</v>
      </c>
      <c r="H1285" t="s">
        <v>101</v>
      </c>
      <c r="I1285">
        <v>0</v>
      </c>
      <c r="J1285">
        <v>900</v>
      </c>
      <c r="K1285">
        <v>0</v>
      </c>
    </row>
    <row r="1286" spans="1:11" x14ac:dyDescent="0.2">
      <c r="A1286" t="s">
        <v>16</v>
      </c>
      <c r="B1286" t="s">
        <v>6025</v>
      </c>
      <c r="C1286">
        <v>900</v>
      </c>
      <c r="D1286" t="s">
        <v>10300</v>
      </c>
      <c r="E1286" t="s">
        <v>50</v>
      </c>
      <c r="F1286">
        <v>7</v>
      </c>
      <c r="G1286">
        <v>0.65168881794123179</v>
      </c>
      <c r="H1286" t="s">
        <v>93</v>
      </c>
      <c r="I1286">
        <v>0</v>
      </c>
      <c r="J1286">
        <v>900</v>
      </c>
      <c r="K1286">
        <v>0</v>
      </c>
    </row>
    <row r="1287" spans="1:11" x14ac:dyDescent="0.2">
      <c r="A1287" t="s">
        <v>16</v>
      </c>
      <c r="B1287" t="s">
        <v>972</v>
      </c>
      <c r="C1287">
        <v>440</v>
      </c>
      <c r="D1287" t="s">
        <v>10125</v>
      </c>
      <c r="E1287" t="s">
        <v>50</v>
      </c>
      <c r="F1287">
        <v>6</v>
      </c>
      <c r="G1287">
        <v>0.64220751556746103</v>
      </c>
      <c r="H1287" t="s">
        <v>97</v>
      </c>
      <c r="I1287">
        <v>0</v>
      </c>
      <c r="J1287">
        <v>880</v>
      </c>
      <c r="K1287">
        <v>0</v>
      </c>
    </row>
    <row r="1288" spans="1:11" x14ac:dyDescent="0.2">
      <c r="A1288" t="s">
        <v>16</v>
      </c>
      <c r="B1288" t="s">
        <v>4513</v>
      </c>
      <c r="C1288">
        <v>800</v>
      </c>
      <c r="D1288" t="s">
        <v>9862</v>
      </c>
      <c r="E1288" t="s">
        <v>50</v>
      </c>
      <c r="F1288">
        <v>7</v>
      </c>
      <c r="G1288">
        <v>0.18506989477159805</v>
      </c>
      <c r="H1288" t="s">
        <v>95</v>
      </c>
      <c r="I1288">
        <v>0</v>
      </c>
      <c r="J1288">
        <v>800</v>
      </c>
      <c r="K1288">
        <v>0</v>
      </c>
    </row>
    <row r="1289" spans="1:11" x14ac:dyDescent="0.2">
      <c r="A1289" t="s">
        <v>16</v>
      </c>
      <c r="B1289" t="s">
        <v>5193</v>
      </c>
      <c r="C1289">
        <v>30</v>
      </c>
      <c r="D1289" t="s">
        <v>10191</v>
      </c>
      <c r="E1289" t="s">
        <v>50</v>
      </c>
      <c r="F1289">
        <v>2</v>
      </c>
      <c r="G1289">
        <v>0.11689350381300842</v>
      </c>
      <c r="H1289" t="s">
        <v>84</v>
      </c>
      <c r="I1289">
        <v>0</v>
      </c>
      <c r="J1289">
        <v>750</v>
      </c>
      <c r="K1289">
        <v>0</v>
      </c>
    </row>
    <row r="1290" spans="1:11" x14ac:dyDescent="0.2">
      <c r="A1290" t="s">
        <v>16</v>
      </c>
      <c r="B1290" t="s">
        <v>3803</v>
      </c>
      <c r="C1290">
        <v>100</v>
      </c>
      <c r="D1290" t="s">
        <v>9538</v>
      </c>
      <c r="E1290" t="s">
        <v>50</v>
      </c>
      <c r="F1290">
        <v>2</v>
      </c>
      <c r="G1290">
        <v>0.1833469502122298</v>
      </c>
      <c r="H1290" t="s">
        <v>98</v>
      </c>
      <c r="I1290">
        <v>0</v>
      </c>
      <c r="J1290">
        <v>700</v>
      </c>
      <c r="K1290">
        <v>0</v>
      </c>
    </row>
    <row r="1291" spans="1:11" x14ac:dyDescent="0.2">
      <c r="A1291" t="s">
        <v>16</v>
      </c>
      <c r="B1291" t="s">
        <v>4054</v>
      </c>
      <c r="C1291">
        <v>100</v>
      </c>
      <c r="D1291" t="s">
        <v>9642</v>
      </c>
      <c r="E1291" t="s">
        <v>50</v>
      </c>
      <c r="F1291">
        <v>3</v>
      </c>
      <c r="G1291">
        <v>7.3425855913231017E-2</v>
      </c>
      <c r="H1291" t="s">
        <v>99</v>
      </c>
      <c r="I1291">
        <v>0</v>
      </c>
      <c r="J1291">
        <v>700</v>
      </c>
      <c r="K1291">
        <v>0</v>
      </c>
    </row>
    <row r="1292" spans="1:11" x14ac:dyDescent="0.2">
      <c r="A1292" t="s">
        <v>16</v>
      </c>
      <c r="B1292" t="s">
        <v>4579</v>
      </c>
      <c r="C1292">
        <v>70</v>
      </c>
      <c r="D1292" t="s">
        <v>9875</v>
      </c>
      <c r="E1292" t="s">
        <v>50</v>
      </c>
      <c r="F1292">
        <v>11</v>
      </c>
      <c r="G1292">
        <v>0.18760139092782893</v>
      </c>
      <c r="H1292" t="s">
        <v>104</v>
      </c>
      <c r="I1292">
        <v>0</v>
      </c>
      <c r="J1292">
        <v>700</v>
      </c>
      <c r="K1292">
        <v>0</v>
      </c>
    </row>
    <row r="1293" spans="1:11" x14ac:dyDescent="0.2">
      <c r="A1293" t="s">
        <v>16</v>
      </c>
      <c r="B1293" t="s">
        <v>511</v>
      </c>
      <c r="C1293">
        <v>140</v>
      </c>
      <c r="D1293" t="s">
        <v>10127</v>
      </c>
      <c r="E1293" t="s">
        <v>50</v>
      </c>
      <c r="F1293">
        <v>2</v>
      </c>
      <c r="G1293">
        <v>0.23725160929191155</v>
      </c>
      <c r="H1293" t="s">
        <v>97</v>
      </c>
      <c r="I1293">
        <v>0</v>
      </c>
      <c r="J1293">
        <v>700</v>
      </c>
      <c r="K1293">
        <v>0</v>
      </c>
    </row>
    <row r="1294" spans="1:11" x14ac:dyDescent="0.2">
      <c r="A1294" t="s">
        <v>16</v>
      </c>
      <c r="B1294" t="s">
        <v>5715</v>
      </c>
      <c r="C1294">
        <v>100</v>
      </c>
      <c r="D1294" t="s">
        <v>10307</v>
      </c>
      <c r="E1294" t="s">
        <v>50</v>
      </c>
      <c r="F1294">
        <v>2</v>
      </c>
      <c r="G1294">
        <v>0.29232804232804238</v>
      </c>
      <c r="H1294" t="s">
        <v>101</v>
      </c>
      <c r="I1294">
        <v>0</v>
      </c>
      <c r="J1294">
        <v>700</v>
      </c>
      <c r="K1294">
        <v>0</v>
      </c>
    </row>
    <row r="1295" spans="1:11" x14ac:dyDescent="0.2">
      <c r="A1295" t="s">
        <v>16</v>
      </c>
      <c r="B1295" t="s">
        <v>5721</v>
      </c>
      <c r="C1295">
        <v>100</v>
      </c>
      <c r="D1295" t="s">
        <v>10313</v>
      </c>
      <c r="E1295" t="s">
        <v>50</v>
      </c>
      <c r="F1295">
        <v>2</v>
      </c>
      <c r="G1295">
        <v>0.29232804232804238</v>
      </c>
      <c r="H1295" t="s">
        <v>93</v>
      </c>
      <c r="I1295">
        <v>0</v>
      </c>
      <c r="J1295">
        <v>700</v>
      </c>
      <c r="K1295">
        <v>0</v>
      </c>
    </row>
    <row r="1296" spans="1:11" x14ac:dyDescent="0.2">
      <c r="A1296" t="s">
        <v>16</v>
      </c>
      <c r="B1296" t="s">
        <v>6009</v>
      </c>
      <c r="C1296">
        <v>330</v>
      </c>
      <c r="D1296" t="s">
        <v>10202</v>
      </c>
      <c r="E1296" t="s">
        <v>50</v>
      </c>
      <c r="F1296">
        <v>9</v>
      </c>
      <c r="G1296">
        <v>0.94196298204929996</v>
      </c>
      <c r="H1296" t="s">
        <v>95</v>
      </c>
      <c r="I1296">
        <v>0</v>
      </c>
      <c r="J1296">
        <v>660</v>
      </c>
      <c r="K1296">
        <v>0</v>
      </c>
    </row>
    <row r="1297" spans="1:11" x14ac:dyDescent="0.2">
      <c r="A1297" t="s">
        <v>16</v>
      </c>
      <c r="B1297" t="s">
        <v>6009</v>
      </c>
      <c r="C1297">
        <v>330</v>
      </c>
      <c r="D1297" t="s">
        <v>10199</v>
      </c>
      <c r="E1297" t="s">
        <v>50</v>
      </c>
      <c r="F1297">
        <v>9</v>
      </c>
      <c r="G1297">
        <v>0.94196298204929996</v>
      </c>
      <c r="H1297" t="s">
        <v>84</v>
      </c>
      <c r="I1297">
        <v>0</v>
      </c>
      <c r="J1297">
        <v>660</v>
      </c>
      <c r="K1297">
        <v>0</v>
      </c>
    </row>
    <row r="1298" spans="1:11" x14ac:dyDescent="0.2">
      <c r="A1298" t="s">
        <v>16</v>
      </c>
      <c r="B1298" t="s">
        <v>6009</v>
      </c>
      <c r="C1298">
        <v>330</v>
      </c>
      <c r="D1298" t="s">
        <v>10197</v>
      </c>
      <c r="E1298" t="s">
        <v>50</v>
      </c>
      <c r="F1298">
        <v>9</v>
      </c>
      <c r="G1298">
        <v>0.94196298204929996</v>
      </c>
      <c r="H1298" t="s">
        <v>98</v>
      </c>
      <c r="I1298">
        <v>0</v>
      </c>
      <c r="J1298">
        <v>660</v>
      </c>
      <c r="K1298">
        <v>0</v>
      </c>
    </row>
    <row r="1299" spans="1:11" x14ac:dyDescent="0.2">
      <c r="A1299" t="s">
        <v>16</v>
      </c>
      <c r="B1299" t="s">
        <v>6009</v>
      </c>
      <c r="C1299">
        <v>330</v>
      </c>
      <c r="D1299" t="s">
        <v>10204</v>
      </c>
      <c r="E1299" t="s">
        <v>50</v>
      </c>
      <c r="F1299">
        <v>9</v>
      </c>
      <c r="G1299">
        <v>0.94196298204929996</v>
      </c>
      <c r="H1299" t="s">
        <v>104</v>
      </c>
      <c r="I1299">
        <v>0</v>
      </c>
      <c r="J1299">
        <v>660</v>
      </c>
      <c r="K1299">
        <v>0</v>
      </c>
    </row>
    <row r="1300" spans="1:11" x14ac:dyDescent="0.2">
      <c r="A1300" t="s">
        <v>16</v>
      </c>
      <c r="B1300" t="s">
        <v>6009</v>
      </c>
      <c r="C1300">
        <v>330</v>
      </c>
      <c r="D1300" t="s">
        <v>10198</v>
      </c>
      <c r="E1300" t="s">
        <v>50</v>
      </c>
      <c r="F1300">
        <v>9</v>
      </c>
      <c r="G1300">
        <v>0.94196298204929996</v>
      </c>
      <c r="H1300" t="s">
        <v>99</v>
      </c>
      <c r="I1300">
        <v>0</v>
      </c>
      <c r="J1300">
        <v>660</v>
      </c>
      <c r="K1300">
        <v>0</v>
      </c>
    </row>
    <row r="1301" spans="1:11" x14ac:dyDescent="0.2">
      <c r="A1301" t="s">
        <v>16</v>
      </c>
      <c r="B1301" t="s">
        <v>6009</v>
      </c>
      <c r="C1301">
        <v>330</v>
      </c>
      <c r="D1301" t="s">
        <v>10201</v>
      </c>
      <c r="E1301" t="s">
        <v>50</v>
      </c>
      <c r="F1301">
        <v>9</v>
      </c>
      <c r="G1301">
        <v>0.94196298204929996</v>
      </c>
      <c r="H1301" t="s">
        <v>101</v>
      </c>
      <c r="I1301">
        <v>0</v>
      </c>
      <c r="J1301">
        <v>660</v>
      </c>
      <c r="K1301">
        <v>0</v>
      </c>
    </row>
    <row r="1302" spans="1:11" x14ac:dyDescent="0.2">
      <c r="A1302" t="s">
        <v>16</v>
      </c>
      <c r="B1302" t="s">
        <v>6009</v>
      </c>
      <c r="C1302">
        <v>330</v>
      </c>
      <c r="D1302" t="s">
        <v>10200</v>
      </c>
      <c r="E1302" t="s">
        <v>50</v>
      </c>
      <c r="F1302">
        <v>9</v>
      </c>
      <c r="G1302">
        <v>0.94196298204929996</v>
      </c>
      <c r="H1302" t="s">
        <v>93</v>
      </c>
      <c r="I1302">
        <v>0</v>
      </c>
      <c r="J1302">
        <v>660</v>
      </c>
      <c r="K1302">
        <v>0</v>
      </c>
    </row>
    <row r="1303" spans="1:11" x14ac:dyDescent="0.2">
      <c r="A1303" t="s">
        <v>16</v>
      </c>
      <c r="B1303" t="s">
        <v>6000</v>
      </c>
      <c r="C1303">
        <v>220</v>
      </c>
      <c r="D1303" t="s">
        <v>10291</v>
      </c>
      <c r="E1303" t="s">
        <v>50</v>
      </c>
      <c r="F1303">
        <v>17</v>
      </c>
      <c r="G1303">
        <v>0.39216496588213218</v>
      </c>
      <c r="H1303" t="s">
        <v>97</v>
      </c>
      <c r="I1303">
        <v>0</v>
      </c>
      <c r="J1303">
        <v>660</v>
      </c>
      <c r="K1303">
        <v>0</v>
      </c>
    </row>
    <row r="1304" spans="1:11" x14ac:dyDescent="0.2">
      <c r="A1304" t="s">
        <v>16</v>
      </c>
      <c r="B1304" t="s">
        <v>6000</v>
      </c>
      <c r="C1304">
        <v>220</v>
      </c>
      <c r="D1304" t="s">
        <v>10297</v>
      </c>
      <c r="E1304" t="s">
        <v>50</v>
      </c>
      <c r="F1304">
        <v>17</v>
      </c>
      <c r="G1304">
        <v>0.39216496588213218</v>
      </c>
      <c r="H1304" t="s">
        <v>105</v>
      </c>
      <c r="I1304">
        <v>0</v>
      </c>
      <c r="J1304">
        <v>660</v>
      </c>
      <c r="K1304">
        <v>0</v>
      </c>
    </row>
    <row r="1305" spans="1:11" x14ac:dyDescent="0.2">
      <c r="A1305" t="s">
        <v>16</v>
      </c>
      <c r="B1305" t="s">
        <v>945</v>
      </c>
      <c r="C1305">
        <v>160</v>
      </c>
      <c r="D1305" t="s">
        <v>9520</v>
      </c>
      <c r="E1305" t="s">
        <v>50</v>
      </c>
      <c r="F1305">
        <v>3</v>
      </c>
      <c r="G1305">
        <v>0.21554891856093064</v>
      </c>
      <c r="H1305" t="s">
        <v>92</v>
      </c>
      <c r="I1305">
        <v>0</v>
      </c>
      <c r="J1305">
        <v>640</v>
      </c>
      <c r="K1305">
        <v>0</v>
      </c>
    </row>
    <row r="1306" spans="1:11" x14ac:dyDescent="0.2">
      <c r="A1306" t="s">
        <v>16</v>
      </c>
      <c r="B1306" t="s">
        <v>224</v>
      </c>
      <c r="C1306">
        <v>160</v>
      </c>
      <c r="D1306" t="s">
        <v>9522</v>
      </c>
      <c r="E1306" t="s">
        <v>50</v>
      </c>
      <c r="F1306">
        <v>3</v>
      </c>
      <c r="G1306">
        <v>0.27289791487071613</v>
      </c>
      <c r="H1306" t="s">
        <v>103</v>
      </c>
      <c r="I1306">
        <v>0</v>
      </c>
      <c r="J1306">
        <v>640</v>
      </c>
      <c r="K1306">
        <v>0</v>
      </c>
    </row>
    <row r="1307" spans="1:11" x14ac:dyDescent="0.2">
      <c r="A1307" t="s">
        <v>16</v>
      </c>
      <c r="B1307" t="s">
        <v>6029</v>
      </c>
      <c r="C1307">
        <v>90</v>
      </c>
      <c r="D1307" t="s">
        <v>10247</v>
      </c>
      <c r="E1307" t="s">
        <v>50</v>
      </c>
      <c r="F1307">
        <v>6</v>
      </c>
      <c r="G1307">
        <v>0.13889201349831271</v>
      </c>
      <c r="H1307" t="s">
        <v>95</v>
      </c>
      <c r="I1307">
        <v>0</v>
      </c>
      <c r="J1307">
        <v>630</v>
      </c>
      <c r="K1307">
        <v>0</v>
      </c>
    </row>
    <row r="1308" spans="1:11" x14ac:dyDescent="0.2">
      <c r="A1308" t="s">
        <v>16</v>
      </c>
      <c r="B1308" t="s">
        <v>6018</v>
      </c>
      <c r="C1308">
        <v>90</v>
      </c>
      <c r="D1308" t="s">
        <v>10251</v>
      </c>
      <c r="E1308" t="s">
        <v>50</v>
      </c>
      <c r="F1308">
        <v>8</v>
      </c>
      <c r="G1308">
        <v>0.12890609967288821</v>
      </c>
      <c r="H1308" t="s">
        <v>84</v>
      </c>
      <c r="I1308">
        <v>0</v>
      </c>
      <c r="J1308">
        <v>630</v>
      </c>
      <c r="K1308">
        <v>0</v>
      </c>
    </row>
    <row r="1309" spans="1:11" x14ac:dyDescent="0.2">
      <c r="A1309" t="s">
        <v>16</v>
      </c>
      <c r="B1309" t="s">
        <v>679</v>
      </c>
      <c r="C1309">
        <v>300</v>
      </c>
      <c r="D1309" t="s">
        <v>9068</v>
      </c>
      <c r="E1309" t="s">
        <v>50</v>
      </c>
      <c r="F1309">
        <v>3</v>
      </c>
      <c r="G1309">
        <v>0.37607809118060548</v>
      </c>
      <c r="H1309" t="s">
        <v>98</v>
      </c>
      <c r="I1309">
        <v>0</v>
      </c>
      <c r="J1309">
        <v>600</v>
      </c>
      <c r="K1309">
        <v>0</v>
      </c>
    </row>
    <row r="1310" spans="1:11" x14ac:dyDescent="0.2">
      <c r="A1310" t="s">
        <v>16</v>
      </c>
      <c r="B1310" t="s">
        <v>679</v>
      </c>
      <c r="C1310">
        <v>300</v>
      </c>
      <c r="D1310" t="s">
        <v>9065</v>
      </c>
      <c r="E1310" t="s">
        <v>50</v>
      </c>
      <c r="F1310">
        <v>3</v>
      </c>
      <c r="G1310">
        <v>0.37607809118060548</v>
      </c>
      <c r="H1310" t="s">
        <v>104</v>
      </c>
      <c r="I1310">
        <v>0</v>
      </c>
      <c r="J1310">
        <v>600</v>
      </c>
      <c r="K1310">
        <v>0</v>
      </c>
    </row>
    <row r="1311" spans="1:11" x14ac:dyDescent="0.2">
      <c r="A1311" t="s">
        <v>16</v>
      </c>
      <c r="B1311" t="s">
        <v>679</v>
      </c>
      <c r="C1311">
        <v>300</v>
      </c>
      <c r="D1311" t="s">
        <v>9070</v>
      </c>
      <c r="E1311" t="s">
        <v>50</v>
      </c>
      <c r="F1311">
        <v>3</v>
      </c>
      <c r="G1311">
        <v>0.37607809118060548</v>
      </c>
      <c r="H1311" t="s">
        <v>99</v>
      </c>
      <c r="I1311">
        <v>0</v>
      </c>
      <c r="J1311">
        <v>600</v>
      </c>
      <c r="K1311">
        <v>0</v>
      </c>
    </row>
    <row r="1312" spans="1:11" x14ac:dyDescent="0.2">
      <c r="A1312" t="s">
        <v>16</v>
      </c>
      <c r="B1312" t="s">
        <v>679</v>
      </c>
      <c r="C1312">
        <v>300</v>
      </c>
      <c r="D1312" t="s">
        <v>9067</v>
      </c>
      <c r="E1312" t="s">
        <v>50</v>
      </c>
      <c r="F1312">
        <v>3</v>
      </c>
      <c r="G1312">
        <v>0.37607809118060548</v>
      </c>
      <c r="H1312" t="s">
        <v>98</v>
      </c>
      <c r="I1312">
        <v>0</v>
      </c>
      <c r="J1312">
        <v>600</v>
      </c>
      <c r="K1312">
        <v>0</v>
      </c>
    </row>
    <row r="1313" spans="1:11" x14ac:dyDescent="0.2">
      <c r="A1313" t="s">
        <v>16</v>
      </c>
      <c r="B1313" t="s">
        <v>679</v>
      </c>
      <c r="C1313">
        <v>300</v>
      </c>
      <c r="D1313" t="s">
        <v>9069</v>
      </c>
      <c r="E1313" t="s">
        <v>50</v>
      </c>
      <c r="F1313">
        <v>3</v>
      </c>
      <c r="G1313">
        <v>0.37607809118060548</v>
      </c>
      <c r="H1313" t="s">
        <v>104</v>
      </c>
      <c r="I1313">
        <v>0</v>
      </c>
      <c r="J1313">
        <v>600</v>
      </c>
      <c r="K1313">
        <v>0</v>
      </c>
    </row>
    <row r="1314" spans="1:11" x14ac:dyDescent="0.2">
      <c r="A1314" t="s">
        <v>16</v>
      </c>
      <c r="B1314" t="s">
        <v>1893</v>
      </c>
      <c r="C1314">
        <v>200</v>
      </c>
      <c r="D1314" t="s">
        <v>9163</v>
      </c>
      <c r="E1314" t="s">
        <v>50</v>
      </c>
      <c r="F1314">
        <v>3</v>
      </c>
      <c r="G1314">
        <v>0.24511243488329801</v>
      </c>
      <c r="H1314" t="s">
        <v>93</v>
      </c>
      <c r="I1314">
        <v>0</v>
      </c>
      <c r="J1314">
        <v>600</v>
      </c>
      <c r="K1314">
        <v>0</v>
      </c>
    </row>
    <row r="1315" spans="1:11" x14ac:dyDescent="0.2">
      <c r="A1315" t="s">
        <v>16</v>
      </c>
      <c r="B1315" t="s">
        <v>1894</v>
      </c>
      <c r="C1315">
        <v>200</v>
      </c>
      <c r="D1315" t="s">
        <v>9165</v>
      </c>
      <c r="E1315" t="s">
        <v>50</v>
      </c>
      <c r="F1315">
        <v>8</v>
      </c>
      <c r="G1315">
        <v>0.20052731032785767</v>
      </c>
      <c r="H1315" t="s">
        <v>101</v>
      </c>
      <c r="I1315">
        <v>0</v>
      </c>
      <c r="J1315">
        <v>600</v>
      </c>
      <c r="K1315">
        <v>0</v>
      </c>
    </row>
    <row r="1316" spans="1:11" x14ac:dyDescent="0.2">
      <c r="A1316" t="s">
        <v>16</v>
      </c>
      <c r="B1316" t="s">
        <v>957</v>
      </c>
      <c r="C1316">
        <v>300</v>
      </c>
      <c r="D1316" t="s">
        <v>9176</v>
      </c>
      <c r="E1316" t="s">
        <v>50</v>
      </c>
      <c r="F1316">
        <v>3</v>
      </c>
      <c r="G1316">
        <v>0.43343532378733696</v>
      </c>
      <c r="H1316" t="s">
        <v>97</v>
      </c>
      <c r="I1316">
        <v>0</v>
      </c>
      <c r="J1316">
        <v>600</v>
      </c>
      <c r="K1316">
        <v>0</v>
      </c>
    </row>
    <row r="1317" spans="1:11" x14ac:dyDescent="0.2">
      <c r="A1317" t="s">
        <v>16</v>
      </c>
      <c r="B1317" t="s">
        <v>963</v>
      </c>
      <c r="C1317">
        <v>300</v>
      </c>
      <c r="D1317" t="s">
        <v>9447</v>
      </c>
      <c r="E1317" t="s">
        <v>50</v>
      </c>
      <c r="F1317">
        <v>2</v>
      </c>
      <c r="G1317">
        <v>0.50150037766943623</v>
      </c>
      <c r="H1317" t="s">
        <v>105</v>
      </c>
      <c r="I1317">
        <v>0</v>
      </c>
      <c r="J1317">
        <v>600</v>
      </c>
      <c r="K1317">
        <v>0</v>
      </c>
    </row>
    <row r="1318" spans="1:11" x14ac:dyDescent="0.2">
      <c r="A1318" t="s">
        <v>16</v>
      </c>
      <c r="B1318" t="s">
        <v>963</v>
      </c>
      <c r="C1318">
        <v>300</v>
      </c>
      <c r="D1318" t="s">
        <v>9452</v>
      </c>
      <c r="E1318" t="s">
        <v>50</v>
      </c>
      <c r="F1318">
        <v>2</v>
      </c>
      <c r="G1318">
        <v>0.50150037766943623</v>
      </c>
      <c r="H1318" t="s">
        <v>92</v>
      </c>
      <c r="I1318">
        <v>0</v>
      </c>
      <c r="J1318">
        <v>600</v>
      </c>
      <c r="K1318">
        <v>0</v>
      </c>
    </row>
    <row r="1319" spans="1:11" x14ac:dyDescent="0.2">
      <c r="A1319" t="s">
        <v>16</v>
      </c>
      <c r="B1319" t="s">
        <v>963</v>
      </c>
      <c r="C1319">
        <v>300</v>
      </c>
      <c r="D1319" t="s">
        <v>9448</v>
      </c>
      <c r="E1319" t="s">
        <v>50</v>
      </c>
      <c r="F1319">
        <v>2</v>
      </c>
      <c r="G1319">
        <v>0.50150037766943623</v>
      </c>
      <c r="H1319" t="s">
        <v>105</v>
      </c>
      <c r="I1319">
        <v>0</v>
      </c>
      <c r="J1319">
        <v>600</v>
      </c>
      <c r="K1319">
        <v>0</v>
      </c>
    </row>
    <row r="1320" spans="1:11" x14ac:dyDescent="0.2">
      <c r="A1320" t="s">
        <v>16</v>
      </c>
      <c r="B1320" t="s">
        <v>963</v>
      </c>
      <c r="C1320">
        <v>300</v>
      </c>
      <c r="D1320" t="s">
        <v>9449</v>
      </c>
      <c r="E1320" t="s">
        <v>50</v>
      </c>
      <c r="F1320">
        <v>2</v>
      </c>
      <c r="G1320">
        <v>0.50150037766943623</v>
      </c>
      <c r="H1320" t="s">
        <v>92</v>
      </c>
      <c r="I1320">
        <v>0</v>
      </c>
      <c r="J1320">
        <v>600</v>
      </c>
      <c r="K1320">
        <v>0</v>
      </c>
    </row>
    <row r="1321" spans="1:11" x14ac:dyDescent="0.2">
      <c r="A1321" t="s">
        <v>16</v>
      </c>
      <c r="B1321" t="s">
        <v>963</v>
      </c>
      <c r="C1321">
        <v>300</v>
      </c>
      <c r="D1321" t="s">
        <v>9454</v>
      </c>
      <c r="E1321" t="s">
        <v>50</v>
      </c>
      <c r="F1321">
        <v>2</v>
      </c>
      <c r="G1321">
        <v>0.50150037766943623</v>
      </c>
      <c r="H1321" t="s">
        <v>105</v>
      </c>
      <c r="I1321">
        <v>0</v>
      </c>
      <c r="J1321">
        <v>600</v>
      </c>
      <c r="K1321">
        <v>0</v>
      </c>
    </row>
    <row r="1322" spans="1:11" x14ac:dyDescent="0.2">
      <c r="A1322" t="s">
        <v>16</v>
      </c>
      <c r="B1322" t="s">
        <v>963</v>
      </c>
      <c r="C1322">
        <v>300</v>
      </c>
      <c r="D1322" t="s">
        <v>9450</v>
      </c>
      <c r="E1322" t="s">
        <v>50</v>
      </c>
      <c r="F1322">
        <v>2</v>
      </c>
      <c r="G1322">
        <v>0.50150037766943623</v>
      </c>
      <c r="H1322" t="s">
        <v>92</v>
      </c>
      <c r="I1322">
        <v>0</v>
      </c>
      <c r="J1322">
        <v>600</v>
      </c>
      <c r="K1322">
        <v>0</v>
      </c>
    </row>
    <row r="1323" spans="1:11" x14ac:dyDescent="0.2">
      <c r="A1323" t="s">
        <v>16</v>
      </c>
      <c r="B1323" t="s">
        <v>963</v>
      </c>
      <c r="C1323">
        <v>300</v>
      </c>
      <c r="D1323" t="s">
        <v>9453</v>
      </c>
      <c r="E1323" t="s">
        <v>50</v>
      </c>
      <c r="F1323">
        <v>2</v>
      </c>
      <c r="G1323">
        <v>0.50150037766943623</v>
      </c>
      <c r="H1323" t="s">
        <v>105</v>
      </c>
      <c r="I1323">
        <v>0</v>
      </c>
      <c r="J1323">
        <v>600</v>
      </c>
      <c r="K1323">
        <v>0</v>
      </c>
    </row>
    <row r="1324" spans="1:11" x14ac:dyDescent="0.2">
      <c r="A1324" t="s">
        <v>16</v>
      </c>
      <c r="B1324" t="s">
        <v>1015</v>
      </c>
      <c r="C1324">
        <v>300</v>
      </c>
      <c r="D1324" t="s">
        <v>9479</v>
      </c>
      <c r="E1324" t="s">
        <v>50</v>
      </c>
      <c r="F1324">
        <v>3</v>
      </c>
      <c r="G1324">
        <v>0.50222477543346566</v>
      </c>
      <c r="H1324" t="s">
        <v>103</v>
      </c>
      <c r="I1324">
        <v>0</v>
      </c>
      <c r="J1324">
        <v>600</v>
      </c>
      <c r="K1324">
        <v>0</v>
      </c>
    </row>
    <row r="1325" spans="1:11" x14ac:dyDescent="0.2">
      <c r="A1325" t="s">
        <v>16</v>
      </c>
      <c r="B1325" t="s">
        <v>1015</v>
      </c>
      <c r="C1325">
        <v>300</v>
      </c>
      <c r="D1325" t="s">
        <v>9480</v>
      </c>
      <c r="E1325" t="s">
        <v>50</v>
      </c>
      <c r="F1325">
        <v>3</v>
      </c>
      <c r="G1325">
        <v>0.50222477543346566</v>
      </c>
      <c r="H1325" t="s">
        <v>95</v>
      </c>
      <c r="I1325">
        <v>0</v>
      </c>
      <c r="J1325">
        <v>600</v>
      </c>
      <c r="K1325">
        <v>0</v>
      </c>
    </row>
    <row r="1326" spans="1:11" x14ac:dyDescent="0.2">
      <c r="A1326" t="s">
        <v>16</v>
      </c>
      <c r="B1326" t="s">
        <v>287</v>
      </c>
      <c r="C1326">
        <v>50</v>
      </c>
      <c r="D1326" t="s">
        <v>9633</v>
      </c>
      <c r="E1326" t="s">
        <v>50</v>
      </c>
      <c r="F1326">
        <v>6</v>
      </c>
      <c r="G1326">
        <v>0.13642022927468112</v>
      </c>
      <c r="H1326" t="s">
        <v>84</v>
      </c>
      <c r="I1326">
        <v>0</v>
      </c>
      <c r="J1326">
        <v>600</v>
      </c>
      <c r="K1326">
        <v>0</v>
      </c>
    </row>
    <row r="1327" spans="1:11" x14ac:dyDescent="0.2">
      <c r="A1327" t="s">
        <v>16</v>
      </c>
      <c r="B1327" t="s">
        <v>414</v>
      </c>
      <c r="C1327">
        <v>50</v>
      </c>
      <c r="D1327" t="s">
        <v>9634</v>
      </c>
      <c r="E1327" t="s">
        <v>50</v>
      </c>
      <c r="F1327">
        <v>8</v>
      </c>
      <c r="G1327">
        <v>0.13642022927468112</v>
      </c>
      <c r="H1327" t="s">
        <v>99</v>
      </c>
      <c r="I1327">
        <v>0</v>
      </c>
      <c r="J1327">
        <v>600</v>
      </c>
      <c r="K1327">
        <v>0</v>
      </c>
    </row>
    <row r="1328" spans="1:11" x14ac:dyDescent="0.2">
      <c r="A1328" t="s">
        <v>16</v>
      </c>
      <c r="B1328" t="s">
        <v>218</v>
      </c>
      <c r="C1328">
        <v>50</v>
      </c>
      <c r="D1328" t="s">
        <v>9637</v>
      </c>
      <c r="E1328" t="s">
        <v>50</v>
      </c>
      <c r="F1328">
        <v>7</v>
      </c>
      <c r="G1328">
        <v>0.13642022927468112</v>
      </c>
      <c r="H1328" t="s">
        <v>101</v>
      </c>
      <c r="I1328">
        <v>0</v>
      </c>
      <c r="J1328">
        <v>600</v>
      </c>
      <c r="K1328">
        <v>0</v>
      </c>
    </row>
    <row r="1329" spans="1:11" x14ac:dyDescent="0.2">
      <c r="A1329" t="s">
        <v>16</v>
      </c>
      <c r="B1329" t="s">
        <v>752</v>
      </c>
      <c r="C1329">
        <v>200</v>
      </c>
      <c r="D1329" t="s">
        <v>9989</v>
      </c>
      <c r="E1329" t="s">
        <v>50</v>
      </c>
      <c r="F1329">
        <v>6</v>
      </c>
      <c r="G1329">
        <v>0.20477835348301668</v>
      </c>
      <c r="H1329" t="s">
        <v>93</v>
      </c>
      <c r="I1329">
        <v>0</v>
      </c>
      <c r="J1329">
        <v>600</v>
      </c>
      <c r="K1329">
        <v>0</v>
      </c>
    </row>
    <row r="1330" spans="1:11" x14ac:dyDescent="0.2">
      <c r="A1330" t="s">
        <v>16</v>
      </c>
      <c r="B1330" t="s">
        <v>697</v>
      </c>
      <c r="C1330">
        <v>200</v>
      </c>
      <c r="D1330" t="s">
        <v>9992</v>
      </c>
      <c r="E1330" t="s">
        <v>50</v>
      </c>
      <c r="F1330">
        <v>6</v>
      </c>
      <c r="G1330">
        <v>0.20794424831455283</v>
      </c>
      <c r="H1330" t="s">
        <v>97</v>
      </c>
      <c r="I1330">
        <v>0</v>
      </c>
      <c r="J1330">
        <v>600</v>
      </c>
      <c r="K1330">
        <v>0</v>
      </c>
    </row>
    <row r="1331" spans="1:11" x14ac:dyDescent="0.2">
      <c r="A1331" t="s">
        <v>16</v>
      </c>
      <c r="B1331" t="s">
        <v>388</v>
      </c>
      <c r="C1331">
        <v>300</v>
      </c>
      <c r="D1331" t="s">
        <v>10081</v>
      </c>
      <c r="E1331" t="s">
        <v>50</v>
      </c>
      <c r="F1331">
        <v>2</v>
      </c>
      <c r="G1331">
        <v>0.53113908514943442</v>
      </c>
      <c r="H1331" t="s">
        <v>103</v>
      </c>
      <c r="I1331">
        <v>0</v>
      </c>
      <c r="J1331">
        <v>600</v>
      </c>
      <c r="K1331">
        <v>0</v>
      </c>
    </row>
    <row r="1332" spans="1:11" x14ac:dyDescent="0.2">
      <c r="A1332" t="s">
        <v>16</v>
      </c>
      <c r="B1332" t="s">
        <v>388</v>
      </c>
      <c r="C1332">
        <v>300</v>
      </c>
      <c r="D1332" t="s">
        <v>10082</v>
      </c>
      <c r="E1332" t="s">
        <v>50</v>
      </c>
      <c r="F1332">
        <v>2</v>
      </c>
      <c r="G1332">
        <v>0.53113908514943442</v>
      </c>
      <c r="H1332" t="s">
        <v>95</v>
      </c>
      <c r="I1332">
        <v>0</v>
      </c>
      <c r="J1332">
        <v>600</v>
      </c>
      <c r="K1332">
        <v>0</v>
      </c>
    </row>
    <row r="1333" spans="1:11" x14ac:dyDescent="0.2">
      <c r="A1333" t="s">
        <v>16</v>
      </c>
      <c r="B1333" t="s">
        <v>388</v>
      </c>
      <c r="C1333">
        <v>300</v>
      </c>
      <c r="D1333" t="s">
        <v>10080</v>
      </c>
      <c r="E1333" t="s">
        <v>50</v>
      </c>
      <c r="F1333">
        <v>2</v>
      </c>
      <c r="G1333">
        <v>0.53113908514943442</v>
      </c>
      <c r="H1333" t="s">
        <v>103</v>
      </c>
      <c r="I1333">
        <v>0</v>
      </c>
      <c r="J1333">
        <v>600</v>
      </c>
      <c r="K1333">
        <v>0</v>
      </c>
    </row>
    <row r="1334" spans="1:11" x14ac:dyDescent="0.2">
      <c r="A1334" t="s">
        <v>16</v>
      </c>
      <c r="B1334" t="s">
        <v>386</v>
      </c>
      <c r="C1334">
        <v>300</v>
      </c>
      <c r="D1334" t="s">
        <v>10086</v>
      </c>
      <c r="E1334" t="s">
        <v>50</v>
      </c>
      <c r="F1334">
        <v>2</v>
      </c>
      <c r="G1334">
        <v>0.4718393120086718</v>
      </c>
      <c r="H1334" t="s">
        <v>84</v>
      </c>
      <c r="I1334">
        <v>0</v>
      </c>
      <c r="J1334">
        <v>600</v>
      </c>
      <c r="K1334">
        <v>0</v>
      </c>
    </row>
    <row r="1335" spans="1:11" x14ac:dyDescent="0.2">
      <c r="A1335" t="s">
        <v>16</v>
      </c>
      <c r="B1335" t="s">
        <v>386</v>
      </c>
      <c r="C1335">
        <v>300</v>
      </c>
      <c r="D1335" t="s">
        <v>10085</v>
      </c>
      <c r="E1335" t="s">
        <v>50</v>
      </c>
      <c r="F1335">
        <v>2</v>
      </c>
      <c r="G1335">
        <v>0.4718393120086718</v>
      </c>
      <c r="H1335" t="s">
        <v>98</v>
      </c>
      <c r="I1335">
        <v>0</v>
      </c>
      <c r="J1335">
        <v>600</v>
      </c>
      <c r="K1335">
        <v>0</v>
      </c>
    </row>
    <row r="1336" spans="1:11" x14ac:dyDescent="0.2">
      <c r="A1336" t="s">
        <v>16</v>
      </c>
      <c r="B1336" t="s">
        <v>386</v>
      </c>
      <c r="C1336">
        <v>300</v>
      </c>
      <c r="D1336" t="s">
        <v>10087</v>
      </c>
      <c r="E1336" t="s">
        <v>50</v>
      </c>
      <c r="F1336">
        <v>2</v>
      </c>
      <c r="G1336">
        <v>0.4718393120086718</v>
      </c>
      <c r="H1336" t="s">
        <v>84</v>
      </c>
      <c r="I1336">
        <v>0</v>
      </c>
      <c r="J1336">
        <v>600</v>
      </c>
      <c r="K1336">
        <v>0</v>
      </c>
    </row>
    <row r="1337" spans="1:11" x14ac:dyDescent="0.2">
      <c r="A1337" t="s">
        <v>16</v>
      </c>
      <c r="B1337" t="s">
        <v>5658</v>
      </c>
      <c r="C1337">
        <v>600</v>
      </c>
      <c r="D1337" t="s">
        <v>10282</v>
      </c>
      <c r="E1337" t="s">
        <v>50</v>
      </c>
      <c r="F1337">
        <v>13</v>
      </c>
      <c r="G1337">
        <v>0.39474303893582469</v>
      </c>
      <c r="H1337" t="s">
        <v>104</v>
      </c>
      <c r="I1337">
        <v>0</v>
      </c>
      <c r="J1337">
        <v>600</v>
      </c>
      <c r="K1337">
        <v>0</v>
      </c>
    </row>
    <row r="1338" spans="1:11" x14ac:dyDescent="0.2">
      <c r="A1338" t="s">
        <v>16</v>
      </c>
      <c r="B1338" t="s">
        <v>5658</v>
      </c>
      <c r="C1338">
        <v>600</v>
      </c>
      <c r="D1338" t="s">
        <v>10278</v>
      </c>
      <c r="E1338" t="s">
        <v>50</v>
      </c>
      <c r="F1338">
        <v>13</v>
      </c>
      <c r="G1338">
        <v>0.39474303893582469</v>
      </c>
      <c r="H1338" t="s">
        <v>99</v>
      </c>
      <c r="I1338">
        <v>0</v>
      </c>
      <c r="J1338">
        <v>600</v>
      </c>
      <c r="K1338">
        <v>0</v>
      </c>
    </row>
    <row r="1339" spans="1:11" x14ac:dyDescent="0.2">
      <c r="A1339" t="s">
        <v>16</v>
      </c>
      <c r="B1339" t="s">
        <v>285</v>
      </c>
      <c r="C1339">
        <v>540</v>
      </c>
      <c r="D1339" t="s">
        <v>9884</v>
      </c>
      <c r="E1339" t="s">
        <v>50</v>
      </c>
      <c r="F1339">
        <v>26</v>
      </c>
      <c r="G1339">
        <v>0.85910603031938959</v>
      </c>
      <c r="H1339" t="s">
        <v>101</v>
      </c>
      <c r="I1339">
        <v>0</v>
      </c>
      <c r="J1339">
        <v>540</v>
      </c>
      <c r="K1339">
        <v>0</v>
      </c>
    </row>
    <row r="1340" spans="1:11" x14ac:dyDescent="0.2">
      <c r="A1340" t="s">
        <v>16</v>
      </c>
      <c r="B1340" t="s">
        <v>238</v>
      </c>
      <c r="C1340">
        <v>100</v>
      </c>
      <c r="D1340" t="s">
        <v>9516</v>
      </c>
      <c r="E1340" t="s">
        <v>50</v>
      </c>
      <c r="F1340">
        <v>1</v>
      </c>
      <c r="G1340">
        <v>0.19676080653001021</v>
      </c>
      <c r="H1340" t="s">
        <v>97</v>
      </c>
      <c r="I1340">
        <v>0</v>
      </c>
      <c r="J1340">
        <v>500</v>
      </c>
      <c r="K1340">
        <v>0</v>
      </c>
    </row>
    <row r="1341" spans="1:11" x14ac:dyDescent="0.2">
      <c r="A1341" t="s">
        <v>16</v>
      </c>
      <c r="B1341" t="s">
        <v>243</v>
      </c>
      <c r="C1341">
        <v>100</v>
      </c>
      <c r="D1341" t="s">
        <v>9525</v>
      </c>
      <c r="E1341" t="s">
        <v>50</v>
      </c>
      <c r="F1341">
        <v>2</v>
      </c>
      <c r="G1341">
        <v>0.12641542315410947</v>
      </c>
      <c r="H1341" t="s">
        <v>104</v>
      </c>
      <c r="I1341">
        <v>0</v>
      </c>
      <c r="J1341">
        <v>500</v>
      </c>
      <c r="K1341">
        <v>0</v>
      </c>
    </row>
    <row r="1342" spans="1:11" x14ac:dyDescent="0.2">
      <c r="A1342" t="s">
        <v>16</v>
      </c>
      <c r="B1342" t="s">
        <v>253</v>
      </c>
      <c r="C1342">
        <v>100</v>
      </c>
      <c r="D1342" t="s">
        <v>9526</v>
      </c>
      <c r="E1342" t="s">
        <v>50</v>
      </c>
      <c r="F1342">
        <v>2</v>
      </c>
      <c r="G1342">
        <v>0.16611395791034195</v>
      </c>
      <c r="H1342" t="s">
        <v>93</v>
      </c>
      <c r="I1342">
        <v>0</v>
      </c>
      <c r="J1342">
        <v>500</v>
      </c>
      <c r="K1342">
        <v>0</v>
      </c>
    </row>
    <row r="1343" spans="1:11" x14ac:dyDescent="0.2">
      <c r="A1343" t="s">
        <v>16</v>
      </c>
      <c r="B1343" t="s">
        <v>523</v>
      </c>
      <c r="C1343">
        <v>100</v>
      </c>
      <c r="D1343" t="s">
        <v>10155</v>
      </c>
      <c r="E1343" t="s">
        <v>50</v>
      </c>
      <c r="F1343">
        <v>2</v>
      </c>
      <c r="G1343">
        <v>0.14192868527749242</v>
      </c>
      <c r="H1343" t="s">
        <v>95</v>
      </c>
      <c r="I1343">
        <v>0</v>
      </c>
      <c r="J1343">
        <v>500</v>
      </c>
      <c r="K1343">
        <v>0</v>
      </c>
    </row>
    <row r="1344" spans="1:11" x14ac:dyDescent="0.2">
      <c r="A1344" t="s">
        <v>16</v>
      </c>
      <c r="B1344" t="s">
        <v>4166</v>
      </c>
      <c r="C1344">
        <v>240</v>
      </c>
      <c r="D1344" t="s">
        <v>9775</v>
      </c>
      <c r="E1344" t="s">
        <v>50</v>
      </c>
      <c r="F1344">
        <v>10</v>
      </c>
      <c r="G1344">
        <v>0.48005574466381007</v>
      </c>
      <c r="H1344" t="s">
        <v>98</v>
      </c>
      <c r="I1344">
        <v>0</v>
      </c>
      <c r="J1344">
        <v>480</v>
      </c>
      <c r="K1344">
        <v>0</v>
      </c>
    </row>
    <row r="1345" spans="1:11" x14ac:dyDescent="0.2">
      <c r="A1345" t="s">
        <v>16</v>
      </c>
      <c r="B1345" t="s">
        <v>4166</v>
      </c>
      <c r="C1345">
        <v>240</v>
      </c>
      <c r="D1345" t="s">
        <v>9774</v>
      </c>
      <c r="E1345" t="s">
        <v>50</v>
      </c>
      <c r="F1345">
        <v>10</v>
      </c>
      <c r="G1345">
        <v>0.48005574466381007</v>
      </c>
      <c r="H1345" t="s">
        <v>93</v>
      </c>
      <c r="I1345">
        <v>0</v>
      </c>
      <c r="J1345">
        <v>480</v>
      </c>
      <c r="K1345">
        <v>0</v>
      </c>
    </row>
    <row r="1346" spans="1:11" x14ac:dyDescent="0.2">
      <c r="A1346" t="s">
        <v>16</v>
      </c>
      <c r="B1346" t="s">
        <v>4166</v>
      </c>
      <c r="C1346">
        <v>240</v>
      </c>
      <c r="D1346" t="s">
        <v>9784</v>
      </c>
      <c r="E1346" t="s">
        <v>50</v>
      </c>
      <c r="F1346">
        <v>10</v>
      </c>
      <c r="G1346">
        <v>0.48005574466381007</v>
      </c>
      <c r="H1346" t="s">
        <v>97</v>
      </c>
      <c r="I1346">
        <v>0</v>
      </c>
      <c r="J1346">
        <v>480</v>
      </c>
      <c r="K1346">
        <v>0</v>
      </c>
    </row>
    <row r="1347" spans="1:11" x14ac:dyDescent="0.2">
      <c r="A1347" t="s">
        <v>16</v>
      </c>
      <c r="B1347" t="s">
        <v>4166</v>
      </c>
      <c r="C1347">
        <v>240</v>
      </c>
      <c r="D1347" t="s">
        <v>9773</v>
      </c>
      <c r="E1347" t="s">
        <v>50</v>
      </c>
      <c r="F1347">
        <v>10</v>
      </c>
      <c r="G1347">
        <v>0.48005574466381007</v>
      </c>
      <c r="H1347" t="s">
        <v>101</v>
      </c>
      <c r="I1347">
        <v>0</v>
      </c>
      <c r="J1347">
        <v>480</v>
      </c>
      <c r="K1347">
        <v>0</v>
      </c>
    </row>
    <row r="1348" spans="1:11" x14ac:dyDescent="0.2">
      <c r="A1348" t="s">
        <v>16</v>
      </c>
      <c r="B1348" t="s">
        <v>4166</v>
      </c>
      <c r="C1348">
        <v>240</v>
      </c>
      <c r="D1348" t="s">
        <v>9781</v>
      </c>
      <c r="E1348" t="s">
        <v>50</v>
      </c>
      <c r="F1348">
        <v>10</v>
      </c>
      <c r="G1348">
        <v>0.48005574466381007</v>
      </c>
      <c r="H1348" t="s">
        <v>99</v>
      </c>
      <c r="I1348">
        <v>0</v>
      </c>
      <c r="J1348">
        <v>480</v>
      </c>
      <c r="K1348">
        <v>0</v>
      </c>
    </row>
    <row r="1349" spans="1:11" x14ac:dyDescent="0.2">
      <c r="A1349" t="s">
        <v>16</v>
      </c>
      <c r="B1349" t="s">
        <v>4166</v>
      </c>
      <c r="C1349">
        <v>240</v>
      </c>
      <c r="D1349" t="s">
        <v>9777</v>
      </c>
      <c r="E1349" t="s">
        <v>50</v>
      </c>
      <c r="F1349">
        <v>10</v>
      </c>
      <c r="G1349">
        <v>0.48005574466381007</v>
      </c>
      <c r="H1349" t="s">
        <v>92</v>
      </c>
      <c r="I1349">
        <v>0</v>
      </c>
      <c r="J1349">
        <v>480</v>
      </c>
      <c r="K1349">
        <v>0</v>
      </c>
    </row>
    <row r="1350" spans="1:11" x14ac:dyDescent="0.2">
      <c r="A1350" t="s">
        <v>16</v>
      </c>
      <c r="B1350" t="s">
        <v>4166</v>
      </c>
      <c r="C1350">
        <v>240</v>
      </c>
      <c r="D1350" t="s">
        <v>9778</v>
      </c>
      <c r="E1350" t="s">
        <v>50</v>
      </c>
      <c r="F1350">
        <v>10</v>
      </c>
      <c r="G1350">
        <v>0.48005574466381007</v>
      </c>
      <c r="H1350" t="s">
        <v>95</v>
      </c>
      <c r="I1350">
        <v>0</v>
      </c>
      <c r="J1350">
        <v>480</v>
      </c>
      <c r="K1350">
        <v>0</v>
      </c>
    </row>
    <row r="1351" spans="1:11" x14ac:dyDescent="0.2">
      <c r="A1351" t="s">
        <v>16</v>
      </c>
      <c r="B1351" t="s">
        <v>4166</v>
      </c>
      <c r="C1351">
        <v>240</v>
      </c>
      <c r="D1351" t="s">
        <v>9780</v>
      </c>
      <c r="E1351" t="s">
        <v>50</v>
      </c>
      <c r="F1351">
        <v>10</v>
      </c>
      <c r="G1351">
        <v>0.48005574466381007</v>
      </c>
      <c r="H1351" t="s">
        <v>103</v>
      </c>
      <c r="I1351">
        <v>0</v>
      </c>
      <c r="J1351">
        <v>480</v>
      </c>
      <c r="K1351">
        <v>0</v>
      </c>
    </row>
    <row r="1352" spans="1:11" x14ac:dyDescent="0.2">
      <c r="A1352" t="s">
        <v>16</v>
      </c>
      <c r="B1352" t="s">
        <v>4166</v>
      </c>
      <c r="C1352">
        <v>240</v>
      </c>
      <c r="D1352" t="s">
        <v>9779</v>
      </c>
      <c r="E1352" t="s">
        <v>50</v>
      </c>
      <c r="F1352">
        <v>10</v>
      </c>
      <c r="G1352">
        <v>0.48005574466381007</v>
      </c>
      <c r="H1352" t="s">
        <v>98</v>
      </c>
      <c r="I1352">
        <v>0</v>
      </c>
      <c r="J1352">
        <v>480</v>
      </c>
      <c r="K1352">
        <v>0</v>
      </c>
    </row>
    <row r="1353" spans="1:11" x14ac:dyDescent="0.2">
      <c r="A1353" t="s">
        <v>16</v>
      </c>
      <c r="B1353" t="s">
        <v>4166</v>
      </c>
      <c r="C1353">
        <v>240</v>
      </c>
      <c r="D1353" t="s">
        <v>9776</v>
      </c>
      <c r="E1353" t="s">
        <v>50</v>
      </c>
      <c r="F1353">
        <v>10</v>
      </c>
      <c r="G1353">
        <v>0.48005574466381007</v>
      </c>
      <c r="H1353" t="s">
        <v>84</v>
      </c>
      <c r="I1353">
        <v>0</v>
      </c>
      <c r="J1353">
        <v>480</v>
      </c>
      <c r="K1353">
        <v>0</v>
      </c>
    </row>
    <row r="1354" spans="1:11" x14ac:dyDescent="0.2">
      <c r="A1354" t="s">
        <v>16</v>
      </c>
      <c r="B1354" t="s">
        <v>4166</v>
      </c>
      <c r="C1354">
        <v>240</v>
      </c>
      <c r="D1354" t="s">
        <v>9771</v>
      </c>
      <c r="E1354" t="s">
        <v>50</v>
      </c>
      <c r="F1354">
        <v>10</v>
      </c>
      <c r="G1354">
        <v>0.48005574466381007</v>
      </c>
      <c r="H1354" t="s">
        <v>93</v>
      </c>
      <c r="I1354">
        <v>0</v>
      </c>
      <c r="J1354">
        <v>480</v>
      </c>
      <c r="K1354">
        <v>0</v>
      </c>
    </row>
    <row r="1355" spans="1:11" x14ac:dyDescent="0.2">
      <c r="A1355" t="s">
        <v>16</v>
      </c>
      <c r="B1355" t="s">
        <v>4166</v>
      </c>
      <c r="C1355">
        <v>240</v>
      </c>
      <c r="D1355" t="s">
        <v>9783</v>
      </c>
      <c r="E1355" t="s">
        <v>50</v>
      </c>
      <c r="F1355">
        <v>10</v>
      </c>
      <c r="G1355">
        <v>0.48005574466381007</v>
      </c>
      <c r="H1355" t="s">
        <v>97</v>
      </c>
      <c r="I1355">
        <v>0</v>
      </c>
      <c r="J1355">
        <v>480</v>
      </c>
      <c r="K1355">
        <v>0</v>
      </c>
    </row>
    <row r="1356" spans="1:11" x14ac:dyDescent="0.2">
      <c r="A1356" t="s">
        <v>16</v>
      </c>
      <c r="B1356" t="s">
        <v>4166</v>
      </c>
      <c r="C1356">
        <v>240</v>
      </c>
      <c r="D1356" t="s">
        <v>9770</v>
      </c>
      <c r="E1356" t="s">
        <v>50</v>
      </c>
      <c r="F1356">
        <v>10</v>
      </c>
      <c r="G1356">
        <v>0.48005574466381007</v>
      </c>
      <c r="H1356" t="s">
        <v>101</v>
      </c>
      <c r="I1356">
        <v>0</v>
      </c>
      <c r="J1356">
        <v>480</v>
      </c>
      <c r="K1356">
        <v>0</v>
      </c>
    </row>
    <row r="1357" spans="1:11" x14ac:dyDescent="0.2">
      <c r="A1357" t="s">
        <v>16</v>
      </c>
      <c r="B1357" t="s">
        <v>4166</v>
      </c>
      <c r="C1357">
        <v>240</v>
      </c>
      <c r="D1357" t="s">
        <v>9785</v>
      </c>
      <c r="E1357" t="s">
        <v>50</v>
      </c>
      <c r="F1357">
        <v>10</v>
      </c>
      <c r="G1357">
        <v>0.48005574466381007</v>
      </c>
      <c r="H1357" t="s">
        <v>99</v>
      </c>
      <c r="I1357">
        <v>0</v>
      </c>
      <c r="J1357">
        <v>480</v>
      </c>
      <c r="K1357">
        <v>0</v>
      </c>
    </row>
    <row r="1358" spans="1:11" x14ac:dyDescent="0.2">
      <c r="A1358" t="s">
        <v>16</v>
      </c>
      <c r="B1358" t="s">
        <v>4166</v>
      </c>
      <c r="C1358">
        <v>240</v>
      </c>
      <c r="D1358" t="s">
        <v>9786</v>
      </c>
      <c r="E1358" t="s">
        <v>50</v>
      </c>
      <c r="F1358">
        <v>10</v>
      </c>
      <c r="G1358">
        <v>0.48005574466381007</v>
      </c>
      <c r="H1358" t="s">
        <v>104</v>
      </c>
      <c r="I1358">
        <v>0</v>
      </c>
      <c r="J1358">
        <v>480</v>
      </c>
      <c r="K1358">
        <v>0</v>
      </c>
    </row>
    <row r="1359" spans="1:11" x14ac:dyDescent="0.2">
      <c r="A1359" t="s">
        <v>16</v>
      </c>
      <c r="B1359" t="s">
        <v>4166</v>
      </c>
      <c r="C1359">
        <v>240</v>
      </c>
      <c r="D1359" t="s">
        <v>9782</v>
      </c>
      <c r="E1359" t="s">
        <v>50</v>
      </c>
      <c r="F1359">
        <v>10</v>
      </c>
      <c r="G1359">
        <v>0.48005574466381007</v>
      </c>
      <c r="H1359" t="s">
        <v>92</v>
      </c>
      <c r="I1359">
        <v>0</v>
      </c>
      <c r="J1359">
        <v>480</v>
      </c>
      <c r="K1359">
        <v>0</v>
      </c>
    </row>
    <row r="1360" spans="1:11" x14ac:dyDescent="0.2">
      <c r="A1360" t="s">
        <v>16</v>
      </c>
      <c r="B1360" t="s">
        <v>723</v>
      </c>
      <c r="C1360">
        <v>450</v>
      </c>
      <c r="D1360" t="s">
        <v>9807</v>
      </c>
      <c r="E1360" t="s">
        <v>50</v>
      </c>
      <c r="F1360">
        <v>2</v>
      </c>
      <c r="G1360">
        <v>0.57438347718865601</v>
      </c>
      <c r="H1360" t="s">
        <v>95</v>
      </c>
      <c r="I1360">
        <v>0</v>
      </c>
      <c r="J1360">
        <v>450</v>
      </c>
      <c r="K1360">
        <v>0</v>
      </c>
    </row>
    <row r="1361" spans="1:11" x14ac:dyDescent="0.2">
      <c r="A1361" t="s">
        <v>16</v>
      </c>
      <c r="B1361" t="s">
        <v>723</v>
      </c>
      <c r="C1361">
        <v>450</v>
      </c>
      <c r="D1361" t="s">
        <v>9809</v>
      </c>
      <c r="E1361" t="s">
        <v>50</v>
      </c>
      <c r="F1361">
        <v>2</v>
      </c>
      <c r="G1361">
        <v>0.57438347718865601</v>
      </c>
      <c r="H1361" t="s">
        <v>103</v>
      </c>
      <c r="I1361">
        <v>0</v>
      </c>
      <c r="J1361">
        <v>450</v>
      </c>
      <c r="K1361">
        <v>0</v>
      </c>
    </row>
    <row r="1362" spans="1:11" x14ac:dyDescent="0.2">
      <c r="A1362" t="s">
        <v>16</v>
      </c>
      <c r="B1362" t="s">
        <v>338</v>
      </c>
      <c r="C1362">
        <v>225</v>
      </c>
      <c r="D1362" t="s">
        <v>9909</v>
      </c>
      <c r="E1362" t="s">
        <v>50</v>
      </c>
      <c r="F1362">
        <v>4</v>
      </c>
      <c r="G1362">
        <v>0.54568976830752347</v>
      </c>
      <c r="H1362" t="s">
        <v>105</v>
      </c>
      <c r="I1362">
        <v>0</v>
      </c>
      <c r="J1362">
        <v>450</v>
      </c>
      <c r="K1362">
        <v>0</v>
      </c>
    </row>
    <row r="1363" spans="1:11" x14ac:dyDescent="0.2">
      <c r="A1363" t="s">
        <v>16</v>
      </c>
      <c r="B1363" t="s">
        <v>338</v>
      </c>
      <c r="C1363">
        <v>225</v>
      </c>
      <c r="D1363" t="s">
        <v>9898</v>
      </c>
      <c r="E1363" t="s">
        <v>50</v>
      </c>
      <c r="F1363">
        <v>4</v>
      </c>
      <c r="G1363">
        <v>0.54568976830752347</v>
      </c>
      <c r="H1363" t="s">
        <v>87</v>
      </c>
      <c r="I1363">
        <v>0</v>
      </c>
      <c r="J1363">
        <v>450</v>
      </c>
      <c r="K1363">
        <v>0</v>
      </c>
    </row>
    <row r="1364" spans="1:11" x14ac:dyDescent="0.2">
      <c r="A1364" t="s">
        <v>16</v>
      </c>
      <c r="B1364" t="s">
        <v>338</v>
      </c>
      <c r="C1364">
        <v>225</v>
      </c>
      <c r="D1364" t="s">
        <v>9908</v>
      </c>
      <c r="E1364" t="s">
        <v>50</v>
      </c>
      <c r="F1364">
        <v>4</v>
      </c>
      <c r="G1364">
        <v>0.54568976830752347</v>
      </c>
      <c r="H1364" t="s">
        <v>98</v>
      </c>
      <c r="I1364">
        <v>0</v>
      </c>
      <c r="J1364">
        <v>450</v>
      </c>
      <c r="K1364">
        <v>0</v>
      </c>
    </row>
    <row r="1365" spans="1:11" x14ac:dyDescent="0.2">
      <c r="A1365" t="s">
        <v>16</v>
      </c>
      <c r="B1365" t="s">
        <v>338</v>
      </c>
      <c r="C1365">
        <v>225</v>
      </c>
      <c r="D1365" t="s">
        <v>9894</v>
      </c>
      <c r="E1365" t="s">
        <v>50</v>
      </c>
      <c r="F1365">
        <v>4</v>
      </c>
      <c r="G1365">
        <v>0.54568976830752347</v>
      </c>
      <c r="H1365" t="s">
        <v>84</v>
      </c>
      <c r="I1365">
        <v>0</v>
      </c>
      <c r="J1365">
        <v>450</v>
      </c>
      <c r="K1365">
        <v>0</v>
      </c>
    </row>
    <row r="1366" spans="1:11" x14ac:dyDescent="0.2">
      <c r="A1366" t="s">
        <v>16</v>
      </c>
      <c r="B1366" t="s">
        <v>338</v>
      </c>
      <c r="C1366">
        <v>225</v>
      </c>
      <c r="D1366" t="s">
        <v>9910</v>
      </c>
      <c r="E1366" t="s">
        <v>50</v>
      </c>
      <c r="F1366">
        <v>4</v>
      </c>
      <c r="G1366">
        <v>0.54568976830752347</v>
      </c>
      <c r="H1366" t="s">
        <v>105</v>
      </c>
      <c r="I1366">
        <v>0</v>
      </c>
      <c r="J1366">
        <v>450</v>
      </c>
      <c r="K1366">
        <v>0</v>
      </c>
    </row>
    <row r="1367" spans="1:11" x14ac:dyDescent="0.2">
      <c r="A1367" t="s">
        <v>16</v>
      </c>
      <c r="B1367" t="s">
        <v>338</v>
      </c>
      <c r="C1367">
        <v>225</v>
      </c>
      <c r="D1367" t="s">
        <v>9892</v>
      </c>
      <c r="E1367" t="s">
        <v>50</v>
      </c>
      <c r="F1367">
        <v>4</v>
      </c>
      <c r="G1367">
        <v>0.54568976830752347</v>
      </c>
      <c r="H1367" t="s">
        <v>87</v>
      </c>
      <c r="I1367">
        <v>0</v>
      </c>
      <c r="J1367">
        <v>450</v>
      </c>
      <c r="K1367">
        <v>0</v>
      </c>
    </row>
    <row r="1368" spans="1:11" x14ac:dyDescent="0.2">
      <c r="A1368" t="s">
        <v>16</v>
      </c>
      <c r="B1368" t="s">
        <v>338</v>
      </c>
      <c r="C1368">
        <v>225</v>
      </c>
      <c r="D1368" t="s">
        <v>9901</v>
      </c>
      <c r="E1368" t="s">
        <v>50</v>
      </c>
      <c r="F1368">
        <v>4</v>
      </c>
      <c r="G1368">
        <v>0.54568976830752347</v>
      </c>
      <c r="H1368" t="s">
        <v>98</v>
      </c>
      <c r="I1368">
        <v>0</v>
      </c>
      <c r="J1368">
        <v>450</v>
      </c>
      <c r="K1368">
        <v>0</v>
      </c>
    </row>
    <row r="1369" spans="1:11" x14ac:dyDescent="0.2">
      <c r="A1369" t="s">
        <v>16</v>
      </c>
      <c r="B1369" t="s">
        <v>338</v>
      </c>
      <c r="C1369">
        <v>225</v>
      </c>
      <c r="D1369" t="s">
        <v>9904</v>
      </c>
      <c r="E1369" t="s">
        <v>50</v>
      </c>
      <c r="F1369">
        <v>4</v>
      </c>
      <c r="G1369">
        <v>0.54568976830752347</v>
      </c>
      <c r="H1369" t="s">
        <v>84</v>
      </c>
      <c r="I1369">
        <v>0</v>
      </c>
      <c r="J1369">
        <v>450</v>
      </c>
      <c r="K1369">
        <v>0</v>
      </c>
    </row>
    <row r="1370" spans="1:11" x14ac:dyDescent="0.2">
      <c r="A1370" t="s">
        <v>16</v>
      </c>
      <c r="B1370" t="s">
        <v>338</v>
      </c>
      <c r="C1370">
        <v>225</v>
      </c>
      <c r="D1370" t="s">
        <v>9905</v>
      </c>
      <c r="E1370" t="s">
        <v>50</v>
      </c>
      <c r="F1370">
        <v>4</v>
      </c>
      <c r="G1370">
        <v>0.54568976830752347</v>
      </c>
      <c r="H1370" t="s">
        <v>105</v>
      </c>
      <c r="I1370">
        <v>0</v>
      </c>
      <c r="J1370">
        <v>450</v>
      </c>
      <c r="K1370">
        <v>0</v>
      </c>
    </row>
    <row r="1371" spans="1:11" x14ac:dyDescent="0.2">
      <c r="A1371" t="s">
        <v>16</v>
      </c>
      <c r="B1371" t="s">
        <v>338</v>
      </c>
      <c r="C1371">
        <v>225</v>
      </c>
      <c r="D1371" t="s">
        <v>9907</v>
      </c>
      <c r="E1371" t="s">
        <v>50</v>
      </c>
      <c r="F1371">
        <v>4</v>
      </c>
      <c r="G1371">
        <v>0.54568976830752347</v>
      </c>
      <c r="H1371" t="s">
        <v>87</v>
      </c>
      <c r="I1371">
        <v>0</v>
      </c>
      <c r="J1371">
        <v>450</v>
      </c>
      <c r="K1371">
        <v>0</v>
      </c>
    </row>
    <row r="1372" spans="1:11" x14ac:dyDescent="0.2">
      <c r="A1372" t="s">
        <v>16</v>
      </c>
      <c r="B1372" t="s">
        <v>338</v>
      </c>
      <c r="C1372">
        <v>225</v>
      </c>
      <c r="D1372" t="s">
        <v>9899</v>
      </c>
      <c r="E1372" t="s">
        <v>50</v>
      </c>
      <c r="F1372">
        <v>4</v>
      </c>
      <c r="G1372">
        <v>0.54568976830752347</v>
      </c>
      <c r="H1372" t="s">
        <v>98</v>
      </c>
      <c r="I1372">
        <v>0</v>
      </c>
      <c r="J1372">
        <v>450</v>
      </c>
      <c r="K1372">
        <v>0</v>
      </c>
    </row>
    <row r="1373" spans="1:11" x14ac:dyDescent="0.2">
      <c r="A1373" t="s">
        <v>16</v>
      </c>
      <c r="B1373" t="s">
        <v>338</v>
      </c>
      <c r="C1373">
        <v>225</v>
      </c>
      <c r="D1373" t="s">
        <v>9906</v>
      </c>
      <c r="E1373" t="s">
        <v>50</v>
      </c>
      <c r="F1373">
        <v>4</v>
      </c>
      <c r="G1373">
        <v>0.54568976830752347</v>
      </c>
      <c r="H1373" t="s">
        <v>84</v>
      </c>
      <c r="I1373">
        <v>0</v>
      </c>
      <c r="J1373">
        <v>450</v>
      </c>
      <c r="K1373">
        <v>0</v>
      </c>
    </row>
    <row r="1374" spans="1:11" x14ac:dyDescent="0.2">
      <c r="A1374" t="s">
        <v>16</v>
      </c>
      <c r="B1374" t="s">
        <v>338</v>
      </c>
      <c r="C1374">
        <v>225</v>
      </c>
      <c r="D1374" t="s">
        <v>9891</v>
      </c>
      <c r="E1374" t="s">
        <v>50</v>
      </c>
      <c r="F1374">
        <v>4</v>
      </c>
      <c r="G1374">
        <v>0.54568976830752347</v>
      </c>
      <c r="H1374" t="s">
        <v>105</v>
      </c>
      <c r="I1374">
        <v>0</v>
      </c>
      <c r="J1374">
        <v>450</v>
      </c>
      <c r="K1374">
        <v>0</v>
      </c>
    </row>
    <row r="1375" spans="1:11" x14ac:dyDescent="0.2">
      <c r="A1375" t="s">
        <v>16</v>
      </c>
      <c r="B1375" t="s">
        <v>338</v>
      </c>
      <c r="C1375">
        <v>225</v>
      </c>
      <c r="D1375" t="s">
        <v>9893</v>
      </c>
      <c r="E1375" t="s">
        <v>50</v>
      </c>
      <c r="F1375">
        <v>4</v>
      </c>
      <c r="G1375">
        <v>0.54568976830752347</v>
      </c>
      <c r="H1375" t="s">
        <v>87</v>
      </c>
      <c r="I1375">
        <v>0</v>
      </c>
      <c r="J1375">
        <v>450</v>
      </c>
      <c r="K1375">
        <v>0</v>
      </c>
    </row>
    <row r="1376" spans="1:11" x14ac:dyDescent="0.2">
      <c r="A1376" t="s">
        <v>16</v>
      </c>
      <c r="B1376" t="s">
        <v>338</v>
      </c>
      <c r="C1376">
        <v>225</v>
      </c>
      <c r="D1376" t="s">
        <v>9903</v>
      </c>
      <c r="E1376" t="s">
        <v>50</v>
      </c>
      <c r="F1376">
        <v>4</v>
      </c>
      <c r="G1376">
        <v>0.54568976830752347</v>
      </c>
      <c r="H1376" t="s">
        <v>98</v>
      </c>
      <c r="I1376">
        <v>0</v>
      </c>
      <c r="J1376">
        <v>450</v>
      </c>
      <c r="K1376">
        <v>0</v>
      </c>
    </row>
    <row r="1377" spans="1:11" x14ac:dyDescent="0.2">
      <c r="A1377" t="s">
        <v>16</v>
      </c>
      <c r="B1377" t="s">
        <v>338</v>
      </c>
      <c r="C1377">
        <v>225</v>
      </c>
      <c r="D1377" t="s">
        <v>9897</v>
      </c>
      <c r="E1377" t="s">
        <v>50</v>
      </c>
      <c r="F1377">
        <v>4</v>
      </c>
      <c r="G1377">
        <v>0.54568976830752347</v>
      </c>
      <c r="H1377" t="s">
        <v>84</v>
      </c>
      <c r="I1377">
        <v>0</v>
      </c>
      <c r="J1377">
        <v>450</v>
      </c>
      <c r="K1377">
        <v>0</v>
      </c>
    </row>
    <row r="1378" spans="1:11" x14ac:dyDescent="0.2">
      <c r="A1378" t="s">
        <v>16</v>
      </c>
      <c r="B1378" t="s">
        <v>338</v>
      </c>
      <c r="C1378">
        <v>225</v>
      </c>
      <c r="D1378" t="s">
        <v>9896</v>
      </c>
      <c r="E1378" t="s">
        <v>50</v>
      </c>
      <c r="F1378">
        <v>4</v>
      </c>
      <c r="G1378">
        <v>0.54568976830752347</v>
      </c>
      <c r="H1378" t="s">
        <v>105</v>
      </c>
      <c r="I1378">
        <v>0</v>
      </c>
      <c r="J1378">
        <v>450</v>
      </c>
      <c r="K1378">
        <v>0</v>
      </c>
    </row>
    <row r="1379" spans="1:11" x14ac:dyDescent="0.2">
      <c r="A1379" t="s">
        <v>16</v>
      </c>
      <c r="B1379" t="s">
        <v>338</v>
      </c>
      <c r="C1379">
        <v>225</v>
      </c>
      <c r="D1379" t="s">
        <v>9900</v>
      </c>
      <c r="E1379" t="s">
        <v>50</v>
      </c>
      <c r="F1379">
        <v>4</v>
      </c>
      <c r="G1379">
        <v>0.54568976830752347</v>
      </c>
      <c r="H1379" t="s">
        <v>87</v>
      </c>
      <c r="I1379">
        <v>0</v>
      </c>
      <c r="J1379">
        <v>450</v>
      </c>
      <c r="K1379">
        <v>0</v>
      </c>
    </row>
    <row r="1380" spans="1:11" x14ac:dyDescent="0.2">
      <c r="A1380" t="s">
        <v>16</v>
      </c>
      <c r="B1380" t="s">
        <v>338</v>
      </c>
      <c r="C1380">
        <v>225</v>
      </c>
      <c r="D1380" t="s">
        <v>9902</v>
      </c>
      <c r="E1380" t="s">
        <v>50</v>
      </c>
      <c r="F1380">
        <v>4</v>
      </c>
      <c r="G1380">
        <v>0.54568976830752347</v>
      </c>
      <c r="H1380" t="s">
        <v>98</v>
      </c>
      <c r="I1380">
        <v>0</v>
      </c>
      <c r="J1380">
        <v>450</v>
      </c>
      <c r="K1380">
        <v>0</v>
      </c>
    </row>
    <row r="1381" spans="1:11" x14ac:dyDescent="0.2">
      <c r="A1381" t="s">
        <v>16</v>
      </c>
      <c r="B1381" t="s">
        <v>338</v>
      </c>
      <c r="C1381">
        <v>225</v>
      </c>
      <c r="D1381" t="s">
        <v>9890</v>
      </c>
      <c r="E1381" t="s">
        <v>50</v>
      </c>
      <c r="F1381">
        <v>4</v>
      </c>
      <c r="G1381">
        <v>0.54568976830752347</v>
      </c>
      <c r="H1381" t="s">
        <v>84</v>
      </c>
      <c r="I1381">
        <v>0</v>
      </c>
      <c r="J1381">
        <v>450</v>
      </c>
      <c r="K1381">
        <v>0</v>
      </c>
    </row>
    <row r="1382" spans="1:11" x14ac:dyDescent="0.2">
      <c r="A1382" t="s">
        <v>16</v>
      </c>
      <c r="B1382" t="s">
        <v>338</v>
      </c>
      <c r="C1382">
        <v>225</v>
      </c>
      <c r="D1382" t="s">
        <v>9895</v>
      </c>
      <c r="E1382" t="s">
        <v>50</v>
      </c>
      <c r="F1382">
        <v>4</v>
      </c>
      <c r="G1382">
        <v>0.54568976830752347</v>
      </c>
      <c r="H1382" t="s">
        <v>105</v>
      </c>
      <c r="I1382">
        <v>0</v>
      </c>
      <c r="J1382">
        <v>450</v>
      </c>
      <c r="K1382">
        <v>0</v>
      </c>
    </row>
    <row r="1383" spans="1:11" x14ac:dyDescent="0.2">
      <c r="A1383" t="s">
        <v>16</v>
      </c>
      <c r="B1383" t="s">
        <v>338</v>
      </c>
      <c r="C1383">
        <v>225</v>
      </c>
      <c r="D1383" t="s">
        <v>9889</v>
      </c>
      <c r="E1383" t="s">
        <v>50</v>
      </c>
      <c r="F1383">
        <v>4</v>
      </c>
      <c r="G1383">
        <v>0.54568976830752347</v>
      </c>
      <c r="H1383" t="s">
        <v>87</v>
      </c>
      <c r="I1383">
        <v>0</v>
      </c>
      <c r="J1383">
        <v>450</v>
      </c>
      <c r="K1383">
        <v>0</v>
      </c>
    </row>
    <row r="1384" spans="1:11" x14ac:dyDescent="0.2">
      <c r="A1384" t="s">
        <v>16</v>
      </c>
      <c r="B1384" t="s">
        <v>683</v>
      </c>
      <c r="C1384">
        <v>225</v>
      </c>
      <c r="D1384" t="s">
        <v>9911</v>
      </c>
      <c r="E1384" t="s">
        <v>50</v>
      </c>
      <c r="F1384">
        <v>4</v>
      </c>
      <c r="G1384">
        <v>0.54568976830752347</v>
      </c>
      <c r="H1384" t="s">
        <v>93</v>
      </c>
      <c r="I1384">
        <v>0</v>
      </c>
      <c r="J1384">
        <v>450</v>
      </c>
      <c r="K1384">
        <v>0</v>
      </c>
    </row>
    <row r="1385" spans="1:11" x14ac:dyDescent="0.2">
      <c r="A1385" t="s">
        <v>16</v>
      </c>
      <c r="B1385" t="s">
        <v>682</v>
      </c>
      <c r="C1385">
        <v>225</v>
      </c>
      <c r="D1385" t="s">
        <v>9914</v>
      </c>
      <c r="E1385" t="s">
        <v>50</v>
      </c>
      <c r="F1385">
        <v>4</v>
      </c>
      <c r="G1385">
        <v>0.54568976830752347</v>
      </c>
      <c r="H1385" t="s">
        <v>97</v>
      </c>
      <c r="I1385">
        <v>0</v>
      </c>
      <c r="J1385">
        <v>450</v>
      </c>
      <c r="K1385">
        <v>0</v>
      </c>
    </row>
    <row r="1386" spans="1:11" x14ac:dyDescent="0.2">
      <c r="A1386" t="s">
        <v>16</v>
      </c>
      <c r="B1386" t="s">
        <v>682</v>
      </c>
      <c r="C1386">
        <v>225</v>
      </c>
      <c r="D1386" t="s">
        <v>9913</v>
      </c>
      <c r="E1386" t="s">
        <v>50</v>
      </c>
      <c r="F1386">
        <v>4</v>
      </c>
      <c r="G1386">
        <v>0.54568976830752347</v>
      </c>
      <c r="H1386" t="s">
        <v>101</v>
      </c>
      <c r="I1386">
        <v>0</v>
      </c>
      <c r="J1386">
        <v>450</v>
      </c>
      <c r="K1386">
        <v>0</v>
      </c>
    </row>
    <row r="1387" spans="1:11" x14ac:dyDescent="0.2">
      <c r="A1387" t="s">
        <v>16</v>
      </c>
      <c r="B1387" t="s">
        <v>337</v>
      </c>
      <c r="C1387">
        <v>225</v>
      </c>
      <c r="D1387" t="s">
        <v>9923</v>
      </c>
      <c r="E1387" t="s">
        <v>50</v>
      </c>
      <c r="F1387">
        <v>4</v>
      </c>
      <c r="G1387">
        <v>0.54568976830752347</v>
      </c>
      <c r="H1387" t="s">
        <v>99</v>
      </c>
      <c r="I1387">
        <v>0</v>
      </c>
      <c r="J1387">
        <v>450</v>
      </c>
      <c r="K1387">
        <v>0</v>
      </c>
    </row>
    <row r="1388" spans="1:11" x14ac:dyDescent="0.2">
      <c r="A1388" t="s">
        <v>16</v>
      </c>
      <c r="B1388" t="s">
        <v>337</v>
      </c>
      <c r="C1388">
        <v>225</v>
      </c>
      <c r="D1388" t="s">
        <v>9918</v>
      </c>
      <c r="E1388" t="s">
        <v>50</v>
      </c>
      <c r="F1388">
        <v>4</v>
      </c>
      <c r="G1388">
        <v>0.54568976830752347</v>
      </c>
      <c r="H1388" t="s">
        <v>104</v>
      </c>
      <c r="I1388">
        <v>0</v>
      </c>
      <c r="J1388">
        <v>450</v>
      </c>
      <c r="K1388">
        <v>0</v>
      </c>
    </row>
    <row r="1389" spans="1:11" x14ac:dyDescent="0.2">
      <c r="A1389" t="s">
        <v>16</v>
      </c>
      <c r="B1389" t="s">
        <v>337</v>
      </c>
      <c r="C1389">
        <v>225</v>
      </c>
      <c r="D1389" t="s">
        <v>9937</v>
      </c>
      <c r="E1389" t="s">
        <v>50</v>
      </c>
      <c r="F1389">
        <v>4</v>
      </c>
      <c r="G1389">
        <v>0.54568976830752347</v>
      </c>
      <c r="H1389" t="s">
        <v>95</v>
      </c>
      <c r="I1389">
        <v>0</v>
      </c>
      <c r="J1389">
        <v>450</v>
      </c>
      <c r="K1389">
        <v>0</v>
      </c>
    </row>
    <row r="1390" spans="1:11" x14ac:dyDescent="0.2">
      <c r="A1390" t="s">
        <v>16</v>
      </c>
      <c r="B1390" t="s">
        <v>337</v>
      </c>
      <c r="C1390">
        <v>225</v>
      </c>
      <c r="D1390" t="s">
        <v>9935</v>
      </c>
      <c r="E1390" t="s">
        <v>50</v>
      </c>
      <c r="F1390">
        <v>4</v>
      </c>
      <c r="G1390">
        <v>0.54568976830752347</v>
      </c>
      <c r="H1390" t="s">
        <v>92</v>
      </c>
      <c r="I1390">
        <v>0</v>
      </c>
      <c r="J1390">
        <v>450</v>
      </c>
      <c r="K1390">
        <v>0</v>
      </c>
    </row>
    <row r="1391" spans="1:11" x14ac:dyDescent="0.2">
      <c r="A1391" t="s">
        <v>16</v>
      </c>
      <c r="B1391" t="s">
        <v>337</v>
      </c>
      <c r="C1391">
        <v>225</v>
      </c>
      <c r="D1391" t="s">
        <v>9922</v>
      </c>
      <c r="E1391" t="s">
        <v>50</v>
      </c>
      <c r="F1391">
        <v>4</v>
      </c>
      <c r="G1391">
        <v>0.54568976830752347</v>
      </c>
      <c r="H1391" t="s">
        <v>99</v>
      </c>
      <c r="I1391">
        <v>0</v>
      </c>
      <c r="J1391">
        <v>450</v>
      </c>
      <c r="K1391">
        <v>0</v>
      </c>
    </row>
    <row r="1392" spans="1:11" x14ac:dyDescent="0.2">
      <c r="A1392" t="s">
        <v>16</v>
      </c>
      <c r="B1392" t="s">
        <v>337</v>
      </c>
      <c r="C1392">
        <v>225</v>
      </c>
      <c r="D1392" t="s">
        <v>9917</v>
      </c>
      <c r="E1392" t="s">
        <v>50</v>
      </c>
      <c r="F1392">
        <v>4</v>
      </c>
      <c r="G1392">
        <v>0.54568976830752347</v>
      </c>
      <c r="H1392" t="s">
        <v>104</v>
      </c>
      <c r="I1392">
        <v>0</v>
      </c>
      <c r="J1392">
        <v>450</v>
      </c>
      <c r="K1392">
        <v>0</v>
      </c>
    </row>
    <row r="1393" spans="1:11" x14ac:dyDescent="0.2">
      <c r="A1393" t="s">
        <v>16</v>
      </c>
      <c r="B1393" t="s">
        <v>337</v>
      </c>
      <c r="C1393">
        <v>225</v>
      </c>
      <c r="D1393" t="s">
        <v>9919</v>
      </c>
      <c r="E1393" t="s">
        <v>50</v>
      </c>
      <c r="F1393">
        <v>4</v>
      </c>
      <c r="G1393">
        <v>0.54568976830752347</v>
      </c>
      <c r="H1393" t="s">
        <v>95</v>
      </c>
      <c r="I1393">
        <v>0</v>
      </c>
      <c r="J1393">
        <v>450</v>
      </c>
      <c r="K1393">
        <v>0</v>
      </c>
    </row>
    <row r="1394" spans="1:11" x14ac:dyDescent="0.2">
      <c r="A1394" t="s">
        <v>16</v>
      </c>
      <c r="B1394" t="s">
        <v>337</v>
      </c>
      <c r="C1394">
        <v>225</v>
      </c>
      <c r="D1394" t="s">
        <v>9932</v>
      </c>
      <c r="E1394" t="s">
        <v>50</v>
      </c>
      <c r="F1394">
        <v>4</v>
      </c>
      <c r="G1394">
        <v>0.54568976830752347</v>
      </c>
      <c r="H1394" t="s">
        <v>92</v>
      </c>
      <c r="I1394">
        <v>0</v>
      </c>
      <c r="J1394">
        <v>450</v>
      </c>
      <c r="K1394">
        <v>0</v>
      </c>
    </row>
    <row r="1395" spans="1:11" x14ac:dyDescent="0.2">
      <c r="A1395" t="s">
        <v>16</v>
      </c>
      <c r="B1395" t="s">
        <v>337</v>
      </c>
      <c r="C1395">
        <v>225</v>
      </c>
      <c r="D1395" t="s">
        <v>9925</v>
      </c>
      <c r="E1395" t="s">
        <v>50</v>
      </c>
      <c r="F1395">
        <v>4</v>
      </c>
      <c r="G1395">
        <v>0.54568976830752347</v>
      </c>
      <c r="H1395" t="s">
        <v>99</v>
      </c>
      <c r="I1395">
        <v>0</v>
      </c>
      <c r="J1395">
        <v>450</v>
      </c>
      <c r="K1395">
        <v>0</v>
      </c>
    </row>
    <row r="1396" spans="1:11" x14ac:dyDescent="0.2">
      <c r="A1396" t="s">
        <v>16</v>
      </c>
      <c r="B1396" t="s">
        <v>337</v>
      </c>
      <c r="C1396">
        <v>225</v>
      </c>
      <c r="D1396" t="s">
        <v>9941</v>
      </c>
      <c r="E1396" t="s">
        <v>50</v>
      </c>
      <c r="F1396">
        <v>4</v>
      </c>
      <c r="G1396">
        <v>0.54568976830752347</v>
      </c>
      <c r="H1396" t="s">
        <v>104</v>
      </c>
      <c r="I1396">
        <v>0</v>
      </c>
      <c r="J1396">
        <v>450</v>
      </c>
      <c r="K1396">
        <v>0</v>
      </c>
    </row>
    <row r="1397" spans="1:11" x14ac:dyDescent="0.2">
      <c r="A1397" t="s">
        <v>16</v>
      </c>
      <c r="B1397" t="s">
        <v>337</v>
      </c>
      <c r="C1397">
        <v>225</v>
      </c>
      <c r="D1397" t="s">
        <v>9938</v>
      </c>
      <c r="E1397" t="s">
        <v>50</v>
      </c>
      <c r="F1397">
        <v>4</v>
      </c>
      <c r="G1397">
        <v>0.54568976830752347</v>
      </c>
      <c r="H1397" t="s">
        <v>95</v>
      </c>
      <c r="I1397">
        <v>0</v>
      </c>
      <c r="J1397">
        <v>450</v>
      </c>
      <c r="K1397">
        <v>0</v>
      </c>
    </row>
    <row r="1398" spans="1:11" x14ac:dyDescent="0.2">
      <c r="A1398" t="s">
        <v>16</v>
      </c>
      <c r="B1398" t="s">
        <v>337</v>
      </c>
      <c r="C1398">
        <v>225</v>
      </c>
      <c r="D1398" t="s">
        <v>9933</v>
      </c>
      <c r="E1398" t="s">
        <v>50</v>
      </c>
      <c r="F1398">
        <v>4</v>
      </c>
      <c r="G1398">
        <v>0.54568976830752347</v>
      </c>
      <c r="H1398" t="s">
        <v>92</v>
      </c>
      <c r="I1398">
        <v>0</v>
      </c>
      <c r="J1398">
        <v>450</v>
      </c>
      <c r="K1398">
        <v>0</v>
      </c>
    </row>
    <row r="1399" spans="1:11" x14ac:dyDescent="0.2">
      <c r="A1399" t="s">
        <v>16</v>
      </c>
      <c r="B1399" t="s">
        <v>337</v>
      </c>
      <c r="C1399">
        <v>225</v>
      </c>
      <c r="D1399" t="s">
        <v>9920</v>
      </c>
      <c r="E1399" t="s">
        <v>50</v>
      </c>
      <c r="F1399">
        <v>4</v>
      </c>
      <c r="G1399">
        <v>0.54568976830752347</v>
      </c>
      <c r="H1399" t="s">
        <v>99</v>
      </c>
      <c r="I1399">
        <v>0</v>
      </c>
      <c r="J1399">
        <v>450</v>
      </c>
      <c r="K1399">
        <v>0</v>
      </c>
    </row>
    <row r="1400" spans="1:11" x14ac:dyDescent="0.2">
      <c r="A1400" t="s">
        <v>16</v>
      </c>
      <c r="B1400" t="s">
        <v>337</v>
      </c>
      <c r="C1400">
        <v>225</v>
      </c>
      <c r="D1400" t="s">
        <v>9927</v>
      </c>
      <c r="E1400" t="s">
        <v>50</v>
      </c>
      <c r="F1400">
        <v>4</v>
      </c>
      <c r="G1400">
        <v>0.54568976830752347</v>
      </c>
      <c r="H1400" t="s">
        <v>104</v>
      </c>
      <c r="I1400">
        <v>0</v>
      </c>
      <c r="J1400">
        <v>450</v>
      </c>
      <c r="K1400">
        <v>0</v>
      </c>
    </row>
    <row r="1401" spans="1:11" x14ac:dyDescent="0.2">
      <c r="A1401" t="s">
        <v>16</v>
      </c>
      <c r="B1401" t="s">
        <v>337</v>
      </c>
      <c r="C1401">
        <v>225</v>
      </c>
      <c r="D1401" t="s">
        <v>9930</v>
      </c>
      <c r="E1401" t="s">
        <v>50</v>
      </c>
      <c r="F1401">
        <v>4</v>
      </c>
      <c r="G1401">
        <v>0.54568976830752347</v>
      </c>
      <c r="H1401" t="s">
        <v>95</v>
      </c>
      <c r="I1401">
        <v>0</v>
      </c>
      <c r="J1401">
        <v>450</v>
      </c>
      <c r="K1401">
        <v>0</v>
      </c>
    </row>
    <row r="1402" spans="1:11" x14ac:dyDescent="0.2">
      <c r="A1402" t="s">
        <v>16</v>
      </c>
      <c r="B1402" t="s">
        <v>337</v>
      </c>
      <c r="C1402">
        <v>225</v>
      </c>
      <c r="D1402" t="s">
        <v>9928</v>
      </c>
      <c r="E1402" t="s">
        <v>50</v>
      </c>
      <c r="F1402">
        <v>4</v>
      </c>
      <c r="G1402">
        <v>0.54568976830752347</v>
      </c>
      <c r="H1402" t="s">
        <v>92</v>
      </c>
      <c r="I1402">
        <v>0</v>
      </c>
      <c r="J1402">
        <v>450</v>
      </c>
      <c r="K1402">
        <v>0</v>
      </c>
    </row>
    <row r="1403" spans="1:11" x14ac:dyDescent="0.2">
      <c r="A1403" t="s">
        <v>16</v>
      </c>
      <c r="B1403" t="s">
        <v>337</v>
      </c>
      <c r="C1403">
        <v>225</v>
      </c>
      <c r="D1403" t="s">
        <v>9939</v>
      </c>
      <c r="E1403" t="s">
        <v>50</v>
      </c>
      <c r="F1403">
        <v>4</v>
      </c>
      <c r="G1403">
        <v>0.54568976830752347</v>
      </c>
      <c r="H1403" t="s">
        <v>99</v>
      </c>
      <c r="I1403">
        <v>0</v>
      </c>
      <c r="J1403">
        <v>450</v>
      </c>
      <c r="K1403">
        <v>0</v>
      </c>
    </row>
    <row r="1404" spans="1:11" x14ac:dyDescent="0.2">
      <c r="A1404" t="s">
        <v>16</v>
      </c>
      <c r="B1404" t="s">
        <v>337</v>
      </c>
      <c r="C1404">
        <v>225</v>
      </c>
      <c r="D1404" t="s">
        <v>9936</v>
      </c>
      <c r="E1404" t="s">
        <v>50</v>
      </c>
      <c r="F1404">
        <v>4</v>
      </c>
      <c r="G1404">
        <v>0.54568976830752347</v>
      </c>
      <c r="H1404" t="s">
        <v>104</v>
      </c>
      <c r="I1404">
        <v>0</v>
      </c>
      <c r="J1404">
        <v>450</v>
      </c>
      <c r="K1404">
        <v>0</v>
      </c>
    </row>
    <row r="1405" spans="1:11" x14ac:dyDescent="0.2">
      <c r="A1405" t="s">
        <v>16</v>
      </c>
      <c r="B1405" t="s">
        <v>337</v>
      </c>
      <c r="C1405">
        <v>225</v>
      </c>
      <c r="D1405" t="s">
        <v>9921</v>
      </c>
      <c r="E1405" t="s">
        <v>50</v>
      </c>
      <c r="F1405">
        <v>4</v>
      </c>
      <c r="G1405">
        <v>0.54568976830752347</v>
      </c>
      <c r="H1405" t="s">
        <v>95</v>
      </c>
      <c r="I1405">
        <v>0</v>
      </c>
      <c r="J1405">
        <v>450</v>
      </c>
      <c r="K1405">
        <v>0</v>
      </c>
    </row>
    <row r="1406" spans="1:11" x14ac:dyDescent="0.2">
      <c r="A1406" t="s">
        <v>16</v>
      </c>
      <c r="B1406" t="s">
        <v>337</v>
      </c>
      <c r="C1406">
        <v>225</v>
      </c>
      <c r="D1406" t="s">
        <v>9931</v>
      </c>
      <c r="E1406" t="s">
        <v>50</v>
      </c>
      <c r="F1406">
        <v>4</v>
      </c>
      <c r="G1406">
        <v>0.54568976830752347</v>
      </c>
      <c r="H1406" t="s">
        <v>92</v>
      </c>
      <c r="I1406">
        <v>0</v>
      </c>
      <c r="J1406">
        <v>450</v>
      </c>
      <c r="K1406">
        <v>0</v>
      </c>
    </row>
    <row r="1407" spans="1:11" x14ac:dyDescent="0.2">
      <c r="A1407" t="s">
        <v>16</v>
      </c>
      <c r="B1407" t="s">
        <v>337</v>
      </c>
      <c r="C1407">
        <v>225</v>
      </c>
      <c r="D1407" t="s">
        <v>9924</v>
      </c>
      <c r="E1407" t="s">
        <v>50</v>
      </c>
      <c r="F1407">
        <v>4</v>
      </c>
      <c r="G1407">
        <v>0.54568976830752347</v>
      </c>
      <c r="H1407" t="s">
        <v>99</v>
      </c>
      <c r="I1407">
        <v>0</v>
      </c>
      <c r="J1407">
        <v>450</v>
      </c>
      <c r="K1407">
        <v>0</v>
      </c>
    </row>
    <row r="1408" spans="1:11" x14ac:dyDescent="0.2">
      <c r="A1408" t="s">
        <v>16</v>
      </c>
      <c r="B1408" t="s">
        <v>337</v>
      </c>
      <c r="C1408">
        <v>225</v>
      </c>
      <c r="D1408" t="s">
        <v>9929</v>
      </c>
      <c r="E1408" t="s">
        <v>50</v>
      </c>
      <c r="F1408">
        <v>4</v>
      </c>
      <c r="G1408">
        <v>0.54568976830752347</v>
      </c>
      <c r="H1408" t="s">
        <v>104</v>
      </c>
      <c r="I1408">
        <v>0</v>
      </c>
      <c r="J1408">
        <v>450</v>
      </c>
      <c r="K1408">
        <v>0</v>
      </c>
    </row>
    <row r="1409" spans="1:11" x14ac:dyDescent="0.2">
      <c r="A1409" t="s">
        <v>16</v>
      </c>
      <c r="B1409" t="s">
        <v>337</v>
      </c>
      <c r="C1409">
        <v>225</v>
      </c>
      <c r="D1409" t="s">
        <v>9926</v>
      </c>
      <c r="E1409" t="s">
        <v>50</v>
      </c>
      <c r="F1409">
        <v>4</v>
      </c>
      <c r="G1409">
        <v>0.54568976830752347</v>
      </c>
      <c r="H1409" t="s">
        <v>95</v>
      </c>
      <c r="I1409">
        <v>0</v>
      </c>
      <c r="J1409">
        <v>450</v>
      </c>
      <c r="K1409">
        <v>0</v>
      </c>
    </row>
    <row r="1410" spans="1:11" x14ac:dyDescent="0.2">
      <c r="A1410" t="s">
        <v>16</v>
      </c>
      <c r="B1410" t="s">
        <v>337</v>
      </c>
      <c r="C1410">
        <v>225</v>
      </c>
      <c r="D1410" t="s">
        <v>9916</v>
      </c>
      <c r="E1410" t="s">
        <v>50</v>
      </c>
      <c r="F1410">
        <v>4</v>
      </c>
      <c r="G1410">
        <v>0.54568976830752347</v>
      </c>
      <c r="H1410" t="s">
        <v>92</v>
      </c>
      <c r="I1410">
        <v>0</v>
      </c>
      <c r="J1410">
        <v>450</v>
      </c>
      <c r="K1410">
        <v>0</v>
      </c>
    </row>
    <row r="1411" spans="1:11" x14ac:dyDescent="0.2">
      <c r="A1411" t="s">
        <v>16</v>
      </c>
      <c r="B1411" t="s">
        <v>337</v>
      </c>
      <c r="C1411">
        <v>225</v>
      </c>
      <c r="D1411" t="s">
        <v>9940</v>
      </c>
      <c r="E1411" t="s">
        <v>50</v>
      </c>
      <c r="F1411">
        <v>4</v>
      </c>
      <c r="G1411">
        <v>0.54568976830752347</v>
      </c>
      <c r="H1411" t="s">
        <v>99</v>
      </c>
      <c r="I1411">
        <v>0</v>
      </c>
      <c r="J1411">
        <v>450</v>
      </c>
      <c r="K1411">
        <v>0</v>
      </c>
    </row>
    <row r="1412" spans="1:11" x14ac:dyDescent="0.2">
      <c r="A1412" t="s">
        <v>16</v>
      </c>
      <c r="B1412" t="s">
        <v>337</v>
      </c>
      <c r="C1412">
        <v>225</v>
      </c>
      <c r="D1412" t="s">
        <v>9934</v>
      </c>
      <c r="E1412" t="s">
        <v>50</v>
      </c>
      <c r="F1412">
        <v>4</v>
      </c>
      <c r="G1412">
        <v>0.54568976830752347</v>
      </c>
      <c r="H1412" t="s">
        <v>104</v>
      </c>
      <c r="I1412">
        <v>0</v>
      </c>
      <c r="J1412">
        <v>450</v>
      </c>
      <c r="K1412">
        <v>0</v>
      </c>
    </row>
    <row r="1413" spans="1:11" x14ac:dyDescent="0.2">
      <c r="A1413" t="s">
        <v>16</v>
      </c>
      <c r="B1413" t="s">
        <v>479</v>
      </c>
      <c r="C1413">
        <v>225</v>
      </c>
      <c r="D1413" t="s">
        <v>9946</v>
      </c>
      <c r="E1413" t="s">
        <v>50</v>
      </c>
      <c r="F1413">
        <v>4</v>
      </c>
      <c r="G1413">
        <v>0.54568976830752347</v>
      </c>
      <c r="H1413" t="s">
        <v>103</v>
      </c>
      <c r="I1413">
        <v>0</v>
      </c>
      <c r="J1413">
        <v>450</v>
      </c>
      <c r="K1413">
        <v>0</v>
      </c>
    </row>
    <row r="1414" spans="1:11" x14ac:dyDescent="0.2">
      <c r="A1414" t="s">
        <v>16</v>
      </c>
      <c r="B1414" t="s">
        <v>479</v>
      </c>
      <c r="C1414">
        <v>225</v>
      </c>
      <c r="D1414" t="s">
        <v>9944</v>
      </c>
      <c r="E1414" t="s">
        <v>50</v>
      </c>
      <c r="F1414">
        <v>4</v>
      </c>
      <c r="G1414">
        <v>0.54568976830752347</v>
      </c>
      <c r="H1414" t="s">
        <v>93</v>
      </c>
      <c r="I1414">
        <v>0</v>
      </c>
      <c r="J1414">
        <v>450</v>
      </c>
      <c r="K1414">
        <v>0</v>
      </c>
    </row>
    <row r="1415" spans="1:11" x14ac:dyDescent="0.2">
      <c r="A1415" t="s">
        <v>16</v>
      </c>
      <c r="B1415" t="s">
        <v>479</v>
      </c>
      <c r="C1415">
        <v>225</v>
      </c>
      <c r="D1415" t="s">
        <v>9966</v>
      </c>
      <c r="E1415" t="s">
        <v>50</v>
      </c>
      <c r="F1415">
        <v>4</v>
      </c>
      <c r="G1415">
        <v>0.54568976830752347</v>
      </c>
      <c r="H1415" t="s">
        <v>97</v>
      </c>
      <c r="I1415">
        <v>0</v>
      </c>
      <c r="J1415">
        <v>450</v>
      </c>
      <c r="K1415">
        <v>0</v>
      </c>
    </row>
    <row r="1416" spans="1:11" x14ac:dyDescent="0.2">
      <c r="A1416" t="s">
        <v>16</v>
      </c>
      <c r="B1416" t="s">
        <v>479</v>
      </c>
      <c r="C1416">
        <v>225</v>
      </c>
      <c r="D1416" t="s">
        <v>9971</v>
      </c>
      <c r="E1416" t="s">
        <v>50</v>
      </c>
      <c r="F1416">
        <v>4</v>
      </c>
      <c r="G1416">
        <v>0.54568976830752347</v>
      </c>
      <c r="H1416" t="s">
        <v>96</v>
      </c>
      <c r="I1416">
        <v>0</v>
      </c>
      <c r="J1416">
        <v>450</v>
      </c>
      <c r="K1416">
        <v>0</v>
      </c>
    </row>
    <row r="1417" spans="1:11" x14ac:dyDescent="0.2">
      <c r="A1417" t="s">
        <v>16</v>
      </c>
      <c r="B1417" t="s">
        <v>479</v>
      </c>
      <c r="C1417">
        <v>225</v>
      </c>
      <c r="D1417" t="s">
        <v>9976</v>
      </c>
      <c r="E1417" t="s">
        <v>50</v>
      </c>
      <c r="F1417">
        <v>4</v>
      </c>
      <c r="G1417">
        <v>0.54568976830752347</v>
      </c>
      <c r="H1417" t="s">
        <v>103</v>
      </c>
      <c r="I1417">
        <v>0</v>
      </c>
      <c r="J1417">
        <v>450</v>
      </c>
      <c r="K1417">
        <v>0</v>
      </c>
    </row>
    <row r="1418" spans="1:11" x14ac:dyDescent="0.2">
      <c r="A1418" t="s">
        <v>16</v>
      </c>
      <c r="B1418" t="s">
        <v>479</v>
      </c>
      <c r="C1418">
        <v>225</v>
      </c>
      <c r="D1418" t="s">
        <v>9950</v>
      </c>
      <c r="E1418" t="s">
        <v>50</v>
      </c>
      <c r="F1418">
        <v>4</v>
      </c>
      <c r="G1418">
        <v>0.54568976830752347</v>
      </c>
      <c r="H1418" t="s">
        <v>93</v>
      </c>
      <c r="I1418">
        <v>0</v>
      </c>
      <c r="J1418">
        <v>450</v>
      </c>
      <c r="K1418">
        <v>0</v>
      </c>
    </row>
    <row r="1419" spans="1:11" x14ac:dyDescent="0.2">
      <c r="A1419" t="s">
        <v>16</v>
      </c>
      <c r="B1419" t="s">
        <v>479</v>
      </c>
      <c r="C1419">
        <v>225</v>
      </c>
      <c r="D1419" t="s">
        <v>9960</v>
      </c>
      <c r="E1419" t="s">
        <v>50</v>
      </c>
      <c r="F1419">
        <v>4</v>
      </c>
      <c r="G1419">
        <v>0.54568976830752347</v>
      </c>
      <c r="H1419" t="s">
        <v>97</v>
      </c>
      <c r="I1419">
        <v>0</v>
      </c>
      <c r="J1419">
        <v>450</v>
      </c>
      <c r="K1419">
        <v>0</v>
      </c>
    </row>
    <row r="1420" spans="1:11" x14ac:dyDescent="0.2">
      <c r="A1420" t="s">
        <v>16</v>
      </c>
      <c r="B1420" t="s">
        <v>479</v>
      </c>
      <c r="C1420">
        <v>225</v>
      </c>
      <c r="D1420" t="s">
        <v>9983</v>
      </c>
      <c r="E1420" t="s">
        <v>50</v>
      </c>
      <c r="F1420">
        <v>4</v>
      </c>
      <c r="G1420">
        <v>0.54568976830752347</v>
      </c>
      <c r="H1420" t="s">
        <v>96</v>
      </c>
      <c r="I1420">
        <v>0</v>
      </c>
      <c r="J1420">
        <v>450</v>
      </c>
      <c r="K1420">
        <v>0</v>
      </c>
    </row>
    <row r="1421" spans="1:11" x14ac:dyDescent="0.2">
      <c r="A1421" t="s">
        <v>16</v>
      </c>
      <c r="B1421" t="s">
        <v>479</v>
      </c>
      <c r="C1421">
        <v>225</v>
      </c>
      <c r="D1421" t="s">
        <v>9961</v>
      </c>
      <c r="E1421" t="s">
        <v>50</v>
      </c>
      <c r="F1421">
        <v>4</v>
      </c>
      <c r="G1421">
        <v>0.54568976830752347</v>
      </c>
      <c r="H1421" t="s">
        <v>103</v>
      </c>
      <c r="I1421">
        <v>0</v>
      </c>
      <c r="J1421">
        <v>450</v>
      </c>
      <c r="K1421">
        <v>0</v>
      </c>
    </row>
    <row r="1422" spans="1:11" x14ac:dyDescent="0.2">
      <c r="A1422" t="s">
        <v>16</v>
      </c>
      <c r="B1422" t="s">
        <v>479</v>
      </c>
      <c r="C1422">
        <v>225</v>
      </c>
      <c r="D1422" t="s">
        <v>9974</v>
      </c>
      <c r="E1422" t="s">
        <v>50</v>
      </c>
      <c r="F1422">
        <v>4</v>
      </c>
      <c r="G1422">
        <v>0.54568976830752347</v>
      </c>
      <c r="H1422" t="s">
        <v>93</v>
      </c>
      <c r="I1422">
        <v>0</v>
      </c>
      <c r="J1422">
        <v>450</v>
      </c>
      <c r="K1422">
        <v>0</v>
      </c>
    </row>
    <row r="1423" spans="1:11" x14ac:dyDescent="0.2">
      <c r="A1423" t="s">
        <v>16</v>
      </c>
      <c r="B1423" t="s">
        <v>479</v>
      </c>
      <c r="C1423">
        <v>225</v>
      </c>
      <c r="D1423" t="s">
        <v>9942</v>
      </c>
      <c r="E1423" t="s">
        <v>50</v>
      </c>
      <c r="F1423">
        <v>4</v>
      </c>
      <c r="G1423">
        <v>0.54568976830752347</v>
      </c>
      <c r="H1423" t="s">
        <v>97</v>
      </c>
      <c r="I1423">
        <v>0</v>
      </c>
      <c r="J1423">
        <v>450</v>
      </c>
      <c r="K1423">
        <v>0</v>
      </c>
    </row>
    <row r="1424" spans="1:11" x14ac:dyDescent="0.2">
      <c r="A1424" t="s">
        <v>16</v>
      </c>
      <c r="B1424" t="s">
        <v>479</v>
      </c>
      <c r="C1424">
        <v>225</v>
      </c>
      <c r="D1424" t="s">
        <v>9953</v>
      </c>
      <c r="E1424" t="s">
        <v>50</v>
      </c>
      <c r="F1424">
        <v>4</v>
      </c>
      <c r="G1424">
        <v>0.54568976830752347</v>
      </c>
      <c r="H1424" t="s">
        <v>96</v>
      </c>
      <c r="I1424">
        <v>0</v>
      </c>
      <c r="J1424">
        <v>450</v>
      </c>
      <c r="K1424">
        <v>0</v>
      </c>
    </row>
    <row r="1425" spans="1:11" x14ac:dyDescent="0.2">
      <c r="A1425" t="s">
        <v>16</v>
      </c>
      <c r="B1425" t="s">
        <v>479</v>
      </c>
      <c r="C1425">
        <v>225</v>
      </c>
      <c r="D1425" t="s">
        <v>9952</v>
      </c>
      <c r="E1425" t="s">
        <v>50</v>
      </c>
      <c r="F1425">
        <v>4</v>
      </c>
      <c r="G1425">
        <v>0.54568976830752347</v>
      </c>
      <c r="H1425" t="s">
        <v>103</v>
      </c>
      <c r="I1425">
        <v>0</v>
      </c>
      <c r="J1425">
        <v>450</v>
      </c>
      <c r="K1425">
        <v>0</v>
      </c>
    </row>
    <row r="1426" spans="1:11" x14ac:dyDescent="0.2">
      <c r="A1426" t="s">
        <v>16</v>
      </c>
      <c r="B1426" t="s">
        <v>479</v>
      </c>
      <c r="C1426">
        <v>225</v>
      </c>
      <c r="D1426" t="s">
        <v>9948</v>
      </c>
      <c r="E1426" t="s">
        <v>50</v>
      </c>
      <c r="F1426">
        <v>4</v>
      </c>
      <c r="G1426">
        <v>0.54568976830752347</v>
      </c>
      <c r="H1426" t="s">
        <v>93</v>
      </c>
      <c r="I1426">
        <v>0</v>
      </c>
      <c r="J1426">
        <v>450</v>
      </c>
      <c r="K1426">
        <v>0</v>
      </c>
    </row>
    <row r="1427" spans="1:11" x14ac:dyDescent="0.2">
      <c r="A1427" t="s">
        <v>16</v>
      </c>
      <c r="B1427" t="s">
        <v>479</v>
      </c>
      <c r="C1427">
        <v>225</v>
      </c>
      <c r="D1427" t="s">
        <v>9943</v>
      </c>
      <c r="E1427" t="s">
        <v>50</v>
      </c>
      <c r="F1427">
        <v>4</v>
      </c>
      <c r="G1427">
        <v>0.54568976830752347</v>
      </c>
      <c r="H1427" t="s">
        <v>97</v>
      </c>
      <c r="I1427">
        <v>0</v>
      </c>
      <c r="J1427">
        <v>450</v>
      </c>
      <c r="K1427">
        <v>0</v>
      </c>
    </row>
    <row r="1428" spans="1:11" x14ac:dyDescent="0.2">
      <c r="A1428" t="s">
        <v>16</v>
      </c>
      <c r="B1428" t="s">
        <v>479</v>
      </c>
      <c r="C1428">
        <v>225</v>
      </c>
      <c r="D1428" t="s">
        <v>9954</v>
      </c>
      <c r="E1428" t="s">
        <v>50</v>
      </c>
      <c r="F1428">
        <v>4</v>
      </c>
      <c r="G1428">
        <v>0.54568976830752347</v>
      </c>
      <c r="H1428" t="s">
        <v>96</v>
      </c>
      <c r="I1428">
        <v>0</v>
      </c>
      <c r="J1428">
        <v>450</v>
      </c>
      <c r="K1428">
        <v>0</v>
      </c>
    </row>
    <row r="1429" spans="1:11" x14ac:dyDescent="0.2">
      <c r="A1429" t="s">
        <v>16</v>
      </c>
      <c r="B1429" t="s">
        <v>479</v>
      </c>
      <c r="C1429">
        <v>225</v>
      </c>
      <c r="D1429" t="s">
        <v>9951</v>
      </c>
      <c r="E1429" t="s">
        <v>50</v>
      </c>
      <c r="F1429">
        <v>4</v>
      </c>
      <c r="G1429">
        <v>0.54568976830752347</v>
      </c>
      <c r="H1429" t="s">
        <v>103</v>
      </c>
      <c r="I1429">
        <v>0</v>
      </c>
      <c r="J1429">
        <v>450</v>
      </c>
      <c r="K1429">
        <v>0</v>
      </c>
    </row>
    <row r="1430" spans="1:11" x14ac:dyDescent="0.2">
      <c r="A1430" t="s">
        <v>16</v>
      </c>
      <c r="B1430" t="s">
        <v>479</v>
      </c>
      <c r="C1430">
        <v>225</v>
      </c>
      <c r="D1430" t="s">
        <v>9955</v>
      </c>
      <c r="E1430" t="s">
        <v>50</v>
      </c>
      <c r="F1430">
        <v>4</v>
      </c>
      <c r="G1430">
        <v>0.54568976830752347</v>
      </c>
      <c r="H1430" t="s">
        <v>93</v>
      </c>
      <c r="I1430">
        <v>0</v>
      </c>
      <c r="J1430">
        <v>450</v>
      </c>
      <c r="K1430">
        <v>0</v>
      </c>
    </row>
    <row r="1431" spans="1:11" x14ac:dyDescent="0.2">
      <c r="A1431" t="s">
        <v>16</v>
      </c>
      <c r="B1431" t="s">
        <v>479</v>
      </c>
      <c r="C1431">
        <v>225</v>
      </c>
      <c r="D1431" t="s">
        <v>9945</v>
      </c>
      <c r="E1431" t="s">
        <v>50</v>
      </c>
      <c r="F1431">
        <v>4</v>
      </c>
      <c r="G1431">
        <v>0.54568976830752347</v>
      </c>
      <c r="H1431" t="s">
        <v>97</v>
      </c>
      <c r="I1431">
        <v>0</v>
      </c>
      <c r="J1431">
        <v>450</v>
      </c>
      <c r="K1431">
        <v>0</v>
      </c>
    </row>
    <row r="1432" spans="1:11" x14ac:dyDescent="0.2">
      <c r="A1432" t="s">
        <v>16</v>
      </c>
      <c r="B1432" t="s">
        <v>479</v>
      </c>
      <c r="C1432">
        <v>225</v>
      </c>
      <c r="D1432" t="s">
        <v>9975</v>
      </c>
      <c r="E1432" t="s">
        <v>50</v>
      </c>
      <c r="F1432">
        <v>4</v>
      </c>
      <c r="G1432">
        <v>0.54568976830752347</v>
      </c>
      <c r="H1432" t="s">
        <v>96</v>
      </c>
      <c r="I1432">
        <v>0</v>
      </c>
      <c r="J1432">
        <v>450</v>
      </c>
      <c r="K1432">
        <v>0</v>
      </c>
    </row>
    <row r="1433" spans="1:11" x14ac:dyDescent="0.2">
      <c r="A1433" t="s">
        <v>16</v>
      </c>
      <c r="B1433" t="s">
        <v>479</v>
      </c>
      <c r="C1433">
        <v>225</v>
      </c>
      <c r="D1433" t="s">
        <v>9979</v>
      </c>
      <c r="E1433" t="s">
        <v>50</v>
      </c>
      <c r="F1433">
        <v>4</v>
      </c>
      <c r="G1433">
        <v>0.54568976830752347</v>
      </c>
      <c r="H1433" t="s">
        <v>103</v>
      </c>
      <c r="I1433">
        <v>0</v>
      </c>
      <c r="J1433">
        <v>450</v>
      </c>
      <c r="K1433">
        <v>0</v>
      </c>
    </row>
    <row r="1434" spans="1:11" x14ac:dyDescent="0.2">
      <c r="A1434" t="s">
        <v>16</v>
      </c>
      <c r="B1434" t="s">
        <v>479</v>
      </c>
      <c r="C1434">
        <v>225</v>
      </c>
      <c r="D1434" t="s">
        <v>9967</v>
      </c>
      <c r="E1434" t="s">
        <v>50</v>
      </c>
      <c r="F1434">
        <v>4</v>
      </c>
      <c r="G1434">
        <v>0.54568976830752347</v>
      </c>
      <c r="H1434" t="s">
        <v>93</v>
      </c>
      <c r="I1434">
        <v>0</v>
      </c>
      <c r="J1434">
        <v>450</v>
      </c>
      <c r="K1434">
        <v>0</v>
      </c>
    </row>
    <row r="1435" spans="1:11" x14ac:dyDescent="0.2">
      <c r="A1435" t="s">
        <v>16</v>
      </c>
      <c r="B1435" t="s">
        <v>479</v>
      </c>
      <c r="C1435">
        <v>225</v>
      </c>
      <c r="D1435" t="s">
        <v>9981</v>
      </c>
      <c r="E1435" t="s">
        <v>50</v>
      </c>
      <c r="F1435">
        <v>4</v>
      </c>
      <c r="G1435">
        <v>0.54568976830752347</v>
      </c>
      <c r="H1435" t="s">
        <v>97</v>
      </c>
      <c r="I1435">
        <v>0</v>
      </c>
      <c r="J1435">
        <v>450</v>
      </c>
      <c r="K1435">
        <v>0</v>
      </c>
    </row>
    <row r="1436" spans="1:11" x14ac:dyDescent="0.2">
      <c r="A1436" t="s">
        <v>16</v>
      </c>
      <c r="B1436" t="s">
        <v>479</v>
      </c>
      <c r="C1436">
        <v>225</v>
      </c>
      <c r="D1436" t="s">
        <v>9968</v>
      </c>
      <c r="E1436" t="s">
        <v>50</v>
      </c>
      <c r="F1436">
        <v>4</v>
      </c>
      <c r="G1436">
        <v>0.54568976830752347</v>
      </c>
      <c r="H1436" t="s">
        <v>96</v>
      </c>
      <c r="I1436">
        <v>0</v>
      </c>
      <c r="J1436">
        <v>450</v>
      </c>
      <c r="K1436">
        <v>0</v>
      </c>
    </row>
    <row r="1437" spans="1:11" x14ac:dyDescent="0.2">
      <c r="A1437" t="s">
        <v>16</v>
      </c>
      <c r="B1437" t="s">
        <v>479</v>
      </c>
      <c r="C1437">
        <v>225</v>
      </c>
      <c r="D1437" t="s">
        <v>9973</v>
      </c>
      <c r="E1437" t="s">
        <v>50</v>
      </c>
      <c r="F1437">
        <v>4</v>
      </c>
      <c r="G1437">
        <v>0.54568976830752347</v>
      </c>
      <c r="H1437" t="s">
        <v>103</v>
      </c>
      <c r="I1437">
        <v>0</v>
      </c>
      <c r="J1437">
        <v>450</v>
      </c>
      <c r="K1437">
        <v>0</v>
      </c>
    </row>
    <row r="1438" spans="1:11" x14ac:dyDescent="0.2">
      <c r="A1438" t="s">
        <v>16</v>
      </c>
      <c r="B1438" t="s">
        <v>479</v>
      </c>
      <c r="C1438">
        <v>225</v>
      </c>
      <c r="D1438" t="s">
        <v>9956</v>
      </c>
      <c r="E1438" t="s">
        <v>50</v>
      </c>
      <c r="F1438">
        <v>4</v>
      </c>
      <c r="G1438">
        <v>0.54568976830752347</v>
      </c>
      <c r="H1438" t="s">
        <v>93</v>
      </c>
      <c r="I1438">
        <v>0</v>
      </c>
      <c r="J1438">
        <v>450</v>
      </c>
      <c r="K1438">
        <v>0</v>
      </c>
    </row>
    <row r="1439" spans="1:11" x14ac:dyDescent="0.2">
      <c r="A1439" t="s">
        <v>16</v>
      </c>
      <c r="B1439" t="s">
        <v>479</v>
      </c>
      <c r="C1439">
        <v>225</v>
      </c>
      <c r="D1439" t="s">
        <v>9982</v>
      </c>
      <c r="E1439" t="s">
        <v>50</v>
      </c>
      <c r="F1439">
        <v>4</v>
      </c>
      <c r="G1439">
        <v>0.54568976830752347</v>
      </c>
      <c r="H1439" t="s">
        <v>97</v>
      </c>
      <c r="I1439">
        <v>0</v>
      </c>
      <c r="J1439">
        <v>450</v>
      </c>
      <c r="K1439">
        <v>0</v>
      </c>
    </row>
    <row r="1440" spans="1:11" x14ac:dyDescent="0.2">
      <c r="A1440" t="s">
        <v>16</v>
      </c>
      <c r="B1440" t="s">
        <v>479</v>
      </c>
      <c r="C1440">
        <v>225</v>
      </c>
      <c r="D1440" t="s">
        <v>9949</v>
      </c>
      <c r="E1440" t="s">
        <v>50</v>
      </c>
      <c r="F1440">
        <v>4</v>
      </c>
      <c r="G1440">
        <v>0.54568976830752347</v>
      </c>
      <c r="H1440" t="s">
        <v>96</v>
      </c>
      <c r="I1440">
        <v>0</v>
      </c>
      <c r="J1440">
        <v>450</v>
      </c>
      <c r="K1440">
        <v>0</v>
      </c>
    </row>
    <row r="1441" spans="1:11" x14ac:dyDescent="0.2">
      <c r="A1441" t="s">
        <v>16</v>
      </c>
      <c r="B1441" t="s">
        <v>479</v>
      </c>
      <c r="C1441">
        <v>225</v>
      </c>
      <c r="D1441" t="s">
        <v>9947</v>
      </c>
      <c r="E1441" t="s">
        <v>50</v>
      </c>
      <c r="F1441">
        <v>4</v>
      </c>
      <c r="G1441">
        <v>0.54568976830752347</v>
      </c>
      <c r="H1441" t="s">
        <v>103</v>
      </c>
      <c r="I1441">
        <v>0</v>
      </c>
      <c r="J1441">
        <v>450</v>
      </c>
      <c r="K1441">
        <v>0</v>
      </c>
    </row>
    <row r="1442" spans="1:11" x14ac:dyDescent="0.2">
      <c r="A1442" t="s">
        <v>16</v>
      </c>
      <c r="B1442" t="s">
        <v>479</v>
      </c>
      <c r="C1442">
        <v>225</v>
      </c>
      <c r="D1442" t="s">
        <v>9980</v>
      </c>
      <c r="E1442" t="s">
        <v>50</v>
      </c>
      <c r="F1442">
        <v>4</v>
      </c>
      <c r="G1442">
        <v>0.54568976830752347</v>
      </c>
      <c r="H1442" t="s">
        <v>93</v>
      </c>
      <c r="I1442">
        <v>0</v>
      </c>
      <c r="J1442">
        <v>450</v>
      </c>
      <c r="K1442">
        <v>0</v>
      </c>
    </row>
    <row r="1443" spans="1:11" x14ac:dyDescent="0.2">
      <c r="A1443" t="s">
        <v>16</v>
      </c>
      <c r="B1443" t="s">
        <v>479</v>
      </c>
      <c r="C1443">
        <v>225</v>
      </c>
      <c r="D1443" t="s">
        <v>9969</v>
      </c>
      <c r="E1443" t="s">
        <v>50</v>
      </c>
      <c r="F1443">
        <v>4</v>
      </c>
      <c r="G1443">
        <v>0.54568976830752347</v>
      </c>
      <c r="H1443" t="s">
        <v>97</v>
      </c>
      <c r="I1443">
        <v>0</v>
      </c>
      <c r="J1443">
        <v>450</v>
      </c>
      <c r="K1443">
        <v>0</v>
      </c>
    </row>
    <row r="1444" spans="1:11" x14ac:dyDescent="0.2">
      <c r="A1444" t="s">
        <v>16</v>
      </c>
      <c r="B1444" t="s">
        <v>479</v>
      </c>
      <c r="C1444">
        <v>225</v>
      </c>
      <c r="D1444" t="s">
        <v>9958</v>
      </c>
      <c r="E1444" t="s">
        <v>50</v>
      </c>
      <c r="F1444">
        <v>4</v>
      </c>
      <c r="G1444">
        <v>0.54568976830752347</v>
      </c>
      <c r="H1444" t="s">
        <v>96</v>
      </c>
      <c r="I1444">
        <v>0</v>
      </c>
      <c r="J1444">
        <v>450</v>
      </c>
      <c r="K1444">
        <v>0</v>
      </c>
    </row>
    <row r="1445" spans="1:11" x14ac:dyDescent="0.2">
      <c r="A1445" t="s">
        <v>16</v>
      </c>
      <c r="B1445" t="s">
        <v>479</v>
      </c>
      <c r="C1445">
        <v>225</v>
      </c>
      <c r="D1445" t="s">
        <v>9986</v>
      </c>
      <c r="E1445" t="s">
        <v>50</v>
      </c>
      <c r="F1445">
        <v>4</v>
      </c>
      <c r="G1445">
        <v>0.54568976830752347</v>
      </c>
      <c r="H1445" t="s">
        <v>103</v>
      </c>
      <c r="I1445">
        <v>0</v>
      </c>
      <c r="J1445">
        <v>450</v>
      </c>
      <c r="K1445">
        <v>0</v>
      </c>
    </row>
    <row r="1446" spans="1:11" x14ac:dyDescent="0.2">
      <c r="A1446" t="s">
        <v>16</v>
      </c>
      <c r="B1446" t="s">
        <v>479</v>
      </c>
      <c r="C1446">
        <v>225</v>
      </c>
      <c r="D1446" t="s">
        <v>9977</v>
      </c>
      <c r="E1446" t="s">
        <v>50</v>
      </c>
      <c r="F1446">
        <v>4</v>
      </c>
      <c r="G1446">
        <v>0.54568976830752347</v>
      </c>
      <c r="H1446" t="s">
        <v>93</v>
      </c>
      <c r="I1446">
        <v>0</v>
      </c>
      <c r="J1446">
        <v>450</v>
      </c>
      <c r="K1446">
        <v>0</v>
      </c>
    </row>
    <row r="1447" spans="1:11" x14ac:dyDescent="0.2">
      <c r="A1447" t="s">
        <v>16</v>
      </c>
      <c r="B1447" t="s">
        <v>479</v>
      </c>
      <c r="C1447">
        <v>225</v>
      </c>
      <c r="D1447" t="s">
        <v>9957</v>
      </c>
      <c r="E1447" t="s">
        <v>50</v>
      </c>
      <c r="F1447">
        <v>4</v>
      </c>
      <c r="G1447">
        <v>0.54568976830752347</v>
      </c>
      <c r="H1447" t="s">
        <v>97</v>
      </c>
      <c r="I1447">
        <v>0</v>
      </c>
      <c r="J1447">
        <v>450</v>
      </c>
      <c r="K1447">
        <v>0</v>
      </c>
    </row>
    <row r="1448" spans="1:11" x14ac:dyDescent="0.2">
      <c r="A1448" t="s">
        <v>16</v>
      </c>
      <c r="B1448" t="s">
        <v>479</v>
      </c>
      <c r="C1448">
        <v>225</v>
      </c>
      <c r="D1448" t="s">
        <v>9984</v>
      </c>
      <c r="E1448" t="s">
        <v>50</v>
      </c>
      <c r="F1448">
        <v>4</v>
      </c>
      <c r="G1448">
        <v>0.54568976830752347</v>
      </c>
      <c r="H1448" t="s">
        <v>96</v>
      </c>
      <c r="I1448">
        <v>0</v>
      </c>
      <c r="J1448">
        <v>450</v>
      </c>
      <c r="K1448">
        <v>0</v>
      </c>
    </row>
    <row r="1449" spans="1:11" x14ac:dyDescent="0.2">
      <c r="A1449" t="s">
        <v>16</v>
      </c>
      <c r="B1449" t="s">
        <v>479</v>
      </c>
      <c r="C1449">
        <v>225</v>
      </c>
      <c r="D1449" t="s">
        <v>9985</v>
      </c>
      <c r="E1449" t="s">
        <v>50</v>
      </c>
      <c r="F1449">
        <v>4</v>
      </c>
      <c r="G1449">
        <v>0.54568976830752347</v>
      </c>
      <c r="H1449" t="s">
        <v>103</v>
      </c>
      <c r="I1449">
        <v>0</v>
      </c>
      <c r="J1449">
        <v>450</v>
      </c>
      <c r="K1449">
        <v>0</v>
      </c>
    </row>
    <row r="1450" spans="1:11" x14ac:dyDescent="0.2">
      <c r="A1450" t="s">
        <v>16</v>
      </c>
      <c r="B1450" t="s">
        <v>479</v>
      </c>
      <c r="C1450">
        <v>225</v>
      </c>
      <c r="D1450" t="s">
        <v>9962</v>
      </c>
      <c r="E1450" t="s">
        <v>50</v>
      </c>
      <c r="F1450">
        <v>4</v>
      </c>
      <c r="G1450">
        <v>0.54568976830752347</v>
      </c>
      <c r="H1450" t="s">
        <v>93</v>
      </c>
      <c r="I1450">
        <v>0</v>
      </c>
      <c r="J1450">
        <v>450</v>
      </c>
      <c r="K1450">
        <v>0</v>
      </c>
    </row>
    <row r="1451" spans="1:11" x14ac:dyDescent="0.2">
      <c r="A1451" t="s">
        <v>16</v>
      </c>
      <c r="B1451" t="s">
        <v>479</v>
      </c>
      <c r="C1451">
        <v>225</v>
      </c>
      <c r="D1451" t="s">
        <v>9978</v>
      </c>
      <c r="E1451" t="s">
        <v>50</v>
      </c>
      <c r="F1451">
        <v>4</v>
      </c>
      <c r="G1451">
        <v>0.54568976830752347</v>
      </c>
      <c r="H1451" t="s">
        <v>97</v>
      </c>
      <c r="I1451">
        <v>0</v>
      </c>
      <c r="J1451">
        <v>450</v>
      </c>
      <c r="K1451">
        <v>0</v>
      </c>
    </row>
    <row r="1452" spans="1:11" x14ac:dyDescent="0.2">
      <c r="A1452" t="s">
        <v>16</v>
      </c>
      <c r="B1452" t="s">
        <v>479</v>
      </c>
      <c r="C1452">
        <v>225</v>
      </c>
      <c r="D1452" t="s">
        <v>9959</v>
      </c>
      <c r="E1452" t="s">
        <v>50</v>
      </c>
      <c r="F1452">
        <v>4</v>
      </c>
      <c r="G1452">
        <v>0.54568976830752347</v>
      </c>
      <c r="H1452" t="s">
        <v>96</v>
      </c>
      <c r="I1452">
        <v>0</v>
      </c>
      <c r="J1452">
        <v>450</v>
      </c>
      <c r="K1452">
        <v>0</v>
      </c>
    </row>
    <row r="1453" spans="1:11" x14ac:dyDescent="0.2">
      <c r="A1453" t="s">
        <v>16</v>
      </c>
      <c r="B1453" t="s">
        <v>479</v>
      </c>
      <c r="C1453">
        <v>225</v>
      </c>
      <c r="D1453" t="s">
        <v>9970</v>
      </c>
      <c r="E1453" t="s">
        <v>50</v>
      </c>
      <c r="F1453">
        <v>4</v>
      </c>
      <c r="G1453">
        <v>0.54568976830752347</v>
      </c>
      <c r="H1453" t="s">
        <v>103</v>
      </c>
      <c r="I1453">
        <v>0</v>
      </c>
      <c r="J1453">
        <v>450</v>
      </c>
      <c r="K1453">
        <v>0</v>
      </c>
    </row>
    <row r="1454" spans="1:11" x14ac:dyDescent="0.2">
      <c r="A1454" t="s">
        <v>16</v>
      </c>
      <c r="B1454" t="s">
        <v>479</v>
      </c>
      <c r="C1454">
        <v>225</v>
      </c>
      <c r="D1454" t="s">
        <v>9963</v>
      </c>
      <c r="E1454" t="s">
        <v>50</v>
      </c>
      <c r="F1454">
        <v>4</v>
      </c>
      <c r="G1454">
        <v>0.54568976830752347</v>
      </c>
      <c r="H1454" t="s">
        <v>93</v>
      </c>
      <c r="I1454">
        <v>0</v>
      </c>
      <c r="J1454">
        <v>450</v>
      </c>
      <c r="K1454">
        <v>0</v>
      </c>
    </row>
    <row r="1455" spans="1:11" x14ac:dyDescent="0.2">
      <c r="A1455" t="s">
        <v>16</v>
      </c>
      <c r="B1455" t="s">
        <v>479</v>
      </c>
      <c r="C1455">
        <v>225</v>
      </c>
      <c r="D1455" t="s">
        <v>9964</v>
      </c>
      <c r="E1455" t="s">
        <v>50</v>
      </c>
      <c r="F1455">
        <v>4</v>
      </c>
      <c r="G1455">
        <v>0.54568976830752347</v>
      </c>
      <c r="H1455" t="s">
        <v>97</v>
      </c>
      <c r="I1455">
        <v>0</v>
      </c>
      <c r="J1455">
        <v>450</v>
      </c>
      <c r="K1455">
        <v>0</v>
      </c>
    </row>
    <row r="1456" spans="1:11" x14ac:dyDescent="0.2">
      <c r="A1456" t="s">
        <v>16</v>
      </c>
      <c r="B1456" t="s">
        <v>479</v>
      </c>
      <c r="C1456">
        <v>225</v>
      </c>
      <c r="D1456" t="s">
        <v>9972</v>
      </c>
      <c r="E1456" t="s">
        <v>50</v>
      </c>
      <c r="F1456">
        <v>4</v>
      </c>
      <c r="G1456">
        <v>0.54568976830752347</v>
      </c>
      <c r="H1456" t="s">
        <v>96</v>
      </c>
      <c r="I1456">
        <v>0</v>
      </c>
      <c r="J1456">
        <v>450</v>
      </c>
      <c r="K1456">
        <v>0</v>
      </c>
    </row>
    <row r="1457" spans="1:11" x14ac:dyDescent="0.2">
      <c r="A1457" t="s">
        <v>16</v>
      </c>
      <c r="B1457" t="s">
        <v>479</v>
      </c>
      <c r="C1457">
        <v>225</v>
      </c>
      <c r="D1457" t="s">
        <v>9965</v>
      </c>
      <c r="E1457" t="s">
        <v>50</v>
      </c>
      <c r="F1457">
        <v>4</v>
      </c>
      <c r="G1457">
        <v>0.54568976830752347</v>
      </c>
      <c r="H1457" t="s">
        <v>103</v>
      </c>
      <c r="I1457">
        <v>0</v>
      </c>
      <c r="J1457">
        <v>450</v>
      </c>
      <c r="K1457">
        <v>0</v>
      </c>
    </row>
    <row r="1458" spans="1:11" x14ac:dyDescent="0.2">
      <c r="A1458" t="s">
        <v>16</v>
      </c>
      <c r="B1458" t="s">
        <v>5838</v>
      </c>
      <c r="C1458">
        <v>225</v>
      </c>
      <c r="D1458" t="s">
        <v>10332</v>
      </c>
      <c r="E1458" t="s">
        <v>50</v>
      </c>
      <c r="F1458">
        <v>3</v>
      </c>
      <c r="G1458">
        <v>0.45783794072859318</v>
      </c>
      <c r="H1458" t="s">
        <v>90</v>
      </c>
      <c r="I1458">
        <v>0</v>
      </c>
      <c r="J1458">
        <v>450</v>
      </c>
      <c r="K1458">
        <v>0</v>
      </c>
    </row>
    <row r="1459" spans="1:11" x14ac:dyDescent="0.2">
      <c r="A1459" t="s">
        <v>16</v>
      </c>
      <c r="B1459" t="s">
        <v>5838</v>
      </c>
      <c r="C1459">
        <v>225</v>
      </c>
      <c r="D1459" t="s">
        <v>10341</v>
      </c>
      <c r="E1459" t="s">
        <v>50</v>
      </c>
      <c r="F1459">
        <v>3</v>
      </c>
      <c r="G1459">
        <v>0.45783794072859318</v>
      </c>
      <c r="H1459" t="s">
        <v>101</v>
      </c>
      <c r="I1459">
        <v>0</v>
      </c>
      <c r="J1459">
        <v>450</v>
      </c>
      <c r="K1459">
        <v>0</v>
      </c>
    </row>
    <row r="1460" spans="1:11" x14ac:dyDescent="0.2">
      <c r="A1460" t="s">
        <v>16</v>
      </c>
      <c r="B1460" t="s">
        <v>5838</v>
      </c>
      <c r="C1460">
        <v>225</v>
      </c>
      <c r="D1460" t="s">
        <v>10336</v>
      </c>
      <c r="E1460" t="s">
        <v>50</v>
      </c>
      <c r="F1460">
        <v>3</v>
      </c>
      <c r="G1460">
        <v>0.45783794072859318</v>
      </c>
      <c r="H1460" t="s">
        <v>100</v>
      </c>
      <c r="I1460">
        <v>0</v>
      </c>
      <c r="J1460">
        <v>450</v>
      </c>
      <c r="K1460">
        <v>0</v>
      </c>
    </row>
    <row r="1461" spans="1:11" x14ac:dyDescent="0.2">
      <c r="A1461" t="s">
        <v>16</v>
      </c>
      <c r="B1461" t="s">
        <v>5838</v>
      </c>
      <c r="C1461">
        <v>225</v>
      </c>
      <c r="D1461" t="s">
        <v>10329</v>
      </c>
      <c r="E1461" t="s">
        <v>50</v>
      </c>
      <c r="F1461">
        <v>3</v>
      </c>
      <c r="G1461">
        <v>0.45783794072859318</v>
      </c>
      <c r="H1461" t="s">
        <v>90</v>
      </c>
      <c r="I1461">
        <v>0</v>
      </c>
      <c r="J1461">
        <v>450</v>
      </c>
      <c r="K1461">
        <v>0</v>
      </c>
    </row>
    <row r="1462" spans="1:11" x14ac:dyDescent="0.2">
      <c r="A1462" t="s">
        <v>16</v>
      </c>
      <c r="B1462" t="s">
        <v>5838</v>
      </c>
      <c r="C1462">
        <v>225</v>
      </c>
      <c r="D1462" t="s">
        <v>10337</v>
      </c>
      <c r="E1462" t="s">
        <v>50</v>
      </c>
      <c r="F1462">
        <v>3</v>
      </c>
      <c r="G1462">
        <v>0.45783794072859318</v>
      </c>
      <c r="H1462" t="s">
        <v>101</v>
      </c>
      <c r="I1462">
        <v>0</v>
      </c>
      <c r="J1462">
        <v>450</v>
      </c>
      <c r="K1462">
        <v>0</v>
      </c>
    </row>
    <row r="1463" spans="1:11" x14ac:dyDescent="0.2">
      <c r="A1463" t="s">
        <v>16</v>
      </c>
      <c r="B1463" t="s">
        <v>5838</v>
      </c>
      <c r="C1463">
        <v>225</v>
      </c>
      <c r="D1463" t="s">
        <v>10344</v>
      </c>
      <c r="E1463" t="s">
        <v>50</v>
      </c>
      <c r="F1463">
        <v>3</v>
      </c>
      <c r="G1463">
        <v>0.45783794072859318</v>
      </c>
      <c r="H1463" t="s">
        <v>100</v>
      </c>
      <c r="I1463">
        <v>0</v>
      </c>
      <c r="J1463">
        <v>450</v>
      </c>
      <c r="K1463">
        <v>0</v>
      </c>
    </row>
    <row r="1464" spans="1:11" x14ac:dyDescent="0.2">
      <c r="A1464" t="s">
        <v>16</v>
      </c>
      <c r="B1464" t="s">
        <v>5838</v>
      </c>
      <c r="C1464">
        <v>225</v>
      </c>
      <c r="D1464" t="s">
        <v>10345</v>
      </c>
      <c r="E1464" t="s">
        <v>50</v>
      </c>
      <c r="F1464">
        <v>3</v>
      </c>
      <c r="G1464">
        <v>0.45783794072859318</v>
      </c>
      <c r="H1464" t="s">
        <v>90</v>
      </c>
      <c r="I1464">
        <v>0</v>
      </c>
      <c r="J1464">
        <v>450</v>
      </c>
      <c r="K1464">
        <v>0</v>
      </c>
    </row>
    <row r="1465" spans="1:11" x14ac:dyDescent="0.2">
      <c r="A1465" t="s">
        <v>16</v>
      </c>
      <c r="B1465" t="s">
        <v>5838</v>
      </c>
      <c r="C1465">
        <v>225</v>
      </c>
      <c r="D1465" t="s">
        <v>10338</v>
      </c>
      <c r="E1465" t="s">
        <v>50</v>
      </c>
      <c r="F1465">
        <v>3</v>
      </c>
      <c r="G1465">
        <v>0.45783794072859318</v>
      </c>
      <c r="H1465" t="s">
        <v>101</v>
      </c>
      <c r="I1465">
        <v>0</v>
      </c>
      <c r="J1465">
        <v>450</v>
      </c>
      <c r="K1465">
        <v>0</v>
      </c>
    </row>
    <row r="1466" spans="1:11" x14ac:dyDescent="0.2">
      <c r="A1466" t="s">
        <v>16</v>
      </c>
      <c r="B1466" t="s">
        <v>5838</v>
      </c>
      <c r="C1466">
        <v>225</v>
      </c>
      <c r="D1466" t="s">
        <v>10343</v>
      </c>
      <c r="E1466" t="s">
        <v>50</v>
      </c>
      <c r="F1466">
        <v>3</v>
      </c>
      <c r="G1466">
        <v>0.45783794072859318</v>
      </c>
      <c r="H1466" t="s">
        <v>100</v>
      </c>
      <c r="I1466">
        <v>0</v>
      </c>
      <c r="J1466">
        <v>450</v>
      </c>
      <c r="K1466">
        <v>0</v>
      </c>
    </row>
    <row r="1467" spans="1:11" x14ac:dyDescent="0.2">
      <c r="A1467" t="s">
        <v>16</v>
      </c>
      <c r="B1467" t="s">
        <v>5838</v>
      </c>
      <c r="C1467">
        <v>225</v>
      </c>
      <c r="D1467" t="s">
        <v>10342</v>
      </c>
      <c r="E1467" t="s">
        <v>50</v>
      </c>
      <c r="F1467">
        <v>3</v>
      </c>
      <c r="G1467">
        <v>0.45783794072859318</v>
      </c>
      <c r="H1467" t="s">
        <v>90</v>
      </c>
      <c r="I1467">
        <v>0</v>
      </c>
      <c r="J1467">
        <v>450</v>
      </c>
      <c r="K1467">
        <v>0</v>
      </c>
    </row>
    <row r="1468" spans="1:11" x14ac:dyDescent="0.2">
      <c r="A1468" t="s">
        <v>16</v>
      </c>
      <c r="B1468" t="s">
        <v>5838</v>
      </c>
      <c r="C1468">
        <v>225</v>
      </c>
      <c r="D1468" t="s">
        <v>10340</v>
      </c>
      <c r="E1468" t="s">
        <v>50</v>
      </c>
      <c r="F1468">
        <v>3</v>
      </c>
      <c r="G1468">
        <v>0.45783794072859318</v>
      </c>
      <c r="H1468" t="s">
        <v>101</v>
      </c>
      <c r="I1468">
        <v>0</v>
      </c>
      <c r="J1468">
        <v>450</v>
      </c>
      <c r="K1468">
        <v>0</v>
      </c>
    </row>
    <row r="1469" spans="1:11" x14ac:dyDescent="0.2">
      <c r="A1469" t="s">
        <v>16</v>
      </c>
      <c r="B1469" t="s">
        <v>5838</v>
      </c>
      <c r="C1469">
        <v>225</v>
      </c>
      <c r="D1469" t="s">
        <v>10328</v>
      </c>
      <c r="E1469" t="s">
        <v>50</v>
      </c>
      <c r="F1469">
        <v>3</v>
      </c>
      <c r="G1469">
        <v>0.45783794072859318</v>
      </c>
      <c r="H1469" t="s">
        <v>100</v>
      </c>
      <c r="I1469">
        <v>0</v>
      </c>
      <c r="J1469">
        <v>450</v>
      </c>
      <c r="K1469">
        <v>0</v>
      </c>
    </row>
    <row r="1470" spans="1:11" x14ac:dyDescent="0.2">
      <c r="A1470" t="s">
        <v>16</v>
      </c>
      <c r="B1470" t="s">
        <v>5838</v>
      </c>
      <c r="C1470">
        <v>225</v>
      </c>
      <c r="D1470" t="s">
        <v>10333</v>
      </c>
      <c r="E1470" t="s">
        <v>50</v>
      </c>
      <c r="F1470">
        <v>3</v>
      </c>
      <c r="G1470">
        <v>0.45783794072859318</v>
      </c>
      <c r="H1470" t="s">
        <v>90</v>
      </c>
      <c r="I1470">
        <v>0</v>
      </c>
      <c r="J1470">
        <v>450</v>
      </c>
      <c r="K1470">
        <v>0</v>
      </c>
    </row>
    <row r="1471" spans="1:11" x14ac:dyDescent="0.2">
      <c r="A1471" t="s">
        <v>16</v>
      </c>
      <c r="B1471" t="s">
        <v>5838</v>
      </c>
      <c r="C1471">
        <v>225</v>
      </c>
      <c r="D1471" t="s">
        <v>10331</v>
      </c>
      <c r="E1471" t="s">
        <v>50</v>
      </c>
      <c r="F1471">
        <v>3</v>
      </c>
      <c r="G1471">
        <v>0.45783794072859318</v>
      </c>
      <c r="H1471" t="s">
        <v>101</v>
      </c>
      <c r="I1471">
        <v>0</v>
      </c>
      <c r="J1471">
        <v>450</v>
      </c>
      <c r="K1471">
        <v>0</v>
      </c>
    </row>
    <row r="1472" spans="1:11" x14ac:dyDescent="0.2">
      <c r="A1472" t="s">
        <v>16</v>
      </c>
      <c r="B1472" t="s">
        <v>5838</v>
      </c>
      <c r="C1472">
        <v>225</v>
      </c>
      <c r="D1472" t="s">
        <v>10330</v>
      </c>
      <c r="E1472" t="s">
        <v>50</v>
      </c>
      <c r="F1472">
        <v>3</v>
      </c>
      <c r="G1472">
        <v>0.45783794072859318</v>
      </c>
      <c r="H1472" t="s">
        <v>100</v>
      </c>
      <c r="I1472">
        <v>0</v>
      </c>
      <c r="J1472">
        <v>450</v>
      </c>
      <c r="K1472">
        <v>0</v>
      </c>
    </row>
    <row r="1473" spans="1:11" x14ac:dyDescent="0.2">
      <c r="A1473" t="s">
        <v>16</v>
      </c>
      <c r="B1473" t="s">
        <v>5838</v>
      </c>
      <c r="C1473">
        <v>225</v>
      </c>
      <c r="D1473" t="s">
        <v>10339</v>
      </c>
      <c r="E1473" t="s">
        <v>50</v>
      </c>
      <c r="F1473">
        <v>3</v>
      </c>
      <c r="G1473">
        <v>0.45783794072859318</v>
      </c>
      <c r="H1473" t="s">
        <v>90</v>
      </c>
      <c r="I1473">
        <v>0</v>
      </c>
      <c r="J1473">
        <v>450</v>
      </c>
      <c r="K1473">
        <v>0</v>
      </c>
    </row>
    <row r="1474" spans="1:11" x14ac:dyDescent="0.2">
      <c r="A1474" t="s">
        <v>16</v>
      </c>
      <c r="B1474" t="s">
        <v>5838</v>
      </c>
      <c r="C1474">
        <v>225</v>
      </c>
      <c r="D1474" t="s">
        <v>10334</v>
      </c>
      <c r="E1474" t="s">
        <v>50</v>
      </c>
      <c r="F1474">
        <v>3</v>
      </c>
      <c r="G1474">
        <v>0.45783794072859318</v>
      </c>
      <c r="H1474" t="s">
        <v>101</v>
      </c>
      <c r="I1474">
        <v>0</v>
      </c>
      <c r="J1474">
        <v>450</v>
      </c>
      <c r="K1474">
        <v>0</v>
      </c>
    </row>
    <row r="1475" spans="1:11" x14ac:dyDescent="0.2">
      <c r="A1475" t="s">
        <v>16</v>
      </c>
      <c r="B1475" t="s">
        <v>6009</v>
      </c>
      <c r="C1475">
        <v>220</v>
      </c>
      <c r="D1475" t="s">
        <v>10203</v>
      </c>
      <c r="E1475" t="s">
        <v>50</v>
      </c>
      <c r="F1475">
        <v>9</v>
      </c>
      <c r="G1475">
        <v>0.62797532136619993</v>
      </c>
      <c r="H1475" t="s">
        <v>91</v>
      </c>
      <c r="I1475">
        <v>0</v>
      </c>
      <c r="J1475">
        <v>440</v>
      </c>
      <c r="K1475">
        <v>0</v>
      </c>
    </row>
    <row r="1476" spans="1:11" x14ac:dyDescent="0.2">
      <c r="A1476" t="s">
        <v>16</v>
      </c>
      <c r="B1476" t="s">
        <v>6013</v>
      </c>
      <c r="C1476">
        <v>60</v>
      </c>
      <c r="D1476" t="s">
        <v>10314</v>
      </c>
      <c r="E1476" t="s">
        <v>50</v>
      </c>
      <c r="F1476">
        <v>9</v>
      </c>
      <c r="G1476">
        <v>9.6597984941334342E-2</v>
      </c>
      <c r="H1476" t="s">
        <v>89</v>
      </c>
      <c r="I1476">
        <v>0</v>
      </c>
      <c r="J1476">
        <v>420</v>
      </c>
      <c r="K1476">
        <v>0</v>
      </c>
    </row>
    <row r="1477" spans="1:11" x14ac:dyDescent="0.2">
      <c r="A1477" t="s">
        <v>16</v>
      </c>
      <c r="B1477" t="s">
        <v>1015</v>
      </c>
      <c r="C1477">
        <v>200</v>
      </c>
      <c r="D1477" t="s">
        <v>9481</v>
      </c>
      <c r="E1477" t="s">
        <v>50</v>
      </c>
      <c r="F1477">
        <v>3</v>
      </c>
      <c r="G1477">
        <v>0.33481651695564374</v>
      </c>
      <c r="H1477" t="s">
        <v>91</v>
      </c>
      <c r="I1477">
        <v>0</v>
      </c>
      <c r="J1477">
        <v>400</v>
      </c>
      <c r="K1477">
        <v>0</v>
      </c>
    </row>
    <row r="1478" spans="1:11" x14ac:dyDescent="0.2">
      <c r="A1478" t="s">
        <v>16</v>
      </c>
      <c r="B1478" t="s">
        <v>269</v>
      </c>
      <c r="C1478">
        <v>80</v>
      </c>
      <c r="D1478" t="s">
        <v>9509</v>
      </c>
      <c r="E1478" t="s">
        <v>50</v>
      </c>
      <c r="F1478">
        <v>2</v>
      </c>
      <c r="G1478">
        <v>9.7599767926167036E-2</v>
      </c>
      <c r="H1478" t="s">
        <v>91</v>
      </c>
      <c r="I1478">
        <v>0</v>
      </c>
      <c r="J1478">
        <v>400</v>
      </c>
      <c r="K1478">
        <v>0</v>
      </c>
    </row>
    <row r="1479" spans="1:11" x14ac:dyDescent="0.2">
      <c r="A1479" t="s">
        <v>16</v>
      </c>
      <c r="B1479" t="s">
        <v>388</v>
      </c>
      <c r="C1479">
        <v>200</v>
      </c>
      <c r="D1479" t="s">
        <v>10083</v>
      </c>
      <c r="E1479" t="s">
        <v>50</v>
      </c>
      <c r="F1479">
        <v>2</v>
      </c>
      <c r="G1479">
        <v>0.35409272343295628</v>
      </c>
      <c r="H1479" t="s">
        <v>95</v>
      </c>
      <c r="I1479">
        <v>0</v>
      </c>
      <c r="J1479">
        <v>400</v>
      </c>
      <c r="K1479">
        <v>0</v>
      </c>
    </row>
    <row r="1480" spans="1:11" x14ac:dyDescent="0.2">
      <c r="A1480" t="s">
        <v>16</v>
      </c>
      <c r="B1480" t="s">
        <v>386</v>
      </c>
      <c r="C1480">
        <v>200</v>
      </c>
      <c r="D1480" t="s">
        <v>10084</v>
      </c>
      <c r="E1480" t="s">
        <v>50</v>
      </c>
      <c r="F1480">
        <v>2</v>
      </c>
      <c r="G1480">
        <v>0.31455954133911451</v>
      </c>
      <c r="H1480" t="s">
        <v>98</v>
      </c>
      <c r="I1480">
        <v>0</v>
      </c>
      <c r="J1480">
        <v>400</v>
      </c>
      <c r="K1480">
        <v>0</v>
      </c>
    </row>
    <row r="1481" spans="1:11" x14ac:dyDescent="0.2">
      <c r="A1481" t="s">
        <v>16</v>
      </c>
      <c r="B1481" t="s">
        <v>986</v>
      </c>
      <c r="C1481">
        <v>400</v>
      </c>
      <c r="D1481" t="s">
        <v>10124</v>
      </c>
      <c r="E1481" t="s">
        <v>50</v>
      </c>
      <c r="F1481">
        <v>3</v>
      </c>
      <c r="G1481">
        <v>0.55501300879172377</v>
      </c>
      <c r="H1481" t="s">
        <v>89</v>
      </c>
      <c r="I1481">
        <v>0</v>
      </c>
      <c r="J1481">
        <v>400</v>
      </c>
      <c r="K1481">
        <v>0</v>
      </c>
    </row>
    <row r="1482" spans="1:11" x14ac:dyDescent="0.2">
      <c r="A1482" t="s">
        <v>16</v>
      </c>
      <c r="B1482" t="s">
        <v>285</v>
      </c>
      <c r="C1482">
        <v>360</v>
      </c>
      <c r="D1482" t="s">
        <v>9886</v>
      </c>
      <c r="E1482" t="s">
        <v>50</v>
      </c>
      <c r="F1482">
        <v>26</v>
      </c>
      <c r="G1482">
        <v>0.57273735354625976</v>
      </c>
      <c r="H1482" t="s">
        <v>89</v>
      </c>
      <c r="I1482">
        <v>0</v>
      </c>
      <c r="J1482">
        <v>360</v>
      </c>
      <c r="K1482">
        <v>0</v>
      </c>
    </row>
    <row r="1483" spans="1:11" x14ac:dyDescent="0.2">
      <c r="A1483" t="s">
        <v>16</v>
      </c>
      <c r="B1483" t="s">
        <v>285</v>
      </c>
      <c r="C1483">
        <v>360</v>
      </c>
      <c r="D1483" t="s">
        <v>9887</v>
      </c>
      <c r="E1483" t="s">
        <v>50</v>
      </c>
      <c r="F1483">
        <v>26</v>
      </c>
      <c r="G1483">
        <v>0.57273735354625976</v>
      </c>
      <c r="H1483" t="s">
        <v>91</v>
      </c>
      <c r="I1483">
        <v>0</v>
      </c>
      <c r="J1483">
        <v>360</v>
      </c>
      <c r="K1483">
        <v>0</v>
      </c>
    </row>
    <row r="1484" spans="1:11" x14ac:dyDescent="0.2">
      <c r="A1484" t="s">
        <v>16</v>
      </c>
      <c r="B1484" t="s">
        <v>6004</v>
      </c>
      <c r="C1484">
        <v>120</v>
      </c>
      <c r="D1484" t="s">
        <v>10285</v>
      </c>
      <c r="E1484" t="s">
        <v>50</v>
      </c>
      <c r="F1484">
        <v>11</v>
      </c>
      <c r="G1484">
        <v>0.21245266329435825</v>
      </c>
      <c r="H1484" t="s">
        <v>89</v>
      </c>
      <c r="I1484">
        <v>0</v>
      </c>
      <c r="J1484">
        <v>360</v>
      </c>
      <c r="K1484">
        <v>0</v>
      </c>
    </row>
    <row r="1485" spans="1:11" x14ac:dyDescent="0.2">
      <c r="A1485" t="s">
        <v>16</v>
      </c>
      <c r="B1485" t="s">
        <v>6004</v>
      </c>
      <c r="C1485">
        <v>120</v>
      </c>
      <c r="D1485" t="s">
        <v>10283</v>
      </c>
      <c r="E1485" t="s">
        <v>50</v>
      </c>
      <c r="F1485">
        <v>11</v>
      </c>
      <c r="G1485">
        <v>0.21245266329435825</v>
      </c>
      <c r="H1485" t="s">
        <v>84</v>
      </c>
      <c r="I1485">
        <v>0</v>
      </c>
      <c r="J1485">
        <v>360</v>
      </c>
      <c r="K1485">
        <v>0</v>
      </c>
    </row>
    <row r="1486" spans="1:11" x14ac:dyDescent="0.2">
      <c r="A1486" t="s">
        <v>16</v>
      </c>
      <c r="B1486" t="s">
        <v>246</v>
      </c>
      <c r="C1486">
        <v>70</v>
      </c>
      <c r="D1486" t="s">
        <v>9532</v>
      </c>
      <c r="E1486" t="s">
        <v>50</v>
      </c>
      <c r="F1486">
        <v>3</v>
      </c>
      <c r="G1486">
        <v>0.11772241507787937</v>
      </c>
      <c r="H1486" t="s">
        <v>90</v>
      </c>
      <c r="I1486">
        <v>0</v>
      </c>
      <c r="J1486">
        <v>350</v>
      </c>
      <c r="K1486">
        <v>0</v>
      </c>
    </row>
    <row r="1487" spans="1:11" x14ac:dyDescent="0.2">
      <c r="A1487" t="s">
        <v>16</v>
      </c>
      <c r="B1487" t="s">
        <v>3802</v>
      </c>
      <c r="C1487">
        <v>50</v>
      </c>
      <c r="D1487" t="s">
        <v>9537</v>
      </c>
      <c r="E1487" t="s">
        <v>50</v>
      </c>
      <c r="F1487">
        <v>5</v>
      </c>
      <c r="G1487">
        <v>9.1672895151790681E-2</v>
      </c>
      <c r="H1487" t="s">
        <v>91</v>
      </c>
      <c r="I1487">
        <v>0</v>
      </c>
      <c r="J1487">
        <v>350</v>
      </c>
      <c r="K1487">
        <v>0</v>
      </c>
    </row>
    <row r="1488" spans="1:11" x14ac:dyDescent="0.2">
      <c r="A1488" t="s">
        <v>16</v>
      </c>
      <c r="B1488" t="s">
        <v>315</v>
      </c>
      <c r="C1488">
        <v>50</v>
      </c>
      <c r="D1488" t="s">
        <v>9539</v>
      </c>
      <c r="E1488" t="s">
        <v>50</v>
      </c>
      <c r="F1488">
        <v>2</v>
      </c>
      <c r="G1488">
        <v>9.1672895151790681E-2</v>
      </c>
      <c r="H1488" t="s">
        <v>89</v>
      </c>
      <c r="I1488">
        <v>0</v>
      </c>
      <c r="J1488">
        <v>350</v>
      </c>
      <c r="K1488">
        <v>0</v>
      </c>
    </row>
    <row r="1489" spans="1:11" x14ac:dyDescent="0.2">
      <c r="A1489" t="s">
        <v>16</v>
      </c>
      <c r="B1489" t="s">
        <v>3804</v>
      </c>
      <c r="C1489">
        <v>50</v>
      </c>
      <c r="D1489" t="s">
        <v>9540</v>
      </c>
      <c r="E1489" t="s">
        <v>50</v>
      </c>
      <c r="F1489">
        <v>5</v>
      </c>
      <c r="G1489">
        <v>9.1673475106114899E-2</v>
      </c>
      <c r="H1489" t="s">
        <v>105</v>
      </c>
      <c r="I1489">
        <v>0</v>
      </c>
      <c r="J1489">
        <v>350</v>
      </c>
      <c r="K1489">
        <v>0</v>
      </c>
    </row>
    <row r="1490" spans="1:11" x14ac:dyDescent="0.2">
      <c r="A1490" t="s">
        <v>16</v>
      </c>
      <c r="B1490" t="s">
        <v>3806</v>
      </c>
      <c r="C1490">
        <v>50</v>
      </c>
      <c r="D1490" t="s">
        <v>9541</v>
      </c>
      <c r="E1490" t="s">
        <v>50</v>
      </c>
      <c r="F1490">
        <v>2</v>
      </c>
      <c r="G1490">
        <v>9.1672895151790681E-2</v>
      </c>
      <c r="H1490" t="s">
        <v>84</v>
      </c>
      <c r="I1490">
        <v>0</v>
      </c>
      <c r="J1490">
        <v>350</v>
      </c>
      <c r="K1490">
        <v>0</v>
      </c>
    </row>
    <row r="1491" spans="1:11" x14ac:dyDescent="0.2">
      <c r="A1491" t="s">
        <v>16</v>
      </c>
      <c r="B1491" t="s">
        <v>995</v>
      </c>
      <c r="C1491">
        <v>50</v>
      </c>
      <c r="D1491" t="s">
        <v>9542</v>
      </c>
      <c r="E1491" t="s">
        <v>50</v>
      </c>
      <c r="F1491">
        <v>4</v>
      </c>
      <c r="G1491">
        <v>9.1672895151790681E-2</v>
      </c>
      <c r="H1491" t="s">
        <v>98</v>
      </c>
      <c r="I1491">
        <v>0</v>
      </c>
      <c r="J1491">
        <v>350</v>
      </c>
      <c r="K1491">
        <v>0</v>
      </c>
    </row>
    <row r="1492" spans="1:11" x14ac:dyDescent="0.2">
      <c r="A1492" t="s">
        <v>16</v>
      </c>
      <c r="B1492" t="s">
        <v>991</v>
      </c>
      <c r="C1492">
        <v>50</v>
      </c>
      <c r="D1492" t="s">
        <v>9543</v>
      </c>
      <c r="E1492" t="s">
        <v>50</v>
      </c>
      <c r="F1492">
        <v>4</v>
      </c>
      <c r="G1492">
        <v>9.1672895151790681E-2</v>
      </c>
      <c r="H1492" t="s">
        <v>87</v>
      </c>
      <c r="I1492">
        <v>0</v>
      </c>
      <c r="J1492">
        <v>350</v>
      </c>
      <c r="K1492">
        <v>0</v>
      </c>
    </row>
    <row r="1493" spans="1:11" x14ac:dyDescent="0.2">
      <c r="A1493" t="s">
        <v>16</v>
      </c>
      <c r="B1493" t="s">
        <v>5717</v>
      </c>
      <c r="C1493">
        <v>50</v>
      </c>
      <c r="D1493" t="s">
        <v>10308</v>
      </c>
      <c r="E1493" t="s">
        <v>50</v>
      </c>
      <c r="F1493">
        <v>3</v>
      </c>
      <c r="G1493">
        <v>0.14616402116402119</v>
      </c>
      <c r="H1493" t="s">
        <v>91</v>
      </c>
      <c r="I1493">
        <v>0</v>
      </c>
      <c r="J1493">
        <v>350</v>
      </c>
      <c r="K1493">
        <v>0</v>
      </c>
    </row>
    <row r="1494" spans="1:11" x14ac:dyDescent="0.2">
      <c r="A1494" t="s">
        <v>16</v>
      </c>
      <c r="B1494" t="s">
        <v>5717</v>
      </c>
      <c r="C1494">
        <v>50</v>
      </c>
      <c r="D1494" t="s">
        <v>10309</v>
      </c>
      <c r="E1494" t="s">
        <v>50</v>
      </c>
      <c r="F1494">
        <v>3</v>
      </c>
      <c r="G1494">
        <v>0.14616402116402119</v>
      </c>
      <c r="H1494" t="s">
        <v>89</v>
      </c>
      <c r="I1494">
        <v>0</v>
      </c>
      <c r="J1494">
        <v>350</v>
      </c>
      <c r="K1494">
        <v>0</v>
      </c>
    </row>
    <row r="1495" spans="1:11" x14ac:dyDescent="0.2">
      <c r="A1495" t="s">
        <v>16</v>
      </c>
      <c r="B1495" t="s">
        <v>5723</v>
      </c>
      <c r="C1495">
        <v>50</v>
      </c>
      <c r="D1495" t="s">
        <v>10310</v>
      </c>
      <c r="E1495" t="s">
        <v>50</v>
      </c>
      <c r="F1495">
        <v>3</v>
      </c>
      <c r="G1495">
        <v>0.14616402116402119</v>
      </c>
      <c r="H1495" t="s">
        <v>100</v>
      </c>
      <c r="I1495">
        <v>0</v>
      </c>
      <c r="J1495">
        <v>350</v>
      </c>
      <c r="K1495">
        <v>0</v>
      </c>
    </row>
    <row r="1496" spans="1:11" x14ac:dyDescent="0.2">
      <c r="A1496" t="s">
        <v>16</v>
      </c>
      <c r="B1496" t="s">
        <v>5723</v>
      </c>
      <c r="C1496">
        <v>50</v>
      </c>
      <c r="D1496" t="s">
        <v>10311</v>
      </c>
      <c r="E1496" t="s">
        <v>50</v>
      </c>
      <c r="F1496">
        <v>3</v>
      </c>
      <c r="G1496">
        <v>0.14616402116402119</v>
      </c>
      <c r="H1496" t="s">
        <v>105</v>
      </c>
      <c r="I1496">
        <v>0</v>
      </c>
      <c r="J1496">
        <v>350</v>
      </c>
      <c r="K1496">
        <v>0</v>
      </c>
    </row>
    <row r="1497" spans="1:11" x14ac:dyDescent="0.2">
      <c r="A1497" t="s">
        <v>16</v>
      </c>
      <c r="B1497" t="s">
        <v>5719</v>
      </c>
      <c r="C1497">
        <v>50</v>
      </c>
      <c r="D1497" t="s">
        <v>10312</v>
      </c>
      <c r="E1497" t="s">
        <v>50</v>
      </c>
      <c r="F1497">
        <v>2</v>
      </c>
      <c r="G1497">
        <v>0.14616402116402119</v>
      </c>
      <c r="H1497" t="s">
        <v>92</v>
      </c>
      <c r="I1497">
        <v>0</v>
      </c>
      <c r="J1497">
        <v>350</v>
      </c>
      <c r="K1497">
        <v>0</v>
      </c>
    </row>
    <row r="1498" spans="1:11" x14ac:dyDescent="0.2">
      <c r="A1498" t="s">
        <v>16</v>
      </c>
      <c r="B1498" t="s">
        <v>4166</v>
      </c>
      <c r="C1498">
        <v>160</v>
      </c>
      <c r="D1498" t="s">
        <v>9772</v>
      </c>
      <c r="E1498" t="s">
        <v>50</v>
      </c>
      <c r="F1498">
        <v>10</v>
      </c>
      <c r="G1498">
        <v>0.32003716310920671</v>
      </c>
      <c r="H1498" t="s">
        <v>98</v>
      </c>
      <c r="I1498">
        <v>0</v>
      </c>
      <c r="J1498">
        <v>320</v>
      </c>
      <c r="K1498">
        <v>0</v>
      </c>
    </row>
    <row r="1499" spans="1:11" x14ac:dyDescent="0.2">
      <c r="A1499" t="s">
        <v>16</v>
      </c>
      <c r="B1499" t="s">
        <v>1893</v>
      </c>
      <c r="C1499">
        <v>100</v>
      </c>
      <c r="D1499" t="s">
        <v>9158</v>
      </c>
      <c r="E1499" t="s">
        <v>50</v>
      </c>
      <c r="F1499">
        <v>3</v>
      </c>
      <c r="G1499">
        <v>0.122556217441649</v>
      </c>
      <c r="H1499" t="s">
        <v>104</v>
      </c>
      <c r="I1499">
        <v>0</v>
      </c>
      <c r="J1499">
        <v>300</v>
      </c>
      <c r="K1499">
        <v>0</v>
      </c>
    </row>
    <row r="1500" spans="1:11" x14ac:dyDescent="0.2">
      <c r="A1500" t="s">
        <v>16</v>
      </c>
      <c r="B1500" t="s">
        <v>1894</v>
      </c>
      <c r="C1500">
        <v>100</v>
      </c>
      <c r="D1500" t="s">
        <v>9170</v>
      </c>
      <c r="E1500" t="s">
        <v>50</v>
      </c>
      <c r="F1500">
        <v>8</v>
      </c>
      <c r="G1500">
        <v>0.10026365516392884</v>
      </c>
      <c r="H1500" t="s">
        <v>84</v>
      </c>
      <c r="I1500">
        <v>0</v>
      </c>
      <c r="J1500">
        <v>300</v>
      </c>
      <c r="K1500">
        <v>0</v>
      </c>
    </row>
    <row r="1501" spans="1:11" x14ac:dyDescent="0.2">
      <c r="A1501" t="s">
        <v>16</v>
      </c>
      <c r="B1501" t="s">
        <v>1894</v>
      </c>
      <c r="C1501">
        <v>100</v>
      </c>
      <c r="D1501" t="s">
        <v>9167</v>
      </c>
      <c r="E1501" t="s">
        <v>50</v>
      </c>
      <c r="F1501">
        <v>8</v>
      </c>
      <c r="G1501">
        <v>0.10026365516392884</v>
      </c>
      <c r="H1501" t="s">
        <v>87</v>
      </c>
      <c r="I1501">
        <v>0</v>
      </c>
      <c r="J1501">
        <v>300</v>
      </c>
      <c r="K1501">
        <v>0</v>
      </c>
    </row>
    <row r="1502" spans="1:11" x14ac:dyDescent="0.2">
      <c r="A1502" t="s">
        <v>16</v>
      </c>
      <c r="B1502" t="s">
        <v>482</v>
      </c>
      <c r="C1502">
        <v>100</v>
      </c>
      <c r="D1502" t="s">
        <v>9591</v>
      </c>
      <c r="E1502" t="s">
        <v>50</v>
      </c>
      <c r="F1502">
        <v>6</v>
      </c>
      <c r="G1502">
        <v>7.6201416003758723E-2</v>
      </c>
      <c r="H1502" t="s">
        <v>91</v>
      </c>
      <c r="I1502">
        <v>0</v>
      </c>
      <c r="J1502">
        <v>300</v>
      </c>
      <c r="K1502">
        <v>0</v>
      </c>
    </row>
    <row r="1503" spans="1:11" x14ac:dyDescent="0.2">
      <c r="A1503" t="s">
        <v>16</v>
      </c>
      <c r="B1503" t="s">
        <v>678</v>
      </c>
      <c r="C1503">
        <v>300</v>
      </c>
      <c r="D1503" t="s">
        <v>9763</v>
      </c>
      <c r="E1503" t="s">
        <v>50</v>
      </c>
      <c r="F1503">
        <v>7</v>
      </c>
      <c r="G1503">
        <v>0.50943065433150425</v>
      </c>
      <c r="H1503" t="s">
        <v>89</v>
      </c>
      <c r="I1503">
        <v>0</v>
      </c>
      <c r="J1503">
        <v>300</v>
      </c>
      <c r="K1503">
        <v>0</v>
      </c>
    </row>
    <row r="1504" spans="1:11" x14ac:dyDescent="0.2">
      <c r="A1504" t="s">
        <v>16</v>
      </c>
      <c r="B1504" t="s">
        <v>678</v>
      </c>
      <c r="C1504">
        <v>300</v>
      </c>
      <c r="D1504" t="s">
        <v>9764</v>
      </c>
      <c r="E1504" t="s">
        <v>50</v>
      </c>
      <c r="F1504">
        <v>7</v>
      </c>
      <c r="G1504">
        <v>0.50943065433150425</v>
      </c>
      <c r="H1504" t="s">
        <v>101</v>
      </c>
      <c r="I1504">
        <v>0</v>
      </c>
      <c r="J1504">
        <v>300</v>
      </c>
      <c r="K1504">
        <v>0</v>
      </c>
    </row>
    <row r="1505" spans="1:11" x14ac:dyDescent="0.2">
      <c r="A1505" t="s">
        <v>16</v>
      </c>
      <c r="B1505" t="s">
        <v>678</v>
      </c>
      <c r="C1505">
        <v>300</v>
      </c>
      <c r="D1505" t="s">
        <v>9761</v>
      </c>
      <c r="E1505" t="s">
        <v>50</v>
      </c>
      <c r="F1505">
        <v>7</v>
      </c>
      <c r="G1505">
        <v>0.50943065433150425</v>
      </c>
      <c r="H1505" t="s">
        <v>100</v>
      </c>
      <c r="I1505">
        <v>0</v>
      </c>
      <c r="J1505">
        <v>300</v>
      </c>
      <c r="K1505">
        <v>0</v>
      </c>
    </row>
    <row r="1506" spans="1:11" x14ac:dyDescent="0.2">
      <c r="A1506" t="s">
        <v>16</v>
      </c>
      <c r="B1506" t="s">
        <v>678</v>
      </c>
      <c r="C1506">
        <v>300</v>
      </c>
      <c r="D1506" t="s">
        <v>9762</v>
      </c>
      <c r="E1506" t="s">
        <v>50</v>
      </c>
      <c r="F1506">
        <v>7</v>
      </c>
      <c r="G1506">
        <v>0.50943065433150425</v>
      </c>
      <c r="H1506" t="s">
        <v>105</v>
      </c>
      <c r="I1506">
        <v>0</v>
      </c>
      <c r="J1506">
        <v>300</v>
      </c>
      <c r="K1506">
        <v>0</v>
      </c>
    </row>
    <row r="1507" spans="1:11" x14ac:dyDescent="0.2">
      <c r="A1507" t="s">
        <v>16</v>
      </c>
      <c r="B1507" t="s">
        <v>723</v>
      </c>
      <c r="C1507">
        <v>300</v>
      </c>
      <c r="D1507" t="s">
        <v>9810</v>
      </c>
      <c r="E1507" t="s">
        <v>50</v>
      </c>
      <c r="F1507">
        <v>2</v>
      </c>
      <c r="G1507">
        <v>0.38292231812577066</v>
      </c>
      <c r="H1507" t="s">
        <v>95</v>
      </c>
      <c r="I1507">
        <v>0</v>
      </c>
      <c r="J1507">
        <v>300</v>
      </c>
      <c r="K1507">
        <v>0</v>
      </c>
    </row>
    <row r="1508" spans="1:11" x14ac:dyDescent="0.2">
      <c r="A1508" t="s">
        <v>16</v>
      </c>
      <c r="B1508" t="s">
        <v>682</v>
      </c>
      <c r="C1508">
        <v>150</v>
      </c>
      <c r="D1508" t="s">
        <v>9915</v>
      </c>
      <c r="E1508" t="s">
        <v>50</v>
      </c>
      <c r="F1508">
        <v>4</v>
      </c>
      <c r="G1508">
        <v>0.36379317887168233</v>
      </c>
      <c r="H1508" t="s">
        <v>92</v>
      </c>
      <c r="I1508">
        <v>0</v>
      </c>
      <c r="J1508">
        <v>300</v>
      </c>
      <c r="K1508">
        <v>0</v>
      </c>
    </row>
    <row r="1509" spans="1:11" x14ac:dyDescent="0.2">
      <c r="A1509" t="s">
        <v>16</v>
      </c>
      <c r="B1509" t="s">
        <v>5858</v>
      </c>
      <c r="C1509">
        <v>150</v>
      </c>
      <c r="D1509" t="s">
        <v>10156</v>
      </c>
      <c r="E1509" t="s">
        <v>50</v>
      </c>
      <c r="F1509">
        <v>5</v>
      </c>
      <c r="G1509">
        <v>0.21545881126173097</v>
      </c>
      <c r="H1509" t="s">
        <v>99</v>
      </c>
      <c r="I1509">
        <v>0</v>
      </c>
      <c r="J1509">
        <v>300</v>
      </c>
      <c r="K1509">
        <v>0</v>
      </c>
    </row>
    <row r="1510" spans="1:11" x14ac:dyDescent="0.2">
      <c r="A1510" t="s">
        <v>16</v>
      </c>
      <c r="B1510" t="s">
        <v>4826</v>
      </c>
      <c r="C1510">
        <v>300</v>
      </c>
      <c r="D1510" t="s">
        <v>10171</v>
      </c>
      <c r="E1510" t="s">
        <v>50</v>
      </c>
      <c r="F1510">
        <v>4</v>
      </c>
      <c r="G1510">
        <v>0.57342263849560737</v>
      </c>
      <c r="H1510" t="s">
        <v>84</v>
      </c>
      <c r="I1510">
        <v>0</v>
      </c>
      <c r="J1510">
        <v>300</v>
      </c>
      <c r="K1510">
        <v>0</v>
      </c>
    </row>
    <row r="1511" spans="1:11" x14ac:dyDescent="0.2">
      <c r="A1511" t="s">
        <v>16</v>
      </c>
      <c r="B1511" t="s">
        <v>4826</v>
      </c>
      <c r="C1511">
        <v>300</v>
      </c>
      <c r="D1511" t="s">
        <v>10170</v>
      </c>
      <c r="E1511" t="s">
        <v>50</v>
      </c>
      <c r="F1511">
        <v>4</v>
      </c>
      <c r="G1511">
        <v>0.57342263849560737</v>
      </c>
      <c r="H1511" t="s">
        <v>98</v>
      </c>
      <c r="I1511">
        <v>0</v>
      </c>
      <c r="J1511">
        <v>300</v>
      </c>
      <c r="K1511">
        <v>0</v>
      </c>
    </row>
    <row r="1512" spans="1:11" x14ac:dyDescent="0.2">
      <c r="A1512" t="s">
        <v>16</v>
      </c>
      <c r="B1512" t="s">
        <v>4826</v>
      </c>
      <c r="C1512">
        <v>300</v>
      </c>
      <c r="D1512" t="s">
        <v>10169</v>
      </c>
      <c r="E1512" t="s">
        <v>50</v>
      </c>
      <c r="F1512">
        <v>4</v>
      </c>
      <c r="G1512">
        <v>0.57342263849560737</v>
      </c>
      <c r="H1512" t="s">
        <v>87</v>
      </c>
      <c r="I1512">
        <v>0</v>
      </c>
      <c r="J1512">
        <v>300</v>
      </c>
      <c r="K1512">
        <v>0</v>
      </c>
    </row>
    <row r="1513" spans="1:11" x14ac:dyDescent="0.2">
      <c r="A1513" t="s">
        <v>16</v>
      </c>
      <c r="B1513" t="s">
        <v>4826</v>
      </c>
      <c r="C1513">
        <v>300</v>
      </c>
      <c r="D1513" t="s">
        <v>10173</v>
      </c>
      <c r="E1513" t="s">
        <v>50</v>
      </c>
      <c r="F1513">
        <v>4</v>
      </c>
      <c r="G1513">
        <v>0.57342263849560737</v>
      </c>
      <c r="H1513" t="s">
        <v>91</v>
      </c>
      <c r="I1513">
        <v>0</v>
      </c>
      <c r="J1513">
        <v>300</v>
      </c>
      <c r="K1513">
        <v>0</v>
      </c>
    </row>
    <row r="1514" spans="1:11" x14ac:dyDescent="0.2">
      <c r="A1514" t="s">
        <v>16</v>
      </c>
      <c r="B1514" t="s">
        <v>4826</v>
      </c>
      <c r="C1514">
        <v>300</v>
      </c>
      <c r="D1514" t="s">
        <v>10167</v>
      </c>
      <c r="E1514" t="s">
        <v>50</v>
      </c>
      <c r="F1514">
        <v>4</v>
      </c>
      <c r="G1514">
        <v>0.57342263849560737</v>
      </c>
      <c r="H1514" t="s">
        <v>84</v>
      </c>
      <c r="I1514">
        <v>0</v>
      </c>
      <c r="J1514">
        <v>300</v>
      </c>
      <c r="K1514">
        <v>0</v>
      </c>
    </row>
    <row r="1515" spans="1:11" x14ac:dyDescent="0.2">
      <c r="A1515" t="s">
        <v>16</v>
      </c>
      <c r="B1515" t="s">
        <v>4826</v>
      </c>
      <c r="C1515">
        <v>300</v>
      </c>
      <c r="D1515" t="s">
        <v>10168</v>
      </c>
      <c r="E1515" t="s">
        <v>50</v>
      </c>
      <c r="F1515">
        <v>4</v>
      </c>
      <c r="G1515">
        <v>0.57342263849560737</v>
      </c>
      <c r="H1515" t="s">
        <v>98</v>
      </c>
      <c r="I1515">
        <v>0</v>
      </c>
      <c r="J1515">
        <v>300</v>
      </c>
      <c r="K1515">
        <v>0</v>
      </c>
    </row>
    <row r="1516" spans="1:11" x14ac:dyDescent="0.2">
      <c r="A1516" t="s">
        <v>16</v>
      </c>
      <c r="B1516" t="s">
        <v>5658</v>
      </c>
      <c r="C1516">
        <v>300</v>
      </c>
      <c r="D1516" t="s">
        <v>10276</v>
      </c>
      <c r="E1516" t="s">
        <v>50</v>
      </c>
      <c r="F1516">
        <v>13</v>
      </c>
      <c r="G1516">
        <v>0.19737151946791234</v>
      </c>
      <c r="H1516" t="s">
        <v>89</v>
      </c>
      <c r="I1516">
        <v>0</v>
      </c>
      <c r="J1516">
        <v>300</v>
      </c>
      <c r="K1516">
        <v>0</v>
      </c>
    </row>
    <row r="1517" spans="1:11" x14ac:dyDescent="0.2">
      <c r="A1517" t="s">
        <v>16</v>
      </c>
      <c r="B1517" t="s">
        <v>6025</v>
      </c>
      <c r="C1517">
        <v>300</v>
      </c>
      <c r="D1517" t="s">
        <v>10303</v>
      </c>
      <c r="E1517" t="s">
        <v>50</v>
      </c>
      <c r="F1517">
        <v>7</v>
      </c>
      <c r="G1517">
        <v>0.21722960598041061</v>
      </c>
      <c r="H1517" t="s">
        <v>101</v>
      </c>
      <c r="I1517">
        <v>0</v>
      </c>
      <c r="J1517">
        <v>300</v>
      </c>
      <c r="K1517">
        <v>0</v>
      </c>
    </row>
    <row r="1518" spans="1:11" x14ac:dyDescent="0.2">
      <c r="A1518" t="s">
        <v>16</v>
      </c>
      <c r="B1518" t="s">
        <v>5838</v>
      </c>
      <c r="C1518">
        <v>150</v>
      </c>
      <c r="D1518" t="s">
        <v>10335</v>
      </c>
      <c r="E1518" t="s">
        <v>50</v>
      </c>
      <c r="F1518">
        <v>3</v>
      </c>
      <c r="G1518">
        <v>0.3052252938190621</v>
      </c>
      <c r="H1518" t="s">
        <v>100</v>
      </c>
      <c r="I1518">
        <v>0</v>
      </c>
      <c r="J1518">
        <v>300</v>
      </c>
      <c r="K1518">
        <v>0</v>
      </c>
    </row>
    <row r="1519" spans="1:11" x14ac:dyDescent="0.2">
      <c r="A1519" t="s">
        <v>16</v>
      </c>
      <c r="B1519" t="s">
        <v>710</v>
      </c>
      <c r="C1519">
        <v>240</v>
      </c>
      <c r="D1519" t="s">
        <v>10076</v>
      </c>
      <c r="E1519" t="s">
        <v>50</v>
      </c>
      <c r="F1519">
        <v>6</v>
      </c>
      <c r="G1519">
        <v>0.99370529327610879</v>
      </c>
      <c r="H1519" t="s">
        <v>105</v>
      </c>
      <c r="I1519">
        <v>0</v>
      </c>
      <c r="J1519">
        <v>240</v>
      </c>
      <c r="K1519">
        <v>0</v>
      </c>
    </row>
    <row r="1520" spans="1:11" x14ac:dyDescent="0.2">
      <c r="A1520" t="s">
        <v>16</v>
      </c>
      <c r="B1520" t="s">
        <v>710</v>
      </c>
      <c r="C1520">
        <v>240</v>
      </c>
      <c r="D1520" t="s">
        <v>10078</v>
      </c>
      <c r="E1520" t="s">
        <v>50</v>
      </c>
      <c r="F1520">
        <v>6</v>
      </c>
      <c r="G1520">
        <v>0.99370529327610879</v>
      </c>
      <c r="H1520" t="s">
        <v>90</v>
      </c>
      <c r="I1520">
        <v>0</v>
      </c>
      <c r="J1520">
        <v>240</v>
      </c>
      <c r="K1520">
        <v>0</v>
      </c>
    </row>
    <row r="1521" spans="1:11" x14ac:dyDescent="0.2">
      <c r="A1521" t="s">
        <v>16</v>
      </c>
      <c r="B1521" t="s">
        <v>710</v>
      </c>
      <c r="C1521">
        <v>240</v>
      </c>
      <c r="D1521" t="s">
        <v>10075</v>
      </c>
      <c r="E1521" t="s">
        <v>50</v>
      </c>
      <c r="F1521">
        <v>6</v>
      </c>
      <c r="G1521">
        <v>0.99370529327610879</v>
      </c>
      <c r="H1521" t="s">
        <v>92</v>
      </c>
      <c r="I1521">
        <v>0</v>
      </c>
      <c r="J1521">
        <v>240</v>
      </c>
      <c r="K1521">
        <v>0</v>
      </c>
    </row>
    <row r="1522" spans="1:11" x14ac:dyDescent="0.2">
      <c r="A1522" t="s">
        <v>16</v>
      </c>
      <c r="B1522" t="s">
        <v>710</v>
      </c>
      <c r="C1522">
        <v>240</v>
      </c>
      <c r="D1522" t="s">
        <v>10062</v>
      </c>
      <c r="E1522" t="s">
        <v>50</v>
      </c>
      <c r="F1522">
        <v>6</v>
      </c>
      <c r="G1522">
        <v>0.99370529327610879</v>
      </c>
      <c r="H1522" t="s">
        <v>99</v>
      </c>
      <c r="I1522">
        <v>0</v>
      </c>
      <c r="J1522">
        <v>240</v>
      </c>
      <c r="K1522">
        <v>0</v>
      </c>
    </row>
    <row r="1523" spans="1:11" x14ac:dyDescent="0.2">
      <c r="A1523" t="s">
        <v>16</v>
      </c>
      <c r="B1523" t="s">
        <v>710</v>
      </c>
      <c r="C1523">
        <v>240</v>
      </c>
      <c r="D1523" t="s">
        <v>10063</v>
      </c>
      <c r="E1523" t="s">
        <v>50</v>
      </c>
      <c r="F1523">
        <v>6</v>
      </c>
      <c r="G1523">
        <v>0.99370529327610879</v>
      </c>
      <c r="H1523" t="s">
        <v>104</v>
      </c>
      <c r="I1523">
        <v>0</v>
      </c>
      <c r="J1523">
        <v>240</v>
      </c>
      <c r="K1523">
        <v>0</v>
      </c>
    </row>
    <row r="1524" spans="1:11" x14ac:dyDescent="0.2">
      <c r="A1524" t="s">
        <v>16</v>
      </c>
      <c r="B1524" t="s">
        <v>710</v>
      </c>
      <c r="C1524">
        <v>240</v>
      </c>
      <c r="D1524" t="s">
        <v>10067</v>
      </c>
      <c r="E1524" t="s">
        <v>50</v>
      </c>
      <c r="F1524">
        <v>6</v>
      </c>
      <c r="G1524">
        <v>0.99370529327610879</v>
      </c>
      <c r="H1524" t="s">
        <v>95</v>
      </c>
      <c r="I1524">
        <v>0</v>
      </c>
      <c r="J1524">
        <v>240</v>
      </c>
      <c r="K1524">
        <v>0</v>
      </c>
    </row>
    <row r="1525" spans="1:11" x14ac:dyDescent="0.2">
      <c r="A1525" t="s">
        <v>16</v>
      </c>
      <c r="B1525" t="s">
        <v>710</v>
      </c>
      <c r="C1525">
        <v>240</v>
      </c>
      <c r="D1525" t="s">
        <v>10074</v>
      </c>
      <c r="E1525" t="s">
        <v>50</v>
      </c>
      <c r="F1525">
        <v>6</v>
      </c>
      <c r="G1525">
        <v>0.99370529327610879</v>
      </c>
      <c r="H1525" t="s">
        <v>105</v>
      </c>
      <c r="I1525">
        <v>0</v>
      </c>
      <c r="J1525">
        <v>240</v>
      </c>
      <c r="K1525">
        <v>0</v>
      </c>
    </row>
    <row r="1526" spans="1:11" x14ac:dyDescent="0.2">
      <c r="A1526" t="s">
        <v>16</v>
      </c>
      <c r="B1526" t="s">
        <v>710</v>
      </c>
      <c r="C1526">
        <v>240</v>
      </c>
      <c r="D1526" t="s">
        <v>10079</v>
      </c>
      <c r="E1526" t="s">
        <v>50</v>
      </c>
      <c r="F1526">
        <v>6</v>
      </c>
      <c r="G1526">
        <v>0.99370529327610879</v>
      </c>
      <c r="H1526" t="s">
        <v>90</v>
      </c>
      <c r="I1526">
        <v>0</v>
      </c>
      <c r="J1526">
        <v>240</v>
      </c>
      <c r="K1526">
        <v>0</v>
      </c>
    </row>
    <row r="1527" spans="1:11" x14ac:dyDescent="0.2">
      <c r="A1527" t="s">
        <v>16</v>
      </c>
      <c r="B1527" t="s">
        <v>710</v>
      </c>
      <c r="C1527">
        <v>240</v>
      </c>
      <c r="D1527" t="s">
        <v>10077</v>
      </c>
      <c r="E1527" t="s">
        <v>50</v>
      </c>
      <c r="F1527">
        <v>6</v>
      </c>
      <c r="G1527">
        <v>0.99370529327610879</v>
      </c>
      <c r="H1527" t="s">
        <v>92</v>
      </c>
      <c r="I1527">
        <v>0</v>
      </c>
      <c r="J1527">
        <v>240</v>
      </c>
      <c r="K1527">
        <v>0</v>
      </c>
    </row>
    <row r="1528" spans="1:11" x14ac:dyDescent="0.2">
      <c r="A1528" t="s">
        <v>16</v>
      </c>
      <c r="B1528" t="s">
        <v>710</v>
      </c>
      <c r="C1528">
        <v>240</v>
      </c>
      <c r="D1528" t="s">
        <v>10069</v>
      </c>
      <c r="E1528" t="s">
        <v>50</v>
      </c>
      <c r="F1528">
        <v>6</v>
      </c>
      <c r="G1528">
        <v>0.99370529327610879</v>
      </c>
      <c r="H1528" t="s">
        <v>99</v>
      </c>
      <c r="I1528">
        <v>0</v>
      </c>
      <c r="J1528">
        <v>240</v>
      </c>
      <c r="K1528">
        <v>0</v>
      </c>
    </row>
    <row r="1529" spans="1:11" x14ac:dyDescent="0.2">
      <c r="A1529" t="s">
        <v>16</v>
      </c>
      <c r="B1529" t="s">
        <v>710</v>
      </c>
      <c r="C1529">
        <v>240</v>
      </c>
      <c r="D1529" t="s">
        <v>10072</v>
      </c>
      <c r="E1529" t="s">
        <v>50</v>
      </c>
      <c r="F1529">
        <v>6</v>
      </c>
      <c r="G1529">
        <v>0.99370529327610879</v>
      </c>
      <c r="H1529" t="s">
        <v>104</v>
      </c>
      <c r="I1529">
        <v>0</v>
      </c>
      <c r="J1529">
        <v>240</v>
      </c>
      <c r="K1529">
        <v>0</v>
      </c>
    </row>
    <row r="1530" spans="1:11" x14ac:dyDescent="0.2">
      <c r="A1530" t="s">
        <v>16</v>
      </c>
      <c r="B1530" t="s">
        <v>710</v>
      </c>
      <c r="C1530">
        <v>240</v>
      </c>
      <c r="D1530" t="s">
        <v>10071</v>
      </c>
      <c r="E1530" t="s">
        <v>50</v>
      </c>
      <c r="F1530">
        <v>6</v>
      </c>
      <c r="G1530">
        <v>0.99370529327610879</v>
      </c>
      <c r="H1530" t="s">
        <v>95</v>
      </c>
      <c r="I1530">
        <v>0</v>
      </c>
      <c r="J1530">
        <v>240</v>
      </c>
      <c r="K1530">
        <v>0</v>
      </c>
    </row>
    <row r="1531" spans="1:11" x14ac:dyDescent="0.2">
      <c r="A1531" t="s">
        <v>16</v>
      </c>
      <c r="B1531" t="s">
        <v>710</v>
      </c>
      <c r="C1531">
        <v>240</v>
      </c>
      <c r="D1531" t="s">
        <v>10065</v>
      </c>
      <c r="E1531" t="s">
        <v>50</v>
      </c>
      <c r="F1531">
        <v>6</v>
      </c>
      <c r="G1531">
        <v>0.99370529327610879</v>
      </c>
      <c r="H1531" t="s">
        <v>105</v>
      </c>
      <c r="I1531">
        <v>0</v>
      </c>
      <c r="J1531">
        <v>240</v>
      </c>
      <c r="K1531">
        <v>0</v>
      </c>
    </row>
    <row r="1532" spans="1:11" x14ac:dyDescent="0.2">
      <c r="A1532" t="s">
        <v>16</v>
      </c>
      <c r="B1532" t="s">
        <v>710</v>
      </c>
      <c r="C1532">
        <v>240</v>
      </c>
      <c r="D1532" t="s">
        <v>10068</v>
      </c>
      <c r="E1532" t="s">
        <v>50</v>
      </c>
      <c r="F1532">
        <v>6</v>
      </c>
      <c r="G1532">
        <v>0.99370529327610879</v>
      </c>
      <c r="H1532" t="s">
        <v>90</v>
      </c>
      <c r="I1532">
        <v>0</v>
      </c>
      <c r="J1532">
        <v>240</v>
      </c>
      <c r="K1532">
        <v>0</v>
      </c>
    </row>
    <row r="1533" spans="1:11" x14ac:dyDescent="0.2">
      <c r="A1533" t="s">
        <v>16</v>
      </c>
      <c r="B1533" t="s">
        <v>710</v>
      </c>
      <c r="C1533">
        <v>240</v>
      </c>
      <c r="D1533" t="s">
        <v>10070</v>
      </c>
      <c r="E1533" t="s">
        <v>50</v>
      </c>
      <c r="F1533">
        <v>6</v>
      </c>
      <c r="G1533">
        <v>0.99370529327610879</v>
      </c>
      <c r="H1533" t="s">
        <v>92</v>
      </c>
      <c r="I1533">
        <v>0</v>
      </c>
      <c r="J1533">
        <v>240</v>
      </c>
      <c r="K1533">
        <v>0</v>
      </c>
    </row>
    <row r="1534" spans="1:11" x14ac:dyDescent="0.2">
      <c r="A1534" t="s">
        <v>16</v>
      </c>
      <c r="B1534" t="s">
        <v>710</v>
      </c>
      <c r="C1534">
        <v>240</v>
      </c>
      <c r="D1534" t="s">
        <v>10066</v>
      </c>
      <c r="E1534" t="s">
        <v>50</v>
      </c>
      <c r="F1534">
        <v>6</v>
      </c>
      <c r="G1534">
        <v>0.99370529327610879</v>
      </c>
      <c r="H1534" t="s">
        <v>99</v>
      </c>
      <c r="I1534">
        <v>0</v>
      </c>
      <c r="J1534">
        <v>240</v>
      </c>
      <c r="K1534">
        <v>0</v>
      </c>
    </row>
    <row r="1535" spans="1:11" x14ac:dyDescent="0.2">
      <c r="A1535" t="s">
        <v>16</v>
      </c>
      <c r="B1535" t="s">
        <v>710</v>
      </c>
      <c r="C1535">
        <v>240</v>
      </c>
      <c r="D1535" t="s">
        <v>10058</v>
      </c>
      <c r="E1535" t="s">
        <v>50</v>
      </c>
      <c r="F1535">
        <v>6</v>
      </c>
      <c r="G1535">
        <v>0.99370529327610879</v>
      </c>
      <c r="H1535" t="s">
        <v>104</v>
      </c>
      <c r="I1535">
        <v>0</v>
      </c>
      <c r="J1535">
        <v>240</v>
      </c>
      <c r="K1535">
        <v>0</v>
      </c>
    </row>
    <row r="1536" spans="1:11" x14ac:dyDescent="0.2">
      <c r="A1536" t="s">
        <v>16</v>
      </c>
      <c r="B1536" t="s">
        <v>710</v>
      </c>
      <c r="C1536">
        <v>240</v>
      </c>
      <c r="D1536" t="s">
        <v>10061</v>
      </c>
      <c r="E1536" t="s">
        <v>50</v>
      </c>
      <c r="F1536">
        <v>6</v>
      </c>
      <c r="G1536">
        <v>0.99370529327610879</v>
      </c>
      <c r="H1536" t="s">
        <v>95</v>
      </c>
      <c r="I1536">
        <v>0</v>
      </c>
      <c r="J1536">
        <v>240</v>
      </c>
      <c r="K1536">
        <v>0</v>
      </c>
    </row>
    <row r="1537" spans="1:11" x14ac:dyDescent="0.2">
      <c r="A1537" t="s">
        <v>16</v>
      </c>
      <c r="B1537" t="s">
        <v>710</v>
      </c>
      <c r="C1537">
        <v>240</v>
      </c>
      <c r="D1537" t="s">
        <v>10060</v>
      </c>
      <c r="E1537" t="s">
        <v>50</v>
      </c>
      <c r="F1537">
        <v>6</v>
      </c>
      <c r="G1537">
        <v>0.99370529327610879</v>
      </c>
      <c r="H1537" t="s">
        <v>105</v>
      </c>
      <c r="I1537">
        <v>0</v>
      </c>
      <c r="J1537">
        <v>240</v>
      </c>
      <c r="K1537">
        <v>0</v>
      </c>
    </row>
    <row r="1538" spans="1:11" x14ac:dyDescent="0.2">
      <c r="A1538" t="s">
        <v>16</v>
      </c>
      <c r="B1538" t="s">
        <v>710</v>
      </c>
      <c r="C1538">
        <v>240</v>
      </c>
      <c r="D1538" t="s">
        <v>10064</v>
      </c>
      <c r="E1538" t="s">
        <v>50</v>
      </c>
      <c r="F1538">
        <v>6</v>
      </c>
      <c r="G1538">
        <v>0.99370529327610879</v>
      </c>
      <c r="H1538" t="s">
        <v>90</v>
      </c>
      <c r="I1538">
        <v>0</v>
      </c>
      <c r="J1538">
        <v>240</v>
      </c>
      <c r="K1538">
        <v>0</v>
      </c>
    </row>
    <row r="1539" spans="1:11" x14ac:dyDescent="0.2">
      <c r="A1539" t="s">
        <v>16</v>
      </c>
      <c r="B1539" t="s">
        <v>710</v>
      </c>
      <c r="C1539">
        <v>240</v>
      </c>
      <c r="D1539" t="s">
        <v>10073</v>
      </c>
      <c r="E1539" t="s">
        <v>50</v>
      </c>
      <c r="F1539">
        <v>6</v>
      </c>
      <c r="G1539">
        <v>0.99370529327610879</v>
      </c>
      <c r="H1539" t="s">
        <v>92</v>
      </c>
      <c r="I1539">
        <v>0</v>
      </c>
      <c r="J1539">
        <v>240</v>
      </c>
      <c r="K1539">
        <v>0</v>
      </c>
    </row>
    <row r="1540" spans="1:11" x14ac:dyDescent="0.2">
      <c r="A1540" t="s">
        <v>16</v>
      </c>
      <c r="B1540" t="s">
        <v>931</v>
      </c>
      <c r="C1540">
        <v>110</v>
      </c>
      <c r="D1540" t="s">
        <v>9579</v>
      </c>
      <c r="E1540" t="s">
        <v>50</v>
      </c>
      <c r="F1540">
        <v>20</v>
      </c>
      <c r="G1540">
        <v>0.28506466214031684</v>
      </c>
      <c r="H1540" t="s">
        <v>87</v>
      </c>
      <c r="I1540">
        <v>0</v>
      </c>
      <c r="J1540">
        <v>220</v>
      </c>
      <c r="K1540">
        <v>0</v>
      </c>
    </row>
    <row r="1541" spans="1:11" x14ac:dyDescent="0.2">
      <c r="A1541" t="s">
        <v>16</v>
      </c>
      <c r="B1541" t="s">
        <v>931</v>
      </c>
      <c r="C1541">
        <v>110</v>
      </c>
      <c r="D1541" t="s">
        <v>9581</v>
      </c>
      <c r="E1541" t="s">
        <v>50</v>
      </c>
      <c r="F1541">
        <v>20</v>
      </c>
      <c r="G1541">
        <v>0.28506466214031684</v>
      </c>
      <c r="H1541" t="s">
        <v>91</v>
      </c>
      <c r="I1541">
        <v>0</v>
      </c>
      <c r="J1541">
        <v>220</v>
      </c>
      <c r="K1541">
        <v>0</v>
      </c>
    </row>
    <row r="1542" spans="1:11" x14ac:dyDescent="0.2">
      <c r="A1542" t="s">
        <v>16</v>
      </c>
      <c r="B1542" t="s">
        <v>931</v>
      </c>
      <c r="C1542">
        <v>110</v>
      </c>
      <c r="D1542" t="s">
        <v>9580</v>
      </c>
      <c r="E1542" t="s">
        <v>50</v>
      </c>
      <c r="F1542">
        <v>20</v>
      </c>
      <c r="G1542">
        <v>0.28506466214031684</v>
      </c>
      <c r="H1542" t="s">
        <v>89</v>
      </c>
      <c r="I1542">
        <v>0</v>
      </c>
      <c r="J1542">
        <v>220</v>
      </c>
      <c r="K1542">
        <v>0</v>
      </c>
    </row>
    <row r="1543" spans="1:11" x14ac:dyDescent="0.2">
      <c r="A1543" t="s">
        <v>16</v>
      </c>
      <c r="B1543" t="s">
        <v>302</v>
      </c>
      <c r="C1543">
        <v>220</v>
      </c>
      <c r="D1543" t="s">
        <v>9987</v>
      </c>
      <c r="E1543" t="s">
        <v>50</v>
      </c>
      <c r="F1543">
        <v>3</v>
      </c>
      <c r="G1543">
        <v>0.35383298098293448</v>
      </c>
      <c r="H1543" t="s">
        <v>101</v>
      </c>
      <c r="I1543">
        <v>0</v>
      </c>
      <c r="J1543">
        <v>220</v>
      </c>
      <c r="K1543">
        <v>0</v>
      </c>
    </row>
    <row r="1544" spans="1:11" x14ac:dyDescent="0.2">
      <c r="A1544" t="s">
        <v>16</v>
      </c>
      <c r="B1544" t="s">
        <v>302</v>
      </c>
      <c r="C1544">
        <v>220</v>
      </c>
      <c r="D1544" t="s">
        <v>9988</v>
      </c>
      <c r="E1544" t="s">
        <v>50</v>
      </c>
      <c r="F1544">
        <v>3</v>
      </c>
      <c r="G1544">
        <v>0.35383298098293448</v>
      </c>
      <c r="H1544" t="s">
        <v>100</v>
      </c>
      <c r="I1544">
        <v>0</v>
      </c>
      <c r="J1544">
        <v>220</v>
      </c>
      <c r="K1544">
        <v>0</v>
      </c>
    </row>
    <row r="1545" spans="1:11" x14ac:dyDescent="0.2">
      <c r="A1545" t="s">
        <v>16</v>
      </c>
      <c r="B1545" t="s">
        <v>679</v>
      </c>
      <c r="C1545">
        <v>100</v>
      </c>
      <c r="D1545" t="s">
        <v>9066</v>
      </c>
      <c r="E1545" t="s">
        <v>50</v>
      </c>
      <c r="F1545">
        <v>3</v>
      </c>
      <c r="G1545">
        <v>0.12535936372686851</v>
      </c>
      <c r="H1545" t="s">
        <v>98</v>
      </c>
      <c r="I1545">
        <v>0</v>
      </c>
      <c r="J1545">
        <v>200</v>
      </c>
      <c r="K1545">
        <v>0</v>
      </c>
    </row>
    <row r="1546" spans="1:11" x14ac:dyDescent="0.2">
      <c r="A1546" t="s">
        <v>16</v>
      </c>
      <c r="B1546" t="s">
        <v>957</v>
      </c>
      <c r="C1546">
        <v>100</v>
      </c>
      <c r="D1546" t="s">
        <v>9175</v>
      </c>
      <c r="E1546" t="s">
        <v>50</v>
      </c>
      <c r="F1546">
        <v>3</v>
      </c>
      <c r="G1546">
        <v>0.14447844126244563</v>
      </c>
      <c r="H1546" t="s">
        <v>87</v>
      </c>
      <c r="I1546">
        <v>0</v>
      </c>
      <c r="J1546">
        <v>200</v>
      </c>
      <c r="K1546">
        <v>0</v>
      </c>
    </row>
    <row r="1547" spans="1:11" x14ac:dyDescent="0.2">
      <c r="A1547" t="s">
        <v>16</v>
      </c>
      <c r="B1547" t="s">
        <v>963</v>
      </c>
      <c r="C1547">
        <v>100</v>
      </c>
      <c r="D1547" t="s">
        <v>9451</v>
      </c>
      <c r="E1547" t="s">
        <v>50</v>
      </c>
      <c r="F1547">
        <v>2</v>
      </c>
      <c r="G1547">
        <v>0.16716679255647876</v>
      </c>
      <c r="H1547" t="s">
        <v>105</v>
      </c>
      <c r="I1547">
        <v>0</v>
      </c>
      <c r="J1547">
        <v>200</v>
      </c>
      <c r="K1547">
        <v>0</v>
      </c>
    </row>
    <row r="1548" spans="1:11" x14ac:dyDescent="0.2">
      <c r="A1548" t="s">
        <v>16</v>
      </c>
      <c r="B1548" t="s">
        <v>678</v>
      </c>
      <c r="C1548">
        <v>200</v>
      </c>
      <c r="D1548" t="s">
        <v>9765</v>
      </c>
      <c r="E1548" t="s">
        <v>50</v>
      </c>
      <c r="F1548">
        <v>7</v>
      </c>
      <c r="G1548">
        <v>0.33962043622100285</v>
      </c>
      <c r="H1548" t="s">
        <v>84</v>
      </c>
      <c r="I1548">
        <v>0</v>
      </c>
      <c r="J1548">
        <v>200</v>
      </c>
      <c r="K1548">
        <v>0</v>
      </c>
    </row>
    <row r="1549" spans="1:11" x14ac:dyDescent="0.2">
      <c r="A1549" t="s">
        <v>16</v>
      </c>
      <c r="B1549" t="s">
        <v>4577</v>
      </c>
      <c r="C1549">
        <v>200</v>
      </c>
      <c r="D1549" t="s">
        <v>9874</v>
      </c>
      <c r="E1549" t="s">
        <v>50</v>
      </c>
      <c r="F1549">
        <v>10</v>
      </c>
      <c r="G1549">
        <v>0.45816806338413207</v>
      </c>
      <c r="H1549" t="s">
        <v>91</v>
      </c>
      <c r="I1549">
        <v>0</v>
      </c>
      <c r="J1549">
        <v>200</v>
      </c>
      <c r="K1549">
        <v>0</v>
      </c>
    </row>
    <row r="1550" spans="1:11" x14ac:dyDescent="0.2">
      <c r="A1550" t="s">
        <v>16</v>
      </c>
      <c r="B1550" t="s">
        <v>528</v>
      </c>
      <c r="C1550">
        <v>200</v>
      </c>
      <c r="D1550" t="s">
        <v>10126</v>
      </c>
      <c r="E1550" t="s">
        <v>50</v>
      </c>
      <c r="F1550">
        <v>4</v>
      </c>
      <c r="G1550">
        <v>0.44146555276842775</v>
      </c>
      <c r="H1550" t="s">
        <v>89</v>
      </c>
      <c r="I1550">
        <v>0</v>
      </c>
      <c r="J1550">
        <v>200</v>
      </c>
      <c r="K1550">
        <v>0</v>
      </c>
    </row>
    <row r="1551" spans="1:11" x14ac:dyDescent="0.2">
      <c r="A1551" t="s">
        <v>16</v>
      </c>
      <c r="B1551" t="s">
        <v>5092</v>
      </c>
      <c r="C1551">
        <v>200</v>
      </c>
      <c r="D1551" t="s">
        <v>10166</v>
      </c>
      <c r="E1551" t="s">
        <v>50</v>
      </c>
      <c r="F1551">
        <v>2</v>
      </c>
      <c r="G1551">
        <v>0.43899930648753688</v>
      </c>
      <c r="H1551" t="s">
        <v>101</v>
      </c>
      <c r="I1551">
        <v>0</v>
      </c>
      <c r="J1551">
        <v>200</v>
      </c>
      <c r="K1551">
        <v>0</v>
      </c>
    </row>
    <row r="1552" spans="1:11" x14ac:dyDescent="0.2">
      <c r="A1552" t="s">
        <v>16</v>
      </c>
      <c r="B1552" t="s">
        <v>6020</v>
      </c>
      <c r="C1552">
        <v>100</v>
      </c>
      <c r="D1552" t="s">
        <v>10306</v>
      </c>
      <c r="E1552" t="s">
        <v>50</v>
      </c>
      <c r="F1552">
        <v>8</v>
      </c>
      <c r="G1552">
        <v>0.22673436103005473</v>
      </c>
      <c r="H1552" t="s">
        <v>87</v>
      </c>
      <c r="I1552">
        <v>0</v>
      </c>
      <c r="J1552">
        <v>200</v>
      </c>
      <c r="K1552">
        <v>0</v>
      </c>
    </row>
    <row r="1553" spans="1:11" x14ac:dyDescent="0.2">
      <c r="A1553" t="s">
        <v>16</v>
      </c>
      <c r="B1553" t="s">
        <v>285</v>
      </c>
      <c r="C1553">
        <v>180</v>
      </c>
      <c r="D1553" t="s">
        <v>9885</v>
      </c>
      <c r="E1553" t="s">
        <v>50</v>
      </c>
      <c r="F1553">
        <v>26</v>
      </c>
      <c r="G1553">
        <v>0.28636867677312988</v>
      </c>
      <c r="H1553" t="s">
        <v>100</v>
      </c>
      <c r="I1553">
        <v>0</v>
      </c>
      <c r="J1553">
        <v>180</v>
      </c>
      <c r="K1553">
        <v>0</v>
      </c>
    </row>
    <row r="1554" spans="1:11" x14ac:dyDescent="0.2">
      <c r="A1554" t="s">
        <v>16</v>
      </c>
      <c r="B1554" t="s">
        <v>710</v>
      </c>
      <c r="C1554">
        <v>160</v>
      </c>
      <c r="D1554" t="s">
        <v>10059</v>
      </c>
      <c r="E1554" t="s">
        <v>50</v>
      </c>
      <c r="F1554">
        <v>6</v>
      </c>
      <c r="G1554">
        <v>0.66247019551740594</v>
      </c>
      <c r="H1554" t="s">
        <v>99</v>
      </c>
      <c r="I1554">
        <v>0</v>
      </c>
      <c r="J1554">
        <v>160</v>
      </c>
      <c r="K1554">
        <v>0</v>
      </c>
    </row>
    <row r="1555" spans="1:11" x14ac:dyDescent="0.2">
      <c r="A1555" t="s">
        <v>16</v>
      </c>
      <c r="B1555" t="s">
        <v>723</v>
      </c>
      <c r="C1555">
        <v>150</v>
      </c>
      <c r="D1555" t="s">
        <v>9808</v>
      </c>
      <c r="E1555" t="s">
        <v>50</v>
      </c>
      <c r="F1555">
        <v>2</v>
      </c>
      <c r="G1555">
        <v>0.19146115906288533</v>
      </c>
      <c r="H1555" t="s">
        <v>95</v>
      </c>
      <c r="I1555">
        <v>0</v>
      </c>
      <c r="J1555">
        <v>150</v>
      </c>
      <c r="K1555">
        <v>0</v>
      </c>
    </row>
    <row r="1556" spans="1:11" x14ac:dyDescent="0.2">
      <c r="A1556" t="s">
        <v>16</v>
      </c>
      <c r="B1556" t="s">
        <v>683</v>
      </c>
      <c r="C1556">
        <v>75</v>
      </c>
      <c r="D1556" t="s">
        <v>9912</v>
      </c>
      <c r="E1556" t="s">
        <v>50</v>
      </c>
      <c r="F1556">
        <v>4</v>
      </c>
      <c r="G1556">
        <v>0.18189658943584117</v>
      </c>
      <c r="H1556" t="s">
        <v>84</v>
      </c>
      <c r="I1556">
        <v>0</v>
      </c>
      <c r="J1556">
        <v>150</v>
      </c>
      <c r="K1556">
        <v>0</v>
      </c>
    </row>
    <row r="1557" spans="1:11" x14ac:dyDescent="0.2">
      <c r="A1557" t="s">
        <v>16</v>
      </c>
      <c r="B1557" t="s">
        <v>4826</v>
      </c>
      <c r="C1557">
        <v>100</v>
      </c>
      <c r="D1557" t="s">
        <v>10172</v>
      </c>
      <c r="E1557" t="s">
        <v>50</v>
      </c>
      <c r="F1557">
        <v>4</v>
      </c>
      <c r="G1557">
        <v>0.19114087949853581</v>
      </c>
      <c r="H1557" t="s">
        <v>91</v>
      </c>
      <c r="I1557">
        <v>0</v>
      </c>
      <c r="J1557">
        <v>100</v>
      </c>
      <c r="K1557">
        <v>0</v>
      </c>
    </row>
    <row r="1558" spans="1:11" x14ac:dyDescent="0.2">
      <c r="A1558" t="s">
        <v>16</v>
      </c>
      <c r="B1558" t="s">
        <v>1091</v>
      </c>
      <c r="C1558">
        <v>250</v>
      </c>
      <c r="D1558" t="s">
        <v>6038</v>
      </c>
      <c r="E1558" t="s">
        <v>49</v>
      </c>
      <c r="F1558">
        <v>15</v>
      </c>
      <c r="G1558">
        <v>0.16499600018809779</v>
      </c>
      <c r="H1558" t="s">
        <v>91</v>
      </c>
      <c r="I1558">
        <v>0</v>
      </c>
      <c r="J1558">
        <v>0</v>
      </c>
      <c r="K1558">
        <v>0</v>
      </c>
    </row>
    <row r="1559" spans="1:11" x14ac:dyDescent="0.2">
      <c r="A1559" t="s">
        <v>16</v>
      </c>
      <c r="B1559" t="s">
        <v>1092</v>
      </c>
      <c r="C1559">
        <v>250</v>
      </c>
      <c r="D1559" t="s">
        <v>6039</v>
      </c>
      <c r="E1559" t="s">
        <v>49</v>
      </c>
      <c r="F1559">
        <v>10</v>
      </c>
      <c r="G1559">
        <v>0.23359036765859059</v>
      </c>
      <c r="H1559" t="s">
        <v>91</v>
      </c>
      <c r="I1559">
        <v>0</v>
      </c>
      <c r="J1559">
        <v>0</v>
      </c>
      <c r="K1559">
        <v>0</v>
      </c>
    </row>
    <row r="1560" spans="1:11" x14ac:dyDescent="0.2">
      <c r="A1560" t="s">
        <v>16</v>
      </c>
      <c r="B1560" t="s">
        <v>425</v>
      </c>
      <c r="C1560">
        <v>390</v>
      </c>
      <c r="D1560" t="s">
        <v>6040</v>
      </c>
      <c r="E1560" t="s">
        <v>49</v>
      </c>
      <c r="F1560">
        <v>7</v>
      </c>
      <c r="G1560">
        <v>0.50186771141916509</v>
      </c>
      <c r="H1560" t="s">
        <v>84</v>
      </c>
      <c r="I1560">
        <v>0</v>
      </c>
      <c r="J1560">
        <v>0</v>
      </c>
      <c r="K1560">
        <v>0</v>
      </c>
    </row>
    <row r="1561" spans="1:11" x14ac:dyDescent="0.2">
      <c r="A1561" t="s">
        <v>16</v>
      </c>
      <c r="B1561" t="s">
        <v>430</v>
      </c>
      <c r="C1561">
        <v>400</v>
      </c>
      <c r="D1561" t="s">
        <v>6041</v>
      </c>
      <c r="E1561" t="s">
        <v>49</v>
      </c>
      <c r="F1561">
        <v>5</v>
      </c>
      <c r="G1561">
        <v>0.4797504334742374</v>
      </c>
      <c r="H1561" t="s">
        <v>91</v>
      </c>
      <c r="I1561">
        <v>0</v>
      </c>
      <c r="J1561">
        <v>0</v>
      </c>
      <c r="K1561">
        <v>0</v>
      </c>
    </row>
    <row r="1562" spans="1:11" x14ac:dyDescent="0.2">
      <c r="A1562" t="s">
        <v>16</v>
      </c>
      <c r="B1562" t="s">
        <v>426</v>
      </c>
      <c r="C1562">
        <v>350</v>
      </c>
      <c r="D1562" t="s">
        <v>6043</v>
      </c>
      <c r="E1562" t="s">
        <v>49</v>
      </c>
      <c r="F1562">
        <v>11</v>
      </c>
      <c r="G1562">
        <v>0.34759275152911084</v>
      </c>
      <c r="H1562" t="s">
        <v>91</v>
      </c>
      <c r="I1562">
        <v>0</v>
      </c>
      <c r="J1562">
        <v>0</v>
      </c>
      <c r="K1562">
        <v>0</v>
      </c>
    </row>
    <row r="1563" spans="1:11" x14ac:dyDescent="0.2">
      <c r="A1563" t="s">
        <v>16</v>
      </c>
      <c r="B1563" t="s">
        <v>426</v>
      </c>
      <c r="C1563">
        <v>525</v>
      </c>
      <c r="D1563" t="s">
        <v>6042</v>
      </c>
      <c r="E1563" t="s">
        <v>49</v>
      </c>
      <c r="F1563">
        <v>11</v>
      </c>
      <c r="G1563">
        <v>0.52138912729366627</v>
      </c>
      <c r="H1563" t="s">
        <v>84</v>
      </c>
      <c r="I1563">
        <v>0</v>
      </c>
      <c r="J1563">
        <v>0</v>
      </c>
      <c r="K1563">
        <v>0</v>
      </c>
    </row>
    <row r="1564" spans="1:11" x14ac:dyDescent="0.2">
      <c r="A1564" t="s">
        <v>16</v>
      </c>
      <c r="B1564" t="s">
        <v>431</v>
      </c>
      <c r="C1564">
        <v>600</v>
      </c>
      <c r="D1564" t="s">
        <v>6045</v>
      </c>
      <c r="E1564" t="s">
        <v>49</v>
      </c>
      <c r="F1564">
        <v>3</v>
      </c>
      <c r="G1564">
        <v>1.0038691249026228</v>
      </c>
      <c r="H1564" t="s">
        <v>91</v>
      </c>
      <c r="I1564">
        <v>0</v>
      </c>
      <c r="J1564">
        <v>0</v>
      </c>
      <c r="K1564">
        <v>0</v>
      </c>
    </row>
    <row r="1565" spans="1:11" x14ac:dyDescent="0.2">
      <c r="A1565" t="s">
        <v>16</v>
      </c>
      <c r="B1565" t="s">
        <v>431</v>
      </c>
      <c r="C1565">
        <v>400</v>
      </c>
      <c r="D1565" t="s">
        <v>6044</v>
      </c>
      <c r="E1565" t="s">
        <v>49</v>
      </c>
      <c r="F1565">
        <v>3</v>
      </c>
      <c r="G1565">
        <v>0.66924608326841528</v>
      </c>
      <c r="H1565" t="s">
        <v>84</v>
      </c>
      <c r="I1565">
        <v>0</v>
      </c>
      <c r="J1565">
        <v>0</v>
      </c>
      <c r="K1565">
        <v>0</v>
      </c>
    </row>
    <row r="1566" spans="1:11" x14ac:dyDescent="0.2">
      <c r="A1566" t="s">
        <v>16</v>
      </c>
      <c r="B1566" t="s">
        <v>599</v>
      </c>
      <c r="C1566">
        <v>540</v>
      </c>
      <c r="D1566" t="s">
        <v>6048</v>
      </c>
      <c r="E1566" t="s">
        <v>49</v>
      </c>
      <c r="F1566">
        <v>5</v>
      </c>
      <c r="G1566">
        <v>0.64807265995330521</v>
      </c>
      <c r="H1566" t="s">
        <v>98</v>
      </c>
      <c r="I1566">
        <v>0</v>
      </c>
      <c r="J1566">
        <v>0</v>
      </c>
      <c r="K1566">
        <v>0</v>
      </c>
    </row>
    <row r="1567" spans="1:11" x14ac:dyDescent="0.2">
      <c r="A1567" t="s">
        <v>16</v>
      </c>
      <c r="B1567" t="s">
        <v>599</v>
      </c>
      <c r="C1567">
        <v>540</v>
      </c>
      <c r="D1567" t="s">
        <v>6054</v>
      </c>
      <c r="E1567" t="s">
        <v>49</v>
      </c>
      <c r="F1567">
        <v>5</v>
      </c>
      <c r="G1567">
        <v>0.64807265995330521</v>
      </c>
      <c r="H1567" t="s">
        <v>94</v>
      </c>
      <c r="I1567">
        <v>0</v>
      </c>
      <c r="J1567">
        <v>0</v>
      </c>
      <c r="K1567">
        <v>0</v>
      </c>
    </row>
    <row r="1568" spans="1:11" x14ac:dyDescent="0.2">
      <c r="A1568" t="s">
        <v>16</v>
      </c>
      <c r="B1568" t="s">
        <v>599</v>
      </c>
      <c r="C1568">
        <v>540</v>
      </c>
      <c r="D1568" t="s">
        <v>6050</v>
      </c>
      <c r="E1568" t="s">
        <v>49</v>
      </c>
      <c r="F1568">
        <v>5</v>
      </c>
      <c r="G1568">
        <v>0.64807265995330521</v>
      </c>
      <c r="H1568" t="s">
        <v>84</v>
      </c>
      <c r="I1568">
        <v>0</v>
      </c>
      <c r="J1568">
        <v>0</v>
      </c>
      <c r="K1568">
        <v>0</v>
      </c>
    </row>
    <row r="1569" spans="1:11" x14ac:dyDescent="0.2">
      <c r="A1569" t="s">
        <v>16</v>
      </c>
      <c r="B1569" t="s">
        <v>599</v>
      </c>
      <c r="C1569">
        <v>540</v>
      </c>
      <c r="D1569" t="s">
        <v>6047</v>
      </c>
      <c r="E1569" t="s">
        <v>49</v>
      </c>
      <c r="F1569">
        <v>5</v>
      </c>
      <c r="G1569">
        <v>0.64807265995330521</v>
      </c>
      <c r="H1569" t="s">
        <v>91</v>
      </c>
      <c r="I1569">
        <v>0</v>
      </c>
      <c r="J1569">
        <v>0</v>
      </c>
      <c r="K1569">
        <v>0</v>
      </c>
    </row>
    <row r="1570" spans="1:11" x14ac:dyDescent="0.2">
      <c r="A1570" t="s">
        <v>16</v>
      </c>
      <c r="B1570" t="s">
        <v>599</v>
      </c>
      <c r="C1570">
        <v>540</v>
      </c>
      <c r="D1570" t="s">
        <v>6046</v>
      </c>
      <c r="E1570" t="s">
        <v>49</v>
      </c>
      <c r="F1570">
        <v>5</v>
      </c>
      <c r="G1570">
        <v>0.64807265995330521</v>
      </c>
      <c r="H1570" t="s">
        <v>98</v>
      </c>
      <c r="I1570">
        <v>0</v>
      </c>
      <c r="J1570">
        <v>0</v>
      </c>
      <c r="K1570">
        <v>0</v>
      </c>
    </row>
    <row r="1571" spans="1:11" x14ac:dyDescent="0.2">
      <c r="A1571" t="s">
        <v>16</v>
      </c>
      <c r="B1571" t="s">
        <v>599</v>
      </c>
      <c r="C1571">
        <v>540</v>
      </c>
      <c r="D1571" t="s">
        <v>6062</v>
      </c>
      <c r="E1571" t="s">
        <v>49</v>
      </c>
      <c r="F1571">
        <v>5</v>
      </c>
      <c r="G1571">
        <v>0.64807265995330521</v>
      </c>
      <c r="H1571" t="s">
        <v>94</v>
      </c>
      <c r="I1571">
        <v>0</v>
      </c>
      <c r="J1571">
        <v>0</v>
      </c>
      <c r="K1571">
        <v>0</v>
      </c>
    </row>
    <row r="1572" spans="1:11" x14ac:dyDescent="0.2">
      <c r="A1572" t="s">
        <v>16</v>
      </c>
      <c r="B1572" t="s">
        <v>599</v>
      </c>
      <c r="C1572">
        <v>540</v>
      </c>
      <c r="D1572" t="s">
        <v>6053</v>
      </c>
      <c r="E1572" t="s">
        <v>49</v>
      </c>
      <c r="F1572">
        <v>5</v>
      </c>
      <c r="G1572">
        <v>0.64807265995330521</v>
      </c>
      <c r="H1572" t="s">
        <v>84</v>
      </c>
      <c r="I1572">
        <v>0</v>
      </c>
      <c r="J1572">
        <v>0</v>
      </c>
      <c r="K1572">
        <v>0</v>
      </c>
    </row>
    <row r="1573" spans="1:11" x14ac:dyDescent="0.2">
      <c r="A1573" t="s">
        <v>16</v>
      </c>
      <c r="B1573" t="s">
        <v>599</v>
      </c>
      <c r="C1573">
        <v>540</v>
      </c>
      <c r="D1573" t="s">
        <v>6052</v>
      </c>
      <c r="E1573" t="s">
        <v>49</v>
      </c>
      <c r="F1573">
        <v>5</v>
      </c>
      <c r="G1573">
        <v>0.64807265995330521</v>
      </c>
      <c r="H1573" t="s">
        <v>91</v>
      </c>
      <c r="I1573">
        <v>0</v>
      </c>
      <c r="J1573">
        <v>0</v>
      </c>
      <c r="K1573">
        <v>0</v>
      </c>
    </row>
    <row r="1574" spans="1:11" x14ac:dyDescent="0.2">
      <c r="A1574" t="s">
        <v>16</v>
      </c>
      <c r="B1574" t="s">
        <v>599</v>
      </c>
      <c r="C1574">
        <v>540</v>
      </c>
      <c r="D1574" t="s">
        <v>6051</v>
      </c>
      <c r="E1574" t="s">
        <v>49</v>
      </c>
      <c r="F1574">
        <v>5</v>
      </c>
      <c r="G1574">
        <v>0.64807265995330521</v>
      </c>
      <c r="H1574" t="s">
        <v>98</v>
      </c>
      <c r="I1574">
        <v>0</v>
      </c>
      <c r="J1574">
        <v>0</v>
      </c>
      <c r="K1574">
        <v>0</v>
      </c>
    </row>
    <row r="1575" spans="1:11" x14ac:dyDescent="0.2">
      <c r="A1575" t="s">
        <v>16</v>
      </c>
      <c r="B1575" t="s">
        <v>599</v>
      </c>
      <c r="C1575">
        <v>540</v>
      </c>
      <c r="D1575" t="s">
        <v>6065</v>
      </c>
      <c r="E1575" t="s">
        <v>49</v>
      </c>
      <c r="F1575">
        <v>5</v>
      </c>
      <c r="G1575">
        <v>0.64807265995330521</v>
      </c>
      <c r="H1575" t="s">
        <v>94</v>
      </c>
      <c r="I1575">
        <v>0</v>
      </c>
      <c r="J1575">
        <v>0</v>
      </c>
      <c r="K1575">
        <v>0</v>
      </c>
    </row>
    <row r="1576" spans="1:11" x14ac:dyDescent="0.2">
      <c r="A1576" t="s">
        <v>16</v>
      </c>
      <c r="B1576" t="s">
        <v>599</v>
      </c>
      <c r="C1576">
        <v>540</v>
      </c>
      <c r="D1576" t="s">
        <v>6058</v>
      </c>
      <c r="E1576" t="s">
        <v>49</v>
      </c>
      <c r="F1576">
        <v>5</v>
      </c>
      <c r="G1576">
        <v>0.64807265995330521</v>
      </c>
      <c r="H1576" t="s">
        <v>84</v>
      </c>
      <c r="I1576">
        <v>0</v>
      </c>
      <c r="J1576">
        <v>0</v>
      </c>
      <c r="K1576">
        <v>0</v>
      </c>
    </row>
    <row r="1577" spans="1:11" x14ac:dyDescent="0.2">
      <c r="A1577" t="s">
        <v>16</v>
      </c>
      <c r="B1577" t="s">
        <v>599</v>
      </c>
      <c r="C1577">
        <v>540</v>
      </c>
      <c r="D1577" t="s">
        <v>6063</v>
      </c>
      <c r="E1577" t="s">
        <v>49</v>
      </c>
      <c r="F1577">
        <v>5</v>
      </c>
      <c r="G1577">
        <v>0.64807265995330521</v>
      </c>
      <c r="H1577" t="s">
        <v>91</v>
      </c>
      <c r="I1577">
        <v>0</v>
      </c>
      <c r="J1577">
        <v>0</v>
      </c>
      <c r="K1577">
        <v>0</v>
      </c>
    </row>
    <row r="1578" spans="1:11" x14ac:dyDescent="0.2">
      <c r="A1578" t="s">
        <v>16</v>
      </c>
      <c r="B1578" t="s">
        <v>599</v>
      </c>
      <c r="C1578">
        <v>540</v>
      </c>
      <c r="D1578" t="s">
        <v>6057</v>
      </c>
      <c r="E1578" t="s">
        <v>49</v>
      </c>
      <c r="F1578">
        <v>5</v>
      </c>
      <c r="G1578">
        <v>0.64807265995330521</v>
      </c>
      <c r="H1578" t="s">
        <v>98</v>
      </c>
      <c r="I1578">
        <v>0</v>
      </c>
      <c r="J1578">
        <v>0</v>
      </c>
      <c r="K1578">
        <v>0</v>
      </c>
    </row>
    <row r="1579" spans="1:11" x14ac:dyDescent="0.2">
      <c r="A1579" t="s">
        <v>16</v>
      </c>
      <c r="B1579" t="s">
        <v>599</v>
      </c>
      <c r="C1579">
        <v>540</v>
      </c>
      <c r="D1579" t="s">
        <v>6066</v>
      </c>
      <c r="E1579" t="s">
        <v>49</v>
      </c>
      <c r="F1579">
        <v>5</v>
      </c>
      <c r="G1579">
        <v>0.64807265995330521</v>
      </c>
      <c r="H1579" t="s">
        <v>96</v>
      </c>
      <c r="I1579">
        <v>0</v>
      </c>
      <c r="J1579">
        <v>0</v>
      </c>
      <c r="K1579">
        <v>0</v>
      </c>
    </row>
    <row r="1580" spans="1:11" x14ac:dyDescent="0.2">
      <c r="A1580" t="s">
        <v>16</v>
      </c>
      <c r="B1580" t="s">
        <v>599</v>
      </c>
      <c r="C1580">
        <v>540</v>
      </c>
      <c r="D1580" t="s">
        <v>6049</v>
      </c>
      <c r="E1580" t="s">
        <v>49</v>
      </c>
      <c r="F1580">
        <v>5</v>
      </c>
      <c r="G1580">
        <v>0.64807265995330521</v>
      </c>
      <c r="H1580" t="s">
        <v>94</v>
      </c>
      <c r="I1580">
        <v>0</v>
      </c>
      <c r="J1580">
        <v>0</v>
      </c>
      <c r="K1580">
        <v>0</v>
      </c>
    </row>
    <row r="1581" spans="1:11" x14ac:dyDescent="0.2">
      <c r="A1581" t="s">
        <v>16</v>
      </c>
      <c r="B1581" t="s">
        <v>599</v>
      </c>
      <c r="C1581">
        <v>540</v>
      </c>
      <c r="D1581" t="s">
        <v>6064</v>
      </c>
      <c r="E1581" t="s">
        <v>49</v>
      </c>
      <c r="F1581">
        <v>5</v>
      </c>
      <c r="G1581">
        <v>0.64807265995330521</v>
      </c>
      <c r="H1581" t="s">
        <v>84</v>
      </c>
      <c r="I1581">
        <v>0</v>
      </c>
      <c r="J1581">
        <v>0</v>
      </c>
      <c r="K1581">
        <v>0</v>
      </c>
    </row>
    <row r="1582" spans="1:11" x14ac:dyDescent="0.2">
      <c r="A1582" t="s">
        <v>16</v>
      </c>
      <c r="B1582" t="s">
        <v>599</v>
      </c>
      <c r="C1582">
        <v>540</v>
      </c>
      <c r="D1582" t="s">
        <v>6061</v>
      </c>
      <c r="E1582" t="s">
        <v>49</v>
      </c>
      <c r="F1582">
        <v>5</v>
      </c>
      <c r="G1582">
        <v>0.64807265995330521</v>
      </c>
      <c r="H1582" t="s">
        <v>91</v>
      </c>
      <c r="I1582">
        <v>0</v>
      </c>
      <c r="J1582">
        <v>0</v>
      </c>
      <c r="K1582">
        <v>0</v>
      </c>
    </row>
    <row r="1583" spans="1:11" x14ac:dyDescent="0.2">
      <c r="A1583" t="s">
        <v>16</v>
      </c>
      <c r="B1583" t="s">
        <v>599</v>
      </c>
      <c r="C1583">
        <v>180</v>
      </c>
      <c r="D1583" t="s">
        <v>6060</v>
      </c>
      <c r="E1583" t="s">
        <v>49</v>
      </c>
      <c r="F1583">
        <v>5</v>
      </c>
      <c r="G1583">
        <v>0.21602421998443508</v>
      </c>
      <c r="H1583" t="s">
        <v>98</v>
      </c>
      <c r="I1583">
        <v>0</v>
      </c>
      <c r="J1583">
        <v>0</v>
      </c>
      <c r="K1583">
        <v>0</v>
      </c>
    </row>
    <row r="1584" spans="1:11" x14ac:dyDescent="0.2">
      <c r="A1584" t="s">
        <v>16</v>
      </c>
      <c r="B1584" t="s">
        <v>599</v>
      </c>
      <c r="C1584">
        <v>540</v>
      </c>
      <c r="D1584" t="s">
        <v>6056</v>
      </c>
      <c r="E1584" t="s">
        <v>49</v>
      </c>
      <c r="F1584">
        <v>5</v>
      </c>
      <c r="G1584">
        <v>0.64807265995330521</v>
      </c>
      <c r="H1584" t="s">
        <v>96</v>
      </c>
      <c r="I1584">
        <v>0</v>
      </c>
      <c r="J1584">
        <v>0</v>
      </c>
      <c r="K1584">
        <v>0</v>
      </c>
    </row>
    <row r="1585" spans="1:11" x14ac:dyDescent="0.2">
      <c r="A1585" t="s">
        <v>16</v>
      </c>
      <c r="B1585" t="s">
        <v>599</v>
      </c>
      <c r="C1585">
        <v>540</v>
      </c>
      <c r="D1585" t="s">
        <v>6055</v>
      </c>
      <c r="E1585" t="s">
        <v>49</v>
      </c>
      <c r="F1585">
        <v>5</v>
      </c>
      <c r="G1585">
        <v>0.64807265995330521</v>
      </c>
      <c r="H1585" t="s">
        <v>98</v>
      </c>
      <c r="I1585">
        <v>0</v>
      </c>
      <c r="J1585">
        <v>0</v>
      </c>
      <c r="K1585">
        <v>0</v>
      </c>
    </row>
    <row r="1586" spans="1:11" x14ac:dyDescent="0.2">
      <c r="A1586" t="s">
        <v>16</v>
      </c>
      <c r="B1586" t="s">
        <v>599</v>
      </c>
      <c r="C1586">
        <v>540</v>
      </c>
      <c r="D1586" t="s">
        <v>6059</v>
      </c>
      <c r="E1586" t="s">
        <v>49</v>
      </c>
      <c r="F1586">
        <v>5</v>
      </c>
      <c r="G1586">
        <v>0.64807265995330521</v>
      </c>
      <c r="H1586" t="s">
        <v>94</v>
      </c>
      <c r="I1586">
        <v>0</v>
      </c>
      <c r="J1586">
        <v>0</v>
      </c>
      <c r="K1586">
        <v>0</v>
      </c>
    </row>
    <row r="1587" spans="1:11" x14ac:dyDescent="0.2">
      <c r="A1587" t="s">
        <v>16</v>
      </c>
      <c r="B1587" t="s">
        <v>603</v>
      </c>
      <c r="C1587">
        <v>540</v>
      </c>
      <c r="D1587" t="s">
        <v>6078</v>
      </c>
      <c r="E1587" t="s">
        <v>49</v>
      </c>
      <c r="F1587">
        <v>5</v>
      </c>
      <c r="G1587">
        <v>0.6769916428402224</v>
      </c>
      <c r="H1587" t="s">
        <v>88</v>
      </c>
      <c r="I1587">
        <v>0</v>
      </c>
      <c r="J1587">
        <v>0</v>
      </c>
      <c r="K1587">
        <v>0</v>
      </c>
    </row>
    <row r="1588" spans="1:11" x14ac:dyDescent="0.2">
      <c r="A1588" t="s">
        <v>16</v>
      </c>
      <c r="B1588" t="s">
        <v>603</v>
      </c>
      <c r="C1588">
        <v>540</v>
      </c>
      <c r="D1588" t="s">
        <v>6071</v>
      </c>
      <c r="E1588" t="s">
        <v>49</v>
      </c>
      <c r="F1588">
        <v>5</v>
      </c>
      <c r="G1588">
        <v>0.6769916428402224</v>
      </c>
      <c r="H1588" t="s">
        <v>100</v>
      </c>
      <c r="I1588">
        <v>0</v>
      </c>
      <c r="J1588">
        <v>0</v>
      </c>
      <c r="K1588">
        <v>0</v>
      </c>
    </row>
    <row r="1589" spans="1:11" x14ac:dyDescent="0.2">
      <c r="A1589" t="s">
        <v>16</v>
      </c>
      <c r="B1589" t="s">
        <v>603</v>
      </c>
      <c r="C1589">
        <v>540</v>
      </c>
      <c r="D1589" t="s">
        <v>6070</v>
      </c>
      <c r="E1589" t="s">
        <v>49</v>
      </c>
      <c r="F1589">
        <v>5</v>
      </c>
      <c r="G1589">
        <v>0.6769916428402224</v>
      </c>
      <c r="H1589" t="s">
        <v>84</v>
      </c>
      <c r="I1589">
        <v>0</v>
      </c>
      <c r="J1589">
        <v>0</v>
      </c>
      <c r="K1589">
        <v>0</v>
      </c>
    </row>
    <row r="1590" spans="1:11" x14ac:dyDescent="0.2">
      <c r="A1590" t="s">
        <v>16</v>
      </c>
      <c r="B1590" t="s">
        <v>603</v>
      </c>
      <c r="C1590">
        <v>540</v>
      </c>
      <c r="D1590" t="s">
        <v>6085</v>
      </c>
      <c r="E1590" t="s">
        <v>49</v>
      </c>
      <c r="F1590">
        <v>5</v>
      </c>
      <c r="G1590">
        <v>0.6769916428402224</v>
      </c>
      <c r="H1590" t="s">
        <v>88</v>
      </c>
      <c r="I1590">
        <v>0</v>
      </c>
      <c r="J1590">
        <v>0</v>
      </c>
      <c r="K1590">
        <v>0</v>
      </c>
    </row>
    <row r="1591" spans="1:11" x14ac:dyDescent="0.2">
      <c r="A1591" t="s">
        <v>16</v>
      </c>
      <c r="B1591" t="s">
        <v>603</v>
      </c>
      <c r="C1591">
        <v>540</v>
      </c>
      <c r="D1591" t="s">
        <v>6076</v>
      </c>
      <c r="E1591" t="s">
        <v>49</v>
      </c>
      <c r="F1591">
        <v>5</v>
      </c>
      <c r="G1591">
        <v>0.6769916428402224</v>
      </c>
      <c r="H1591" t="s">
        <v>91</v>
      </c>
      <c r="I1591">
        <v>0</v>
      </c>
      <c r="J1591">
        <v>0</v>
      </c>
      <c r="K1591">
        <v>0</v>
      </c>
    </row>
    <row r="1592" spans="1:11" x14ac:dyDescent="0.2">
      <c r="A1592" t="s">
        <v>16</v>
      </c>
      <c r="B1592" t="s">
        <v>603</v>
      </c>
      <c r="C1592">
        <v>540</v>
      </c>
      <c r="D1592" t="s">
        <v>6081</v>
      </c>
      <c r="E1592" t="s">
        <v>49</v>
      </c>
      <c r="F1592">
        <v>5</v>
      </c>
      <c r="G1592">
        <v>0.6769916428402224</v>
      </c>
      <c r="H1592" t="s">
        <v>100</v>
      </c>
      <c r="I1592">
        <v>0</v>
      </c>
      <c r="J1592">
        <v>0</v>
      </c>
      <c r="K1592">
        <v>0</v>
      </c>
    </row>
    <row r="1593" spans="1:11" x14ac:dyDescent="0.2">
      <c r="A1593" t="s">
        <v>16</v>
      </c>
      <c r="B1593" t="s">
        <v>603</v>
      </c>
      <c r="C1593">
        <v>540</v>
      </c>
      <c r="D1593" t="s">
        <v>6073</v>
      </c>
      <c r="E1593" t="s">
        <v>49</v>
      </c>
      <c r="F1593">
        <v>5</v>
      </c>
      <c r="G1593">
        <v>0.6769916428402224</v>
      </c>
      <c r="H1593" t="s">
        <v>96</v>
      </c>
      <c r="I1593">
        <v>0</v>
      </c>
      <c r="J1593">
        <v>0</v>
      </c>
      <c r="K1593">
        <v>0</v>
      </c>
    </row>
    <row r="1594" spans="1:11" x14ac:dyDescent="0.2">
      <c r="A1594" t="s">
        <v>16</v>
      </c>
      <c r="B1594" t="s">
        <v>603</v>
      </c>
      <c r="C1594">
        <v>540</v>
      </c>
      <c r="D1594" t="s">
        <v>6083</v>
      </c>
      <c r="E1594" t="s">
        <v>49</v>
      </c>
      <c r="F1594">
        <v>5</v>
      </c>
      <c r="G1594">
        <v>0.6769916428402224</v>
      </c>
      <c r="H1594" t="s">
        <v>84</v>
      </c>
      <c r="I1594">
        <v>0</v>
      </c>
      <c r="J1594">
        <v>0</v>
      </c>
      <c r="K1594">
        <v>0</v>
      </c>
    </row>
    <row r="1595" spans="1:11" x14ac:dyDescent="0.2">
      <c r="A1595" t="s">
        <v>16</v>
      </c>
      <c r="B1595" t="s">
        <v>603</v>
      </c>
      <c r="C1595">
        <v>540</v>
      </c>
      <c r="D1595" t="s">
        <v>6074</v>
      </c>
      <c r="E1595" t="s">
        <v>49</v>
      </c>
      <c r="F1595">
        <v>5</v>
      </c>
      <c r="G1595">
        <v>0.6769916428402224</v>
      </c>
      <c r="H1595" t="s">
        <v>88</v>
      </c>
      <c r="I1595">
        <v>0</v>
      </c>
      <c r="J1595">
        <v>0</v>
      </c>
      <c r="K1595">
        <v>0</v>
      </c>
    </row>
    <row r="1596" spans="1:11" x14ac:dyDescent="0.2">
      <c r="A1596" t="s">
        <v>16</v>
      </c>
      <c r="B1596" t="s">
        <v>603</v>
      </c>
      <c r="C1596">
        <v>540</v>
      </c>
      <c r="D1596" t="s">
        <v>6072</v>
      </c>
      <c r="E1596" t="s">
        <v>49</v>
      </c>
      <c r="F1596">
        <v>5</v>
      </c>
      <c r="G1596">
        <v>0.6769916428402224</v>
      </c>
      <c r="H1596" t="s">
        <v>91</v>
      </c>
      <c r="I1596">
        <v>0</v>
      </c>
      <c r="J1596">
        <v>0</v>
      </c>
      <c r="K1596">
        <v>0</v>
      </c>
    </row>
    <row r="1597" spans="1:11" x14ac:dyDescent="0.2">
      <c r="A1597" t="s">
        <v>16</v>
      </c>
      <c r="B1597" t="s">
        <v>603</v>
      </c>
      <c r="C1597">
        <v>540</v>
      </c>
      <c r="D1597" t="s">
        <v>6075</v>
      </c>
      <c r="E1597" t="s">
        <v>49</v>
      </c>
      <c r="F1597">
        <v>5</v>
      </c>
      <c r="G1597">
        <v>0.6769916428402224</v>
      </c>
      <c r="H1597" t="s">
        <v>100</v>
      </c>
      <c r="I1597">
        <v>0</v>
      </c>
      <c r="J1597">
        <v>0</v>
      </c>
      <c r="K1597">
        <v>0</v>
      </c>
    </row>
    <row r="1598" spans="1:11" x14ac:dyDescent="0.2">
      <c r="A1598" t="s">
        <v>16</v>
      </c>
      <c r="B1598" t="s">
        <v>603</v>
      </c>
      <c r="C1598">
        <v>540</v>
      </c>
      <c r="D1598" t="s">
        <v>6086</v>
      </c>
      <c r="E1598" t="s">
        <v>49</v>
      </c>
      <c r="F1598">
        <v>5</v>
      </c>
      <c r="G1598">
        <v>0.6769916428402224</v>
      </c>
      <c r="H1598" t="s">
        <v>96</v>
      </c>
      <c r="I1598">
        <v>0</v>
      </c>
      <c r="J1598">
        <v>0</v>
      </c>
      <c r="K1598">
        <v>0</v>
      </c>
    </row>
    <row r="1599" spans="1:11" x14ac:dyDescent="0.2">
      <c r="A1599" t="s">
        <v>16</v>
      </c>
      <c r="B1599" t="s">
        <v>603</v>
      </c>
      <c r="C1599">
        <v>540</v>
      </c>
      <c r="D1599" t="s">
        <v>6087</v>
      </c>
      <c r="E1599" t="s">
        <v>49</v>
      </c>
      <c r="F1599">
        <v>5</v>
      </c>
      <c r="G1599">
        <v>0.6769916428402224</v>
      </c>
      <c r="H1599" t="s">
        <v>84</v>
      </c>
      <c r="I1599">
        <v>0</v>
      </c>
      <c r="J1599">
        <v>0</v>
      </c>
      <c r="K1599">
        <v>0</v>
      </c>
    </row>
    <row r="1600" spans="1:11" x14ac:dyDescent="0.2">
      <c r="A1600" t="s">
        <v>16</v>
      </c>
      <c r="B1600" t="s">
        <v>603</v>
      </c>
      <c r="C1600">
        <v>540</v>
      </c>
      <c r="D1600" t="s">
        <v>6077</v>
      </c>
      <c r="E1600" t="s">
        <v>49</v>
      </c>
      <c r="F1600">
        <v>5</v>
      </c>
      <c r="G1600">
        <v>0.6769916428402224</v>
      </c>
      <c r="H1600" t="s">
        <v>88</v>
      </c>
      <c r="I1600">
        <v>0</v>
      </c>
      <c r="J1600">
        <v>0</v>
      </c>
      <c r="K1600">
        <v>0</v>
      </c>
    </row>
    <row r="1601" spans="1:11" x14ac:dyDescent="0.2">
      <c r="A1601" t="s">
        <v>16</v>
      </c>
      <c r="B1601" t="s">
        <v>603</v>
      </c>
      <c r="C1601">
        <v>540</v>
      </c>
      <c r="D1601" t="s">
        <v>6080</v>
      </c>
      <c r="E1601" t="s">
        <v>49</v>
      </c>
      <c r="F1601">
        <v>5</v>
      </c>
      <c r="G1601">
        <v>0.6769916428402224</v>
      </c>
      <c r="H1601" t="s">
        <v>91</v>
      </c>
      <c r="I1601">
        <v>0</v>
      </c>
      <c r="J1601">
        <v>0</v>
      </c>
      <c r="K1601">
        <v>0</v>
      </c>
    </row>
    <row r="1602" spans="1:11" x14ac:dyDescent="0.2">
      <c r="A1602" t="s">
        <v>16</v>
      </c>
      <c r="B1602" t="s">
        <v>603</v>
      </c>
      <c r="C1602">
        <v>540</v>
      </c>
      <c r="D1602" t="s">
        <v>6082</v>
      </c>
      <c r="E1602" t="s">
        <v>49</v>
      </c>
      <c r="F1602">
        <v>5</v>
      </c>
      <c r="G1602">
        <v>0.6769916428402224</v>
      </c>
      <c r="H1602" t="s">
        <v>100</v>
      </c>
      <c r="I1602">
        <v>0</v>
      </c>
      <c r="J1602">
        <v>0</v>
      </c>
      <c r="K1602">
        <v>0</v>
      </c>
    </row>
    <row r="1603" spans="1:11" x14ac:dyDescent="0.2">
      <c r="A1603" t="s">
        <v>16</v>
      </c>
      <c r="B1603" t="s">
        <v>603</v>
      </c>
      <c r="C1603">
        <v>540</v>
      </c>
      <c r="D1603" t="s">
        <v>6068</v>
      </c>
      <c r="E1603" t="s">
        <v>49</v>
      </c>
      <c r="F1603">
        <v>5</v>
      </c>
      <c r="G1603">
        <v>0.6769916428402224</v>
      </c>
      <c r="H1603" t="s">
        <v>96</v>
      </c>
      <c r="I1603">
        <v>0</v>
      </c>
      <c r="J1603">
        <v>0</v>
      </c>
      <c r="K1603">
        <v>0</v>
      </c>
    </row>
    <row r="1604" spans="1:11" x14ac:dyDescent="0.2">
      <c r="A1604" t="s">
        <v>16</v>
      </c>
      <c r="B1604" t="s">
        <v>603</v>
      </c>
      <c r="C1604">
        <v>540</v>
      </c>
      <c r="D1604" t="s">
        <v>6079</v>
      </c>
      <c r="E1604" t="s">
        <v>49</v>
      </c>
      <c r="F1604">
        <v>5</v>
      </c>
      <c r="G1604">
        <v>0.6769916428402224</v>
      </c>
      <c r="H1604" t="s">
        <v>84</v>
      </c>
      <c r="I1604">
        <v>0</v>
      </c>
      <c r="J1604">
        <v>0</v>
      </c>
      <c r="K1604">
        <v>0</v>
      </c>
    </row>
    <row r="1605" spans="1:11" x14ac:dyDescent="0.2">
      <c r="A1605" t="s">
        <v>16</v>
      </c>
      <c r="B1605" t="s">
        <v>603</v>
      </c>
      <c r="C1605">
        <v>540</v>
      </c>
      <c r="D1605" t="s">
        <v>6067</v>
      </c>
      <c r="E1605" t="s">
        <v>49</v>
      </c>
      <c r="F1605">
        <v>5</v>
      </c>
      <c r="G1605">
        <v>0.6769916428402224</v>
      </c>
      <c r="H1605" t="s">
        <v>88</v>
      </c>
      <c r="I1605">
        <v>0</v>
      </c>
      <c r="J1605">
        <v>0</v>
      </c>
      <c r="K1605">
        <v>0</v>
      </c>
    </row>
    <row r="1606" spans="1:11" x14ac:dyDescent="0.2">
      <c r="A1606" t="s">
        <v>16</v>
      </c>
      <c r="B1606" t="s">
        <v>603</v>
      </c>
      <c r="C1606">
        <v>180</v>
      </c>
      <c r="D1606" t="s">
        <v>6084</v>
      </c>
      <c r="E1606" t="s">
        <v>49</v>
      </c>
      <c r="F1606">
        <v>5</v>
      </c>
      <c r="G1606">
        <v>0.22566388094674081</v>
      </c>
      <c r="H1606" t="s">
        <v>91</v>
      </c>
      <c r="I1606">
        <v>0</v>
      </c>
      <c r="J1606">
        <v>0</v>
      </c>
      <c r="K1606">
        <v>0</v>
      </c>
    </row>
    <row r="1607" spans="1:11" x14ac:dyDescent="0.2">
      <c r="A1607" t="s">
        <v>16</v>
      </c>
      <c r="B1607" t="s">
        <v>603</v>
      </c>
      <c r="C1607">
        <v>540</v>
      </c>
      <c r="D1607" t="s">
        <v>6069</v>
      </c>
      <c r="E1607" t="s">
        <v>49</v>
      </c>
      <c r="F1607">
        <v>5</v>
      </c>
      <c r="G1607">
        <v>0.6769916428402224</v>
      </c>
      <c r="H1607" t="s">
        <v>91</v>
      </c>
      <c r="I1607">
        <v>0</v>
      </c>
      <c r="J1607">
        <v>0</v>
      </c>
      <c r="K1607">
        <v>0</v>
      </c>
    </row>
    <row r="1608" spans="1:11" x14ac:dyDescent="0.2">
      <c r="A1608" t="s">
        <v>16</v>
      </c>
      <c r="B1608" t="s">
        <v>1228</v>
      </c>
      <c r="C1608">
        <v>300</v>
      </c>
      <c r="D1608" t="s">
        <v>6095</v>
      </c>
      <c r="E1608" t="s">
        <v>49</v>
      </c>
      <c r="F1608">
        <v>9</v>
      </c>
      <c r="G1608">
        <v>0.18572599929593422</v>
      </c>
      <c r="H1608" t="s">
        <v>98</v>
      </c>
      <c r="I1608">
        <v>0</v>
      </c>
      <c r="J1608">
        <v>0</v>
      </c>
      <c r="K1608">
        <v>0</v>
      </c>
    </row>
    <row r="1609" spans="1:11" x14ac:dyDescent="0.2">
      <c r="A1609" t="s">
        <v>16</v>
      </c>
      <c r="B1609" t="s">
        <v>1228</v>
      </c>
      <c r="C1609">
        <v>200</v>
      </c>
      <c r="D1609" t="s">
        <v>6094</v>
      </c>
      <c r="E1609" t="s">
        <v>49</v>
      </c>
      <c r="F1609">
        <v>9</v>
      </c>
      <c r="G1609">
        <v>0.12381733286395614</v>
      </c>
      <c r="H1609" t="s">
        <v>94</v>
      </c>
      <c r="I1609">
        <v>0</v>
      </c>
      <c r="J1609">
        <v>0</v>
      </c>
      <c r="K1609">
        <v>0</v>
      </c>
    </row>
    <row r="1610" spans="1:11" x14ac:dyDescent="0.2">
      <c r="A1610" t="s">
        <v>16</v>
      </c>
      <c r="B1610" t="s">
        <v>1228</v>
      </c>
      <c r="C1610">
        <v>300</v>
      </c>
      <c r="D1610" t="s">
        <v>6091</v>
      </c>
      <c r="E1610" t="s">
        <v>49</v>
      </c>
      <c r="F1610">
        <v>9</v>
      </c>
      <c r="G1610">
        <v>0.18572599929593422</v>
      </c>
      <c r="H1610" t="s">
        <v>98</v>
      </c>
      <c r="I1610">
        <v>0</v>
      </c>
      <c r="J1610">
        <v>0</v>
      </c>
      <c r="K1610">
        <v>0</v>
      </c>
    </row>
    <row r="1611" spans="1:11" x14ac:dyDescent="0.2">
      <c r="A1611" t="s">
        <v>16</v>
      </c>
      <c r="B1611" t="s">
        <v>1228</v>
      </c>
      <c r="C1611">
        <v>300</v>
      </c>
      <c r="D1611" t="s">
        <v>6092</v>
      </c>
      <c r="E1611" t="s">
        <v>49</v>
      </c>
      <c r="F1611">
        <v>9</v>
      </c>
      <c r="G1611">
        <v>0.18572599929593422</v>
      </c>
      <c r="H1611" t="s">
        <v>94</v>
      </c>
      <c r="I1611">
        <v>0</v>
      </c>
      <c r="J1611">
        <v>0</v>
      </c>
      <c r="K1611">
        <v>0</v>
      </c>
    </row>
    <row r="1612" spans="1:11" x14ac:dyDescent="0.2">
      <c r="A1612" t="s">
        <v>16</v>
      </c>
      <c r="B1612" t="s">
        <v>1228</v>
      </c>
      <c r="C1612">
        <v>300</v>
      </c>
      <c r="D1612" t="s">
        <v>6090</v>
      </c>
      <c r="E1612" t="s">
        <v>49</v>
      </c>
      <c r="F1612">
        <v>9</v>
      </c>
      <c r="G1612">
        <v>0.18572599929593422</v>
      </c>
      <c r="H1612" t="s">
        <v>98</v>
      </c>
      <c r="I1612">
        <v>0</v>
      </c>
      <c r="J1612">
        <v>0</v>
      </c>
      <c r="K1612">
        <v>0</v>
      </c>
    </row>
    <row r="1613" spans="1:11" x14ac:dyDescent="0.2">
      <c r="A1613" t="s">
        <v>16</v>
      </c>
      <c r="B1613" t="s">
        <v>1228</v>
      </c>
      <c r="C1613">
        <v>300</v>
      </c>
      <c r="D1613" t="s">
        <v>6093</v>
      </c>
      <c r="E1613" t="s">
        <v>49</v>
      </c>
      <c r="F1613">
        <v>9</v>
      </c>
      <c r="G1613">
        <v>0.18572599929593422</v>
      </c>
      <c r="H1613" t="s">
        <v>94</v>
      </c>
      <c r="I1613">
        <v>0</v>
      </c>
      <c r="J1613">
        <v>0</v>
      </c>
      <c r="K1613">
        <v>0</v>
      </c>
    </row>
    <row r="1614" spans="1:11" x14ac:dyDescent="0.2">
      <c r="A1614" t="s">
        <v>16</v>
      </c>
      <c r="B1614" t="s">
        <v>1228</v>
      </c>
      <c r="C1614">
        <v>300</v>
      </c>
      <c r="D1614" t="s">
        <v>6098</v>
      </c>
      <c r="E1614" t="s">
        <v>49</v>
      </c>
      <c r="F1614">
        <v>9</v>
      </c>
      <c r="G1614">
        <v>0.18572599929593422</v>
      </c>
      <c r="H1614" t="s">
        <v>98</v>
      </c>
      <c r="I1614">
        <v>0</v>
      </c>
      <c r="J1614">
        <v>0</v>
      </c>
      <c r="K1614">
        <v>0</v>
      </c>
    </row>
    <row r="1615" spans="1:11" x14ac:dyDescent="0.2">
      <c r="A1615" t="s">
        <v>16</v>
      </c>
      <c r="B1615" t="s">
        <v>1228</v>
      </c>
      <c r="C1615">
        <v>300</v>
      </c>
      <c r="D1615" t="s">
        <v>6096</v>
      </c>
      <c r="E1615" t="s">
        <v>49</v>
      </c>
      <c r="F1615">
        <v>9</v>
      </c>
      <c r="G1615">
        <v>0.18572599929593422</v>
      </c>
      <c r="H1615" t="s">
        <v>94</v>
      </c>
      <c r="I1615">
        <v>0</v>
      </c>
      <c r="J1615">
        <v>0</v>
      </c>
      <c r="K1615">
        <v>0</v>
      </c>
    </row>
    <row r="1616" spans="1:11" x14ac:dyDescent="0.2">
      <c r="A1616" t="s">
        <v>16</v>
      </c>
      <c r="B1616" t="s">
        <v>1228</v>
      </c>
      <c r="C1616">
        <v>300</v>
      </c>
      <c r="D1616" t="s">
        <v>6089</v>
      </c>
      <c r="E1616" t="s">
        <v>49</v>
      </c>
      <c r="F1616">
        <v>9</v>
      </c>
      <c r="G1616">
        <v>0.18572599929593422</v>
      </c>
      <c r="H1616" t="s">
        <v>101</v>
      </c>
      <c r="I1616">
        <v>0</v>
      </c>
      <c r="J1616">
        <v>0</v>
      </c>
      <c r="K1616">
        <v>0</v>
      </c>
    </row>
    <row r="1617" spans="1:11" x14ac:dyDescent="0.2">
      <c r="A1617" t="s">
        <v>16</v>
      </c>
      <c r="B1617" t="s">
        <v>1228</v>
      </c>
      <c r="C1617">
        <v>300</v>
      </c>
      <c r="D1617" t="s">
        <v>6097</v>
      </c>
      <c r="E1617" t="s">
        <v>49</v>
      </c>
      <c r="F1617">
        <v>9</v>
      </c>
      <c r="G1617">
        <v>0.18572599929593422</v>
      </c>
      <c r="H1617" t="s">
        <v>98</v>
      </c>
      <c r="I1617">
        <v>0</v>
      </c>
      <c r="J1617">
        <v>0</v>
      </c>
      <c r="K1617">
        <v>0</v>
      </c>
    </row>
    <row r="1618" spans="1:11" x14ac:dyDescent="0.2">
      <c r="A1618" t="s">
        <v>16</v>
      </c>
      <c r="B1618" t="s">
        <v>1228</v>
      </c>
      <c r="C1618">
        <v>300</v>
      </c>
      <c r="D1618" t="s">
        <v>6088</v>
      </c>
      <c r="E1618" t="s">
        <v>49</v>
      </c>
      <c r="F1618">
        <v>9</v>
      </c>
      <c r="G1618">
        <v>0.18572599929593422</v>
      </c>
      <c r="H1618" t="s">
        <v>94</v>
      </c>
      <c r="I1618">
        <v>0</v>
      </c>
      <c r="J1618">
        <v>0</v>
      </c>
      <c r="K1618">
        <v>0</v>
      </c>
    </row>
    <row r="1619" spans="1:11" x14ac:dyDescent="0.2">
      <c r="A1619" t="s">
        <v>16</v>
      </c>
      <c r="B1619" t="s">
        <v>1229</v>
      </c>
      <c r="C1619">
        <v>600</v>
      </c>
      <c r="D1619" t="s">
        <v>6104</v>
      </c>
      <c r="E1619" t="s">
        <v>49</v>
      </c>
      <c r="F1619">
        <v>9</v>
      </c>
      <c r="G1619">
        <v>0.323327998122586</v>
      </c>
      <c r="H1619" t="s">
        <v>99</v>
      </c>
      <c r="I1619">
        <v>0</v>
      </c>
      <c r="J1619">
        <v>0</v>
      </c>
      <c r="K1619">
        <v>0</v>
      </c>
    </row>
    <row r="1620" spans="1:11" x14ac:dyDescent="0.2">
      <c r="A1620" t="s">
        <v>16</v>
      </c>
      <c r="B1620" t="s">
        <v>1229</v>
      </c>
      <c r="C1620">
        <v>600</v>
      </c>
      <c r="D1620" t="s">
        <v>6103</v>
      </c>
      <c r="E1620" t="s">
        <v>49</v>
      </c>
      <c r="F1620">
        <v>9</v>
      </c>
      <c r="G1620">
        <v>0.323327998122586</v>
      </c>
      <c r="H1620" t="s">
        <v>101</v>
      </c>
      <c r="I1620">
        <v>0</v>
      </c>
      <c r="J1620">
        <v>0</v>
      </c>
      <c r="K1620">
        <v>0</v>
      </c>
    </row>
    <row r="1621" spans="1:11" x14ac:dyDescent="0.2">
      <c r="A1621" t="s">
        <v>16</v>
      </c>
      <c r="B1621" t="s">
        <v>1229</v>
      </c>
      <c r="C1621">
        <v>600</v>
      </c>
      <c r="D1621" t="s">
        <v>6102</v>
      </c>
      <c r="E1621" t="s">
        <v>49</v>
      </c>
      <c r="F1621">
        <v>9</v>
      </c>
      <c r="G1621">
        <v>0.323327998122586</v>
      </c>
      <c r="H1621" t="s">
        <v>98</v>
      </c>
      <c r="I1621">
        <v>0</v>
      </c>
      <c r="J1621">
        <v>0</v>
      </c>
      <c r="K1621">
        <v>0</v>
      </c>
    </row>
    <row r="1622" spans="1:11" x14ac:dyDescent="0.2">
      <c r="A1622" t="s">
        <v>16</v>
      </c>
      <c r="B1622" t="s">
        <v>1229</v>
      </c>
      <c r="C1622">
        <v>200</v>
      </c>
      <c r="D1622" t="s">
        <v>6099</v>
      </c>
      <c r="E1622" t="s">
        <v>49</v>
      </c>
      <c r="F1622">
        <v>9</v>
      </c>
      <c r="G1622">
        <v>0.10777599937419532</v>
      </c>
      <c r="H1622" t="s">
        <v>94</v>
      </c>
      <c r="I1622">
        <v>0</v>
      </c>
      <c r="J1622">
        <v>0</v>
      </c>
      <c r="K1622">
        <v>0</v>
      </c>
    </row>
    <row r="1623" spans="1:11" x14ac:dyDescent="0.2">
      <c r="A1623" t="s">
        <v>16</v>
      </c>
      <c r="B1623" t="s">
        <v>1229</v>
      </c>
      <c r="C1623">
        <v>200</v>
      </c>
      <c r="D1623" t="s">
        <v>6100</v>
      </c>
      <c r="E1623" t="s">
        <v>49</v>
      </c>
      <c r="F1623">
        <v>9</v>
      </c>
      <c r="G1623">
        <v>0.10777599937419532</v>
      </c>
      <c r="H1623" t="s">
        <v>94</v>
      </c>
      <c r="I1623">
        <v>0</v>
      </c>
      <c r="J1623">
        <v>0</v>
      </c>
      <c r="K1623">
        <v>0</v>
      </c>
    </row>
    <row r="1624" spans="1:11" x14ac:dyDescent="0.2">
      <c r="A1624" t="s">
        <v>16</v>
      </c>
      <c r="B1624" t="s">
        <v>1229</v>
      </c>
      <c r="C1624">
        <v>600</v>
      </c>
      <c r="D1624" t="s">
        <v>6105</v>
      </c>
      <c r="E1624" t="s">
        <v>49</v>
      </c>
      <c r="F1624">
        <v>9</v>
      </c>
      <c r="G1624">
        <v>0.323327998122586</v>
      </c>
      <c r="H1624" t="s">
        <v>99</v>
      </c>
      <c r="I1624">
        <v>0</v>
      </c>
      <c r="J1624">
        <v>0</v>
      </c>
      <c r="K1624">
        <v>0</v>
      </c>
    </row>
    <row r="1625" spans="1:11" x14ac:dyDescent="0.2">
      <c r="A1625" t="s">
        <v>16</v>
      </c>
      <c r="B1625" t="s">
        <v>1229</v>
      </c>
      <c r="C1625">
        <v>600</v>
      </c>
      <c r="D1625" t="s">
        <v>6101</v>
      </c>
      <c r="E1625" t="s">
        <v>49</v>
      </c>
      <c r="F1625">
        <v>9</v>
      </c>
      <c r="G1625">
        <v>0.323327998122586</v>
      </c>
      <c r="H1625" t="s">
        <v>101</v>
      </c>
      <c r="I1625">
        <v>0</v>
      </c>
      <c r="J1625">
        <v>0</v>
      </c>
      <c r="K1625">
        <v>0</v>
      </c>
    </row>
    <row r="1626" spans="1:11" x14ac:dyDescent="0.2">
      <c r="A1626" t="s">
        <v>16</v>
      </c>
      <c r="B1626" t="s">
        <v>602</v>
      </c>
      <c r="C1626">
        <v>540</v>
      </c>
      <c r="D1626" t="s">
        <v>6106</v>
      </c>
      <c r="E1626" t="s">
        <v>49</v>
      </c>
      <c r="F1626">
        <v>5</v>
      </c>
      <c r="G1626">
        <v>0.54158710713790392</v>
      </c>
      <c r="H1626" t="s">
        <v>94</v>
      </c>
      <c r="I1626">
        <v>0</v>
      </c>
      <c r="J1626">
        <v>0</v>
      </c>
      <c r="K1626">
        <v>0</v>
      </c>
    </row>
    <row r="1627" spans="1:11" x14ac:dyDescent="0.2">
      <c r="A1627" t="s">
        <v>16</v>
      </c>
      <c r="B1627" t="s">
        <v>602</v>
      </c>
      <c r="C1627">
        <v>540</v>
      </c>
      <c r="D1627" t="s">
        <v>6109</v>
      </c>
      <c r="E1627" t="s">
        <v>49</v>
      </c>
      <c r="F1627">
        <v>5</v>
      </c>
      <c r="G1627">
        <v>0.54158710713790392</v>
      </c>
      <c r="H1627" t="s">
        <v>98</v>
      </c>
      <c r="I1627">
        <v>0</v>
      </c>
      <c r="J1627">
        <v>0</v>
      </c>
      <c r="K1627">
        <v>0</v>
      </c>
    </row>
    <row r="1628" spans="1:11" x14ac:dyDescent="0.2">
      <c r="A1628" t="s">
        <v>16</v>
      </c>
      <c r="B1628" t="s">
        <v>602</v>
      </c>
      <c r="C1628">
        <v>540</v>
      </c>
      <c r="D1628" t="s">
        <v>6107</v>
      </c>
      <c r="E1628" t="s">
        <v>49</v>
      </c>
      <c r="F1628">
        <v>5</v>
      </c>
      <c r="G1628">
        <v>0.54158710713790392</v>
      </c>
      <c r="H1628" t="s">
        <v>97</v>
      </c>
      <c r="I1628">
        <v>0</v>
      </c>
      <c r="J1628">
        <v>0</v>
      </c>
      <c r="K1628">
        <v>0</v>
      </c>
    </row>
    <row r="1629" spans="1:11" x14ac:dyDescent="0.2">
      <c r="A1629" t="s">
        <v>16</v>
      </c>
      <c r="B1629" t="s">
        <v>602</v>
      </c>
      <c r="C1629">
        <v>540</v>
      </c>
      <c r="D1629" t="s">
        <v>6111</v>
      </c>
      <c r="E1629" t="s">
        <v>49</v>
      </c>
      <c r="F1629">
        <v>5</v>
      </c>
      <c r="G1629">
        <v>0.54158710713790392</v>
      </c>
      <c r="H1629" t="s">
        <v>99</v>
      </c>
      <c r="I1629">
        <v>0</v>
      </c>
      <c r="J1629">
        <v>0</v>
      </c>
      <c r="K1629">
        <v>0</v>
      </c>
    </row>
    <row r="1630" spans="1:11" x14ac:dyDescent="0.2">
      <c r="A1630" t="s">
        <v>16</v>
      </c>
      <c r="B1630" t="s">
        <v>602</v>
      </c>
      <c r="C1630">
        <v>540</v>
      </c>
      <c r="D1630" t="s">
        <v>6113</v>
      </c>
      <c r="E1630" t="s">
        <v>49</v>
      </c>
      <c r="F1630">
        <v>5</v>
      </c>
      <c r="G1630">
        <v>0.54158710713790392</v>
      </c>
      <c r="H1630" t="s">
        <v>101</v>
      </c>
      <c r="I1630">
        <v>0</v>
      </c>
      <c r="J1630">
        <v>0</v>
      </c>
      <c r="K1630">
        <v>0</v>
      </c>
    </row>
    <row r="1631" spans="1:11" x14ac:dyDescent="0.2">
      <c r="A1631" t="s">
        <v>16</v>
      </c>
      <c r="B1631" t="s">
        <v>602</v>
      </c>
      <c r="C1631">
        <v>540</v>
      </c>
      <c r="D1631" t="s">
        <v>6117</v>
      </c>
      <c r="E1631" t="s">
        <v>49</v>
      </c>
      <c r="F1631">
        <v>5</v>
      </c>
      <c r="G1631">
        <v>0.54158710713790392</v>
      </c>
      <c r="H1631" t="s">
        <v>94</v>
      </c>
      <c r="I1631">
        <v>0</v>
      </c>
      <c r="J1631">
        <v>0</v>
      </c>
      <c r="K1631">
        <v>0</v>
      </c>
    </row>
    <row r="1632" spans="1:11" x14ac:dyDescent="0.2">
      <c r="A1632" t="s">
        <v>16</v>
      </c>
      <c r="B1632" t="s">
        <v>602</v>
      </c>
      <c r="C1632">
        <v>540</v>
      </c>
      <c r="D1632" t="s">
        <v>6108</v>
      </c>
      <c r="E1632" t="s">
        <v>49</v>
      </c>
      <c r="F1632">
        <v>5</v>
      </c>
      <c r="G1632">
        <v>0.54158710713790392</v>
      </c>
      <c r="H1632" t="s">
        <v>98</v>
      </c>
      <c r="I1632">
        <v>0</v>
      </c>
      <c r="J1632">
        <v>0</v>
      </c>
      <c r="K1632">
        <v>0</v>
      </c>
    </row>
    <row r="1633" spans="1:11" x14ac:dyDescent="0.2">
      <c r="A1633" t="s">
        <v>16</v>
      </c>
      <c r="B1633" t="s">
        <v>602</v>
      </c>
      <c r="C1633">
        <v>360</v>
      </c>
      <c r="D1633" t="s">
        <v>6116</v>
      </c>
      <c r="E1633" t="s">
        <v>49</v>
      </c>
      <c r="F1633">
        <v>5</v>
      </c>
      <c r="G1633">
        <v>0.36105807142526924</v>
      </c>
      <c r="H1633" t="s">
        <v>97</v>
      </c>
      <c r="I1633">
        <v>0</v>
      </c>
      <c r="J1633">
        <v>0</v>
      </c>
      <c r="K1633">
        <v>0</v>
      </c>
    </row>
    <row r="1634" spans="1:11" x14ac:dyDescent="0.2">
      <c r="A1634" t="s">
        <v>16</v>
      </c>
      <c r="B1634" t="s">
        <v>602</v>
      </c>
      <c r="C1634">
        <v>540</v>
      </c>
      <c r="D1634" t="s">
        <v>6115</v>
      </c>
      <c r="E1634" t="s">
        <v>49</v>
      </c>
      <c r="F1634">
        <v>5</v>
      </c>
      <c r="G1634">
        <v>0.54158710713790392</v>
      </c>
      <c r="H1634" t="s">
        <v>99</v>
      </c>
      <c r="I1634">
        <v>0</v>
      </c>
      <c r="J1634">
        <v>0</v>
      </c>
      <c r="K1634">
        <v>0</v>
      </c>
    </row>
    <row r="1635" spans="1:11" x14ac:dyDescent="0.2">
      <c r="A1635" t="s">
        <v>16</v>
      </c>
      <c r="B1635" t="s">
        <v>602</v>
      </c>
      <c r="C1635">
        <v>540</v>
      </c>
      <c r="D1635" t="s">
        <v>6110</v>
      </c>
      <c r="E1635" t="s">
        <v>49</v>
      </c>
      <c r="F1635">
        <v>5</v>
      </c>
      <c r="G1635">
        <v>0.54158710713790392</v>
      </c>
      <c r="H1635" t="s">
        <v>101</v>
      </c>
      <c r="I1635">
        <v>0</v>
      </c>
      <c r="J1635">
        <v>0</v>
      </c>
      <c r="K1635">
        <v>0</v>
      </c>
    </row>
    <row r="1636" spans="1:11" x14ac:dyDescent="0.2">
      <c r="A1636" t="s">
        <v>16</v>
      </c>
      <c r="B1636" t="s">
        <v>602</v>
      </c>
      <c r="C1636">
        <v>540</v>
      </c>
      <c r="D1636" t="s">
        <v>6114</v>
      </c>
      <c r="E1636" t="s">
        <v>49</v>
      </c>
      <c r="F1636">
        <v>5</v>
      </c>
      <c r="G1636">
        <v>0.54158710713790392</v>
      </c>
      <c r="H1636" t="s">
        <v>94</v>
      </c>
      <c r="I1636">
        <v>0</v>
      </c>
      <c r="J1636">
        <v>0</v>
      </c>
      <c r="K1636">
        <v>0</v>
      </c>
    </row>
    <row r="1637" spans="1:11" x14ac:dyDescent="0.2">
      <c r="A1637" t="s">
        <v>16</v>
      </c>
      <c r="B1637" t="s">
        <v>602</v>
      </c>
      <c r="C1637">
        <v>180</v>
      </c>
      <c r="D1637" t="s">
        <v>6118</v>
      </c>
      <c r="E1637" t="s">
        <v>49</v>
      </c>
      <c r="F1637">
        <v>5</v>
      </c>
      <c r="G1637">
        <v>0.18052903571263462</v>
      </c>
      <c r="H1637" t="s">
        <v>97</v>
      </c>
      <c r="I1637">
        <v>0</v>
      </c>
      <c r="J1637">
        <v>0</v>
      </c>
      <c r="K1637">
        <v>0</v>
      </c>
    </row>
    <row r="1638" spans="1:11" x14ac:dyDescent="0.2">
      <c r="A1638" t="s">
        <v>16</v>
      </c>
      <c r="B1638" t="s">
        <v>602</v>
      </c>
      <c r="C1638">
        <v>540</v>
      </c>
      <c r="D1638" t="s">
        <v>6112</v>
      </c>
      <c r="E1638" t="s">
        <v>49</v>
      </c>
      <c r="F1638">
        <v>5</v>
      </c>
      <c r="G1638">
        <v>0.54158710713790392</v>
      </c>
      <c r="H1638" t="s">
        <v>98</v>
      </c>
      <c r="I1638">
        <v>0</v>
      </c>
      <c r="J1638">
        <v>0</v>
      </c>
      <c r="K1638">
        <v>0</v>
      </c>
    </row>
    <row r="1639" spans="1:11" x14ac:dyDescent="0.2">
      <c r="A1639" t="s">
        <v>16</v>
      </c>
      <c r="B1639" t="s">
        <v>591</v>
      </c>
      <c r="C1639">
        <v>540</v>
      </c>
      <c r="D1639" t="s">
        <v>6128</v>
      </c>
      <c r="E1639" t="s">
        <v>49</v>
      </c>
      <c r="F1639">
        <v>5</v>
      </c>
      <c r="G1639">
        <v>0.65563562661862418</v>
      </c>
      <c r="H1639" t="s">
        <v>103</v>
      </c>
      <c r="I1639">
        <v>0</v>
      </c>
      <c r="J1639">
        <v>0</v>
      </c>
      <c r="K1639">
        <v>0</v>
      </c>
    </row>
    <row r="1640" spans="1:11" x14ac:dyDescent="0.2">
      <c r="A1640" t="s">
        <v>16</v>
      </c>
      <c r="B1640" t="s">
        <v>591</v>
      </c>
      <c r="C1640">
        <v>540</v>
      </c>
      <c r="D1640" t="s">
        <v>6125</v>
      </c>
      <c r="E1640" t="s">
        <v>49</v>
      </c>
      <c r="F1640">
        <v>5</v>
      </c>
      <c r="G1640">
        <v>0.65563562661862418</v>
      </c>
      <c r="H1640" t="s">
        <v>100</v>
      </c>
      <c r="I1640">
        <v>0</v>
      </c>
      <c r="J1640">
        <v>0</v>
      </c>
      <c r="K1640">
        <v>0</v>
      </c>
    </row>
    <row r="1641" spans="1:11" x14ac:dyDescent="0.2">
      <c r="A1641" t="s">
        <v>16</v>
      </c>
      <c r="B1641" t="s">
        <v>591</v>
      </c>
      <c r="C1641">
        <v>540</v>
      </c>
      <c r="D1641" t="s">
        <v>6126</v>
      </c>
      <c r="E1641" t="s">
        <v>49</v>
      </c>
      <c r="F1641">
        <v>5</v>
      </c>
      <c r="G1641">
        <v>0.65563562661862418</v>
      </c>
      <c r="H1641" t="s">
        <v>96</v>
      </c>
      <c r="I1641">
        <v>0</v>
      </c>
      <c r="J1641">
        <v>0</v>
      </c>
      <c r="K1641">
        <v>0</v>
      </c>
    </row>
    <row r="1642" spans="1:11" x14ac:dyDescent="0.2">
      <c r="A1642" t="s">
        <v>16</v>
      </c>
      <c r="B1642" t="s">
        <v>591</v>
      </c>
      <c r="C1642">
        <v>360</v>
      </c>
      <c r="D1642" t="s">
        <v>6127</v>
      </c>
      <c r="E1642" t="s">
        <v>49</v>
      </c>
      <c r="F1642">
        <v>5</v>
      </c>
      <c r="G1642">
        <v>0.43709041774574942</v>
      </c>
      <c r="H1642" t="s">
        <v>89</v>
      </c>
      <c r="I1642">
        <v>0</v>
      </c>
      <c r="J1642">
        <v>0</v>
      </c>
      <c r="K1642">
        <v>0</v>
      </c>
    </row>
    <row r="1643" spans="1:11" x14ac:dyDescent="0.2">
      <c r="A1643" t="s">
        <v>16</v>
      </c>
      <c r="B1643" t="s">
        <v>591</v>
      </c>
      <c r="C1643">
        <v>540</v>
      </c>
      <c r="D1643" t="s">
        <v>6130</v>
      </c>
      <c r="E1643" t="s">
        <v>49</v>
      </c>
      <c r="F1643">
        <v>5</v>
      </c>
      <c r="G1643">
        <v>0.65563562661862418</v>
      </c>
      <c r="H1643" t="s">
        <v>84</v>
      </c>
      <c r="I1643">
        <v>0</v>
      </c>
      <c r="J1643">
        <v>0</v>
      </c>
      <c r="K1643">
        <v>0</v>
      </c>
    </row>
    <row r="1644" spans="1:11" x14ac:dyDescent="0.2">
      <c r="A1644" t="s">
        <v>16</v>
      </c>
      <c r="B1644" t="s">
        <v>591</v>
      </c>
      <c r="C1644">
        <v>540</v>
      </c>
      <c r="D1644" t="s">
        <v>6119</v>
      </c>
      <c r="E1644" t="s">
        <v>49</v>
      </c>
      <c r="F1644">
        <v>5</v>
      </c>
      <c r="G1644">
        <v>0.65563562661862418</v>
      </c>
      <c r="H1644" t="s">
        <v>103</v>
      </c>
      <c r="I1644">
        <v>0</v>
      </c>
      <c r="J1644">
        <v>0</v>
      </c>
      <c r="K1644">
        <v>0</v>
      </c>
    </row>
    <row r="1645" spans="1:11" x14ac:dyDescent="0.2">
      <c r="A1645" t="s">
        <v>16</v>
      </c>
      <c r="B1645" t="s">
        <v>591</v>
      </c>
      <c r="C1645">
        <v>540</v>
      </c>
      <c r="D1645" t="s">
        <v>6124</v>
      </c>
      <c r="E1645" t="s">
        <v>49</v>
      </c>
      <c r="F1645">
        <v>5</v>
      </c>
      <c r="G1645">
        <v>0.65563562661862418</v>
      </c>
      <c r="H1645" t="s">
        <v>89</v>
      </c>
      <c r="I1645">
        <v>0</v>
      </c>
      <c r="J1645">
        <v>0</v>
      </c>
      <c r="K1645">
        <v>0</v>
      </c>
    </row>
    <row r="1646" spans="1:11" x14ac:dyDescent="0.2">
      <c r="A1646" t="s">
        <v>16</v>
      </c>
      <c r="B1646" t="s">
        <v>591</v>
      </c>
      <c r="C1646">
        <v>540</v>
      </c>
      <c r="D1646" t="s">
        <v>6121</v>
      </c>
      <c r="E1646" t="s">
        <v>49</v>
      </c>
      <c r="F1646">
        <v>5</v>
      </c>
      <c r="G1646">
        <v>0.65563562661862418</v>
      </c>
      <c r="H1646" t="s">
        <v>100</v>
      </c>
      <c r="I1646">
        <v>0</v>
      </c>
      <c r="J1646">
        <v>0</v>
      </c>
      <c r="K1646">
        <v>0</v>
      </c>
    </row>
    <row r="1647" spans="1:11" x14ac:dyDescent="0.2">
      <c r="A1647" t="s">
        <v>16</v>
      </c>
      <c r="B1647" t="s">
        <v>591</v>
      </c>
      <c r="C1647">
        <v>540</v>
      </c>
      <c r="D1647" t="s">
        <v>6129</v>
      </c>
      <c r="E1647" t="s">
        <v>49</v>
      </c>
      <c r="F1647">
        <v>5</v>
      </c>
      <c r="G1647">
        <v>0.65563562661862418</v>
      </c>
      <c r="H1647" t="s">
        <v>96</v>
      </c>
      <c r="I1647">
        <v>0</v>
      </c>
      <c r="J1647">
        <v>0</v>
      </c>
      <c r="K1647">
        <v>0</v>
      </c>
    </row>
    <row r="1648" spans="1:11" x14ac:dyDescent="0.2">
      <c r="A1648" t="s">
        <v>16</v>
      </c>
      <c r="B1648" t="s">
        <v>591</v>
      </c>
      <c r="C1648">
        <v>540</v>
      </c>
      <c r="D1648" t="s">
        <v>6120</v>
      </c>
      <c r="E1648" t="s">
        <v>49</v>
      </c>
      <c r="F1648">
        <v>5</v>
      </c>
      <c r="G1648">
        <v>0.65563562661862418</v>
      </c>
      <c r="H1648" t="s">
        <v>84</v>
      </c>
      <c r="I1648">
        <v>0</v>
      </c>
      <c r="J1648">
        <v>0</v>
      </c>
      <c r="K1648">
        <v>0</v>
      </c>
    </row>
    <row r="1649" spans="1:11" x14ac:dyDescent="0.2">
      <c r="A1649" t="s">
        <v>16</v>
      </c>
      <c r="B1649" t="s">
        <v>591</v>
      </c>
      <c r="C1649">
        <v>540</v>
      </c>
      <c r="D1649" t="s">
        <v>6122</v>
      </c>
      <c r="E1649" t="s">
        <v>49</v>
      </c>
      <c r="F1649">
        <v>5</v>
      </c>
      <c r="G1649">
        <v>0.65563562661862418</v>
      </c>
      <c r="H1649" t="s">
        <v>103</v>
      </c>
      <c r="I1649">
        <v>0</v>
      </c>
      <c r="J1649">
        <v>0</v>
      </c>
      <c r="K1649">
        <v>0</v>
      </c>
    </row>
    <row r="1650" spans="1:11" x14ac:dyDescent="0.2">
      <c r="A1650" t="s">
        <v>16</v>
      </c>
      <c r="B1650" t="s">
        <v>591</v>
      </c>
      <c r="C1650">
        <v>540</v>
      </c>
      <c r="D1650" t="s">
        <v>6123</v>
      </c>
      <c r="E1650" t="s">
        <v>49</v>
      </c>
      <c r="F1650">
        <v>5</v>
      </c>
      <c r="G1650">
        <v>0.65563562661862418</v>
      </c>
      <c r="H1650" t="s">
        <v>89</v>
      </c>
      <c r="I1650">
        <v>0</v>
      </c>
      <c r="J1650">
        <v>0</v>
      </c>
      <c r="K1650">
        <v>0</v>
      </c>
    </row>
    <row r="1651" spans="1:11" x14ac:dyDescent="0.2">
      <c r="A1651" t="s">
        <v>16</v>
      </c>
      <c r="B1651" t="s">
        <v>838</v>
      </c>
      <c r="C1651">
        <v>180</v>
      </c>
      <c r="D1651" t="s">
        <v>6131</v>
      </c>
      <c r="E1651" t="s">
        <v>49</v>
      </c>
      <c r="F1651">
        <v>2</v>
      </c>
      <c r="G1651">
        <v>0.14185994901486038</v>
      </c>
      <c r="H1651" t="s">
        <v>88</v>
      </c>
      <c r="I1651">
        <v>0</v>
      </c>
      <c r="J1651">
        <v>0</v>
      </c>
      <c r="K1651">
        <v>0</v>
      </c>
    </row>
    <row r="1652" spans="1:11" x14ac:dyDescent="0.2">
      <c r="A1652" t="s">
        <v>16</v>
      </c>
      <c r="B1652" t="s">
        <v>838</v>
      </c>
      <c r="C1652">
        <v>540</v>
      </c>
      <c r="D1652" t="s">
        <v>6133</v>
      </c>
      <c r="E1652" t="s">
        <v>49</v>
      </c>
      <c r="F1652">
        <v>2</v>
      </c>
      <c r="G1652">
        <v>0.42557984704458107</v>
      </c>
      <c r="H1652" t="s">
        <v>104</v>
      </c>
      <c r="I1652">
        <v>0</v>
      </c>
      <c r="J1652">
        <v>0</v>
      </c>
      <c r="K1652">
        <v>0</v>
      </c>
    </row>
    <row r="1653" spans="1:11" x14ac:dyDescent="0.2">
      <c r="A1653" t="s">
        <v>16</v>
      </c>
      <c r="B1653" t="s">
        <v>838</v>
      </c>
      <c r="C1653">
        <v>180</v>
      </c>
      <c r="D1653" t="s">
        <v>6132</v>
      </c>
      <c r="E1653" t="s">
        <v>49</v>
      </c>
      <c r="F1653">
        <v>2</v>
      </c>
      <c r="G1653">
        <v>0.14185994901486038</v>
      </c>
      <c r="H1653" t="s">
        <v>88</v>
      </c>
      <c r="I1653">
        <v>0</v>
      </c>
      <c r="J1653">
        <v>0</v>
      </c>
      <c r="K1653">
        <v>0</v>
      </c>
    </row>
    <row r="1654" spans="1:11" x14ac:dyDescent="0.2">
      <c r="A1654" t="s">
        <v>16</v>
      </c>
      <c r="B1654" t="s">
        <v>917</v>
      </c>
      <c r="C1654">
        <v>540</v>
      </c>
      <c r="D1654" t="s">
        <v>6134</v>
      </c>
      <c r="E1654" t="s">
        <v>49</v>
      </c>
      <c r="F1654">
        <v>3</v>
      </c>
      <c r="G1654">
        <v>0.63920553459013019</v>
      </c>
      <c r="H1654" t="s">
        <v>97</v>
      </c>
      <c r="I1654">
        <v>0</v>
      </c>
      <c r="J1654">
        <v>0</v>
      </c>
      <c r="K1654">
        <v>0</v>
      </c>
    </row>
    <row r="1655" spans="1:11" x14ac:dyDescent="0.2">
      <c r="A1655" t="s">
        <v>16</v>
      </c>
      <c r="B1655" t="s">
        <v>308</v>
      </c>
      <c r="C1655">
        <v>300</v>
      </c>
      <c r="D1655" t="s">
        <v>6155</v>
      </c>
      <c r="E1655" t="s">
        <v>49</v>
      </c>
      <c r="F1655">
        <v>3</v>
      </c>
      <c r="G1655">
        <v>0.44679666548380148</v>
      </c>
      <c r="H1655" t="s">
        <v>99</v>
      </c>
      <c r="I1655">
        <v>0</v>
      </c>
      <c r="J1655">
        <v>0</v>
      </c>
      <c r="K1655">
        <v>0</v>
      </c>
    </row>
    <row r="1656" spans="1:11" x14ac:dyDescent="0.2">
      <c r="A1656" t="s">
        <v>16</v>
      </c>
      <c r="B1656" t="s">
        <v>308</v>
      </c>
      <c r="C1656">
        <v>300</v>
      </c>
      <c r="D1656" t="s">
        <v>6149</v>
      </c>
      <c r="E1656" t="s">
        <v>49</v>
      </c>
      <c r="F1656">
        <v>3</v>
      </c>
      <c r="G1656">
        <v>0.44679666548380148</v>
      </c>
      <c r="H1656" t="s">
        <v>88</v>
      </c>
      <c r="I1656">
        <v>0</v>
      </c>
      <c r="J1656">
        <v>0</v>
      </c>
      <c r="K1656">
        <v>0</v>
      </c>
    </row>
    <row r="1657" spans="1:11" x14ac:dyDescent="0.2">
      <c r="A1657" t="s">
        <v>16</v>
      </c>
      <c r="B1657" t="s">
        <v>308</v>
      </c>
      <c r="C1657">
        <v>300</v>
      </c>
      <c r="D1657" t="s">
        <v>6148</v>
      </c>
      <c r="E1657" t="s">
        <v>49</v>
      </c>
      <c r="F1657">
        <v>3</v>
      </c>
      <c r="G1657">
        <v>0.44679666548380148</v>
      </c>
      <c r="H1657" t="s">
        <v>91</v>
      </c>
      <c r="I1657">
        <v>0</v>
      </c>
      <c r="J1657">
        <v>0</v>
      </c>
      <c r="K1657">
        <v>0</v>
      </c>
    </row>
    <row r="1658" spans="1:11" x14ac:dyDescent="0.2">
      <c r="A1658" t="s">
        <v>16</v>
      </c>
      <c r="B1658" t="s">
        <v>308</v>
      </c>
      <c r="C1658">
        <v>300</v>
      </c>
      <c r="D1658" t="s">
        <v>6147</v>
      </c>
      <c r="E1658" t="s">
        <v>49</v>
      </c>
      <c r="F1658">
        <v>3</v>
      </c>
      <c r="G1658">
        <v>0.44679666548380148</v>
      </c>
      <c r="H1658" t="s">
        <v>99</v>
      </c>
      <c r="I1658">
        <v>0</v>
      </c>
      <c r="J1658">
        <v>0</v>
      </c>
      <c r="K1658">
        <v>0</v>
      </c>
    </row>
    <row r="1659" spans="1:11" x14ac:dyDescent="0.2">
      <c r="A1659" t="s">
        <v>16</v>
      </c>
      <c r="B1659" t="s">
        <v>308</v>
      </c>
      <c r="C1659">
        <v>300</v>
      </c>
      <c r="D1659" t="s">
        <v>6150</v>
      </c>
      <c r="E1659" t="s">
        <v>49</v>
      </c>
      <c r="F1659">
        <v>3</v>
      </c>
      <c r="G1659">
        <v>0.44679666548380148</v>
      </c>
      <c r="H1659" t="s">
        <v>88</v>
      </c>
      <c r="I1659">
        <v>0</v>
      </c>
      <c r="J1659">
        <v>0</v>
      </c>
      <c r="K1659">
        <v>0</v>
      </c>
    </row>
    <row r="1660" spans="1:11" x14ac:dyDescent="0.2">
      <c r="A1660" t="s">
        <v>16</v>
      </c>
      <c r="B1660" t="s">
        <v>308</v>
      </c>
      <c r="C1660">
        <v>300</v>
      </c>
      <c r="D1660" t="s">
        <v>6146</v>
      </c>
      <c r="E1660" t="s">
        <v>49</v>
      </c>
      <c r="F1660">
        <v>3</v>
      </c>
      <c r="G1660">
        <v>0.44679666548380148</v>
      </c>
      <c r="H1660" t="s">
        <v>91</v>
      </c>
      <c r="I1660">
        <v>0</v>
      </c>
      <c r="J1660">
        <v>0</v>
      </c>
      <c r="K1660">
        <v>0</v>
      </c>
    </row>
    <row r="1661" spans="1:11" x14ac:dyDescent="0.2">
      <c r="A1661" t="s">
        <v>16</v>
      </c>
      <c r="B1661" t="s">
        <v>308</v>
      </c>
      <c r="C1661">
        <v>300</v>
      </c>
      <c r="D1661" t="s">
        <v>6142</v>
      </c>
      <c r="E1661" t="s">
        <v>49</v>
      </c>
      <c r="F1661">
        <v>3</v>
      </c>
      <c r="G1661">
        <v>0.44679666548380148</v>
      </c>
      <c r="H1661" t="s">
        <v>99</v>
      </c>
      <c r="I1661">
        <v>0</v>
      </c>
      <c r="J1661">
        <v>0</v>
      </c>
      <c r="K1661">
        <v>0</v>
      </c>
    </row>
    <row r="1662" spans="1:11" x14ac:dyDescent="0.2">
      <c r="A1662" t="s">
        <v>16</v>
      </c>
      <c r="B1662" t="s">
        <v>308</v>
      </c>
      <c r="C1662">
        <v>300</v>
      </c>
      <c r="D1662" t="s">
        <v>6145</v>
      </c>
      <c r="E1662" t="s">
        <v>49</v>
      </c>
      <c r="F1662">
        <v>3</v>
      </c>
      <c r="G1662">
        <v>0.44679666548380148</v>
      </c>
      <c r="H1662" t="s">
        <v>88</v>
      </c>
      <c r="I1662">
        <v>0</v>
      </c>
      <c r="J1662">
        <v>0</v>
      </c>
      <c r="K1662">
        <v>0</v>
      </c>
    </row>
    <row r="1663" spans="1:11" x14ac:dyDescent="0.2">
      <c r="A1663" t="s">
        <v>16</v>
      </c>
      <c r="B1663" t="s">
        <v>308</v>
      </c>
      <c r="C1663">
        <v>300</v>
      </c>
      <c r="D1663" t="s">
        <v>6136</v>
      </c>
      <c r="E1663" t="s">
        <v>49</v>
      </c>
      <c r="F1663">
        <v>3</v>
      </c>
      <c r="G1663">
        <v>0.44679666548380148</v>
      </c>
      <c r="H1663" t="s">
        <v>91</v>
      </c>
      <c r="I1663">
        <v>0</v>
      </c>
      <c r="J1663">
        <v>0</v>
      </c>
      <c r="K1663">
        <v>0</v>
      </c>
    </row>
    <row r="1664" spans="1:11" x14ac:dyDescent="0.2">
      <c r="A1664" t="s">
        <v>16</v>
      </c>
      <c r="B1664" t="s">
        <v>308</v>
      </c>
      <c r="C1664">
        <v>300</v>
      </c>
      <c r="D1664" t="s">
        <v>6153</v>
      </c>
      <c r="E1664" t="s">
        <v>49</v>
      </c>
      <c r="F1664">
        <v>3</v>
      </c>
      <c r="G1664">
        <v>0.44679666548380148</v>
      </c>
      <c r="H1664" t="s">
        <v>99</v>
      </c>
      <c r="I1664">
        <v>0</v>
      </c>
      <c r="J1664">
        <v>0</v>
      </c>
      <c r="K1664">
        <v>0</v>
      </c>
    </row>
    <row r="1665" spans="1:11" x14ac:dyDescent="0.2">
      <c r="A1665" t="s">
        <v>16</v>
      </c>
      <c r="B1665" t="s">
        <v>308</v>
      </c>
      <c r="C1665">
        <v>300</v>
      </c>
      <c r="D1665" t="s">
        <v>6139</v>
      </c>
      <c r="E1665" t="s">
        <v>49</v>
      </c>
      <c r="F1665">
        <v>3</v>
      </c>
      <c r="G1665">
        <v>0.44679666548380148</v>
      </c>
      <c r="H1665" t="s">
        <v>88</v>
      </c>
      <c r="I1665">
        <v>0</v>
      </c>
      <c r="J1665">
        <v>0</v>
      </c>
      <c r="K1665">
        <v>0</v>
      </c>
    </row>
    <row r="1666" spans="1:11" x14ac:dyDescent="0.2">
      <c r="A1666" t="s">
        <v>16</v>
      </c>
      <c r="B1666" t="s">
        <v>308</v>
      </c>
      <c r="C1666">
        <v>300</v>
      </c>
      <c r="D1666" t="s">
        <v>6140</v>
      </c>
      <c r="E1666" t="s">
        <v>49</v>
      </c>
      <c r="F1666">
        <v>3</v>
      </c>
      <c r="G1666">
        <v>0.44679666548380148</v>
      </c>
      <c r="H1666" t="s">
        <v>91</v>
      </c>
      <c r="I1666">
        <v>0</v>
      </c>
      <c r="J1666">
        <v>0</v>
      </c>
      <c r="K1666">
        <v>0</v>
      </c>
    </row>
    <row r="1667" spans="1:11" x14ac:dyDescent="0.2">
      <c r="A1667" t="s">
        <v>16</v>
      </c>
      <c r="B1667" t="s">
        <v>308</v>
      </c>
      <c r="C1667">
        <v>300</v>
      </c>
      <c r="D1667" t="s">
        <v>6156</v>
      </c>
      <c r="E1667" t="s">
        <v>49</v>
      </c>
      <c r="F1667">
        <v>3</v>
      </c>
      <c r="G1667">
        <v>0.44679666548380148</v>
      </c>
      <c r="H1667" t="s">
        <v>99</v>
      </c>
      <c r="I1667">
        <v>0</v>
      </c>
      <c r="J1667">
        <v>0</v>
      </c>
      <c r="K1667">
        <v>0</v>
      </c>
    </row>
    <row r="1668" spans="1:11" x14ac:dyDescent="0.2">
      <c r="A1668" t="s">
        <v>16</v>
      </c>
      <c r="B1668" t="s">
        <v>308</v>
      </c>
      <c r="C1668">
        <v>300</v>
      </c>
      <c r="D1668" t="s">
        <v>6144</v>
      </c>
      <c r="E1668" t="s">
        <v>49</v>
      </c>
      <c r="F1668">
        <v>3</v>
      </c>
      <c r="G1668">
        <v>0.44679666548380148</v>
      </c>
      <c r="H1668" t="s">
        <v>88</v>
      </c>
      <c r="I1668">
        <v>0</v>
      </c>
      <c r="J1668">
        <v>0</v>
      </c>
      <c r="K1668">
        <v>0</v>
      </c>
    </row>
    <row r="1669" spans="1:11" x14ac:dyDescent="0.2">
      <c r="A1669" t="s">
        <v>16</v>
      </c>
      <c r="B1669" t="s">
        <v>308</v>
      </c>
      <c r="C1669">
        <v>300</v>
      </c>
      <c r="D1669" t="s">
        <v>6137</v>
      </c>
      <c r="E1669" t="s">
        <v>49</v>
      </c>
      <c r="F1669">
        <v>3</v>
      </c>
      <c r="G1669">
        <v>0.44679666548380148</v>
      </c>
      <c r="H1669" t="s">
        <v>91</v>
      </c>
      <c r="I1669">
        <v>0</v>
      </c>
      <c r="J1669">
        <v>0</v>
      </c>
      <c r="K1669">
        <v>0</v>
      </c>
    </row>
    <row r="1670" spans="1:11" x14ac:dyDescent="0.2">
      <c r="A1670" t="s">
        <v>16</v>
      </c>
      <c r="B1670" t="s">
        <v>308</v>
      </c>
      <c r="C1670">
        <v>300</v>
      </c>
      <c r="D1670" t="s">
        <v>6135</v>
      </c>
      <c r="E1670" t="s">
        <v>49</v>
      </c>
      <c r="F1670">
        <v>3</v>
      </c>
      <c r="G1670">
        <v>0.44679666548380148</v>
      </c>
      <c r="H1670" t="s">
        <v>99</v>
      </c>
      <c r="I1670">
        <v>0</v>
      </c>
      <c r="J1670">
        <v>0</v>
      </c>
      <c r="K1670">
        <v>0</v>
      </c>
    </row>
    <row r="1671" spans="1:11" x14ac:dyDescent="0.2">
      <c r="A1671" t="s">
        <v>16</v>
      </c>
      <c r="B1671" t="s">
        <v>308</v>
      </c>
      <c r="C1671">
        <v>300</v>
      </c>
      <c r="D1671" t="s">
        <v>6151</v>
      </c>
      <c r="E1671" t="s">
        <v>49</v>
      </c>
      <c r="F1671">
        <v>3</v>
      </c>
      <c r="G1671">
        <v>0.44679666548380148</v>
      </c>
      <c r="H1671" t="s">
        <v>88</v>
      </c>
      <c r="I1671">
        <v>0</v>
      </c>
      <c r="J1671">
        <v>0</v>
      </c>
      <c r="K1671">
        <v>0</v>
      </c>
    </row>
    <row r="1672" spans="1:11" x14ac:dyDescent="0.2">
      <c r="A1672" t="s">
        <v>16</v>
      </c>
      <c r="B1672" t="s">
        <v>308</v>
      </c>
      <c r="C1672">
        <v>300</v>
      </c>
      <c r="D1672" t="s">
        <v>6143</v>
      </c>
      <c r="E1672" t="s">
        <v>49</v>
      </c>
      <c r="F1672">
        <v>3</v>
      </c>
      <c r="G1672">
        <v>0.44679666548380148</v>
      </c>
      <c r="H1672" t="s">
        <v>91</v>
      </c>
      <c r="I1672">
        <v>0</v>
      </c>
      <c r="J1672">
        <v>0</v>
      </c>
      <c r="K1672">
        <v>0</v>
      </c>
    </row>
    <row r="1673" spans="1:11" x14ac:dyDescent="0.2">
      <c r="A1673" t="s">
        <v>16</v>
      </c>
      <c r="B1673" t="s">
        <v>308</v>
      </c>
      <c r="C1673">
        <v>100</v>
      </c>
      <c r="D1673" t="s">
        <v>6154</v>
      </c>
      <c r="E1673" t="s">
        <v>49</v>
      </c>
      <c r="F1673">
        <v>3</v>
      </c>
      <c r="G1673">
        <v>0.14893222182793384</v>
      </c>
      <c r="H1673" t="s">
        <v>99</v>
      </c>
      <c r="I1673">
        <v>0</v>
      </c>
      <c r="J1673">
        <v>0</v>
      </c>
      <c r="K1673">
        <v>0</v>
      </c>
    </row>
    <row r="1674" spans="1:11" x14ac:dyDescent="0.2">
      <c r="A1674" t="s">
        <v>16</v>
      </c>
      <c r="B1674" t="s">
        <v>308</v>
      </c>
      <c r="C1674">
        <v>300</v>
      </c>
      <c r="D1674" t="s">
        <v>6152</v>
      </c>
      <c r="E1674" t="s">
        <v>49</v>
      </c>
      <c r="F1674">
        <v>3</v>
      </c>
      <c r="G1674">
        <v>0.44679666548380148</v>
      </c>
      <c r="H1674" t="s">
        <v>88</v>
      </c>
      <c r="I1674">
        <v>0</v>
      </c>
      <c r="J1674">
        <v>0</v>
      </c>
      <c r="K1674">
        <v>0</v>
      </c>
    </row>
    <row r="1675" spans="1:11" x14ac:dyDescent="0.2">
      <c r="A1675" t="s">
        <v>16</v>
      </c>
      <c r="B1675" t="s">
        <v>308</v>
      </c>
      <c r="C1675">
        <v>300</v>
      </c>
      <c r="D1675" t="s">
        <v>6138</v>
      </c>
      <c r="E1675" t="s">
        <v>49</v>
      </c>
      <c r="F1675">
        <v>3</v>
      </c>
      <c r="G1675">
        <v>0.44679666548380148</v>
      </c>
      <c r="H1675" t="s">
        <v>91</v>
      </c>
      <c r="I1675">
        <v>0</v>
      </c>
      <c r="J1675">
        <v>0</v>
      </c>
      <c r="K1675">
        <v>0</v>
      </c>
    </row>
    <row r="1676" spans="1:11" x14ac:dyDescent="0.2">
      <c r="A1676" t="s">
        <v>16</v>
      </c>
      <c r="B1676" t="s">
        <v>308</v>
      </c>
      <c r="C1676">
        <v>300</v>
      </c>
      <c r="D1676" t="s">
        <v>6141</v>
      </c>
      <c r="E1676" t="s">
        <v>49</v>
      </c>
      <c r="F1676">
        <v>3</v>
      </c>
      <c r="G1676">
        <v>0.44679666548380148</v>
      </c>
      <c r="H1676" t="s">
        <v>99</v>
      </c>
      <c r="I1676">
        <v>0</v>
      </c>
      <c r="J1676">
        <v>0</v>
      </c>
      <c r="K1676">
        <v>0</v>
      </c>
    </row>
    <row r="1677" spans="1:11" x14ac:dyDescent="0.2">
      <c r="A1677" t="s">
        <v>16</v>
      </c>
      <c r="B1677" t="s">
        <v>457</v>
      </c>
      <c r="C1677">
        <v>690</v>
      </c>
      <c r="D1677" t="s">
        <v>6194</v>
      </c>
      <c r="E1677" t="s">
        <v>49</v>
      </c>
      <c r="F1677">
        <v>4</v>
      </c>
      <c r="G1677">
        <v>0.39167213128443001</v>
      </c>
      <c r="H1677" t="s">
        <v>101</v>
      </c>
      <c r="I1677">
        <v>0</v>
      </c>
      <c r="J1677">
        <v>0</v>
      </c>
      <c r="K1677">
        <v>0</v>
      </c>
    </row>
    <row r="1678" spans="1:11" x14ac:dyDescent="0.2">
      <c r="A1678" t="s">
        <v>16</v>
      </c>
      <c r="B1678" t="s">
        <v>457</v>
      </c>
      <c r="C1678">
        <v>690</v>
      </c>
      <c r="D1678" t="s">
        <v>6170</v>
      </c>
      <c r="E1678" t="s">
        <v>49</v>
      </c>
      <c r="F1678">
        <v>4</v>
      </c>
      <c r="G1678">
        <v>0.39167213128443001</v>
      </c>
      <c r="H1678" t="s">
        <v>104</v>
      </c>
      <c r="I1678">
        <v>0</v>
      </c>
      <c r="J1678">
        <v>0</v>
      </c>
      <c r="K1678">
        <v>0</v>
      </c>
    </row>
    <row r="1679" spans="1:11" x14ac:dyDescent="0.2">
      <c r="A1679" t="s">
        <v>16</v>
      </c>
      <c r="B1679" t="s">
        <v>457</v>
      </c>
      <c r="C1679">
        <v>690</v>
      </c>
      <c r="D1679" t="s">
        <v>6185</v>
      </c>
      <c r="E1679" t="s">
        <v>49</v>
      </c>
      <c r="F1679">
        <v>4</v>
      </c>
      <c r="G1679">
        <v>0.39167213128443001</v>
      </c>
      <c r="H1679" t="s">
        <v>94</v>
      </c>
      <c r="I1679">
        <v>0</v>
      </c>
      <c r="J1679">
        <v>0</v>
      </c>
      <c r="K1679">
        <v>0</v>
      </c>
    </row>
    <row r="1680" spans="1:11" x14ac:dyDescent="0.2">
      <c r="A1680" t="s">
        <v>16</v>
      </c>
      <c r="B1680" t="s">
        <v>457</v>
      </c>
      <c r="C1680">
        <v>690</v>
      </c>
      <c r="D1680" t="s">
        <v>6187</v>
      </c>
      <c r="E1680" t="s">
        <v>49</v>
      </c>
      <c r="F1680">
        <v>4</v>
      </c>
      <c r="G1680">
        <v>0.39167213128443001</v>
      </c>
      <c r="H1680" t="s">
        <v>98</v>
      </c>
      <c r="I1680">
        <v>0</v>
      </c>
      <c r="J1680">
        <v>0</v>
      </c>
      <c r="K1680">
        <v>0</v>
      </c>
    </row>
    <row r="1681" spans="1:11" x14ac:dyDescent="0.2">
      <c r="A1681" t="s">
        <v>16</v>
      </c>
      <c r="B1681" t="s">
        <v>457</v>
      </c>
      <c r="C1681">
        <v>690</v>
      </c>
      <c r="D1681" t="s">
        <v>6180</v>
      </c>
      <c r="E1681" t="s">
        <v>49</v>
      </c>
      <c r="F1681">
        <v>4</v>
      </c>
      <c r="G1681">
        <v>0.39167213128443001</v>
      </c>
      <c r="H1681" t="s">
        <v>101</v>
      </c>
      <c r="I1681">
        <v>0</v>
      </c>
      <c r="J1681">
        <v>0</v>
      </c>
      <c r="K1681">
        <v>0</v>
      </c>
    </row>
    <row r="1682" spans="1:11" x14ac:dyDescent="0.2">
      <c r="A1682" t="s">
        <v>16</v>
      </c>
      <c r="B1682" t="s">
        <v>457</v>
      </c>
      <c r="C1682">
        <v>690</v>
      </c>
      <c r="D1682" t="s">
        <v>6161</v>
      </c>
      <c r="E1682" t="s">
        <v>49</v>
      </c>
      <c r="F1682">
        <v>4</v>
      </c>
      <c r="G1682">
        <v>0.39167213128443001</v>
      </c>
      <c r="H1682" t="s">
        <v>104</v>
      </c>
      <c r="I1682">
        <v>0</v>
      </c>
      <c r="J1682">
        <v>0</v>
      </c>
      <c r="K1682">
        <v>0</v>
      </c>
    </row>
    <row r="1683" spans="1:11" x14ac:dyDescent="0.2">
      <c r="A1683" t="s">
        <v>16</v>
      </c>
      <c r="B1683" t="s">
        <v>457</v>
      </c>
      <c r="C1683">
        <v>690</v>
      </c>
      <c r="D1683" t="s">
        <v>6204</v>
      </c>
      <c r="E1683" t="s">
        <v>49</v>
      </c>
      <c r="F1683">
        <v>4</v>
      </c>
      <c r="G1683">
        <v>0.39167213128443001</v>
      </c>
      <c r="H1683" t="s">
        <v>94</v>
      </c>
      <c r="I1683">
        <v>0</v>
      </c>
      <c r="J1683">
        <v>0</v>
      </c>
      <c r="K1683">
        <v>0</v>
      </c>
    </row>
    <row r="1684" spans="1:11" x14ac:dyDescent="0.2">
      <c r="A1684" t="s">
        <v>16</v>
      </c>
      <c r="B1684" t="s">
        <v>457</v>
      </c>
      <c r="C1684">
        <v>690</v>
      </c>
      <c r="D1684" t="s">
        <v>6207</v>
      </c>
      <c r="E1684" t="s">
        <v>49</v>
      </c>
      <c r="F1684">
        <v>4</v>
      </c>
      <c r="G1684">
        <v>0.39167213128443001</v>
      </c>
      <c r="H1684" t="s">
        <v>98</v>
      </c>
      <c r="I1684">
        <v>0</v>
      </c>
      <c r="J1684">
        <v>0</v>
      </c>
      <c r="K1684">
        <v>0</v>
      </c>
    </row>
    <row r="1685" spans="1:11" x14ac:dyDescent="0.2">
      <c r="A1685" t="s">
        <v>16</v>
      </c>
      <c r="B1685" t="s">
        <v>457</v>
      </c>
      <c r="C1685">
        <v>690</v>
      </c>
      <c r="D1685" t="s">
        <v>6172</v>
      </c>
      <c r="E1685" t="s">
        <v>49</v>
      </c>
      <c r="F1685">
        <v>4</v>
      </c>
      <c r="G1685">
        <v>0.39167213128443001</v>
      </c>
      <c r="H1685" t="s">
        <v>101</v>
      </c>
      <c r="I1685">
        <v>0</v>
      </c>
      <c r="J1685">
        <v>0</v>
      </c>
      <c r="K1685">
        <v>0</v>
      </c>
    </row>
    <row r="1686" spans="1:11" x14ac:dyDescent="0.2">
      <c r="A1686" t="s">
        <v>16</v>
      </c>
      <c r="B1686" t="s">
        <v>457</v>
      </c>
      <c r="C1686">
        <v>690</v>
      </c>
      <c r="D1686" t="s">
        <v>6203</v>
      </c>
      <c r="E1686" t="s">
        <v>49</v>
      </c>
      <c r="F1686">
        <v>4</v>
      </c>
      <c r="G1686">
        <v>0.39167213128443001</v>
      </c>
      <c r="H1686" t="s">
        <v>104</v>
      </c>
      <c r="I1686">
        <v>0</v>
      </c>
      <c r="J1686">
        <v>0</v>
      </c>
      <c r="K1686">
        <v>0</v>
      </c>
    </row>
    <row r="1687" spans="1:11" x14ac:dyDescent="0.2">
      <c r="A1687" t="s">
        <v>16</v>
      </c>
      <c r="B1687" t="s">
        <v>457</v>
      </c>
      <c r="C1687">
        <v>690</v>
      </c>
      <c r="D1687" t="s">
        <v>6202</v>
      </c>
      <c r="E1687" t="s">
        <v>49</v>
      </c>
      <c r="F1687">
        <v>4</v>
      </c>
      <c r="G1687">
        <v>0.39167213128443001</v>
      </c>
      <c r="H1687" t="s">
        <v>94</v>
      </c>
      <c r="I1687">
        <v>0</v>
      </c>
      <c r="J1687">
        <v>0</v>
      </c>
      <c r="K1687">
        <v>0</v>
      </c>
    </row>
    <row r="1688" spans="1:11" x14ac:dyDescent="0.2">
      <c r="A1688" t="s">
        <v>16</v>
      </c>
      <c r="B1688" t="s">
        <v>457</v>
      </c>
      <c r="C1688">
        <v>690</v>
      </c>
      <c r="D1688" t="s">
        <v>6206</v>
      </c>
      <c r="E1688" t="s">
        <v>49</v>
      </c>
      <c r="F1688">
        <v>4</v>
      </c>
      <c r="G1688">
        <v>0.39167213128443001</v>
      </c>
      <c r="H1688" t="s">
        <v>98</v>
      </c>
      <c r="I1688">
        <v>0</v>
      </c>
      <c r="J1688">
        <v>0</v>
      </c>
      <c r="K1688">
        <v>0</v>
      </c>
    </row>
    <row r="1689" spans="1:11" x14ac:dyDescent="0.2">
      <c r="A1689" t="s">
        <v>16</v>
      </c>
      <c r="B1689" t="s">
        <v>457</v>
      </c>
      <c r="C1689">
        <v>690</v>
      </c>
      <c r="D1689" t="s">
        <v>6201</v>
      </c>
      <c r="E1689" t="s">
        <v>49</v>
      </c>
      <c r="F1689">
        <v>4</v>
      </c>
      <c r="G1689">
        <v>0.39167213128443001</v>
      </c>
      <c r="H1689" t="s">
        <v>101</v>
      </c>
      <c r="I1689">
        <v>0</v>
      </c>
      <c r="J1689">
        <v>0</v>
      </c>
      <c r="K1689">
        <v>0</v>
      </c>
    </row>
    <row r="1690" spans="1:11" x14ac:dyDescent="0.2">
      <c r="A1690" t="s">
        <v>16</v>
      </c>
      <c r="B1690" t="s">
        <v>457</v>
      </c>
      <c r="C1690">
        <v>690</v>
      </c>
      <c r="D1690" t="s">
        <v>6210</v>
      </c>
      <c r="E1690" t="s">
        <v>49</v>
      </c>
      <c r="F1690">
        <v>4</v>
      </c>
      <c r="G1690">
        <v>0.39167213128443001</v>
      </c>
      <c r="H1690" t="s">
        <v>104</v>
      </c>
      <c r="I1690">
        <v>0</v>
      </c>
      <c r="J1690">
        <v>0</v>
      </c>
      <c r="K1690">
        <v>0</v>
      </c>
    </row>
    <row r="1691" spans="1:11" x14ac:dyDescent="0.2">
      <c r="A1691" t="s">
        <v>16</v>
      </c>
      <c r="B1691" t="s">
        <v>457</v>
      </c>
      <c r="C1691">
        <v>690</v>
      </c>
      <c r="D1691" t="s">
        <v>6190</v>
      </c>
      <c r="E1691" t="s">
        <v>49</v>
      </c>
      <c r="F1691">
        <v>4</v>
      </c>
      <c r="G1691">
        <v>0.39167213128443001</v>
      </c>
      <c r="H1691" t="s">
        <v>94</v>
      </c>
      <c r="I1691">
        <v>0</v>
      </c>
      <c r="J1691">
        <v>0</v>
      </c>
      <c r="K1691">
        <v>0</v>
      </c>
    </row>
    <row r="1692" spans="1:11" x14ac:dyDescent="0.2">
      <c r="A1692" t="s">
        <v>16</v>
      </c>
      <c r="B1692" t="s">
        <v>457</v>
      </c>
      <c r="C1692">
        <v>690</v>
      </c>
      <c r="D1692" t="s">
        <v>6186</v>
      </c>
      <c r="E1692" t="s">
        <v>49</v>
      </c>
      <c r="F1692">
        <v>4</v>
      </c>
      <c r="G1692">
        <v>0.39167213128443001</v>
      </c>
      <c r="H1692" t="s">
        <v>98</v>
      </c>
      <c r="I1692">
        <v>0</v>
      </c>
      <c r="J1692">
        <v>0</v>
      </c>
      <c r="K1692">
        <v>0</v>
      </c>
    </row>
    <row r="1693" spans="1:11" x14ac:dyDescent="0.2">
      <c r="A1693" t="s">
        <v>16</v>
      </c>
      <c r="B1693" t="s">
        <v>457</v>
      </c>
      <c r="C1693">
        <v>690</v>
      </c>
      <c r="D1693" t="s">
        <v>6205</v>
      </c>
      <c r="E1693" t="s">
        <v>49</v>
      </c>
      <c r="F1693">
        <v>4</v>
      </c>
      <c r="G1693">
        <v>0.39167213128443001</v>
      </c>
      <c r="H1693" t="s">
        <v>101</v>
      </c>
      <c r="I1693">
        <v>0</v>
      </c>
      <c r="J1693">
        <v>0</v>
      </c>
      <c r="K1693">
        <v>0</v>
      </c>
    </row>
    <row r="1694" spans="1:11" x14ac:dyDescent="0.2">
      <c r="A1694" t="s">
        <v>16</v>
      </c>
      <c r="B1694" t="s">
        <v>457</v>
      </c>
      <c r="C1694">
        <v>690</v>
      </c>
      <c r="D1694" t="s">
        <v>6191</v>
      </c>
      <c r="E1694" t="s">
        <v>49</v>
      </c>
      <c r="F1694">
        <v>4</v>
      </c>
      <c r="G1694">
        <v>0.39167213128443001</v>
      </c>
      <c r="H1694" t="s">
        <v>104</v>
      </c>
      <c r="I1694">
        <v>0</v>
      </c>
      <c r="J1694">
        <v>0</v>
      </c>
      <c r="K1694">
        <v>0</v>
      </c>
    </row>
    <row r="1695" spans="1:11" x14ac:dyDescent="0.2">
      <c r="A1695" t="s">
        <v>16</v>
      </c>
      <c r="B1695" t="s">
        <v>457</v>
      </c>
      <c r="C1695">
        <v>690</v>
      </c>
      <c r="D1695" t="s">
        <v>6188</v>
      </c>
      <c r="E1695" t="s">
        <v>49</v>
      </c>
      <c r="F1695">
        <v>4</v>
      </c>
      <c r="G1695">
        <v>0.39167213128443001</v>
      </c>
      <c r="H1695" t="s">
        <v>94</v>
      </c>
      <c r="I1695">
        <v>0</v>
      </c>
      <c r="J1695">
        <v>0</v>
      </c>
      <c r="K1695">
        <v>0</v>
      </c>
    </row>
    <row r="1696" spans="1:11" x14ac:dyDescent="0.2">
      <c r="A1696" t="s">
        <v>16</v>
      </c>
      <c r="B1696" t="s">
        <v>457</v>
      </c>
      <c r="C1696">
        <v>690</v>
      </c>
      <c r="D1696" t="s">
        <v>6211</v>
      </c>
      <c r="E1696" t="s">
        <v>49</v>
      </c>
      <c r="F1696">
        <v>4</v>
      </c>
      <c r="G1696">
        <v>0.39167213128443001</v>
      </c>
      <c r="H1696" t="s">
        <v>98</v>
      </c>
      <c r="I1696">
        <v>0</v>
      </c>
      <c r="J1696">
        <v>0</v>
      </c>
      <c r="K1696">
        <v>0</v>
      </c>
    </row>
    <row r="1697" spans="1:11" x14ac:dyDescent="0.2">
      <c r="A1697" t="s">
        <v>16</v>
      </c>
      <c r="B1697" t="s">
        <v>457</v>
      </c>
      <c r="C1697">
        <v>690</v>
      </c>
      <c r="D1697" t="s">
        <v>6167</v>
      </c>
      <c r="E1697" t="s">
        <v>49</v>
      </c>
      <c r="F1697">
        <v>4</v>
      </c>
      <c r="G1697">
        <v>0.39167213128443001</v>
      </c>
      <c r="H1697" t="s">
        <v>101</v>
      </c>
      <c r="I1697">
        <v>0</v>
      </c>
      <c r="J1697">
        <v>0</v>
      </c>
      <c r="K1697">
        <v>0</v>
      </c>
    </row>
    <row r="1698" spans="1:11" x14ac:dyDescent="0.2">
      <c r="A1698" t="s">
        <v>16</v>
      </c>
      <c r="B1698" t="s">
        <v>457</v>
      </c>
      <c r="C1698">
        <v>690</v>
      </c>
      <c r="D1698" t="s">
        <v>6165</v>
      </c>
      <c r="E1698" t="s">
        <v>49</v>
      </c>
      <c r="F1698">
        <v>4</v>
      </c>
      <c r="G1698">
        <v>0.39167213128443001</v>
      </c>
      <c r="H1698" t="s">
        <v>104</v>
      </c>
      <c r="I1698">
        <v>0</v>
      </c>
      <c r="J1698">
        <v>0</v>
      </c>
      <c r="K1698">
        <v>0</v>
      </c>
    </row>
    <row r="1699" spans="1:11" x14ac:dyDescent="0.2">
      <c r="A1699" t="s">
        <v>16</v>
      </c>
      <c r="B1699" t="s">
        <v>457</v>
      </c>
      <c r="C1699">
        <v>690</v>
      </c>
      <c r="D1699" t="s">
        <v>6195</v>
      </c>
      <c r="E1699" t="s">
        <v>49</v>
      </c>
      <c r="F1699">
        <v>4</v>
      </c>
      <c r="G1699">
        <v>0.39167213128443001</v>
      </c>
      <c r="H1699" t="s">
        <v>94</v>
      </c>
      <c r="I1699">
        <v>0</v>
      </c>
      <c r="J1699">
        <v>0</v>
      </c>
      <c r="K1699">
        <v>0</v>
      </c>
    </row>
    <row r="1700" spans="1:11" x14ac:dyDescent="0.2">
      <c r="A1700" t="s">
        <v>16</v>
      </c>
      <c r="B1700" t="s">
        <v>457</v>
      </c>
      <c r="C1700">
        <v>690</v>
      </c>
      <c r="D1700" t="s">
        <v>6189</v>
      </c>
      <c r="E1700" t="s">
        <v>49</v>
      </c>
      <c r="F1700">
        <v>4</v>
      </c>
      <c r="G1700">
        <v>0.39167213128443001</v>
      </c>
      <c r="H1700" t="s">
        <v>98</v>
      </c>
      <c r="I1700">
        <v>0</v>
      </c>
      <c r="J1700">
        <v>0</v>
      </c>
      <c r="K1700">
        <v>0</v>
      </c>
    </row>
    <row r="1701" spans="1:11" x14ac:dyDescent="0.2">
      <c r="A1701" t="s">
        <v>16</v>
      </c>
      <c r="B1701" t="s">
        <v>457</v>
      </c>
      <c r="C1701">
        <v>230</v>
      </c>
      <c r="D1701" t="s">
        <v>6183</v>
      </c>
      <c r="E1701" t="s">
        <v>49</v>
      </c>
      <c r="F1701">
        <v>4</v>
      </c>
      <c r="G1701">
        <v>0.13055737709481</v>
      </c>
      <c r="H1701" t="s">
        <v>101</v>
      </c>
      <c r="I1701">
        <v>0</v>
      </c>
      <c r="J1701">
        <v>0</v>
      </c>
      <c r="K1701">
        <v>0</v>
      </c>
    </row>
    <row r="1702" spans="1:11" x14ac:dyDescent="0.2">
      <c r="A1702" t="s">
        <v>16</v>
      </c>
      <c r="B1702" t="s">
        <v>457</v>
      </c>
      <c r="C1702">
        <v>230</v>
      </c>
      <c r="D1702" t="s">
        <v>6192</v>
      </c>
      <c r="E1702" t="s">
        <v>49</v>
      </c>
      <c r="F1702">
        <v>4</v>
      </c>
      <c r="G1702">
        <v>0.13055737709481</v>
      </c>
      <c r="H1702" t="s">
        <v>101</v>
      </c>
      <c r="I1702">
        <v>0</v>
      </c>
      <c r="J1702">
        <v>0</v>
      </c>
      <c r="K1702">
        <v>0</v>
      </c>
    </row>
    <row r="1703" spans="1:11" x14ac:dyDescent="0.2">
      <c r="A1703" t="s">
        <v>16</v>
      </c>
      <c r="B1703" t="s">
        <v>457</v>
      </c>
      <c r="C1703">
        <v>690</v>
      </c>
      <c r="D1703" t="s">
        <v>6184</v>
      </c>
      <c r="E1703" t="s">
        <v>49</v>
      </c>
      <c r="F1703">
        <v>4</v>
      </c>
      <c r="G1703">
        <v>0.39167213128443001</v>
      </c>
      <c r="H1703" t="s">
        <v>104</v>
      </c>
      <c r="I1703">
        <v>0</v>
      </c>
      <c r="J1703">
        <v>0</v>
      </c>
      <c r="K1703">
        <v>0</v>
      </c>
    </row>
    <row r="1704" spans="1:11" x14ac:dyDescent="0.2">
      <c r="A1704" t="s">
        <v>16</v>
      </c>
      <c r="B1704" t="s">
        <v>457</v>
      </c>
      <c r="C1704">
        <v>690</v>
      </c>
      <c r="D1704" t="s">
        <v>6159</v>
      </c>
      <c r="E1704" t="s">
        <v>49</v>
      </c>
      <c r="F1704">
        <v>4</v>
      </c>
      <c r="G1704">
        <v>0.39167213128443001</v>
      </c>
      <c r="H1704" t="s">
        <v>94</v>
      </c>
      <c r="I1704">
        <v>0</v>
      </c>
      <c r="J1704">
        <v>0</v>
      </c>
      <c r="K1704">
        <v>0</v>
      </c>
    </row>
    <row r="1705" spans="1:11" x14ac:dyDescent="0.2">
      <c r="A1705" t="s">
        <v>16</v>
      </c>
      <c r="B1705" t="s">
        <v>457</v>
      </c>
      <c r="C1705">
        <v>690</v>
      </c>
      <c r="D1705" t="s">
        <v>6177</v>
      </c>
      <c r="E1705" t="s">
        <v>49</v>
      </c>
      <c r="F1705">
        <v>4</v>
      </c>
      <c r="G1705">
        <v>0.39167213128443001</v>
      </c>
      <c r="H1705" t="s">
        <v>101</v>
      </c>
      <c r="I1705">
        <v>0</v>
      </c>
      <c r="J1705">
        <v>0</v>
      </c>
      <c r="K1705">
        <v>0</v>
      </c>
    </row>
    <row r="1706" spans="1:11" x14ac:dyDescent="0.2">
      <c r="A1706" t="s">
        <v>16</v>
      </c>
      <c r="B1706" t="s">
        <v>457</v>
      </c>
      <c r="C1706">
        <v>690</v>
      </c>
      <c r="D1706" t="s">
        <v>6168</v>
      </c>
      <c r="E1706" t="s">
        <v>49</v>
      </c>
      <c r="F1706">
        <v>4</v>
      </c>
      <c r="G1706">
        <v>0.39167213128443001</v>
      </c>
      <c r="H1706" t="s">
        <v>98</v>
      </c>
      <c r="I1706">
        <v>0</v>
      </c>
      <c r="J1706">
        <v>0</v>
      </c>
      <c r="K1706">
        <v>0</v>
      </c>
    </row>
    <row r="1707" spans="1:11" x14ac:dyDescent="0.2">
      <c r="A1707" t="s">
        <v>16</v>
      </c>
      <c r="B1707" t="s">
        <v>457</v>
      </c>
      <c r="C1707">
        <v>690</v>
      </c>
      <c r="D1707" t="s">
        <v>6169</v>
      </c>
      <c r="E1707" t="s">
        <v>49</v>
      </c>
      <c r="F1707">
        <v>4</v>
      </c>
      <c r="G1707">
        <v>0.39167213128443001</v>
      </c>
      <c r="H1707" t="s">
        <v>104</v>
      </c>
      <c r="I1707">
        <v>0</v>
      </c>
      <c r="J1707">
        <v>0</v>
      </c>
      <c r="K1707">
        <v>0</v>
      </c>
    </row>
    <row r="1708" spans="1:11" x14ac:dyDescent="0.2">
      <c r="A1708" t="s">
        <v>16</v>
      </c>
      <c r="B1708" t="s">
        <v>457</v>
      </c>
      <c r="C1708">
        <v>690</v>
      </c>
      <c r="D1708" t="s">
        <v>6193</v>
      </c>
      <c r="E1708" t="s">
        <v>49</v>
      </c>
      <c r="F1708">
        <v>4</v>
      </c>
      <c r="G1708">
        <v>0.39167213128443001</v>
      </c>
      <c r="H1708" t="s">
        <v>94</v>
      </c>
      <c r="I1708">
        <v>0</v>
      </c>
      <c r="J1708">
        <v>0</v>
      </c>
      <c r="K1708">
        <v>0</v>
      </c>
    </row>
    <row r="1709" spans="1:11" x14ac:dyDescent="0.2">
      <c r="A1709" t="s">
        <v>16</v>
      </c>
      <c r="B1709" t="s">
        <v>457</v>
      </c>
      <c r="C1709">
        <v>690</v>
      </c>
      <c r="D1709" t="s">
        <v>6199</v>
      </c>
      <c r="E1709" t="s">
        <v>49</v>
      </c>
      <c r="F1709">
        <v>4</v>
      </c>
      <c r="G1709">
        <v>0.39167213128443001</v>
      </c>
      <c r="H1709" t="s">
        <v>101</v>
      </c>
      <c r="I1709">
        <v>0</v>
      </c>
      <c r="J1709">
        <v>0</v>
      </c>
      <c r="K1709">
        <v>0</v>
      </c>
    </row>
    <row r="1710" spans="1:11" x14ac:dyDescent="0.2">
      <c r="A1710" t="s">
        <v>16</v>
      </c>
      <c r="B1710" t="s">
        <v>457</v>
      </c>
      <c r="C1710">
        <v>690</v>
      </c>
      <c r="D1710" t="s">
        <v>6163</v>
      </c>
      <c r="E1710" t="s">
        <v>49</v>
      </c>
      <c r="F1710">
        <v>4</v>
      </c>
      <c r="G1710">
        <v>0.39167213128443001</v>
      </c>
      <c r="H1710" t="s">
        <v>98</v>
      </c>
      <c r="I1710">
        <v>0</v>
      </c>
      <c r="J1710">
        <v>0</v>
      </c>
      <c r="K1710">
        <v>0</v>
      </c>
    </row>
    <row r="1711" spans="1:11" x14ac:dyDescent="0.2">
      <c r="A1711" t="s">
        <v>16</v>
      </c>
      <c r="B1711" t="s">
        <v>457</v>
      </c>
      <c r="C1711">
        <v>690</v>
      </c>
      <c r="D1711" t="s">
        <v>6176</v>
      </c>
      <c r="E1711" t="s">
        <v>49</v>
      </c>
      <c r="F1711">
        <v>4</v>
      </c>
      <c r="G1711">
        <v>0.39167213128443001</v>
      </c>
      <c r="H1711" t="s">
        <v>104</v>
      </c>
      <c r="I1711">
        <v>0</v>
      </c>
      <c r="J1711">
        <v>0</v>
      </c>
      <c r="K1711">
        <v>0</v>
      </c>
    </row>
    <row r="1712" spans="1:11" x14ac:dyDescent="0.2">
      <c r="A1712" t="s">
        <v>16</v>
      </c>
      <c r="B1712" t="s">
        <v>457</v>
      </c>
      <c r="C1712">
        <v>690</v>
      </c>
      <c r="D1712" t="s">
        <v>6181</v>
      </c>
      <c r="E1712" t="s">
        <v>49</v>
      </c>
      <c r="F1712">
        <v>4</v>
      </c>
      <c r="G1712">
        <v>0.39167213128443001</v>
      </c>
      <c r="H1712" t="s">
        <v>94</v>
      </c>
      <c r="I1712">
        <v>0</v>
      </c>
      <c r="J1712">
        <v>0</v>
      </c>
      <c r="K1712">
        <v>0</v>
      </c>
    </row>
    <row r="1713" spans="1:11" x14ac:dyDescent="0.2">
      <c r="A1713" t="s">
        <v>16</v>
      </c>
      <c r="B1713" t="s">
        <v>457</v>
      </c>
      <c r="C1713">
        <v>460</v>
      </c>
      <c r="D1713" t="s">
        <v>6179</v>
      </c>
      <c r="E1713" t="s">
        <v>49</v>
      </c>
      <c r="F1713">
        <v>4</v>
      </c>
      <c r="G1713">
        <v>0.26111475418961999</v>
      </c>
      <c r="H1713" t="s">
        <v>101</v>
      </c>
      <c r="I1713">
        <v>0</v>
      </c>
      <c r="J1713">
        <v>0</v>
      </c>
      <c r="K1713">
        <v>0</v>
      </c>
    </row>
    <row r="1714" spans="1:11" x14ac:dyDescent="0.2">
      <c r="A1714" t="s">
        <v>16</v>
      </c>
      <c r="B1714" t="s">
        <v>457</v>
      </c>
      <c r="C1714">
        <v>690</v>
      </c>
      <c r="D1714" t="s">
        <v>6171</v>
      </c>
      <c r="E1714" t="s">
        <v>49</v>
      </c>
      <c r="F1714">
        <v>4</v>
      </c>
      <c r="G1714">
        <v>0.39167213128443001</v>
      </c>
      <c r="H1714" t="s">
        <v>98</v>
      </c>
      <c r="I1714">
        <v>0</v>
      </c>
      <c r="J1714">
        <v>0</v>
      </c>
      <c r="K1714">
        <v>0</v>
      </c>
    </row>
    <row r="1715" spans="1:11" x14ac:dyDescent="0.2">
      <c r="A1715" t="s">
        <v>16</v>
      </c>
      <c r="B1715" t="s">
        <v>457</v>
      </c>
      <c r="C1715">
        <v>690</v>
      </c>
      <c r="D1715" t="s">
        <v>6164</v>
      </c>
      <c r="E1715" t="s">
        <v>49</v>
      </c>
      <c r="F1715">
        <v>4</v>
      </c>
      <c r="G1715">
        <v>0.39167213128443001</v>
      </c>
      <c r="H1715" t="s">
        <v>101</v>
      </c>
      <c r="I1715">
        <v>0</v>
      </c>
      <c r="J1715">
        <v>0</v>
      </c>
      <c r="K1715">
        <v>0</v>
      </c>
    </row>
    <row r="1716" spans="1:11" x14ac:dyDescent="0.2">
      <c r="A1716" t="s">
        <v>16</v>
      </c>
      <c r="B1716" t="s">
        <v>457</v>
      </c>
      <c r="C1716">
        <v>690</v>
      </c>
      <c r="D1716" t="s">
        <v>6157</v>
      </c>
      <c r="E1716" t="s">
        <v>49</v>
      </c>
      <c r="F1716">
        <v>4</v>
      </c>
      <c r="G1716">
        <v>0.39167213128443001</v>
      </c>
      <c r="H1716" t="s">
        <v>104</v>
      </c>
      <c r="I1716">
        <v>0</v>
      </c>
      <c r="J1716">
        <v>0</v>
      </c>
      <c r="K1716">
        <v>0</v>
      </c>
    </row>
    <row r="1717" spans="1:11" x14ac:dyDescent="0.2">
      <c r="A1717" t="s">
        <v>16</v>
      </c>
      <c r="B1717" t="s">
        <v>457</v>
      </c>
      <c r="C1717">
        <v>690</v>
      </c>
      <c r="D1717" t="s">
        <v>6162</v>
      </c>
      <c r="E1717" t="s">
        <v>49</v>
      </c>
      <c r="F1717">
        <v>4</v>
      </c>
      <c r="G1717">
        <v>0.39167213128443001</v>
      </c>
      <c r="H1717" t="s">
        <v>94</v>
      </c>
      <c r="I1717">
        <v>0</v>
      </c>
      <c r="J1717">
        <v>0</v>
      </c>
      <c r="K1717">
        <v>0</v>
      </c>
    </row>
    <row r="1718" spans="1:11" x14ac:dyDescent="0.2">
      <c r="A1718" t="s">
        <v>16</v>
      </c>
      <c r="B1718" t="s">
        <v>457</v>
      </c>
      <c r="C1718">
        <v>690</v>
      </c>
      <c r="D1718" t="s">
        <v>6166</v>
      </c>
      <c r="E1718" t="s">
        <v>49</v>
      </c>
      <c r="F1718">
        <v>4</v>
      </c>
      <c r="G1718">
        <v>0.39167213128443001</v>
      </c>
      <c r="H1718" t="s">
        <v>98</v>
      </c>
      <c r="I1718">
        <v>0</v>
      </c>
      <c r="J1718">
        <v>0</v>
      </c>
      <c r="K1718">
        <v>0</v>
      </c>
    </row>
    <row r="1719" spans="1:11" x14ac:dyDescent="0.2">
      <c r="A1719" t="s">
        <v>16</v>
      </c>
      <c r="B1719" t="s">
        <v>457</v>
      </c>
      <c r="C1719">
        <v>690</v>
      </c>
      <c r="D1719" t="s">
        <v>6174</v>
      </c>
      <c r="E1719" t="s">
        <v>49</v>
      </c>
      <c r="F1719">
        <v>4</v>
      </c>
      <c r="G1719">
        <v>0.39167213128443001</v>
      </c>
      <c r="H1719" t="s">
        <v>101</v>
      </c>
      <c r="I1719">
        <v>0</v>
      </c>
      <c r="J1719">
        <v>0</v>
      </c>
      <c r="K1719">
        <v>0</v>
      </c>
    </row>
    <row r="1720" spans="1:11" x14ac:dyDescent="0.2">
      <c r="A1720" t="s">
        <v>16</v>
      </c>
      <c r="B1720" t="s">
        <v>457</v>
      </c>
      <c r="C1720">
        <v>690</v>
      </c>
      <c r="D1720" t="s">
        <v>6160</v>
      </c>
      <c r="E1720" t="s">
        <v>49</v>
      </c>
      <c r="F1720">
        <v>4</v>
      </c>
      <c r="G1720">
        <v>0.39167213128443001</v>
      </c>
      <c r="H1720" t="s">
        <v>104</v>
      </c>
      <c r="I1720">
        <v>0</v>
      </c>
      <c r="J1720">
        <v>0</v>
      </c>
      <c r="K1720">
        <v>0</v>
      </c>
    </row>
    <row r="1721" spans="1:11" x14ac:dyDescent="0.2">
      <c r="A1721" t="s">
        <v>16</v>
      </c>
      <c r="B1721" t="s">
        <v>457</v>
      </c>
      <c r="C1721">
        <v>690</v>
      </c>
      <c r="D1721" t="s">
        <v>6182</v>
      </c>
      <c r="E1721" t="s">
        <v>49</v>
      </c>
      <c r="F1721">
        <v>4</v>
      </c>
      <c r="G1721">
        <v>0.39167213128443001</v>
      </c>
      <c r="H1721" t="s">
        <v>94</v>
      </c>
      <c r="I1721">
        <v>0</v>
      </c>
      <c r="J1721">
        <v>0</v>
      </c>
      <c r="K1721">
        <v>0</v>
      </c>
    </row>
    <row r="1722" spans="1:11" x14ac:dyDescent="0.2">
      <c r="A1722" t="s">
        <v>16</v>
      </c>
      <c r="B1722" t="s">
        <v>457</v>
      </c>
      <c r="C1722">
        <v>690</v>
      </c>
      <c r="D1722" t="s">
        <v>6198</v>
      </c>
      <c r="E1722" t="s">
        <v>49</v>
      </c>
      <c r="F1722">
        <v>4</v>
      </c>
      <c r="G1722">
        <v>0.39167213128443001</v>
      </c>
      <c r="H1722" t="s">
        <v>98</v>
      </c>
      <c r="I1722">
        <v>0</v>
      </c>
      <c r="J1722">
        <v>0</v>
      </c>
      <c r="K1722">
        <v>0</v>
      </c>
    </row>
    <row r="1723" spans="1:11" x14ac:dyDescent="0.2">
      <c r="A1723" t="s">
        <v>16</v>
      </c>
      <c r="B1723" t="s">
        <v>457</v>
      </c>
      <c r="C1723">
        <v>690</v>
      </c>
      <c r="D1723" t="s">
        <v>6158</v>
      </c>
      <c r="E1723" t="s">
        <v>49</v>
      </c>
      <c r="F1723">
        <v>4</v>
      </c>
      <c r="G1723">
        <v>0.39167213128443001</v>
      </c>
      <c r="H1723" t="s">
        <v>101</v>
      </c>
      <c r="I1723">
        <v>0</v>
      </c>
      <c r="J1723">
        <v>0</v>
      </c>
      <c r="K1723">
        <v>0</v>
      </c>
    </row>
    <row r="1724" spans="1:11" x14ac:dyDescent="0.2">
      <c r="A1724" t="s">
        <v>16</v>
      </c>
      <c r="B1724" t="s">
        <v>457</v>
      </c>
      <c r="C1724">
        <v>690</v>
      </c>
      <c r="D1724" t="s">
        <v>6175</v>
      </c>
      <c r="E1724" t="s">
        <v>49</v>
      </c>
      <c r="F1724">
        <v>4</v>
      </c>
      <c r="G1724">
        <v>0.39167213128443001</v>
      </c>
      <c r="H1724" t="s">
        <v>104</v>
      </c>
      <c r="I1724">
        <v>0</v>
      </c>
      <c r="J1724">
        <v>0</v>
      </c>
      <c r="K1724">
        <v>0</v>
      </c>
    </row>
    <row r="1725" spans="1:11" x14ac:dyDescent="0.2">
      <c r="A1725" t="s">
        <v>16</v>
      </c>
      <c r="B1725" t="s">
        <v>457</v>
      </c>
      <c r="C1725">
        <v>690</v>
      </c>
      <c r="D1725" t="s">
        <v>6196</v>
      </c>
      <c r="E1725" t="s">
        <v>49</v>
      </c>
      <c r="F1725">
        <v>4</v>
      </c>
      <c r="G1725">
        <v>0.39167213128443001</v>
      </c>
      <c r="H1725" t="s">
        <v>94</v>
      </c>
      <c r="I1725">
        <v>0</v>
      </c>
      <c r="J1725">
        <v>0</v>
      </c>
      <c r="K1725">
        <v>0</v>
      </c>
    </row>
    <row r="1726" spans="1:11" x14ac:dyDescent="0.2">
      <c r="A1726" t="s">
        <v>16</v>
      </c>
      <c r="B1726" t="s">
        <v>457</v>
      </c>
      <c r="C1726">
        <v>690</v>
      </c>
      <c r="D1726" t="s">
        <v>6200</v>
      </c>
      <c r="E1726" t="s">
        <v>49</v>
      </c>
      <c r="F1726">
        <v>4</v>
      </c>
      <c r="G1726">
        <v>0.39167213128443001</v>
      </c>
      <c r="H1726" t="s">
        <v>98</v>
      </c>
      <c r="I1726">
        <v>0</v>
      </c>
      <c r="J1726">
        <v>0</v>
      </c>
      <c r="K1726">
        <v>0</v>
      </c>
    </row>
    <row r="1727" spans="1:11" x14ac:dyDescent="0.2">
      <c r="A1727" t="s">
        <v>16</v>
      </c>
      <c r="B1727" t="s">
        <v>457</v>
      </c>
      <c r="C1727">
        <v>690</v>
      </c>
      <c r="D1727" t="s">
        <v>6208</v>
      </c>
      <c r="E1727" t="s">
        <v>49</v>
      </c>
      <c r="F1727">
        <v>4</v>
      </c>
      <c r="G1727">
        <v>0.39167213128443001</v>
      </c>
      <c r="H1727" t="s">
        <v>101</v>
      </c>
      <c r="I1727">
        <v>0</v>
      </c>
      <c r="J1727">
        <v>0</v>
      </c>
      <c r="K1727">
        <v>0</v>
      </c>
    </row>
    <row r="1728" spans="1:11" x14ac:dyDescent="0.2">
      <c r="A1728" t="s">
        <v>16</v>
      </c>
      <c r="B1728" t="s">
        <v>457</v>
      </c>
      <c r="C1728">
        <v>690</v>
      </c>
      <c r="D1728" t="s">
        <v>6197</v>
      </c>
      <c r="E1728" t="s">
        <v>49</v>
      </c>
      <c r="F1728">
        <v>4</v>
      </c>
      <c r="G1728">
        <v>0.39167213128443001</v>
      </c>
      <c r="H1728" t="s">
        <v>104</v>
      </c>
      <c r="I1728">
        <v>0</v>
      </c>
      <c r="J1728">
        <v>0</v>
      </c>
      <c r="K1728">
        <v>0</v>
      </c>
    </row>
    <row r="1729" spans="1:11" x14ac:dyDescent="0.2">
      <c r="A1729" t="s">
        <v>16</v>
      </c>
      <c r="B1729" t="s">
        <v>457</v>
      </c>
      <c r="C1729">
        <v>690</v>
      </c>
      <c r="D1729" t="s">
        <v>6173</v>
      </c>
      <c r="E1729" t="s">
        <v>49</v>
      </c>
      <c r="F1729">
        <v>4</v>
      </c>
      <c r="G1729">
        <v>0.39167213128443001</v>
      </c>
      <c r="H1729" t="s">
        <v>94</v>
      </c>
      <c r="I1729">
        <v>0</v>
      </c>
      <c r="J1729">
        <v>0</v>
      </c>
      <c r="K1729">
        <v>0</v>
      </c>
    </row>
    <row r="1730" spans="1:11" x14ac:dyDescent="0.2">
      <c r="A1730" t="s">
        <v>16</v>
      </c>
      <c r="B1730" t="s">
        <v>457</v>
      </c>
      <c r="C1730">
        <v>690</v>
      </c>
      <c r="D1730" t="s">
        <v>6178</v>
      </c>
      <c r="E1730" t="s">
        <v>49</v>
      </c>
      <c r="F1730">
        <v>4</v>
      </c>
      <c r="G1730">
        <v>0.39167213128443001</v>
      </c>
      <c r="H1730" t="s">
        <v>98</v>
      </c>
      <c r="I1730">
        <v>0</v>
      </c>
      <c r="J1730">
        <v>0</v>
      </c>
      <c r="K1730">
        <v>0</v>
      </c>
    </row>
    <row r="1731" spans="1:11" x14ac:dyDescent="0.2">
      <c r="A1731" t="s">
        <v>16</v>
      </c>
      <c r="B1731" t="s">
        <v>457</v>
      </c>
      <c r="C1731">
        <v>690</v>
      </c>
      <c r="D1731" t="s">
        <v>6209</v>
      </c>
      <c r="E1731" t="s">
        <v>49</v>
      </c>
      <c r="F1731">
        <v>4</v>
      </c>
      <c r="G1731">
        <v>0.39167213128443001</v>
      </c>
      <c r="H1731" t="s">
        <v>101</v>
      </c>
      <c r="I1731">
        <v>0</v>
      </c>
      <c r="J1731">
        <v>0</v>
      </c>
      <c r="K1731">
        <v>0</v>
      </c>
    </row>
    <row r="1732" spans="1:11" x14ac:dyDescent="0.2">
      <c r="A1732" t="s">
        <v>16</v>
      </c>
      <c r="B1732" t="s">
        <v>405</v>
      </c>
      <c r="C1732">
        <v>280</v>
      </c>
      <c r="D1732" t="s">
        <v>6234</v>
      </c>
      <c r="E1732" t="s">
        <v>49</v>
      </c>
      <c r="F1732">
        <v>4</v>
      </c>
      <c r="G1732">
        <v>0.24815496551062025</v>
      </c>
      <c r="H1732" t="s">
        <v>97</v>
      </c>
      <c r="I1732">
        <v>0</v>
      </c>
      <c r="J1732">
        <v>0</v>
      </c>
      <c r="K1732">
        <v>0</v>
      </c>
    </row>
    <row r="1733" spans="1:11" x14ac:dyDescent="0.2">
      <c r="A1733" t="s">
        <v>16</v>
      </c>
      <c r="B1733" t="s">
        <v>405</v>
      </c>
      <c r="C1733">
        <v>840</v>
      </c>
      <c r="D1733" t="s">
        <v>6244</v>
      </c>
      <c r="E1733" t="s">
        <v>49</v>
      </c>
      <c r="F1733">
        <v>4</v>
      </c>
      <c r="G1733">
        <v>0.74446489653186076</v>
      </c>
      <c r="H1733" t="s">
        <v>100</v>
      </c>
      <c r="I1733">
        <v>0</v>
      </c>
      <c r="J1733">
        <v>0</v>
      </c>
      <c r="K1733">
        <v>0</v>
      </c>
    </row>
    <row r="1734" spans="1:11" x14ac:dyDescent="0.2">
      <c r="A1734" t="s">
        <v>16</v>
      </c>
      <c r="B1734" t="s">
        <v>405</v>
      </c>
      <c r="C1734">
        <v>840</v>
      </c>
      <c r="D1734" t="s">
        <v>6222</v>
      </c>
      <c r="E1734" t="s">
        <v>49</v>
      </c>
      <c r="F1734">
        <v>4</v>
      </c>
      <c r="G1734">
        <v>0.74446489653186076</v>
      </c>
      <c r="H1734" t="s">
        <v>97</v>
      </c>
      <c r="I1734">
        <v>0</v>
      </c>
      <c r="J1734">
        <v>0</v>
      </c>
      <c r="K1734">
        <v>0</v>
      </c>
    </row>
    <row r="1735" spans="1:11" x14ac:dyDescent="0.2">
      <c r="A1735" t="s">
        <v>16</v>
      </c>
      <c r="B1735" t="s">
        <v>405</v>
      </c>
      <c r="C1735">
        <v>840</v>
      </c>
      <c r="D1735" t="s">
        <v>6231</v>
      </c>
      <c r="E1735" t="s">
        <v>49</v>
      </c>
      <c r="F1735">
        <v>4</v>
      </c>
      <c r="G1735">
        <v>0.74446489653186076</v>
      </c>
      <c r="H1735" t="s">
        <v>96</v>
      </c>
      <c r="I1735">
        <v>0</v>
      </c>
      <c r="J1735">
        <v>0</v>
      </c>
      <c r="K1735">
        <v>0</v>
      </c>
    </row>
    <row r="1736" spans="1:11" x14ac:dyDescent="0.2">
      <c r="A1736" t="s">
        <v>16</v>
      </c>
      <c r="B1736" t="s">
        <v>405</v>
      </c>
      <c r="C1736">
        <v>840</v>
      </c>
      <c r="D1736" t="s">
        <v>6247</v>
      </c>
      <c r="E1736" t="s">
        <v>49</v>
      </c>
      <c r="F1736">
        <v>4</v>
      </c>
      <c r="G1736">
        <v>0.74446489653186076</v>
      </c>
      <c r="H1736" t="s">
        <v>84</v>
      </c>
      <c r="I1736">
        <v>0</v>
      </c>
      <c r="J1736">
        <v>0</v>
      </c>
      <c r="K1736">
        <v>0</v>
      </c>
    </row>
    <row r="1737" spans="1:11" x14ac:dyDescent="0.2">
      <c r="A1737" t="s">
        <v>16</v>
      </c>
      <c r="B1737" t="s">
        <v>405</v>
      </c>
      <c r="C1737">
        <v>840</v>
      </c>
      <c r="D1737" t="s">
        <v>6218</v>
      </c>
      <c r="E1737" t="s">
        <v>49</v>
      </c>
      <c r="F1737">
        <v>4</v>
      </c>
      <c r="G1737">
        <v>0.74446489653186076</v>
      </c>
      <c r="H1737" t="s">
        <v>100</v>
      </c>
      <c r="I1737">
        <v>0</v>
      </c>
      <c r="J1737">
        <v>0</v>
      </c>
      <c r="K1737">
        <v>0</v>
      </c>
    </row>
    <row r="1738" spans="1:11" x14ac:dyDescent="0.2">
      <c r="A1738" t="s">
        <v>16</v>
      </c>
      <c r="B1738" t="s">
        <v>405</v>
      </c>
      <c r="C1738">
        <v>840</v>
      </c>
      <c r="D1738" t="s">
        <v>6256</v>
      </c>
      <c r="E1738" t="s">
        <v>49</v>
      </c>
      <c r="F1738">
        <v>4</v>
      </c>
      <c r="G1738">
        <v>0.74446489653186076</v>
      </c>
      <c r="H1738" t="s">
        <v>97</v>
      </c>
      <c r="I1738">
        <v>0</v>
      </c>
      <c r="J1738">
        <v>0</v>
      </c>
      <c r="K1738">
        <v>0</v>
      </c>
    </row>
    <row r="1739" spans="1:11" x14ac:dyDescent="0.2">
      <c r="A1739" t="s">
        <v>16</v>
      </c>
      <c r="B1739" t="s">
        <v>405</v>
      </c>
      <c r="C1739">
        <v>840</v>
      </c>
      <c r="D1739" t="s">
        <v>6214</v>
      </c>
      <c r="E1739" t="s">
        <v>49</v>
      </c>
      <c r="F1739">
        <v>4</v>
      </c>
      <c r="G1739">
        <v>0.74446489653186076</v>
      </c>
      <c r="H1739" t="s">
        <v>96</v>
      </c>
      <c r="I1739">
        <v>0</v>
      </c>
      <c r="J1739">
        <v>0</v>
      </c>
      <c r="K1739">
        <v>0</v>
      </c>
    </row>
    <row r="1740" spans="1:11" x14ac:dyDescent="0.2">
      <c r="A1740" t="s">
        <v>16</v>
      </c>
      <c r="B1740" t="s">
        <v>405</v>
      </c>
      <c r="C1740">
        <v>840</v>
      </c>
      <c r="D1740" t="s">
        <v>6253</v>
      </c>
      <c r="E1740" t="s">
        <v>49</v>
      </c>
      <c r="F1740">
        <v>4</v>
      </c>
      <c r="G1740">
        <v>0.74446489653186076</v>
      </c>
      <c r="H1740" t="s">
        <v>84</v>
      </c>
      <c r="I1740">
        <v>0</v>
      </c>
      <c r="J1740">
        <v>0</v>
      </c>
      <c r="K1740">
        <v>0</v>
      </c>
    </row>
    <row r="1741" spans="1:11" x14ac:dyDescent="0.2">
      <c r="A1741" t="s">
        <v>16</v>
      </c>
      <c r="B1741" t="s">
        <v>405</v>
      </c>
      <c r="C1741">
        <v>840</v>
      </c>
      <c r="D1741" t="s">
        <v>6255</v>
      </c>
      <c r="E1741" t="s">
        <v>49</v>
      </c>
      <c r="F1741">
        <v>4</v>
      </c>
      <c r="G1741">
        <v>0.74446489653186076</v>
      </c>
      <c r="H1741" t="s">
        <v>100</v>
      </c>
      <c r="I1741">
        <v>0</v>
      </c>
      <c r="J1741">
        <v>0</v>
      </c>
      <c r="K1741">
        <v>0</v>
      </c>
    </row>
    <row r="1742" spans="1:11" x14ac:dyDescent="0.2">
      <c r="A1742" t="s">
        <v>16</v>
      </c>
      <c r="B1742" t="s">
        <v>405</v>
      </c>
      <c r="C1742">
        <v>840</v>
      </c>
      <c r="D1742" t="s">
        <v>6254</v>
      </c>
      <c r="E1742" t="s">
        <v>49</v>
      </c>
      <c r="F1742">
        <v>4</v>
      </c>
      <c r="G1742">
        <v>0.74446489653186076</v>
      </c>
      <c r="H1742" t="s">
        <v>97</v>
      </c>
      <c r="I1742">
        <v>0</v>
      </c>
      <c r="J1742">
        <v>0</v>
      </c>
      <c r="K1742">
        <v>0</v>
      </c>
    </row>
    <row r="1743" spans="1:11" x14ac:dyDescent="0.2">
      <c r="A1743" t="s">
        <v>16</v>
      </c>
      <c r="B1743" t="s">
        <v>405</v>
      </c>
      <c r="C1743">
        <v>840</v>
      </c>
      <c r="D1743" t="s">
        <v>6246</v>
      </c>
      <c r="E1743" t="s">
        <v>49</v>
      </c>
      <c r="F1743">
        <v>4</v>
      </c>
      <c r="G1743">
        <v>0.74446489653186076</v>
      </c>
      <c r="H1743" t="s">
        <v>96</v>
      </c>
      <c r="I1743">
        <v>0</v>
      </c>
      <c r="J1743">
        <v>0</v>
      </c>
      <c r="K1743">
        <v>0</v>
      </c>
    </row>
    <row r="1744" spans="1:11" x14ac:dyDescent="0.2">
      <c r="A1744" t="s">
        <v>16</v>
      </c>
      <c r="B1744" t="s">
        <v>405</v>
      </c>
      <c r="C1744">
        <v>840</v>
      </c>
      <c r="D1744" t="s">
        <v>6224</v>
      </c>
      <c r="E1744" t="s">
        <v>49</v>
      </c>
      <c r="F1744">
        <v>4</v>
      </c>
      <c r="G1744">
        <v>0.74446489653186076</v>
      </c>
      <c r="H1744" t="s">
        <v>84</v>
      </c>
      <c r="I1744">
        <v>0</v>
      </c>
      <c r="J1744">
        <v>0</v>
      </c>
      <c r="K1744">
        <v>0</v>
      </c>
    </row>
    <row r="1745" spans="1:11" x14ac:dyDescent="0.2">
      <c r="A1745" t="s">
        <v>16</v>
      </c>
      <c r="B1745" t="s">
        <v>405</v>
      </c>
      <c r="C1745">
        <v>840</v>
      </c>
      <c r="D1745" t="s">
        <v>6227</v>
      </c>
      <c r="E1745" t="s">
        <v>49</v>
      </c>
      <c r="F1745">
        <v>4</v>
      </c>
      <c r="G1745">
        <v>0.74446489653186076</v>
      </c>
      <c r="H1745" t="s">
        <v>100</v>
      </c>
      <c r="I1745">
        <v>0</v>
      </c>
      <c r="J1745">
        <v>0</v>
      </c>
      <c r="K1745">
        <v>0</v>
      </c>
    </row>
    <row r="1746" spans="1:11" x14ac:dyDescent="0.2">
      <c r="A1746" t="s">
        <v>16</v>
      </c>
      <c r="B1746" t="s">
        <v>405</v>
      </c>
      <c r="C1746">
        <v>840</v>
      </c>
      <c r="D1746" t="s">
        <v>6252</v>
      </c>
      <c r="E1746" t="s">
        <v>49</v>
      </c>
      <c r="F1746">
        <v>4</v>
      </c>
      <c r="G1746">
        <v>0.74446489653186076</v>
      </c>
      <c r="H1746" t="s">
        <v>97</v>
      </c>
      <c r="I1746">
        <v>0</v>
      </c>
      <c r="J1746">
        <v>0</v>
      </c>
      <c r="K1746">
        <v>0</v>
      </c>
    </row>
    <row r="1747" spans="1:11" x14ac:dyDescent="0.2">
      <c r="A1747" t="s">
        <v>16</v>
      </c>
      <c r="B1747" t="s">
        <v>405</v>
      </c>
      <c r="C1747">
        <v>840</v>
      </c>
      <c r="D1747" t="s">
        <v>6237</v>
      </c>
      <c r="E1747" t="s">
        <v>49</v>
      </c>
      <c r="F1747">
        <v>4</v>
      </c>
      <c r="G1747">
        <v>0.74446489653186076</v>
      </c>
      <c r="H1747" t="s">
        <v>96</v>
      </c>
      <c r="I1747">
        <v>0</v>
      </c>
      <c r="J1747">
        <v>0</v>
      </c>
      <c r="K1747">
        <v>0</v>
      </c>
    </row>
    <row r="1748" spans="1:11" x14ac:dyDescent="0.2">
      <c r="A1748" t="s">
        <v>16</v>
      </c>
      <c r="B1748" t="s">
        <v>405</v>
      </c>
      <c r="C1748">
        <v>840</v>
      </c>
      <c r="D1748" t="s">
        <v>6248</v>
      </c>
      <c r="E1748" t="s">
        <v>49</v>
      </c>
      <c r="F1748">
        <v>4</v>
      </c>
      <c r="G1748">
        <v>0.74446489653186076</v>
      </c>
      <c r="H1748" t="s">
        <v>84</v>
      </c>
      <c r="I1748">
        <v>0</v>
      </c>
      <c r="J1748">
        <v>0</v>
      </c>
      <c r="K1748">
        <v>0</v>
      </c>
    </row>
    <row r="1749" spans="1:11" x14ac:dyDescent="0.2">
      <c r="A1749" t="s">
        <v>16</v>
      </c>
      <c r="B1749" t="s">
        <v>405</v>
      </c>
      <c r="C1749">
        <v>840</v>
      </c>
      <c r="D1749" t="s">
        <v>6226</v>
      </c>
      <c r="E1749" t="s">
        <v>49</v>
      </c>
      <c r="F1749">
        <v>4</v>
      </c>
      <c r="G1749">
        <v>0.74446489653186076</v>
      </c>
      <c r="H1749" t="s">
        <v>100</v>
      </c>
      <c r="I1749">
        <v>0</v>
      </c>
      <c r="J1749">
        <v>0</v>
      </c>
      <c r="K1749">
        <v>0</v>
      </c>
    </row>
    <row r="1750" spans="1:11" x14ac:dyDescent="0.2">
      <c r="A1750" t="s">
        <v>16</v>
      </c>
      <c r="B1750" t="s">
        <v>405</v>
      </c>
      <c r="C1750">
        <v>840</v>
      </c>
      <c r="D1750" t="s">
        <v>6230</v>
      </c>
      <c r="E1750" t="s">
        <v>49</v>
      </c>
      <c r="F1750">
        <v>4</v>
      </c>
      <c r="G1750">
        <v>0.74446489653186076</v>
      </c>
      <c r="H1750" t="s">
        <v>97</v>
      </c>
      <c r="I1750">
        <v>0</v>
      </c>
      <c r="J1750">
        <v>0</v>
      </c>
      <c r="K1750">
        <v>0</v>
      </c>
    </row>
    <row r="1751" spans="1:11" x14ac:dyDescent="0.2">
      <c r="A1751" t="s">
        <v>16</v>
      </c>
      <c r="B1751" t="s">
        <v>405</v>
      </c>
      <c r="C1751">
        <v>840</v>
      </c>
      <c r="D1751" t="s">
        <v>6243</v>
      </c>
      <c r="E1751" t="s">
        <v>49</v>
      </c>
      <c r="F1751">
        <v>4</v>
      </c>
      <c r="G1751">
        <v>0.74446489653186076</v>
      </c>
      <c r="H1751" t="s">
        <v>96</v>
      </c>
      <c r="I1751">
        <v>0</v>
      </c>
      <c r="J1751">
        <v>0</v>
      </c>
      <c r="K1751">
        <v>0</v>
      </c>
    </row>
    <row r="1752" spans="1:11" x14ac:dyDescent="0.2">
      <c r="A1752" t="s">
        <v>16</v>
      </c>
      <c r="B1752" t="s">
        <v>405</v>
      </c>
      <c r="C1752">
        <v>840</v>
      </c>
      <c r="D1752" t="s">
        <v>6242</v>
      </c>
      <c r="E1752" t="s">
        <v>49</v>
      </c>
      <c r="F1752">
        <v>4</v>
      </c>
      <c r="G1752">
        <v>0.74446489653186076</v>
      </c>
      <c r="H1752" t="s">
        <v>84</v>
      </c>
      <c r="I1752">
        <v>0</v>
      </c>
      <c r="J1752">
        <v>0</v>
      </c>
      <c r="K1752">
        <v>0</v>
      </c>
    </row>
    <row r="1753" spans="1:11" x14ac:dyDescent="0.2">
      <c r="A1753" t="s">
        <v>16</v>
      </c>
      <c r="B1753" t="s">
        <v>405</v>
      </c>
      <c r="C1753">
        <v>840</v>
      </c>
      <c r="D1753" t="s">
        <v>6219</v>
      </c>
      <c r="E1753" t="s">
        <v>49</v>
      </c>
      <c r="F1753">
        <v>4</v>
      </c>
      <c r="G1753">
        <v>0.74446489653186076</v>
      </c>
      <c r="H1753" t="s">
        <v>100</v>
      </c>
      <c r="I1753">
        <v>0</v>
      </c>
      <c r="J1753">
        <v>0</v>
      </c>
      <c r="K1753">
        <v>0</v>
      </c>
    </row>
    <row r="1754" spans="1:11" x14ac:dyDescent="0.2">
      <c r="A1754" t="s">
        <v>16</v>
      </c>
      <c r="B1754" t="s">
        <v>405</v>
      </c>
      <c r="C1754">
        <v>560</v>
      </c>
      <c r="D1754" t="s">
        <v>6221</v>
      </c>
      <c r="E1754" t="s">
        <v>49</v>
      </c>
      <c r="F1754">
        <v>4</v>
      </c>
      <c r="G1754">
        <v>0.49630993102124049</v>
      </c>
      <c r="H1754" t="s">
        <v>97</v>
      </c>
      <c r="I1754">
        <v>0</v>
      </c>
      <c r="J1754">
        <v>0</v>
      </c>
      <c r="K1754">
        <v>0</v>
      </c>
    </row>
    <row r="1755" spans="1:11" x14ac:dyDescent="0.2">
      <c r="A1755" t="s">
        <v>16</v>
      </c>
      <c r="B1755" t="s">
        <v>405</v>
      </c>
      <c r="C1755">
        <v>840</v>
      </c>
      <c r="D1755" t="s">
        <v>6220</v>
      </c>
      <c r="E1755" t="s">
        <v>49</v>
      </c>
      <c r="F1755">
        <v>4</v>
      </c>
      <c r="G1755">
        <v>0.74446489653186076</v>
      </c>
      <c r="H1755" t="s">
        <v>96</v>
      </c>
      <c r="I1755">
        <v>0</v>
      </c>
      <c r="J1755">
        <v>0</v>
      </c>
      <c r="K1755">
        <v>0</v>
      </c>
    </row>
    <row r="1756" spans="1:11" x14ac:dyDescent="0.2">
      <c r="A1756" t="s">
        <v>16</v>
      </c>
      <c r="B1756" t="s">
        <v>405</v>
      </c>
      <c r="C1756">
        <v>840</v>
      </c>
      <c r="D1756" t="s">
        <v>6241</v>
      </c>
      <c r="E1756" t="s">
        <v>49</v>
      </c>
      <c r="F1756">
        <v>4</v>
      </c>
      <c r="G1756">
        <v>0.74446489653186076</v>
      </c>
      <c r="H1756" t="s">
        <v>84</v>
      </c>
      <c r="I1756">
        <v>0</v>
      </c>
      <c r="J1756">
        <v>0</v>
      </c>
      <c r="K1756">
        <v>0</v>
      </c>
    </row>
    <row r="1757" spans="1:11" x14ac:dyDescent="0.2">
      <c r="A1757" t="s">
        <v>16</v>
      </c>
      <c r="B1757" t="s">
        <v>405</v>
      </c>
      <c r="C1757">
        <v>840</v>
      </c>
      <c r="D1757" t="s">
        <v>6240</v>
      </c>
      <c r="E1757" t="s">
        <v>49</v>
      </c>
      <c r="F1757">
        <v>4</v>
      </c>
      <c r="G1757">
        <v>0.74446489653186076</v>
      </c>
      <c r="H1757" t="s">
        <v>97</v>
      </c>
      <c r="I1757">
        <v>0</v>
      </c>
      <c r="J1757">
        <v>0</v>
      </c>
      <c r="K1757">
        <v>0</v>
      </c>
    </row>
    <row r="1758" spans="1:11" x14ac:dyDescent="0.2">
      <c r="A1758" t="s">
        <v>16</v>
      </c>
      <c r="B1758" t="s">
        <v>405</v>
      </c>
      <c r="C1758">
        <v>840</v>
      </c>
      <c r="D1758" t="s">
        <v>6239</v>
      </c>
      <c r="E1758" t="s">
        <v>49</v>
      </c>
      <c r="F1758">
        <v>4</v>
      </c>
      <c r="G1758">
        <v>0.74446489653186076</v>
      </c>
      <c r="H1758" t="s">
        <v>100</v>
      </c>
      <c r="I1758">
        <v>0</v>
      </c>
      <c r="J1758">
        <v>0</v>
      </c>
      <c r="K1758">
        <v>0</v>
      </c>
    </row>
    <row r="1759" spans="1:11" x14ac:dyDescent="0.2">
      <c r="A1759" t="s">
        <v>16</v>
      </c>
      <c r="B1759" t="s">
        <v>405</v>
      </c>
      <c r="C1759">
        <v>840</v>
      </c>
      <c r="D1759" t="s">
        <v>6212</v>
      </c>
      <c r="E1759" t="s">
        <v>49</v>
      </c>
      <c r="F1759">
        <v>4</v>
      </c>
      <c r="G1759">
        <v>0.74446489653186076</v>
      </c>
      <c r="H1759" t="s">
        <v>96</v>
      </c>
      <c r="I1759">
        <v>0</v>
      </c>
      <c r="J1759">
        <v>0</v>
      </c>
      <c r="K1759">
        <v>0</v>
      </c>
    </row>
    <row r="1760" spans="1:11" x14ac:dyDescent="0.2">
      <c r="A1760" t="s">
        <v>16</v>
      </c>
      <c r="B1760" t="s">
        <v>405</v>
      </c>
      <c r="C1760">
        <v>840</v>
      </c>
      <c r="D1760" t="s">
        <v>6249</v>
      </c>
      <c r="E1760" t="s">
        <v>49</v>
      </c>
      <c r="F1760">
        <v>4</v>
      </c>
      <c r="G1760">
        <v>0.74446489653186076</v>
      </c>
      <c r="H1760" t="s">
        <v>84</v>
      </c>
      <c r="I1760">
        <v>0</v>
      </c>
      <c r="J1760">
        <v>0</v>
      </c>
      <c r="K1760">
        <v>0</v>
      </c>
    </row>
    <row r="1761" spans="1:11" x14ac:dyDescent="0.2">
      <c r="A1761" t="s">
        <v>16</v>
      </c>
      <c r="B1761" t="s">
        <v>405</v>
      </c>
      <c r="C1761">
        <v>840</v>
      </c>
      <c r="D1761" t="s">
        <v>6250</v>
      </c>
      <c r="E1761" t="s">
        <v>49</v>
      </c>
      <c r="F1761">
        <v>4</v>
      </c>
      <c r="G1761">
        <v>0.74446489653186076</v>
      </c>
      <c r="H1761" t="s">
        <v>97</v>
      </c>
      <c r="I1761">
        <v>0</v>
      </c>
      <c r="J1761">
        <v>0</v>
      </c>
      <c r="K1761">
        <v>0</v>
      </c>
    </row>
    <row r="1762" spans="1:11" x14ac:dyDescent="0.2">
      <c r="A1762" t="s">
        <v>16</v>
      </c>
      <c r="B1762" t="s">
        <v>405</v>
      </c>
      <c r="C1762">
        <v>840</v>
      </c>
      <c r="D1762" t="s">
        <v>6229</v>
      </c>
      <c r="E1762" t="s">
        <v>49</v>
      </c>
      <c r="F1762">
        <v>4</v>
      </c>
      <c r="G1762">
        <v>0.74446489653186076</v>
      </c>
      <c r="H1762" t="s">
        <v>100</v>
      </c>
      <c r="I1762">
        <v>0</v>
      </c>
      <c r="J1762">
        <v>0</v>
      </c>
      <c r="K1762">
        <v>0</v>
      </c>
    </row>
    <row r="1763" spans="1:11" x14ac:dyDescent="0.2">
      <c r="A1763" t="s">
        <v>16</v>
      </c>
      <c r="B1763" t="s">
        <v>405</v>
      </c>
      <c r="C1763">
        <v>840</v>
      </c>
      <c r="D1763" t="s">
        <v>6228</v>
      </c>
      <c r="E1763" t="s">
        <v>49</v>
      </c>
      <c r="F1763">
        <v>4</v>
      </c>
      <c r="G1763">
        <v>0.74446489653186076</v>
      </c>
      <c r="H1763" t="s">
        <v>96</v>
      </c>
      <c r="I1763">
        <v>0</v>
      </c>
      <c r="J1763">
        <v>0</v>
      </c>
      <c r="K1763">
        <v>0</v>
      </c>
    </row>
    <row r="1764" spans="1:11" x14ac:dyDescent="0.2">
      <c r="A1764" t="s">
        <v>16</v>
      </c>
      <c r="B1764" t="s">
        <v>405</v>
      </c>
      <c r="C1764">
        <v>840</v>
      </c>
      <c r="D1764" t="s">
        <v>6225</v>
      </c>
      <c r="E1764" t="s">
        <v>49</v>
      </c>
      <c r="F1764">
        <v>4</v>
      </c>
      <c r="G1764">
        <v>0.74446489653186076</v>
      </c>
      <c r="H1764" t="s">
        <v>84</v>
      </c>
      <c r="I1764">
        <v>0</v>
      </c>
      <c r="J1764">
        <v>0</v>
      </c>
      <c r="K1764">
        <v>0</v>
      </c>
    </row>
    <row r="1765" spans="1:11" x14ac:dyDescent="0.2">
      <c r="A1765" t="s">
        <v>16</v>
      </c>
      <c r="B1765" t="s">
        <v>405</v>
      </c>
      <c r="C1765">
        <v>840</v>
      </c>
      <c r="D1765" t="s">
        <v>6233</v>
      </c>
      <c r="E1765" t="s">
        <v>49</v>
      </c>
      <c r="F1765">
        <v>4</v>
      </c>
      <c r="G1765">
        <v>0.74446489653186076</v>
      </c>
      <c r="H1765" t="s">
        <v>97</v>
      </c>
      <c r="I1765">
        <v>0</v>
      </c>
      <c r="J1765">
        <v>0</v>
      </c>
      <c r="K1765">
        <v>0</v>
      </c>
    </row>
    <row r="1766" spans="1:11" x14ac:dyDescent="0.2">
      <c r="A1766" t="s">
        <v>16</v>
      </c>
      <c r="B1766" t="s">
        <v>405</v>
      </c>
      <c r="C1766">
        <v>840</v>
      </c>
      <c r="D1766" t="s">
        <v>6235</v>
      </c>
      <c r="E1766" t="s">
        <v>49</v>
      </c>
      <c r="F1766">
        <v>4</v>
      </c>
      <c r="G1766">
        <v>0.74446489653186076</v>
      </c>
      <c r="H1766" t="s">
        <v>100</v>
      </c>
      <c r="I1766">
        <v>0</v>
      </c>
      <c r="J1766">
        <v>0</v>
      </c>
      <c r="K1766">
        <v>0</v>
      </c>
    </row>
    <row r="1767" spans="1:11" x14ac:dyDescent="0.2">
      <c r="A1767" t="s">
        <v>16</v>
      </c>
      <c r="B1767" t="s">
        <v>405</v>
      </c>
      <c r="C1767">
        <v>840</v>
      </c>
      <c r="D1767" t="s">
        <v>6251</v>
      </c>
      <c r="E1767" t="s">
        <v>49</v>
      </c>
      <c r="F1767">
        <v>4</v>
      </c>
      <c r="G1767">
        <v>0.74446489653186076</v>
      </c>
      <c r="H1767" t="s">
        <v>96</v>
      </c>
      <c r="I1767">
        <v>0</v>
      </c>
      <c r="J1767">
        <v>0</v>
      </c>
      <c r="K1767">
        <v>0</v>
      </c>
    </row>
    <row r="1768" spans="1:11" x14ac:dyDescent="0.2">
      <c r="A1768" t="s">
        <v>16</v>
      </c>
      <c r="B1768" t="s">
        <v>405</v>
      </c>
      <c r="C1768">
        <v>840</v>
      </c>
      <c r="D1768" t="s">
        <v>6236</v>
      </c>
      <c r="E1768" t="s">
        <v>49</v>
      </c>
      <c r="F1768">
        <v>4</v>
      </c>
      <c r="G1768">
        <v>0.74446489653186076</v>
      </c>
      <c r="H1768" t="s">
        <v>84</v>
      </c>
      <c r="I1768">
        <v>0</v>
      </c>
      <c r="J1768">
        <v>0</v>
      </c>
      <c r="K1768">
        <v>0</v>
      </c>
    </row>
    <row r="1769" spans="1:11" x14ac:dyDescent="0.2">
      <c r="A1769" t="s">
        <v>16</v>
      </c>
      <c r="B1769" t="s">
        <v>405</v>
      </c>
      <c r="C1769">
        <v>840</v>
      </c>
      <c r="D1769" t="s">
        <v>6232</v>
      </c>
      <c r="E1769" t="s">
        <v>49</v>
      </c>
      <c r="F1769">
        <v>4</v>
      </c>
      <c r="G1769">
        <v>0.74446489653186076</v>
      </c>
      <c r="H1769" t="s">
        <v>97</v>
      </c>
      <c r="I1769">
        <v>0</v>
      </c>
      <c r="J1769">
        <v>0</v>
      </c>
      <c r="K1769">
        <v>0</v>
      </c>
    </row>
    <row r="1770" spans="1:11" x14ac:dyDescent="0.2">
      <c r="A1770" t="s">
        <v>16</v>
      </c>
      <c r="B1770" t="s">
        <v>405</v>
      </c>
      <c r="C1770">
        <v>840</v>
      </c>
      <c r="D1770" t="s">
        <v>6245</v>
      </c>
      <c r="E1770" t="s">
        <v>49</v>
      </c>
      <c r="F1770">
        <v>4</v>
      </c>
      <c r="G1770">
        <v>0.74446489653186076</v>
      </c>
      <c r="H1770" t="s">
        <v>100</v>
      </c>
      <c r="I1770">
        <v>0</v>
      </c>
      <c r="J1770">
        <v>0</v>
      </c>
      <c r="K1770">
        <v>0</v>
      </c>
    </row>
    <row r="1771" spans="1:11" x14ac:dyDescent="0.2">
      <c r="A1771" t="s">
        <v>16</v>
      </c>
      <c r="B1771" t="s">
        <v>405</v>
      </c>
      <c r="C1771">
        <v>840</v>
      </c>
      <c r="D1771" t="s">
        <v>6215</v>
      </c>
      <c r="E1771" t="s">
        <v>49</v>
      </c>
      <c r="F1771">
        <v>4</v>
      </c>
      <c r="G1771">
        <v>0.74446489653186076</v>
      </c>
      <c r="H1771" t="s">
        <v>96</v>
      </c>
      <c r="I1771">
        <v>0</v>
      </c>
      <c r="J1771">
        <v>0</v>
      </c>
      <c r="K1771">
        <v>0</v>
      </c>
    </row>
    <row r="1772" spans="1:11" x14ac:dyDescent="0.2">
      <c r="A1772" t="s">
        <v>16</v>
      </c>
      <c r="B1772" t="s">
        <v>405</v>
      </c>
      <c r="C1772">
        <v>840</v>
      </c>
      <c r="D1772" t="s">
        <v>6217</v>
      </c>
      <c r="E1772" t="s">
        <v>49</v>
      </c>
      <c r="F1772">
        <v>4</v>
      </c>
      <c r="G1772">
        <v>0.74446489653186076</v>
      </c>
      <c r="H1772" t="s">
        <v>84</v>
      </c>
      <c r="I1772">
        <v>0</v>
      </c>
      <c r="J1772">
        <v>0</v>
      </c>
      <c r="K1772">
        <v>0</v>
      </c>
    </row>
    <row r="1773" spans="1:11" x14ac:dyDescent="0.2">
      <c r="A1773" t="s">
        <v>16</v>
      </c>
      <c r="B1773" t="s">
        <v>405</v>
      </c>
      <c r="C1773">
        <v>840</v>
      </c>
      <c r="D1773" t="s">
        <v>6213</v>
      </c>
      <c r="E1773" t="s">
        <v>49</v>
      </c>
      <c r="F1773">
        <v>4</v>
      </c>
      <c r="G1773">
        <v>0.74446489653186076</v>
      </c>
      <c r="H1773" t="s">
        <v>97</v>
      </c>
      <c r="I1773">
        <v>0</v>
      </c>
      <c r="J1773">
        <v>0</v>
      </c>
      <c r="K1773">
        <v>0</v>
      </c>
    </row>
    <row r="1774" spans="1:11" x14ac:dyDescent="0.2">
      <c r="A1774" t="s">
        <v>16</v>
      </c>
      <c r="B1774" t="s">
        <v>405</v>
      </c>
      <c r="C1774">
        <v>840</v>
      </c>
      <c r="D1774" t="s">
        <v>6223</v>
      </c>
      <c r="E1774" t="s">
        <v>49</v>
      </c>
      <c r="F1774">
        <v>4</v>
      </c>
      <c r="G1774">
        <v>0.74446489653186076</v>
      </c>
      <c r="H1774" t="s">
        <v>100</v>
      </c>
      <c r="I1774">
        <v>0</v>
      </c>
      <c r="J1774">
        <v>0</v>
      </c>
      <c r="K1774">
        <v>0</v>
      </c>
    </row>
    <row r="1775" spans="1:11" x14ac:dyDescent="0.2">
      <c r="A1775" t="s">
        <v>16</v>
      </c>
      <c r="B1775" t="s">
        <v>405</v>
      </c>
      <c r="C1775">
        <v>840</v>
      </c>
      <c r="D1775" t="s">
        <v>6238</v>
      </c>
      <c r="E1775" t="s">
        <v>49</v>
      </c>
      <c r="F1775">
        <v>4</v>
      </c>
      <c r="G1775">
        <v>0.74446489653186076</v>
      </c>
      <c r="H1775" t="s">
        <v>96</v>
      </c>
      <c r="I1775">
        <v>0</v>
      </c>
      <c r="J1775">
        <v>0</v>
      </c>
      <c r="K1775">
        <v>0</v>
      </c>
    </row>
    <row r="1776" spans="1:11" x14ac:dyDescent="0.2">
      <c r="A1776" t="s">
        <v>16</v>
      </c>
      <c r="B1776" t="s">
        <v>405</v>
      </c>
      <c r="C1776">
        <v>840</v>
      </c>
      <c r="D1776" t="s">
        <v>6216</v>
      </c>
      <c r="E1776" t="s">
        <v>49</v>
      </c>
      <c r="F1776">
        <v>4</v>
      </c>
      <c r="G1776">
        <v>0.74446489653186076</v>
      </c>
      <c r="H1776" t="s">
        <v>84</v>
      </c>
      <c r="I1776">
        <v>0</v>
      </c>
      <c r="J1776">
        <v>0</v>
      </c>
      <c r="K1776">
        <v>0</v>
      </c>
    </row>
    <row r="1777" spans="1:11" x14ac:dyDescent="0.2">
      <c r="A1777" t="s">
        <v>16</v>
      </c>
      <c r="B1777" t="s">
        <v>268</v>
      </c>
      <c r="C1777">
        <v>600</v>
      </c>
      <c r="D1777" t="s">
        <v>6266</v>
      </c>
      <c r="E1777" t="s">
        <v>49</v>
      </c>
      <c r="F1777">
        <v>13</v>
      </c>
      <c r="G1777">
        <v>0.22314827273525728</v>
      </c>
      <c r="H1777" t="s">
        <v>103</v>
      </c>
      <c r="I1777">
        <v>0</v>
      </c>
      <c r="J1777">
        <v>0</v>
      </c>
      <c r="K1777">
        <v>0</v>
      </c>
    </row>
    <row r="1778" spans="1:11" x14ac:dyDescent="0.2">
      <c r="A1778" t="s">
        <v>16</v>
      </c>
      <c r="B1778" t="s">
        <v>268</v>
      </c>
      <c r="C1778">
        <v>900</v>
      </c>
      <c r="D1778" t="s">
        <v>6257</v>
      </c>
      <c r="E1778" t="s">
        <v>49</v>
      </c>
      <c r="F1778">
        <v>13</v>
      </c>
      <c r="G1778">
        <v>0.33472240910288592</v>
      </c>
      <c r="H1778" t="s">
        <v>103</v>
      </c>
      <c r="I1778">
        <v>0</v>
      </c>
      <c r="J1778">
        <v>0</v>
      </c>
      <c r="K1778">
        <v>0</v>
      </c>
    </row>
    <row r="1779" spans="1:11" x14ac:dyDescent="0.2">
      <c r="A1779" t="s">
        <v>16</v>
      </c>
      <c r="B1779" t="s">
        <v>268</v>
      </c>
      <c r="C1779">
        <v>900</v>
      </c>
      <c r="D1779" t="s">
        <v>6267</v>
      </c>
      <c r="E1779" t="s">
        <v>49</v>
      </c>
      <c r="F1779">
        <v>13</v>
      </c>
      <c r="G1779">
        <v>0.33472240910288592</v>
      </c>
      <c r="H1779" t="s">
        <v>89</v>
      </c>
      <c r="I1779">
        <v>0</v>
      </c>
      <c r="J1779">
        <v>0</v>
      </c>
      <c r="K1779">
        <v>0</v>
      </c>
    </row>
    <row r="1780" spans="1:11" x14ac:dyDescent="0.2">
      <c r="A1780" t="s">
        <v>16</v>
      </c>
      <c r="B1780" t="s">
        <v>268</v>
      </c>
      <c r="C1780">
        <v>900</v>
      </c>
      <c r="D1780" t="s">
        <v>6262</v>
      </c>
      <c r="E1780" t="s">
        <v>49</v>
      </c>
      <c r="F1780">
        <v>13</v>
      </c>
      <c r="G1780">
        <v>0.33472240910288592</v>
      </c>
      <c r="H1780" t="s">
        <v>103</v>
      </c>
      <c r="I1780">
        <v>0</v>
      </c>
      <c r="J1780">
        <v>0</v>
      </c>
      <c r="K1780">
        <v>0</v>
      </c>
    </row>
    <row r="1781" spans="1:11" x14ac:dyDescent="0.2">
      <c r="A1781" t="s">
        <v>16</v>
      </c>
      <c r="B1781" t="s">
        <v>268</v>
      </c>
      <c r="C1781">
        <v>900</v>
      </c>
      <c r="D1781" t="s">
        <v>6265</v>
      </c>
      <c r="E1781" t="s">
        <v>49</v>
      </c>
      <c r="F1781">
        <v>13</v>
      </c>
      <c r="G1781">
        <v>0.33472240910288592</v>
      </c>
      <c r="H1781" t="s">
        <v>89</v>
      </c>
      <c r="I1781">
        <v>0</v>
      </c>
      <c r="J1781">
        <v>0</v>
      </c>
      <c r="K1781">
        <v>0</v>
      </c>
    </row>
    <row r="1782" spans="1:11" x14ac:dyDescent="0.2">
      <c r="A1782" t="s">
        <v>16</v>
      </c>
      <c r="B1782" t="s">
        <v>268</v>
      </c>
      <c r="C1782">
        <v>600</v>
      </c>
      <c r="D1782" t="s">
        <v>6263</v>
      </c>
      <c r="E1782" t="s">
        <v>49</v>
      </c>
      <c r="F1782">
        <v>13</v>
      </c>
      <c r="G1782">
        <v>0.22314827273525728</v>
      </c>
      <c r="H1782" t="s">
        <v>103</v>
      </c>
      <c r="I1782">
        <v>0</v>
      </c>
      <c r="J1782">
        <v>0</v>
      </c>
      <c r="K1782">
        <v>0</v>
      </c>
    </row>
    <row r="1783" spans="1:11" x14ac:dyDescent="0.2">
      <c r="A1783" t="s">
        <v>16</v>
      </c>
      <c r="B1783" t="s">
        <v>268</v>
      </c>
      <c r="C1783">
        <v>900</v>
      </c>
      <c r="D1783" t="s">
        <v>6261</v>
      </c>
      <c r="E1783" t="s">
        <v>49</v>
      </c>
      <c r="F1783">
        <v>13</v>
      </c>
      <c r="G1783">
        <v>0.33472240910288592</v>
      </c>
      <c r="H1783" t="s">
        <v>89</v>
      </c>
      <c r="I1783">
        <v>0</v>
      </c>
      <c r="J1783">
        <v>0</v>
      </c>
      <c r="K1783">
        <v>0</v>
      </c>
    </row>
    <row r="1784" spans="1:11" x14ac:dyDescent="0.2">
      <c r="A1784" t="s">
        <v>16</v>
      </c>
      <c r="B1784" t="s">
        <v>268</v>
      </c>
      <c r="C1784">
        <v>900</v>
      </c>
      <c r="D1784" t="s">
        <v>6259</v>
      </c>
      <c r="E1784" t="s">
        <v>49</v>
      </c>
      <c r="F1784">
        <v>13</v>
      </c>
      <c r="G1784">
        <v>0.33472240910288592</v>
      </c>
      <c r="H1784" t="s">
        <v>92</v>
      </c>
      <c r="I1784">
        <v>0</v>
      </c>
      <c r="J1784">
        <v>0</v>
      </c>
      <c r="K1784">
        <v>0</v>
      </c>
    </row>
    <row r="1785" spans="1:11" x14ac:dyDescent="0.2">
      <c r="A1785" t="s">
        <v>16</v>
      </c>
      <c r="B1785" t="s">
        <v>268</v>
      </c>
      <c r="C1785">
        <v>900</v>
      </c>
      <c r="D1785" t="s">
        <v>6264</v>
      </c>
      <c r="E1785" t="s">
        <v>49</v>
      </c>
      <c r="F1785">
        <v>13</v>
      </c>
      <c r="G1785">
        <v>0.33472240910288592</v>
      </c>
      <c r="H1785" t="s">
        <v>103</v>
      </c>
      <c r="I1785">
        <v>0</v>
      </c>
      <c r="J1785">
        <v>0</v>
      </c>
      <c r="K1785">
        <v>0</v>
      </c>
    </row>
    <row r="1786" spans="1:11" x14ac:dyDescent="0.2">
      <c r="A1786" t="s">
        <v>16</v>
      </c>
      <c r="B1786" t="s">
        <v>268</v>
      </c>
      <c r="C1786">
        <v>900</v>
      </c>
      <c r="D1786" t="s">
        <v>6258</v>
      </c>
      <c r="E1786" t="s">
        <v>49</v>
      </c>
      <c r="F1786">
        <v>13</v>
      </c>
      <c r="G1786">
        <v>0.33472240910288592</v>
      </c>
      <c r="H1786" t="s">
        <v>89</v>
      </c>
      <c r="I1786">
        <v>0</v>
      </c>
      <c r="J1786">
        <v>0</v>
      </c>
      <c r="K1786">
        <v>0</v>
      </c>
    </row>
    <row r="1787" spans="1:11" x14ac:dyDescent="0.2">
      <c r="A1787" t="s">
        <v>16</v>
      </c>
      <c r="B1787" t="s">
        <v>268</v>
      </c>
      <c r="C1787">
        <v>900</v>
      </c>
      <c r="D1787" t="s">
        <v>6260</v>
      </c>
      <c r="E1787" t="s">
        <v>49</v>
      </c>
      <c r="F1787">
        <v>13</v>
      </c>
      <c r="G1787">
        <v>0.33472240910288592</v>
      </c>
      <c r="H1787" t="s">
        <v>92</v>
      </c>
      <c r="I1787">
        <v>0</v>
      </c>
      <c r="J1787">
        <v>0</v>
      </c>
      <c r="K1787">
        <v>0</v>
      </c>
    </row>
    <row r="1788" spans="1:11" x14ac:dyDescent="0.2">
      <c r="A1788" t="s">
        <v>16</v>
      </c>
      <c r="B1788" t="s">
        <v>596</v>
      </c>
      <c r="C1788">
        <v>450</v>
      </c>
      <c r="D1788" t="s">
        <v>6268</v>
      </c>
      <c r="E1788" t="s">
        <v>49</v>
      </c>
      <c r="F1788">
        <v>14</v>
      </c>
      <c r="G1788">
        <v>0.52642387838994509</v>
      </c>
      <c r="H1788" t="s">
        <v>103</v>
      </c>
      <c r="I1788">
        <v>0</v>
      </c>
      <c r="J1788">
        <v>0</v>
      </c>
      <c r="K1788">
        <v>0</v>
      </c>
    </row>
    <row r="1789" spans="1:11" x14ac:dyDescent="0.2">
      <c r="A1789" t="s">
        <v>16</v>
      </c>
      <c r="B1789" t="s">
        <v>596</v>
      </c>
      <c r="C1789">
        <v>450</v>
      </c>
      <c r="D1789" t="s">
        <v>6272</v>
      </c>
      <c r="E1789" t="s">
        <v>49</v>
      </c>
      <c r="F1789">
        <v>14</v>
      </c>
      <c r="G1789">
        <v>0.52642387838994509</v>
      </c>
      <c r="H1789" t="s">
        <v>89</v>
      </c>
      <c r="I1789">
        <v>0</v>
      </c>
      <c r="J1789">
        <v>0</v>
      </c>
      <c r="K1789">
        <v>0</v>
      </c>
    </row>
    <row r="1790" spans="1:11" x14ac:dyDescent="0.2">
      <c r="A1790" t="s">
        <v>16</v>
      </c>
      <c r="B1790" t="s">
        <v>596</v>
      </c>
      <c r="C1790">
        <v>450</v>
      </c>
      <c r="D1790" t="s">
        <v>6269</v>
      </c>
      <c r="E1790" t="s">
        <v>49</v>
      </c>
      <c r="F1790">
        <v>14</v>
      </c>
      <c r="G1790">
        <v>0.52642387838994509</v>
      </c>
      <c r="H1790" t="s">
        <v>92</v>
      </c>
      <c r="I1790">
        <v>0</v>
      </c>
      <c r="J1790">
        <v>0</v>
      </c>
      <c r="K1790">
        <v>0</v>
      </c>
    </row>
    <row r="1791" spans="1:11" x14ac:dyDescent="0.2">
      <c r="A1791" t="s">
        <v>16</v>
      </c>
      <c r="B1791" t="s">
        <v>596</v>
      </c>
      <c r="C1791">
        <v>450</v>
      </c>
      <c r="D1791" t="s">
        <v>6270</v>
      </c>
      <c r="E1791" t="s">
        <v>49</v>
      </c>
      <c r="F1791">
        <v>14</v>
      </c>
      <c r="G1791">
        <v>0.52642387838994509</v>
      </c>
      <c r="H1791" t="s">
        <v>90</v>
      </c>
      <c r="I1791">
        <v>0</v>
      </c>
      <c r="J1791">
        <v>0</v>
      </c>
      <c r="K1791">
        <v>0</v>
      </c>
    </row>
    <row r="1792" spans="1:11" x14ac:dyDescent="0.2">
      <c r="A1792" t="s">
        <v>16</v>
      </c>
      <c r="B1792" t="s">
        <v>596</v>
      </c>
      <c r="C1792">
        <v>450</v>
      </c>
      <c r="D1792" t="s">
        <v>6271</v>
      </c>
      <c r="E1792" t="s">
        <v>49</v>
      </c>
      <c r="F1792">
        <v>14</v>
      </c>
      <c r="G1792">
        <v>0.52642387838994509</v>
      </c>
      <c r="H1792" t="s">
        <v>103</v>
      </c>
      <c r="I1792">
        <v>0</v>
      </c>
      <c r="J1792">
        <v>0</v>
      </c>
      <c r="K1792">
        <v>0</v>
      </c>
    </row>
    <row r="1793" spans="1:11" x14ac:dyDescent="0.2">
      <c r="A1793" t="s">
        <v>16</v>
      </c>
      <c r="B1793" t="s">
        <v>641</v>
      </c>
      <c r="C1793">
        <v>900</v>
      </c>
      <c r="D1793" t="s">
        <v>6274</v>
      </c>
      <c r="E1793" t="s">
        <v>49</v>
      </c>
      <c r="F1793">
        <v>6</v>
      </c>
      <c r="G1793">
        <v>0.56383821427717284</v>
      </c>
      <c r="H1793" t="s">
        <v>88</v>
      </c>
      <c r="I1793">
        <v>0</v>
      </c>
      <c r="J1793">
        <v>0</v>
      </c>
      <c r="K1793">
        <v>0</v>
      </c>
    </row>
    <row r="1794" spans="1:11" x14ac:dyDescent="0.2">
      <c r="A1794" t="s">
        <v>16</v>
      </c>
      <c r="B1794" t="s">
        <v>641</v>
      </c>
      <c r="C1794">
        <v>600</v>
      </c>
      <c r="D1794" t="s">
        <v>6275</v>
      </c>
      <c r="E1794" t="s">
        <v>49</v>
      </c>
      <c r="F1794">
        <v>6</v>
      </c>
      <c r="G1794">
        <v>0.37589214285144856</v>
      </c>
      <c r="H1794" t="s">
        <v>91</v>
      </c>
      <c r="I1794">
        <v>0</v>
      </c>
      <c r="J1794">
        <v>0</v>
      </c>
      <c r="K1794">
        <v>0</v>
      </c>
    </row>
    <row r="1795" spans="1:11" x14ac:dyDescent="0.2">
      <c r="A1795" t="s">
        <v>16</v>
      </c>
      <c r="B1795" t="s">
        <v>641</v>
      </c>
      <c r="C1795">
        <v>900</v>
      </c>
      <c r="D1795" t="s">
        <v>6273</v>
      </c>
      <c r="E1795" t="s">
        <v>49</v>
      </c>
      <c r="F1795">
        <v>6</v>
      </c>
      <c r="G1795">
        <v>0.56383821427717284</v>
      </c>
      <c r="H1795" t="s">
        <v>89</v>
      </c>
      <c r="I1795">
        <v>0</v>
      </c>
      <c r="J1795">
        <v>0</v>
      </c>
      <c r="K1795">
        <v>0</v>
      </c>
    </row>
    <row r="1796" spans="1:11" x14ac:dyDescent="0.2">
      <c r="A1796" t="s">
        <v>16</v>
      </c>
      <c r="B1796" t="s">
        <v>1494</v>
      </c>
      <c r="C1796">
        <v>450</v>
      </c>
      <c r="D1796" t="s">
        <v>6277</v>
      </c>
      <c r="E1796" t="s">
        <v>49</v>
      </c>
      <c r="F1796">
        <v>5</v>
      </c>
      <c r="G1796">
        <v>0.39449929940751965</v>
      </c>
      <c r="H1796" t="s">
        <v>92</v>
      </c>
      <c r="I1796">
        <v>0</v>
      </c>
      <c r="J1796">
        <v>0</v>
      </c>
      <c r="K1796">
        <v>0</v>
      </c>
    </row>
    <row r="1797" spans="1:11" x14ac:dyDescent="0.2">
      <c r="A1797" t="s">
        <v>16</v>
      </c>
      <c r="B1797" t="s">
        <v>1494</v>
      </c>
      <c r="C1797">
        <v>450</v>
      </c>
      <c r="D1797" t="s">
        <v>6276</v>
      </c>
      <c r="E1797" t="s">
        <v>49</v>
      </c>
      <c r="F1797">
        <v>5</v>
      </c>
      <c r="G1797">
        <v>0.39449929940751965</v>
      </c>
      <c r="H1797" t="s">
        <v>99</v>
      </c>
      <c r="I1797">
        <v>0</v>
      </c>
      <c r="J1797">
        <v>0</v>
      </c>
      <c r="K1797">
        <v>0</v>
      </c>
    </row>
    <row r="1798" spans="1:11" x14ac:dyDescent="0.2">
      <c r="A1798" t="s">
        <v>16</v>
      </c>
      <c r="B1798" t="s">
        <v>1494</v>
      </c>
      <c r="C1798">
        <v>300</v>
      </c>
      <c r="D1798" t="s">
        <v>6279</v>
      </c>
      <c r="E1798" t="s">
        <v>49</v>
      </c>
      <c r="F1798">
        <v>5</v>
      </c>
      <c r="G1798">
        <v>0.26299953293834644</v>
      </c>
      <c r="H1798" t="s">
        <v>90</v>
      </c>
      <c r="I1798">
        <v>0</v>
      </c>
      <c r="J1798">
        <v>0</v>
      </c>
      <c r="K1798">
        <v>0</v>
      </c>
    </row>
    <row r="1799" spans="1:11" x14ac:dyDescent="0.2">
      <c r="A1799" t="s">
        <v>16</v>
      </c>
      <c r="B1799" t="s">
        <v>1494</v>
      </c>
      <c r="C1799">
        <v>450</v>
      </c>
      <c r="D1799" t="s">
        <v>6278</v>
      </c>
      <c r="E1799" t="s">
        <v>49</v>
      </c>
      <c r="F1799">
        <v>5</v>
      </c>
      <c r="G1799">
        <v>0.39449929940751965</v>
      </c>
      <c r="H1799" t="s">
        <v>91</v>
      </c>
      <c r="I1799">
        <v>0</v>
      </c>
      <c r="J1799">
        <v>0</v>
      </c>
      <c r="K1799">
        <v>0</v>
      </c>
    </row>
    <row r="1800" spans="1:11" x14ac:dyDescent="0.2">
      <c r="A1800" t="s">
        <v>16</v>
      </c>
      <c r="B1800" t="s">
        <v>1600</v>
      </c>
      <c r="C1800">
        <v>1160</v>
      </c>
      <c r="D1800" t="s">
        <v>6284</v>
      </c>
      <c r="E1800" t="s">
        <v>49</v>
      </c>
      <c r="F1800">
        <v>24</v>
      </c>
      <c r="G1800">
        <v>0.27342463914435211</v>
      </c>
      <c r="H1800" t="s">
        <v>87</v>
      </c>
      <c r="I1800">
        <v>0</v>
      </c>
      <c r="J1800">
        <v>0</v>
      </c>
      <c r="K1800">
        <v>0</v>
      </c>
    </row>
    <row r="1801" spans="1:11" x14ac:dyDescent="0.2">
      <c r="A1801" t="s">
        <v>16</v>
      </c>
      <c r="B1801" t="s">
        <v>1600</v>
      </c>
      <c r="C1801">
        <v>1160</v>
      </c>
      <c r="D1801" t="s">
        <v>6283</v>
      </c>
      <c r="E1801" t="s">
        <v>49</v>
      </c>
      <c r="F1801">
        <v>24</v>
      </c>
      <c r="G1801">
        <v>0.27342463914435211</v>
      </c>
      <c r="H1801" t="s">
        <v>103</v>
      </c>
      <c r="I1801">
        <v>0</v>
      </c>
      <c r="J1801">
        <v>0</v>
      </c>
      <c r="K1801">
        <v>0</v>
      </c>
    </row>
    <row r="1802" spans="1:11" x14ac:dyDescent="0.2">
      <c r="A1802" t="s">
        <v>16</v>
      </c>
      <c r="B1802" t="s">
        <v>1600</v>
      </c>
      <c r="C1802">
        <v>1740</v>
      </c>
      <c r="D1802" t="s">
        <v>6282</v>
      </c>
      <c r="E1802" t="s">
        <v>49</v>
      </c>
      <c r="F1802">
        <v>24</v>
      </c>
      <c r="G1802">
        <v>0.41013695871652817</v>
      </c>
      <c r="H1802" t="s">
        <v>92</v>
      </c>
      <c r="I1802">
        <v>0</v>
      </c>
      <c r="J1802">
        <v>0</v>
      </c>
      <c r="K1802">
        <v>0</v>
      </c>
    </row>
    <row r="1803" spans="1:11" x14ac:dyDescent="0.2">
      <c r="A1803" t="s">
        <v>16</v>
      </c>
      <c r="B1803" t="s">
        <v>1600</v>
      </c>
      <c r="C1803">
        <v>1740</v>
      </c>
      <c r="D1803" t="s">
        <v>6280</v>
      </c>
      <c r="E1803" t="s">
        <v>49</v>
      </c>
      <c r="F1803">
        <v>24</v>
      </c>
      <c r="G1803">
        <v>0.41013695871652817</v>
      </c>
      <c r="H1803" t="s">
        <v>99</v>
      </c>
      <c r="I1803">
        <v>0</v>
      </c>
      <c r="J1803">
        <v>0</v>
      </c>
      <c r="K1803">
        <v>0</v>
      </c>
    </row>
    <row r="1804" spans="1:11" x14ac:dyDescent="0.2">
      <c r="A1804" t="s">
        <v>16</v>
      </c>
      <c r="B1804" t="s">
        <v>1600</v>
      </c>
      <c r="C1804">
        <v>1160</v>
      </c>
      <c r="D1804" t="s">
        <v>6281</v>
      </c>
      <c r="E1804" t="s">
        <v>49</v>
      </c>
      <c r="F1804">
        <v>24</v>
      </c>
      <c r="G1804">
        <v>0.27342463914435211</v>
      </c>
      <c r="H1804" t="s">
        <v>88</v>
      </c>
      <c r="I1804">
        <v>0</v>
      </c>
      <c r="J1804">
        <v>0</v>
      </c>
      <c r="K1804">
        <v>0</v>
      </c>
    </row>
    <row r="1805" spans="1:11" x14ac:dyDescent="0.2">
      <c r="A1805" t="s">
        <v>16</v>
      </c>
      <c r="B1805" t="s">
        <v>408</v>
      </c>
      <c r="C1805">
        <v>810</v>
      </c>
      <c r="D1805" t="s">
        <v>6285</v>
      </c>
      <c r="E1805" t="s">
        <v>49</v>
      </c>
      <c r="F1805">
        <v>3</v>
      </c>
      <c r="G1805">
        <v>1.018536571630589</v>
      </c>
      <c r="H1805" t="s">
        <v>90</v>
      </c>
      <c r="I1805">
        <v>0</v>
      </c>
      <c r="J1805">
        <v>0</v>
      </c>
      <c r="K1805">
        <v>0</v>
      </c>
    </row>
    <row r="1806" spans="1:11" x14ac:dyDescent="0.2">
      <c r="A1806" t="s">
        <v>16</v>
      </c>
      <c r="B1806" t="s">
        <v>408</v>
      </c>
      <c r="C1806">
        <v>810</v>
      </c>
      <c r="D1806" t="s">
        <v>6286</v>
      </c>
      <c r="E1806" t="s">
        <v>49</v>
      </c>
      <c r="F1806">
        <v>3</v>
      </c>
      <c r="G1806">
        <v>1.018536571630589</v>
      </c>
      <c r="H1806" t="s">
        <v>89</v>
      </c>
      <c r="I1806">
        <v>0</v>
      </c>
      <c r="J1806">
        <v>0</v>
      </c>
      <c r="K1806">
        <v>0</v>
      </c>
    </row>
    <row r="1807" spans="1:11" x14ac:dyDescent="0.2">
      <c r="A1807" t="s">
        <v>16</v>
      </c>
      <c r="B1807" t="s">
        <v>630</v>
      </c>
      <c r="C1807">
        <v>450</v>
      </c>
      <c r="D1807" t="s">
        <v>6291</v>
      </c>
      <c r="E1807" t="s">
        <v>49</v>
      </c>
      <c r="F1807">
        <v>2</v>
      </c>
      <c r="G1807">
        <v>0.74736820944967997</v>
      </c>
      <c r="H1807" t="s">
        <v>87</v>
      </c>
      <c r="I1807">
        <v>0</v>
      </c>
      <c r="J1807">
        <v>0</v>
      </c>
      <c r="K1807">
        <v>0</v>
      </c>
    </row>
    <row r="1808" spans="1:11" x14ac:dyDescent="0.2">
      <c r="A1808" t="s">
        <v>16</v>
      </c>
      <c r="B1808" t="s">
        <v>630</v>
      </c>
      <c r="C1808">
        <v>450</v>
      </c>
      <c r="D1808" t="s">
        <v>6290</v>
      </c>
      <c r="E1808" t="s">
        <v>49</v>
      </c>
      <c r="F1808">
        <v>2</v>
      </c>
      <c r="G1808">
        <v>0.74736820944967997</v>
      </c>
      <c r="H1808" t="s">
        <v>103</v>
      </c>
      <c r="I1808">
        <v>0</v>
      </c>
      <c r="J1808">
        <v>0</v>
      </c>
      <c r="K1808">
        <v>0</v>
      </c>
    </row>
    <row r="1809" spans="1:11" x14ac:dyDescent="0.2">
      <c r="A1809" t="s">
        <v>16</v>
      </c>
      <c r="B1809" t="s">
        <v>630</v>
      </c>
      <c r="C1809">
        <v>450</v>
      </c>
      <c r="D1809" t="s">
        <v>6287</v>
      </c>
      <c r="E1809" t="s">
        <v>49</v>
      </c>
      <c r="F1809">
        <v>2</v>
      </c>
      <c r="G1809">
        <v>0.74736820944967997</v>
      </c>
      <c r="H1809" t="s">
        <v>87</v>
      </c>
      <c r="I1809">
        <v>0</v>
      </c>
      <c r="J1809">
        <v>0</v>
      </c>
      <c r="K1809">
        <v>0</v>
      </c>
    </row>
    <row r="1810" spans="1:11" x14ac:dyDescent="0.2">
      <c r="A1810" t="s">
        <v>16</v>
      </c>
      <c r="B1810" t="s">
        <v>630</v>
      </c>
      <c r="C1810">
        <v>450</v>
      </c>
      <c r="D1810" t="s">
        <v>6288</v>
      </c>
      <c r="E1810" t="s">
        <v>49</v>
      </c>
      <c r="F1810">
        <v>2</v>
      </c>
      <c r="G1810">
        <v>0.74736820944967997</v>
      </c>
      <c r="H1810" t="s">
        <v>103</v>
      </c>
      <c r="I1810">
        <v>0</v>
      </c>
      <c r="J1810">
        <v>0</v>
      </c>
      <c r="K1810">
        <v>0</v>
      </c>
    </row>
    <row r="1811" spans="1:11" x14ac:dyDescent="0.2">
      <c r="A1811" t="s">
        <v>16</v>
      </c>
      <c r="B1811" t="s">
        <v>630</v>
      </c>
      <c r="C1811">
        <v>300</v>
      </c>
      <c r="D1811" t="s">
        <v>6289</v>
      </c>
      <c r="E1811" t="s">
        <v>49</v>
      </c>
      <c r="F1811">
        <v>2</v>
      </c>
      <c r="G1811">
        <v>0.49824547296645327</v>
      </c>
      <c r="H1811" t="s">
        <v>87</v>
      </c>
      <c r="I1811">
        <v>0</v>
      </c>
      <c r="J1811">
        <v>0</v>
      </c>
      <c r="K1811">
        <v>0</v>
      </c>
    </row>
    <row r="1812" spans="1:11" x14ac:dyDescent="0.2">
      <c r="A1812" t="s">
        <v>16</v>
      </c>
      <c r="B1812" t="s">
        <v>801</v>
      </c>
      <c r="C1812">
        <v>750</v>
      </c>
      <c r="D1812" t="s">
        <v>6294</v>
      </c>
      <c r="E1812" t="s">
        <v>49</v>
      </c>
      <c r="F1812">
        <v>8</v>
      </c>
      <c r="G1812">
        <v>0.65988839048585524</v>
      </c>
      <c r="H1812" t="s">
        <v>91</v>
      </c>
      <c r="I1812">
        <v>0</v>
      </c>
      <c r="J1812">
        <v>0</v>
      </c>
      <c r="K1812">
        <v>0</v>
      </c>
    </row>
    <row r="1813" spans="1:11" x14ac:dyDescent="0.2">
      <c r="A1813" t="s">
        <v>16</v>
      </c>
      <c r="B1813" t="s">
        <v>801</v>
      </c>
      <c r="C1813">
        <v>750</v>
      </c>
      <c r="D1813" t="s">
        <v>6295</v>
      </c>
      <c r="E1813" t="s">
        <v>49</v>
      </c>
      <c r="F1813">
        <v>8</v>
      </c>
      <c r="G1813">
        <v>0.65988839048585524</v>
      </c>
      <c r="H1813" t="s">
        <v>88</v>
      </c>
      <c r="I1813">
        <v>0</v>
      </c>
      <c r="J1813">
        <v>0</v>
      </c>
      <c r="K1813">
        <v>0</v>
      </c>
    </row>
    <row r="1814" spans="1:11" x14ac:dyDescent="0.2">
      <c r="A1814" t="s">
        <v>16</v>
      </c>
      <c r="B1814" t="s">
        <v>801</v>
      </c>
      <c r="C1814">
        <v>750</v>
      </c>
      <c r="D1814" t="s">
        <v>6293</v>
      </c>
      <c r="E1814" t="s">
        <v>49</v>
      </c>
      <c r="F1814">
        <v>8</v>
      </c>
      <c r="G1814">
        <v>0.65988839048585524</v>
      </c>
      <c r="H1814" t="s">
        <v>92</v>
      </c>
      <c r="I1814">
        <v>0</v>
      </c>
      <c r="J1814">
        <v>0</v>
      </c>
      <c r="K1814">
        <v>0</v>
      </c>
    </row>
    <row r="1815" spans="1:11" x14ac:dyDescent="0.2">
      <c r="A1815" t="s">
        <v>16</v>
      </c>
      <c r="B1815" t="s">
        <v>801</v>
      </c>
      <c r="C1815">
        <v>750</v>
      </c>
      <c r="D1815" t="s">
        <v>6296</v>
      </c>
      <c r="E1815" t="s">
        <v>49</v>
      </c>
      <c r="F1815">
        <v>8</v>
      </c>
      <c r="G1815">
        <v>0.65988839048585524</v>
      </c>
      <c r="H1815" t="s">
        <v>95</v>
      </c>
      <c r="I1815">
        <v>0</v>
      </c>
      <c r="J1815">
        <v>0</v>
      </c>
      <c r="K1815">
        <v>0</v>
      </c>
    </row>
    <row r="1816" spans="1:11" x14ac:dyDescent="0.2">
      <c r="A1816" t="s">
        <v>16</v>
      </c>
      <c r="B1816" t="s">
        <v>801</v>
      </c>
      <c r="C1816">
        <v>750</v>
      </c>
      <c r="D1816" t="s">
        <v>6297</v>
      </c>
      <c r="E1816" t="s">
        <v>49</v>
      </c>
      <c r="F1816">
        <v>8</v>
      </c>
      <c r="G1816">
        <v>0.65988839048585524</v>
      </c>
      <c r="H1816" t="s">
        <v>99</v>
      </c>
      <c r="I1816">
        <v>0</v>
      </c>
      <c r="J1816">
        <v>0</v>
      </c>
      <c r="K1816">
        <v>0</v>
      </c>
    </row>
    <row r="1817" spans="1:11" x14ac:dyDescent="0.2">
      <c r="A1817" t="s">
        <v>16</v>
      </c>
      <c r="B1817" t="s">
        <v>801</v>
      </c>
      <c r="C1817">
        <v>750</v>
      </c>
      <c r="D1817" t="s">
        <v>6292</v>
      </c>
      <c r="E1817" t="s">
        <v>49</v>
      </c>
      <c r="F1817">
        <v>8</v>
      </c>
      <c r="G1817">
        <v>0.65988839048585524</v>
      </c>
      <c r="H1817" t="s">
        <v>91</v>
      </c>
      <c r="I1817">
        <v>0</v>
      </c>
      <c r="J1817">
        <v>0</v>
      </c>
      <c r="K1817">
        <v>0</v>
      </c>
    </row>
    <row r="1818" spans="1:11" x14ac:dyDescent="0.2">
      <c r="A1818" t="s">
        <v>16</v>
      </c>
      <c r="B1818" t="s">
        <v>801</v>
      </c>
      <c r="C1818">
        <v>750</v>
      </c>
      <c r="D1818" t="s">
        <v>6298</v>
      </c>
      <c r="E1818" t="s">
        <v>49</v>
      </c>
      <c r="F1818">
        <v>8</v>
      </c>
      <c r="G1818">
        <v>0.65988839048585524</v>
      </c>
      <c r="H1818" t="s">
        <v>88</v>
      </c>
      <c r="I1818">
        <v>0</v>
      </c>
      <c r="J1818">
        <v>0</v>
      </c>
      <c r="K1818">
        <v>0</v>
      </c>
    </row>
    <row r="1819" spans="1:11" x14ac:dyDescent="0.2">
      <c r="A1819" t="s">
        <v>16</v>
      </c>
      <c r="B1819" t="s">
        <v>900</v>
      </c>
      <c r="C1819">
        <v>1050</v>
      </c>
      <c r="D1819" t="s">
        <v>6301</v>
      </c>
      <c r="E1819" t="s">
        <v>49</v>
      </c>
      <c r="F1819">
        <v>5</v>
      </c>
      <c r="G1819">
        <v>0.46836177892435554</v>
      </c>
      <c r="H1819" t="s">
        <v>92</v>
      </c>
      <c r="I1819">
        <v>0</v>
      </c>
      <c r="J1819">
        <v>0</v>
      </c>
      <c r="K1819">
        <v>0</v>
      </c>
    </row>
    <row r="1820" spans="1:11" x14ac:dyDescent="0.2">
      <c r="A1820" t="s">
        <v>16</v>
      </c>
      <c r="B1820" t="s">
        <v>900</v>
      </c>
      <c r="C1820">
        <v>1050</v>
      </c>
      <c r="D1820" t="s">
        <v>6302</v>
      </c>
      <c r="E1820" t="s">
        <v>49</v>
      </c>
      <c r="F1820">
        <v>5</v>
      </c>
      <c r="G1820">
        <v>0.46836177892435554</v>
      </c>
      <c r="H1820" t="s">
        <v>95</v>
      </c>
      <c r="I1820">
        <v>0</v>
      </c>
      <c r="J1820">
        <v>0</v>
      </c>
      <c r="K1820">
        <v>0</v>
      </c>
    </row>
    <row r="1821" spans="1:11" x14ac:dyDescent="0.2">
      <c r="A1821" t="s">
        <v>16</v>
      </c>
      <c r="B1821" t="s">
        <v>900</v>
      </c>
      <c r="C1821">
        <v>1050</v>
      </c>
      <c r="D1821" t="s">
        <v>6299</v>
      </c>
      <c r="E1821" t="s">
        <v>49</v>
      </c>
      <c r="F1821">
        <v>5</v>
      </c>
      <c r="G1821">
        <v>0.46836177892435554</v>
      </c>
      <c r="H1821" t="s">
        <v>99</v>
      </c>
      <c r="I1821">
        <v>0</v>
      </c>
      <c r="J1821">
        <v>0</v>
      </c>
      <c r="K1821">
        <v>0</v>
      </c>
    </row>
    <row r="1822" spans="1:11" x14ac:dyDescent="0.2">
      <c r="A1822" t="s">
        <v>16</v>
      </c>
      <c r="B1822" t="s">
        <v>900</v>
      </c>
      <c r="C1822">
        <v>1050</v>
      </c>
      <c r="D1822" t="s">
        <v>6303</v>
      </c>
      <c r="E1822" t="s">
        <v>49</v>
      </c>
      <c r="F1822">
        <v>5</v>
      </c>
      <c r="G1822">
        <v>0.46836177892435554</v>
      </c>
      <c r="H1822" t="s">
        <v>90</v>
      </c>
      <c r="I1822">
        <v>0</v>
      </c>
      <c r="J1822">
        <v>0</v>
      </c>
      <c r="K1822">
        <v>0</v>
      </c>
    </row>
    <row r="1823" spans="1:11" x14ac:dyDescent="0.2">
      <c r="A1823" t="s">
        <v>16</v>
      </c>
      <c r="B1823" t="s">
        <v>900</v>
      </c>
      <c r="C1823">
        <v>1050</v>
      </c>
      <c r="D1823" t="s">
        <v>6300</v>
      </c>
      <c r="E1823" t="s">
        <v>49</v>
      </c>
      <c r="F1823">
        <v>5</v>
      </c>
      <c r="G1823">
        <v>0.46836177892435554</v>
      </c>
      <c r="H1823" t="s">
        <v>89</v>
      </c>
      <c r="I1823">
        <v>0</v>
      </c>
      <c r="J1823">
        <v>0</v>
      </c>
      <c r="K1823">
        <v>0</v>
      </c>
    </row>
    <row r="1824" spans="1:11" x14ac:dyDescent="0.2">
      <c r="A1824" t="s">
        <v>16</v>
      </c>
      <c r="B1824" t="s">
        <v>1695</v>
      </c>
      <c r="C1824">
        <v>200</v>
      </c>
      <c r="D1824" t="s">
        <v>6304</v>
      </c>
      <c r="E1824" t="s">
        <v>49</v>
      </c>
      <c r="F1824">
        <v>5</v>
      </c>
      <c r="G1824">
        <v>0.23269296031550205</v>
      </c>
      <c r="H1824" t="s">
        <v>92</v>
      </c>
      <c r="I1824">
        <v>0</v>
      </c>
      <c r="J1824">
        <v>0</v>
      </c>
      <c r="K1824">
        <v>0</v>
      </c>
    </row>
    <row r="1825" spans="1:11" x14ac:dyDescent="0.2">
      <c r="A1825" t="s">
        <v>16</v>
      </c>
      <c r="B1825" t="s">
        <v>844</v>
      </c>
      <c r="C1825">
        <v>900</v>
      </c>
      <c r="D1825" t="s">
        <v>6305</v>
      </c>
      <c r="E1825" t="s">
        <v>49</v>
      </c>
      <c r="F1825">
        <v>6</v>
      </c>
      <c r="G1825">
        <v>1.1323573302335812</v>
      </c>
      <c r="H1825" t="s">
        <v>95</v>
      </c>
      <c r="I1825">
        <v>0</v>
      </c>
      <c r="J1825">
        <v>0</v>
      </c>
      <c r="K1825">
        <v>0</v>
      </c>
    </row>
    <row r="1826" spans="1:11" x14ac:dyDescent="0.2">
      <c r="A1826" t="s">
        <v>16</v>
      </c>
      <c r="B1826" t="s">
        <v>844</v>
      </c>
      <c r="C1826">
        <v>300</v>
      </c>
      <c r="D1826" t="s">
        <v>6306</v>
      </c>
      <c r="E1826" t="s">
        <v>49</v>
      </c>
      <c r="F1826">
        <v>6</v>
      </c>
      <c r="G1826">
        <v>0.37745244341119372</v>
      </c>
      <c r="H1826" t="s">
        <v>99</v>
      </c>
      <c r="I1826">
        <v>0</v>
      </c>
      <c r="J1826">
        <v>0</v>
      </c>
      <c r="K1826">
        <v>0</v>
      </c>
    </row>
    <row r="1827" spans="1:11" x14ac:dyDescent="0.2">
      <c r="A1827" t="s">
        <v>16</v>
      </c>
      <c r="B1827" t="s">
        <v>824</v>
      </c>
      <c r="C1827">
        <v>360</v>
      </c>
      <c r="D1827" t="s">
        <v>6325</v>
      </c>
      <c r="E1827" t="s">
        <v>49</v>
      </c>
      <c r="F1827">
        <v>5</v>
      </c>
      <c r="G1827">
        <v>0.4487773998292488</v>
      </c>
      <c r="H1827" t="s">
        <v>90</v>
      </c>
      <c r="I1827">
        <v>0</v>
      </c>
      <c r="J1827">
        <v>0</v>
      </c>
      <c r="K1827">
        <v>0</v>
      </c>
    </row>
    <row r="1828" spans="1:11" x14ac:dyDescent="0.2">
      <c r="A1828" t="s">
        <v>16</v>
      </c>
      <c r="B1828" t="s">
        <v>824</v>
      </c>
      <c r="C1828">
        <v>360</v>
      </c>
      <c r="D1828" t="s">
        <v>6316</v>
      </c>
      <c r="E1828" t="s">
        <v>49</v>
      </c>
      <c r="F1828">
        <v>5</v>
      </c>
      <c r="G1828">
        <v>0.4487773998292488</v>
      </c>
      <c r="H1828" t="s">
        <v>89</v>
      </c>
      <c r="I1828">
        <v>0</v>
      </c>
      <c r="J1828">
        <v>0</v>
      </c>
      <c r="K1828">
        <v>0</v>
      </c>
    </row>
    <row r="1829" spans="1:11" x14ac:dyDescent="0.2">
      <c r="A1829" t="s">
        <v>16</v>
      </c>
      <c r="B1829" t="s">
        <v>824</v>
      </c>
      <c r="C1829">
        <v>360</v>
      </c>
      <c r="D1829" t="s">
        <v>6324</v>
      </c>
      <c r="E1829" t="s">
        <v>49</v>
      </c>
      <c r="F1829">
        <v>5</v>
      </c>
      <c r="G1829">
        <v>0.4487773998292488</v>
      </c>
      <c r="H1829" t="s">
        <v>91</v>
      </c>
      <c r="I1829">
        <v>0</v>
      </c>
      <c r="J1829">
        <v>0</v>
      </c>
      <c r="K1829">
        <v>0</v>
      </c>
    </row>
    <row r="1830" spans="1:11" x14ac:dyDescent="0.2">
      <c r="A1830" t="s">
        <v>16</v>
      </c>
      <c r="B1830" t="s">
        <v>824</v>
      </c>
      <c r="C1830">
        <v>360</v>
      </c>
      <c r="D1830" t="s">
        <v>6308</v>
      </c>
      <c r="E1830" t="s">
        <v>49</v>
      </c>
      <c r="F1830">
        <v>5</v>
      </c>
      <c r="G1830">
        <v>0.4487773998292488</v>
      </c>
      <c r="H1830" t="s">
        <v>88</v>
      </c>
      <c r="I1830">
        <v>0</v>
      </c>
      <c r="J1830">
        <v>0</v>
      </c>
      <c r="K1830">
        <v>0</v>
      </c>
    </row>
    <row r="1831" spans="1:11" x14ac:dyDescent="0.2">
      <c r="A1831" t="s">
        <v>16</v>
      </c>
      <c r="B1831" t="s">
        <v>824</v>
      </c>
      <c r="C1831">
        <v>360</v>
      </c>
      <c r="D1831" t="s">
        <v>6329</v>
      </c>
      <c r="E1831" t="s">
        <v>49</v>
      </c>
      <c r="F1831">
        <v>5</v>
      </c>
      <c r="G1831">
        <v>0.4487773998292488</v>
      </c>
      <c r="H1831" t="s">
        <v>104</v>
      </c>
      <c r="I1831">
        <v>0</v>
      </c>
      <c r="J1831">
        <v>0</v>
      </c>
      <c r="K1831">
        <v>0</v>
      </c>
    </row>
    <row r="1832" spans="1:11" x14ac:dyDescent="0.2">
      <c r="A1832" t="s">
        <v>16</v>
      </c>
      <c r="B1832" t="s">
        <v>824</v>
      </c>
      <c r="C1832">
        <v>360</v>
      </c>
      <c r="D1832" t="s">
        <v>6326</v>
      </c>
      <c r="E1832" t="s">
        <v>49</v>
      </c>
      <c r="F1832">
        <v>5</v>
      </c>
      <c r="G1832">
        <v>0.4487773998292488</v>
      </c>
      <c r="H1832" t="s">
        <v>90</v>
      </c>
      <c r="I1832">
        <v>0</v>
      </c>
      <c r="J1832">
        <v>0</v>
      </c>
      <c r="K1832">
        <v>0</v>
      </c>
    </row>
    <row r="1833" spans="1:11" x14ac:dyDescent="0.2">
      <c r="A1833" t="s">
        <v>16</v>
      </c>
      <c r="B1833" t="s">
        <v>824</v>
      </c>
      <c r="C1833">
        <v>360</v>
      </c>
      <c r="D1833" t="s">
        <v>6312</v>
      </c>
      <c r="E1833" t="s">
        <v>49</v>
      </c>
      <c r="F1833">
        <v>5</v>
      </c>
      <c r="G1833">
        <v>0.4487773998292488</v>
      </c>
      <c r="H1833" t="s">
        <v>89</v>
      </c>
      <c r="I1833">
        <v>0</v>
      </c>
      <c r="J1833">
        <v>0</v>
      </c>
      <c r="K1833">
        <v>0</v>
      </c>
    </row>
    <row r="1834" spans="1:11" x14ac:dyDescent="0.2">
      <c r="A1834" t="s">
        <v>16</v>
      </c>
      <c r="B1834" t="s">
        <v>824</v>
      </c>
      <c r="C1834">
        <v>360</v>
      </c>
      <c r="D1834" t="s">
        <v>6327</v>
      </c>
      <c r="E1834" t="s">
        <v>49</v>
      </c>
      <c r="F1834">
        <v>5</v>
      </c>
      <c r="G1834">
        <v>0.4487773998292488</v>
      </c>
      <c r="H1834" t="s">
        <v>91</v>
      </c>
      <c r="I1834">
        <v>0</v>
      </c>
      <c r="J1834">
        <v>0</v>
      </c>
      <c r="K1834">
        <v>0</v>
      </c>
    </row>
    <row r="1835" spans="1:11" x14ac:dyDescent="0.2">
      <c r="A1835" t="s">
        <v>16</v>
      </c>
      <c r="B1835" t="s">
        <v>824</v>
      </c>
      <c r="C1835">
        <v>360</v>
      </c>
      <c r="D1835" t="s">
        <v>6315</v>
      </c>
      <c r="E1835" t="s">
        <v>49</v>
      </c>
      <c r="F1835">
        <v>5</v>
      </c>
      <c r="G1835">
        <v>0.4487773998292488</v>
      </c>
      <c r="H1835" t="s">
        <v>88</v>
      </c>
      <c r="I1835">
        <v>0</v>
      </c>
      <c r="J1835">
        <v>0</v>
      </c>
      <c r="K1835">
        <v>0</v>
      </c>
    </row>
    <row r="1836" spans="1:11" x14ac:dyDescent="0.2">
      <c r="A1836" t="s">
        <v>16</v>
      </c>
      <c r="B1836" t="s">
        <v>824</v>
      </c>
      <c r="C1836">
        <v>360</v>
      </c>
      <c r="D1836" t="s">
        <v>6321</v>
      </c>
      <c r="E1836" t="s">
        <v>49</v>
      </c>
      <c r="F1836">
        <v>5</v>
      </c>
      <c r="G1836">
        <v>0.4487773998292488</v>
      </c>
      <c r="H1836" t="s">
        <v>104</v>
      </c>
      <c r="I1836">
        <v>0</v>
      </c>
      <c r="J1836">
        <v>0</v>
      </c>
      <c r="K1836">
        <v>0</v>
      </c>
    </row>
    <row r="1837" spans="1:11" x14ac:dyDescent="0.2">
      <c r="A1837" t="s">
        <v>16</v>
      </c>
      <c r="B1837" t="s">
        <v>824</v>
      </c>
      <c r="C1837">
        <v>360</v>
      </c>
      <c r="D1837" t="s">
        <v>6318</v>
      </c>
      <c r="E1837" t="s">
        <v>49</v>
      </c>
      <c r="F1837">
        <v>5</v>
      </c>
      <c r="G1837">
        <v>0.4487773998292488</v>
      </c>
      <c r="H1837" t="s">
        <v>90</v>
      </c>
      <c r="I1837">
        <v>0</v>
      </c>
      <c r="J1837">
        <v>0</v>
      </c>
      <c r="K1837">
        <v>0</v>
      </c>
    </row>
    <row r="1838" spans="1:11" x14ac:dyDescent="0.2">
      <c r="A1838" t="s">
        <v>16</v>
      </c>
      <c r="B1838" t="s">
        <v>824</v>
      </c>
      <c r="C1838">
        <v>360</v>
      </c>
      <c r="D1838" t="s">
        <v>6323</v>
      </c>
      <c r="E1838" t="s">
        <v>49</v>
      </c>
      <c r="F1838">
        <v>5</v>
      </c>
      <c r="G1838">
        <v>0.4487773998292488</v>
      </c>
      <c r="H1838" t="s">
        <v>89</v>
      </c>
      <c r="I1838">
        <v>0</v>
      </c>
      <c r="J1838">
        <v>0</v>
      </c>
      <c r="K1838">
        <v>0</v>
      </c>
    </row>
    <row r="1839" spans="1:11" x14ac:dyDescent="0.2">
      <c r="A1839" t="s">
        <v>16</v>
      </c>
      <c r="B1839" t="s">
        <v>824</v>
      </c>
      <c r="C1839">
        <v>120</v>
      </c>
      <c r="D1839" t="s">
        <v>6322</v>
      </c>
      <c r="E1839" t="s">
        <v>49</v>
      </c>
      <c r="F1839">
        <v>5</v>
      </c>
      <c r="G1839">
        <v>0.14959246660974959</v>
      </c>
      <c r="H1839" t="s">
        <v>91</v>
      </c>
      <c r="I1839">
        <v>0</v>
      </c>
      <c r="J1839">
        <v>0</v>
      </c>
      <c r="K1839">
        <v>0</v>
      </c>
    </row>
    <row r="1840" spans="1:11" x14ac:dyDescent="0.2">
      <c r="A1840" t="s">
        <v>16</v>
      </c>
      <c r="B1840" t="s">
        <v>824</v>
      </c>
      <c r="C1840">
        <v>360</v>
      </c>
      <c r="D1840" t="s">
        <v>6311</v>
      </c>
      <c r="E1840" t="s">
        <v>49</v>
      </c>
      <c r="F1840">
        <v>5</v>
      </c>
      <c r="G1840">
        <v>0.4487773998292488</v>
      </c>
      <c r="H1840" t="s">
        <v>88</v>
      </c>
      <c r="I1840">
        <v>0</v>
      </c>
      <c r="J1840">
        <v>0</v>
      </c>
      <c r="K1840">
        <v>0</v>
      </c>
    </row>
    <row r="1841" spans="1:11" x14ac:dyDescent="0.2">
      <c r="A1841" t="s">
        <v>16</v>
      </c>
      <c r="B1841" t="s">
        <v>824</v>
      </c>
      <c r="C1841">
        <v>360</v>
      </c>
      <c r="D1841" t="s">
        <v>6317</v>
      </c>
      <c r="E1841" t="s">
        <v>49</v>
      </c>
      <c r="F1841">
        <v>5</v>
      </c>
      <c r="G1841">
        <v>0.4487773998292488</v>
      </c>
      <c r="H1841" t="s">
        <v>104</v>
      </c>
      <c r="I1841">
        <v>0</v>
      </c>
      <c r="J1841">
        <v>0</v>
      </c>
      <c r="K1841">
        <v>0</v>
      </c>
    </row>
    <row r="1842" spans="1:11" x14ac:dyDescent="0.2">
      <c r="A1842" t="s">
        <v>16</v>
      </c>
      <c r="B1842" t="s">
        <v>824</v>
      </c>
      <c r="C1842">
        <v>120</v>
      </c>
      <c r="D1842" t="s">
        <v>6310</v>
      </c>
      <c r="E1842" t="s">
        <v>49</v>
      </c>
      <c r="F1842">
        <v>5</v>
      </c>
      <c r="G1842">
        <v>0.14959246660974959</v>
      </c>
      <c r="H1842" t="s">
        <v>91</v>
      </c>
      <c r="I1842">
        <v>0</v>
      </c>
      <c r="J1842">
        <v>0</v>
      </c>
      <c r="K1842">
        <v>0</v>
      </c>
    </row>
    <row r="1843" spans="1:11" x14ac:dyDescent="0.2">
      <c r="A1843" t="s">
        <v>16</v>
      </c>
      <c r="B1843" t="s">
        <v>824</v>
      </c>
      <c r="C1843">
        <v>360</v>
      </c>
      <c r="D1843" t="s">
        <v>6313</v>
      </c>
      <c r="E1843" t="s">
        <v>49</v>
      </c>
      <c r="F1843">
        <v>5</v>
      </c>
      <c r="G1843">
        <v>0.4487773998292488</v>
      </c>
      <c r="H1843" t="s">
        <v>91</v>
      </c>
      <c r="I1843">
        <v>0</v>
      </c>
      <c r="J1843">
        <v>0</v>
      </c>
      <c r="K1843">
        <v>0</v>
      </c>
    </row>
    <row r="1844" spans="1:11" x14ac:dyDescent="0.2">
      <c r="A1844" t="s">
        <v>16</v>
      </c>
      <c r="B1844" t="s">
        <v>824</v>
      </c>
      <c r="C1844">
        <v>360</v>
      </c>
      <c r="D1844" t="s">
        <v>6309</v>
      </c>
      <c r="E1844" t="s">
        <v>49</v>
      </c>
      <c r="F1844">
        <v>5</v>
      </c>
      <c r="G1844">
        <v>0.4487773998292488</v>
      </c>
      <c r="H1844" t="s">
        <v>90</v>
      </c>
      <c r="I1844">
        <v>0</v>
      </c>
      <c r="J1844">
        <v>0</v>
      </c>
      <c r="K1844">
        <v>0</v>
      </c>
    </row>
    <row r="1845" spans="1:11" x14ac:dyDescent="0.2">
      <c r="A1845" t="s">
        <v>16</v>
      </c>
      <c r="B1845" t="s">
        <v>824</v>
      </c>
      <c r="C1845">
        <v>360</v>
      </c>
      <c r="D1845" t="s">
        <v>6314</v>
      </c>
      <c r="E1845" t="s">
        <v>49</v>
      </c>
      <c r="F1845">
        <v>5</v>
      </c>
      <c r="G1845">
        <v>0.4487773998292488</v>
      </c>
      <c r="H1845" t="s">
        <v>89</v>
      </c>
      <c r="I1845">
        <v>0</v>
      </c>
      <c r="J1845">
        <v>0</v>
      </c>
      <c r="K1845">
        <v>0</v>
      </c>
    </row>
    <row r="1846" spans="1:11" x14ac:dyDescent="0.2">
      <c r="A1846" t="s">
        <v>16</v>
      </c>
      <c r="B1846" t="s">
        <v>824</v>
      </c>
      <c r="C1846">
        <v>360</v>
      </c>
      <c r="D1846" t="s">
        <v>6307</v>
      </c>
      <c r="E1846" t="s">
        <v>49</v>
      </c>
      <c r="F1846">
        <v>5</v>
      </c>
      <c r="G1846">
        <v>0.4487773998292488</v>
      </c>
      <c r="H1846" t="s">
        <v>88</v>
      </c>
      <c r="I1846">
        <v>0</v>
      </c>
      <c r="J1846">
        <v>0</v>
      </c>
      <c r="K1846">
        <v>0</v>
      </c>
    </row>
    <row r="1847" spans="1:11" x14ac:dyDescent="0.2">
      <c r="A1847" t="s">
        <v>16</v>
      </c>
      <c r="B1847" t="s">
        <v>824</v>
      </c>
      <c r="C1847">
        <v>360</v>
      </c>
      <c r="D1847" t="s">
        <v>6320</v>
      </c>
      <c r="E1847" t="s">
        <v>49</v>
      </c>
      <c r="F1847">
        <v>5</v>
      </c>
      <c r="G1847">
        <v>0.4487773998292488</v>
      </c>
      <c r="H1847" t="s">
        <v>104</v>
      </c>
      <c r="I1847">
        <v>0</v>
      </c>
      <c r="J1847">
        <v>0</v>
      </c>
      <c r="K1847">
        <v>0</v>
      </c>
    </row>
    <row r="1848" spans="1:11" x14ac:dyDescent="0.2">
      <c r="A1848" t="s">
        <v>16</v>
      </c>
      <c r="B1848" t="s">
        <v>824</v>
      </c>
      <c r="C1848">
        <v>360</v>
      </c>
      <c r="D1848" t="s">
        <v>6319</v>
      </c>
      <c r="E1848" t="s">
        <v>49</v>
      </c>
      <c r="F1848">
        <v>5</v>
      </c>
      <c r="G1848">
        <v>0.4487773998292488</v>
      </c>
      <c r="H1848" t="s">
        <v>91</v>
      </c>
      <c r="I1848">
        <v>0</v>
      </c>
      <c r="J1848">
        <v>0</v>
      </c>
      <c r="K1848">
        <v>0</v>
      </c>
    </row>
    <row r="1849" spans="1:11" x14ac:dyDescent="0.2">
      <c r="A1849" t="s">
        <v>16</v>
      </c>
      <c r="B1849" t="s">
        <v>824</v>
      </c>
      <c r="C1849">
        <v>360</v>
      </c>
      <c r="D1849" t="s">
        <v>6328</v>
      </c>
      <c r="E1849" t="s">
        <v>49</v>
      </c>
      <c r="F1849">
        <v>5</v>
      </c>
      <c r="G1849">
        <v>0.4487773998292488</v>
      </c>
      <c r="H1849" t="s">
        <v>90</v>
      </c>
      <c r="I1849">
        <v>0</v>
      </c>
      <c r="J1849">
        <v>0</v>
      </c>
      <c r="K1849">
        <v>0</v>
      </c>
    </row>
    <row r="1850" spans="1:11" x14ac:dyDescent="0.2">
      <c r="A1850" t="s">
        <v>16</v>
      </c>
      <c r="B1850" t="s">
        <v>1723</v>
      </c>
      <c r="C1850">
        <v>250</v>
      </c>
      <c r="D1850" t="s">
        <v>6330</v>
      </c>
      <c r="E1850" t="s">
        <v>49</v>
      </c>
      <c r="F1850">
        <v>7</v>
      </c>
      <c r="G1850">
        <v>0.16083464522191945</v>
      </c>
      <c r="H1850" t="s">
        <v>103</v>
      </c>
      <c r="I1850">
        <v>0</v>
      </c>
      <c r="J1850">
        <v>0</v>
      </c>
      <c r="K1850">
        <v>0</v>
      </c>
    </row>
    <row r="1851" spans="1:11" x14ac:dyDescent="0.2">
      <c r="A1851" t="s">
        <v>16</v>
      </c>
      <c r="B1851" t="s">
        <v>821</v>
      </c>
      <c r="C1851">
        <v>450</v>
      </c>
      <c r="D1851" t="s">
        <v>6332</v>
      </c>
      <c r="E1851" t="s">
        <v>49</v>
      </c>
      <c r="F1851">
        <v>3</v>
      </c>
      <c r="G1851">
        <v>0.66963689452306274</v>
      </c>
      <c r="H1851" t="s">
        <v>94</v>
      </c>
      <c r="I1851">
        <v>0</v>
      </c>
      <c r="J1851">
        <v>0</v>
      </c>
      <c r="K1851">
        <v>0</v>
      </c>
    </row>
    <row r="1852" spans="1:11" x14ac:dyDescent="0.2">
      <c r="A1852" t="s">
        <v>16</v>
      </c>
      <c r="B1852" t="s">
        <v>821</v>
      </c>
      <c r="C1852">
        <v>450</v>
      </c>
      <c r="D1852" t="s">
        <v>6334</v>
      </c>
      <c r="E1852" t="s">
        <v>49</v>
      </c>
      <c r="F1852">
        <v>3</v>
      </c>
      <c r="G1852">
        <v>0.66963689452306274</v>
      </c>
      <c r="H1852" t="s">
        <v>92</v>
      </c>
      <c r="I1852">
        <v>0</v>
      </c>
      <c r="J1852">
        <v>0</v>
      </c>
      <c r="K1852">
        <v>0</v>
      </c>
    </row>
    <row r="1853" spans="1:11" x14ac:dyDescent="0.2">
      <c r="A1853" t="s">
        <v>16</v>
      </c>
      <c r="B1853" t="s">
        <v>821</v>
      </c>
      <c r="C1853">
        <v>450</v>
      </c>
      <c r="D1853" t="s">
        <v>6333</v>
      </c>
      <c r="E1853" t="s">
        <v>49</v>
      </c>
      <c r="F1853">
        <v>3</v>
      </c>
      <c r="G1853">
        <v>0.66963689452306274</v>
      </c>
      <c r="H1853" t="s">
        <v>98</v>
      </c>
      <c r="I1853">
        <v>0</v>
      </c>
      <c r="J1853">
        <v>0</v>
      </c>
      <c r="K1853">
        <v>0</v>
      </c>
    </row>
    <row r="1854" spans="1:11" x14ac:dyDescent="0.2">
      <c r="A1854" t="s">
        <v>16</v>
      </c>
      <c r="B1854" t="s">
        <v>821</v>
      </c>
      <c r="C1854">
        <v>450</v>
      </c>
      <c r="D1854" t="s">
        <v>6335</v>
      </c>
      <c r="E1854" t="s">
        <v>49</v>
      </c>
      <c r="F1854">
        <v>3</v>
      </c>
      <c r="G1854">
        <v>0.66963689452306274</v>
      </c>
      <c r="H1854" t="s">
        <v>94</v>
      </c>
      <c r="I1854">
        <v>0</v>
      </c>
      <c r="J1854">
        <v>0</v>
      </c>
      <c r="K1854">
        <v>0</v>
      </c>
    </row>
    <row r="1855" spans="1:11" x14ac:dyDescent="0.2">
      <c r="A1855" t="s">
        <v>16</v>
      </c>
      <c r="B1855" t="s">
        <v>821</v>
      </c>
      <c r="C1855">
        <v>450</v>
      </c>
      <c r="D1855" t="s">
        <v>6331</v>
      </c>
      <c r="E1855" t="s">
        <v>49</v>
      </c>
      <c r="F1855">
        <v>3</v>
      </c>
      <c r="G1855">
        <v>0.66963689452306274</v>
      </c>
      <c r="H1855" t="s">
        <v>92</v>
      </c>
      <c r="I1855">
        <v>0</v>
      </c>
      <c r="J1855">
        <v>0</v>
      </c>
      <c r="K1855">
        <v>0</v>
      </c>
    </row>
    <row r="1856" spans="1:11" x14ac:dyDescent="0.2">
      <c r="A1856" t="s">
        <v>16</v>
      </c>
      <c r="B1856" t="s">
        <v>904</v>
      </c>
      <c r="C1856">
        <v>600</v>
      </c>
      <c r="D1856" t="s">
        <v>6339</v>
      </c>
      <c r="E1856" t="s">
        <v>49</v>
      </c>
      <c r="F1856">
        <v>4</v>
      </c>
      <c r="G1856">
        <v>0.78379367229172436</v>
      </c>
      <c r="H1856" t="s">
        <v>103</v>
      </c>
      <c r="I1856">
        <v>0</v>
      </c>
      <c r="J1856">
        <v>0</v>
      </c>
      <c r="K1856">
        <v>0</v>
      </c>
    </row>
    <row r="1857" spans="1:11" x14ac:dyDescent="0.2">
      <c r="A1857" t="s">
        <v>16</v>
      </c>
      <c r="B1857" t="s">
        <v>904</v>
      </c>
      <c r="C1857">
        <v>600</v>
      </c>
      <c r="D1857" t="s">
        <v>6343</v>
      </c>
      <c r="E1857" t="s">
        <v>49</v>
      </c>
      <c r="F1857">
        <v>4</v>
      </c>
      <c r="G1857">
        <v>0.78379367229172436</v>
      </c>
      <c r="H1857" t="s">
        <v>99</v>
      </c>
      <c r="I1857">
        <v>0</v>
      </c>
      <c r="J1857">
        <v>0</v>
      </c>
      <c r="K1857">
        <v>0</v>
      </c>
    </row>
    <row r="1858" spans="1:11" x14ac:dyDescent="0.2">
      <c r="A1858" t="s">
        <v>16</v>
      </c>
      <c r="B1858" t="s">
        <v>904</v>
      </c>
      <c r="C1858">
        <v>400</v>
      </c>
      <c r="D1858" t="s">
        <v>6341</v>
      </c>
      <c r="E1858" t="s">
        <v>49</v>
      </c>
      <c r="F1858">
        <v>4</v>
      </c>
      <c r="G1858">
        <v>0.5225291148611495</v>
      </c>
      <c r="H1858" t="s">
        <v>101</v>
      </c>
      <c r="I1858">
        <v>0</v>
      </c>
      <c r="J1858">
        <v>0</v>
      </c>
      <c r="K1858">
        <v>0</v>
      </c>
    </row>
    <row r="1859" spans="1:11" x14ac:dyDescent="0.2">
      <c r="A1859" t="s">
        <v>16</v>
      </c>
      <c r="B1859" t="s">
        <v>904</v>
      </c>
      <c r="C1859">
        <v>600</v>
      </c>
      <c r="D1859" t="s">
        <v>6336</v>
      </c>
      <c r="E1859" t="s">
        <v>49</v>
      </c>
      <c r="F1859">
        <v>4</v>
      </c>
      <c r="G1859">
        <v>0.78379367229172436</v>
      </c>
      <c r="H1859" t="s">
        <v>87</v>
      </c>
      <c r="I1859">
        <v>0</v>
      </c>
      <c r="J1859">
        <v>0</v>
      </c>
      <c r="K1859">
        <v>0</v>
      </c>
    </row>
    <row r="1860" spans="1:11" x14ac:dyDescent="0.2">
      <c r="A1860" t="s">
        <v>16</v>
      </c>
      <c r="B1860" t="s">
        <v>904</v>
      </c>
      <c r="C1860">
        <v>600</v>
      </c>
      <c r="D1860" t="s">
        <v>6337</v>
      </c>
      <c r="E1860" t="s">
        <v>49</v>
      </c>
      <c r="F1860">
        <v>4</v>
      </c>
      <c r="G1860">
        <v>0.78379367229172436</v>
      </c>
      <c r="H1860" t="s">
        <v>101</v>
      </c>
      <c r="I1860">
        <v>0</v>
      </c>
      <c r="J1860">
        <v>0</v>
      </c>
      <c r="K1860">
        <v>0</v>
      </c>
    </row>
    <row r="1861" spans="1:11" x14ac:dyDescent="0.2">
      <c r="A1861" t="s">
        <v>16</v>
      </c>
      <c r="B1861" t="s">
        <v>904</v>
      </c>
      <c r="C1861">
        <v>200</v>
      </c>
      <c r="D1861" t="s">
        <v>6338</v>
      </c>
      <c r="E1861" t="s">
        <v>49</v>
      </c>
      <c r="F1861">
        <v>4</v>
      </c>
      <c r="G1861">
        <v>0.26126455743057475</v>
      </c>
      <c r="H1861" t="s">
        <v>103</v>
      </c>
      <c r="I1861">
        <v>0</v>
      </c>
      <c r="J1861">
        <v>0</v>
      </c>
      <c r="K1861">
        <v>0</v>
      </c>
    </row>
    <row r="1862" spans="1:11" x14ac:dyDescent="0.2">
      <c r="A1862" t="s">
        <v>16</v>
      </c>
      <c r="B1862" t="s">
        <v>904</v>
      </c>
      <c r="C1862">
        <v>600</v>
      </c>
      <c r="D1862" t="s">
        <v>6340</v>
      </c>
      <c r="E1862" t="s">
        <v>49</v>
      </c>
      <c r="F1862">
        <v>4</v>
      </c>
      <c r="G1862">
        <v>0.78379367229172436</v>
      </c>
      <c r="H1862" t="s">
        <v>99</v>
      </c>
      <c r="I1862">
        <v>0</v>
      </c>
      <c r="J1862">
        <v>0</v>
      </c>
      <c r="K1862">
        <v>0</v>
      </c>
    </row>
    <row r="1863" spans="1:11" x14ac:dyDescent="0.2">
      <c r="A1863" t="s">
        <v>16</v>
      </c>
      <c r="B1863" t="s">
        <v>904</v>
      </c>
      <c r="C1863">
        <v>600</v>
      </c>
      <c r="D1863" t="s">
        <v>6342</v>
      </c>
      <c r="E1863" t="s">
        <v>49</v>
      </c>
      <c r="F1863">
        <v>4</v>
      </c>
      <c r="G1863">
        <v>0.78379367229172436</v>
      </c>
      <c r="H1863" t="s">
        <v>103</v>
      </c>
      <c r="I1863">
        <v>0</v>
      </c>
      <c r="J1863">
        <v>0</v>
      </c>
      <c r="K1863">
        <v>0</v>
      </c>
    </row>
    <row r="1864" spans="1:11" x14ac:dyDescent="0.2">
      <c r="A1864" t="s">
        <v>16</v>
      </c>
      <c r="B1864" t="s">
        <v>906</v>
      </c>
      <c r="C1864">
        <v>600</v>
      </c>
      <c r="D1864" t="s">
        <v>6348</v>
      </c>
      <c r="E1864" t="s">
        <v>49</v>
      </c>
      <c r="F1864">
        <v>6</v>
      </c>
      <c r="G1864">
        <v>0.77000064254470735</v>
      </c>
      <c r="H1864" t="s">
        <v>98</v>
      </c>
      <c r="I1864">
        <v>0</v>
      </c>
      <c r="J1864">
        <v>0</v>
      </c>
      <c r="K1864">
        <v>0</v>
      </c>
    </row>
    <row r="1865" spans="1:11" x14ac:dyDescent="0.2">
      <c r="A1865" t="s">
        <v>16</v>
      </c>
      <c r="B1865" t="s">
        <v>906</v>
      </c>
      <c r="C1865">
        <v>400</v>
      </c>
      <c r="D1865" t="s">
        <v>6346</v>
      </c>
      <c r="E1865" t="s">
        <v>49</v>
      </c>
      <c r="F1865">
        <v>6</v>
      </c>
      <c r="G1865">
        <v>0.51333376169647149</v>
      </c>
      <c r="H1865" t="s">
        <v>95</v>
      </c>
      <c r="I1865">
        <v>0</v>
      </c>
      <c r="J1865">
        <v>0</v>
      </c>
      <c r="K1865">
        <v>0</v>
      </c>
    </row>
    <row r="1866" spans="1:11" x14ac:dyDescent="0.2">
      <c r="A1866" t="s">
        <v>16</v>
      </c>
      <c r="B1866" t="s">
        <v>906</v>
      </c>
      <c r="C1866">
        <v>200</v>
      </c>
      <c r="D1866" t="s">
        <v>6344</v>
      </c>
      <c r="E1866" t="s">
        <v>49</v>
      </c>
      <c r="F1866">
        <v>6</v>
      </c>
      <c r="G1866">
        <v>0.25666688084823575</v>
      </c>
      <c r="H1866" t="s">
        <v>87</v>
      </c>
      <c r="I1866">
        <v>0</v>
      </c>
      <c r="J1866">
        <v>0</v>
      </c>
      <c r="K1866">
        <v>0</v>
      </c>
    </row>
    <row r="1867" spans="1:11" x14ac:dyDescent="0.2">
      <c r="A1867" t="s">
        <v>16</v>
      </c>
      <c r="B1867" t="s">
        <v>906</v>
      </c>
      <c r="C1867">
        <v>600</v>
      </c>
      <c r="D1867" t="s">
        <v>6345</v>
      </c>
      <c r="E1867" t="s">
        <v>49</v>
      </c>
      <c r="F1867">
        <v>6</v>
      </c>
      <c r="G1867">
        <v>0.77000064254470735</v>
      </c>
      <c r="H1867" t="s">
        <v>94</v>
      </c>
      <c r="I1867">
        <v>0</v>
      </c>
      <c r="J1867">
        <v>0</v>
      </c>
      <c r="K1867">
        <v>0</v>
      </c>
    </row>
    <row r="1868" spans="1:11" x14ac:dyDescent="0.2">
      <c r="A1868" t="s">
        <v>16</v>
      </c>
      <c r="B1868" t="s">
        <v>906</v>
      </c>
      <c r="C1868">
        <v>600</v>
      </c>
      <c r="D1868" t="s">
        <v>6347</v>
      </c>
      <c r="E1868" t="s">
        <v>49</v>
      </c>
      <c r="F1868">
        <v>6</v>
      </c>
      <c r="G1868">
        <v>0.77000064254470735</v>
      </c>
      <c r="H1868" t="s">
        <v>92</v>
      </c>
      <c r="I1868">
        <v>0</v>
      </c>
      <c r="J1868">
        <v>0</v>
      </c>
      <c r="K1868">
        <v>0</v>
      </c>
    </row>
    <row r="1869" spans="1:11" x14ac:dyDescent="0.2">
      <c r="A1869" t="s">
        <v>16</v>
      </c>
      <c r="B1869" t="s">
        <v>663</v>
      </c>
      <c r="C1869">
        <v>200</v>
      </c>
      <c r="D1869" t="s">
        <v>6349</v>
      </c>
      <c r="E1869" t="s">
        <v>49</v>
      </c>
      <c r="F1869">
        <v>3</v>
      </c>
      <c r="G1869">
        <v>0.2196188301532708</v>
      </c>
      <c r="H1869" t="s">
        <v>95</v>
      </c>
      <c r="I1869">
        <v>0</v>
      </c>
      <c r="J1869">
        <v>0</v>
      </c>
      <c r="K1869">
        <v>0</v>
      </c>
    </row>
    <row r="1870" spans="1:11" x14ac:dyDescent="0.2">
      <c r="A1870" t="s">
        <v>16</v>
      </c>
      <c r="B1870" t="s">
        <v>267</v>
      </c>
      <c r="C1870">
        <v>600</v>
      </c>
      <c r="D1870" t="s">
        <v>6358</v>
      </c>
      <c r="E1870" t="s">
        <v>49</v>
      </c>
      <c r="F1870">
        <v>5</v>
      </c>
      <c r="G1870">
        <v>1.0103610646164034</v>
      </c>
      <c r="H1870" t="s">
        <v>87</v>
      </c>
      <c r="I1870">
        <v>0</v>
      </c>
      <c r="J1870">
        <v>0</v>
      </c>
      <c r="K1870">
        <v>0</v>
      </c>
    </row>
    <row r="1871" spans="1:11" x14ac:dyDescent="0.2">
      <c r="A1871" t="s">
        <v>16</v>
      </c>
      <c r="B1871" t="s">
        <v>267</v>
      </c>
      <c r="C1871">
        <v>600</v>
      </c>
      <c r="D1871" t="s">
        <v>6359</v>
      </c>
      <c r="E1871" t="s">
        <v>49</v>
      </c>
      <c r="F1871">
        <v>5</v>
      </c>
      <c r="G1871">
        <v>1.0103610646164034</v>
      </c>
      <c r="H1871" t="s">
        <v>98</v>
      </c>
      <c r="I1871">
        <v>0</v>
      </c>
      <c r="J1871">
        <v>0</v>
      </c>
      <c r="K1871">
        <v>0</v>
      </c>
    </row>
    <row r="1872" spans="1:11" x14ac:dyDescent="0.2">
      <c r="A1872" t="s">
        <v>16</v>
      </c>
      <c r="B1872" t="s">
        <v>267</v>
      </c>
      <c r="C1872">
        <v>400</v>
      </c>
      <c r="D1872" t="s">
        <v>6356</v>
      </c>
      <c r="E1872" t="s">
        <v>49</v>
      </c>
      <c r="F1872">
        <v>5</v>
      </c>
      <c r="G1872">
        <v>0.67357404307760227</v>
      </c>
      <c r="H1872" t="s">
        <v>101</v>
      </c>
      <c r="I1872">
        <v>0</v>
      </c>
      <c r="J1872">
        <v>0</v>
      </c>
      <c r="K1872">
        <v>0</v>
      </c>
    </row>
    <row r="1873" spans="1:11" x14ac:dyDescent="0.2">
      <c r="A1873" t="s">
        <v>16</v>
      </c>
      <c r="B1873" t="s">
        <v>267</v>
      </c>
      <c r="C1873">
        <v>600</v>
      </c>
      <c r="D1873" t="s">
        <v>6355</v>
      </c>
      <c r="E1873" t="s">
        <v>49</v>
      </c>
      <c r="F1873">
        <v>5</v>
      </c>
      <c r="G1873">
        <v>1.0103610646164034</v>
      </c>
      <c r="H1873" t="s">
        <v>93</v>
      </c>
      <c r="I1873">
        <v>0</v>
      </c>
      <c r="J1873">
        <v>0</v>
      </c>
      <c r="K1873">
        <v>0</v>
      </c>
    </row>
    <row r="1874" spans="1:11" x14ac:dyDescent="0.2">
      <c r="A1874" t="s">
        <v>16</v>
      </c>
      <c r="B1874" t="s">
        <v>267</v>
      </c>
      <c r="C1874">
        <v>600</v>
      </c>
      <c r="D1874" t="s">
        <v>6352</v>
      </c>
      <c r="E1874" t="s">
        <v>49</v>
      </c>
      <c r="F1874">
        <v>5</v>
      </c>
      <c r="G1874">
        <v>1.0103610646164034</v>
      </c>
      <c r="H1874" t="s">
        <v>89</v>
      </c>
      <c r="I1874">
        <v>0</v>
      </c>
      <c r="J1874">
        <v>0</v>
      </c>
      <c r="K1874">
        <v>0</v>
      </c>
    </row>
    <row r="1875" spans="1:11" x14ac:dyDescent="0.2">
      <c r="A1875" t="s">
        <v>16</v>
      </c>
      <c r="B1875" t="s">
        <v>267</v>
      </c>
      <c r="C1875">
        <v>600</v>
      </c>
      <c r="D1875" t="s">
        <v>6354</v>
      </c>
      <c r="E1875" t="s">
        <v>49</v>
      </c>
      <c r="F1875">
        <v>5</v>
      </c>
      <c r="G1875">
        <v>1.0103610646164034</v>
      </c>
      <c r="H1875" t="s">
        <v>101</v>
      </c>
      <c r="I1875">
        <v>0</v>
      </c>
      <c r="J1875">
        <v>0</v>
      </c>
      <c r="K1875">
        <v>0</v>
      </c>
    </row>
    <row r="1876" spans="1:11" x14ac:dyDescent="0.2">
      <c r="A1876" t="s">
        <v>16</v>
      </c>
      <c r="B1876" t="s">
        <v>267</v>
      </c>
      <c r="C1876">
        <v>600</v>
      </c>
      <c r="D1876" t="s">
        <v>6351</v>
      </c>
      <c r="E1876" t="s">
        <v>49</v>
      </c>
      <c r="F1876">
        <v>5</v>
      </c>
      <c r="G1876">
        <v>1.0103610646164034</v>
      </c>
      <c r="H1876" t="s">
        <v>87</v>
      </c>
      <c r="I1876">
        <v>0</v>
      </c>
      <c r="J1876">
        <v>0</v>
      </c>
      <c r="K1876">
        <v>0</v>
      </c>
    </row>
    <row r="1877" spans="1:11" x14ac:dyDescent="0.2">
      <c r="A1877" t="s">
        <v>16</v>
      </c>
      <c r="B1877" t="s">
        <v>267</v>
      </c>
      <c r="C1877">
        <v>600</v>
      </c>
      <c r="D1877" t="s">
        <v>6353</v>
      </c>
      <c r="E1877" t="s">
        <v>49</v>
      </c>
      <c r="F1877">
        <v>5</v>
      </c>
      <c r="G1877">
        <v>1.0103610646164034</v>
      </c>
      <c r="H1877" t="s">
        <v>98</v>
      </c>
      <c r="I1877">
        <v>0</v>
      </c>
      <c r="J1877">
        <v>0</v>
      </c>
      <c r="K1877">
        <v>0</v>
      </c>
    </row>
    <row r="1878" spans="1:11" x14ac:dyDescent="0.2">
      <c r="A1878" t="s">
        <v>16</v>
      </c>
      <c r="B1878" t="s">
        <v>267</v>
      </c>
      <c r="C1878">
        <v>400</v>
      </c>
      <c r="D1878" t="s">
        <v>6357</v>
      </c>
      <c r="E1878" t="s">
        <v>49</v>
      </c>
      <c r="F1878">
        <v>5</v>
      </c>
      <c r="G1878">
        <v>0.67357404307760227</v>
      </c>
      <c r="H1878" t="s">
        <v>93</v>
      </c>
      <c r="I1878">
        <v>0</v>
      </c>
      <c r="J1878">
        <v>0</v>
      </c>
      <c r="K1878">
        <v>0</v>
      </c>
    </row>
    <row r="1879" spans="1:11" x14ac:dyDescent="0.2">
      <c r="A1879" t="s">
        <v>16</v>
      </c>
      <c r="B1879" t="s">
        <v>267</v>
      </c>
      <c r="C1879">
        <v>600</v>
      </c>
      <c r="D1879" t="s">
        <v>6350</v>
      </c>
      <c r="E1879" t="s">
        <v>49</v>
      </c>
      <c r="F1879">
        <v>5</v>
      </c>
      <c r="G1879">
        <v>1.0103610646164034</v>
      </c>
      <c r="H1879" t="s">
        <v>89</v>
      </c>
      <c r="I1879">
        <v>0</v>
      </c>
      <c r="J1879">
        <v>0</v>
      </c>
      <c r="K1879">
        <v>0</v>
      </c>
    </row>
    <row r="1880" spans="1:11" x14ac:dyDescent="0.2">
      <c r="A1880" t="s">
        <v>16</v>
      </c>
      <c r="B1880" t="s">
        <v>893</v>
      </c>
      <c r="C1880">
        <v>270</v>
      </c>
      <c r="D1880" t="s">
        <v>6389</v>
      </c>
      <c r="E1880" t="s">
        <v>49</v>
      </c>
      <c r="F1880">
        <v>3</v>
      </c>
      <c r="G1880">
        <v>0.39500014711940212</v>
      </c>
      <c r="H1880" t="s">
        <v>95</v>
      </c>
      <c r="I1880">
        <v>0</v>
      </c>
      <c r="J1880">
        <v>0</v>
      </c>
      <c r="K1880">
        <v>0</v>
      </c>
    </row>
    <row r="1881" spans="1:11" x14ac:dyDescent="0.2">
      <c r="A1881" t="s">
        <v>16</v>
      </c>
      <c r="B1881" t="s">
        <v>893</v>
      </c>
      <c r="C1881">
        <v>270</v>
      </c>
      <c r="D1881" t="s">
        <v>6362</v>
      </c>
      <c r="E1881" t="s">
        <v>49</v>
      </c>
      <c r="F1881">
        <v>3</v>
      </c>
      <c r="G1881">
        <v>0.39500014711940212</v>
      </c>
      <c r="H1881" t="s">
        <v>88</v>
      </c>
      <c r="I1881">
        <v>0</v>
      </c>
      <c r="J1881">
        <v>0</v>
      </c>
      <c r="K1881">
        <v>0</v>
      </c>
    </row>
    <row r="1882" spans="1:11" x14ac:dyDescent="0.2">
      <c r="A1882" t="s">
        <v>16</v>
      </c>
      <c r="B1882" t="s">
        <v>893</v>
      </c>
      <c r="C1882">
        <v>270</v>
      </c>
      <c r="D1882" t="s">
        <v>6368</v>
      </c>
      <c r="E1882" t="s">
        <v>49</v>
      </c>
      <c r="F1882">
        <v>3</v>
      </c>
      <c r="G1882">
        <v>0.39500014711940212</v>
      </c>
      <c r="H1882" t="s">
        <v>104</v>
      </c>
      <c r="I1882">
        <v>0</v>
      </c>
      <c r="J1882">
        <v>0</v>
      </c>
      <c r="K1882">
        <v>0</v>
      </c>
    </row>
    <row r="1883" spans="1:11" x14ac:dyDescent="0.2">
      <c r="A1883" t="s">
        <v>16</v>
      </c>
      <c r="B1883" t="s">
        <v>893</v>
      </c>
      <c r="C1883">
        <v>270</v>
      </c>
      <c r="D1883" t="s">
        <v>6388</v>
      </c>
      <c r="E1883" t="s">
        <v>49</v>
      </c>
      <c r="F1883">
        <v>3</v>
      </c>
      <c r="G1883">
        <v>0.39500014711940212</v>
      </c>
      <c r="H1883" t="s">
        <v>95</v>
      </c>
      <c r="I1883">
        <v>0</v>
      </c>
      <c r="J1883">
        <v>0</v>
      </c>
      <c r="K1883">
        <v>0</v>
      </c>
    </row>
    <row r="1884" spans="1:11" x14ac:dyDescent="0.2">
      <c r="A1884" t="s">
        <v>16</v>
      </c>
      <c r="B1884" t="s">
        <v>893</v>
      </c>
      <c r="C1884">
        <v>270</v>
      </c>
      <c r="D1884" t="s">
        <v>6373</v>
      </c>
      <c r="E1884" t="s">
        <v>49</v>
      </c>
      <c r="F1884">
        <v>3</v>
      </c>
      <c r="G1884">
        <v>0.39500014711940212</v>
      </c>
      <c r="H1884" t="s">
        <v>88</v>
      </c>
      <c r="I1884">
        <v>0</v>
      </c>
      <c r="J1884">
        <v>0</v>
      </c>
      <c r="K1884">
        <v>0</v>
      </c>
    </row>
    <row r="1885" spans="1:11" x14ac:dyDescent="0.2">
      <c r="A1885" t="s">
        <v>16</v>
      </c>
      <c r="B1885" t="s">
        <v>893</v>
      </c>
      <c r="C1885">
        <v>270</v>
      </c>
      <c r="D1885" t="s">
        <v>6382</v>
      </c>
      <c r="E1885" t="s">
        <v>49</v>
      </c>
      <c r="F1885">
        <v>3</v>
      </c>
      <c r="G1885">
        <v>0.39500014711940212</v>
      </c>
      <c r="H1885" t="s">
        <v>104</v>
      </c>
      <c r="I1885">
        <v>0</v>
      </c>
      <c r="J1885">
        <v>0</v>
      </c>
      <c r="K1885">
        <v>0</v>
      </c>
    </row>
    <row r="1886" spans="1:11" x14ac:dyDescent="0.2">
      <c r="A1886" t="s">
        <v>16</v>
      </c>
      <c r="B1886" t="s">
        <v>893</v>
      </c>
      <c r="C1886">
        <v>270</v>
      </c>
      <c r="D1886" t="s">
        <v>6361</v>
      </c>
      <c r="E1886" t="s">
        <v>49</v>
      </c>
      <c r="F1886">
        <v>3</v>
      </c>
      <c r="G1886">
        <v>0.39500014711940212</v>
      </c>
      <c r="H1886" t="s">
        <v>95</v>
      </c>
      <c r="I1886">
        <v>0</v>
      </c>
      <c r="J1886">
        <v>0</v>
      </c>
      <c r="K1886">
        <v>0</v>
      </c>
    </row>
    <row r="1887" spans="1:11" x14ac:dyDescent="0.2">
      <c r="A1887" t="s">
        <v>16</v>
      </c>
      <c r="B1887" t="s">
        <v>893</v>
      </c>
      <c r="C1887">
        <v>270</v>
      </c>
      <c r="D1887" t="s">
        <v>6372</v>
      </c>
      <c r="E1887" t="s">
        <v>49</v>
      </c>
      <c r="F1887">
        <v>3</v>
      </c>
      <c r="G1887">
        <v>0.39500014711940212</v>
      </c>
      <c r="H1887" t="s">
        <v>88</v>
      </c>
      <c r="I1887">
        <v>0</v>
      </c>
      <c r="J1887">
        <v>0</v>
      </c>
      <c r="K1887">
        <v>0</v>
      </c>
    </row>
    <row r="1888" spans="1:11" x14ac:dyDescent="0.2">
      <c r="A1888" t="s">
        <v>16</v>
      </c>
      <c r="B1888" t="s">
        <v>893</v>
      </c>
      <c r="C1888">
        <v>270</v>
      </c>
      <c r="D1888" t="s">
        <v>6386</v>
      </c>
      <c r="E1888" t="s">
        <v>49</v>
      </c>
      <c r="F1888">
        <v>3</v>
      </c>
      <c r="G1888">
        <v>0.39500014711940212</v>
      </c>
      <c r="H1888" t="s">
        <v>104</v>
      </c>
      <c r="I1888">
        <v>0</v>
      </c>
      <c r="J1888">
        <v>0</v>
      </c>
      <c r="K1888">
        <v>0</v>
      </c>
    </row>
    <row r="1889" spans="1:11" x14ac:dyDescent="0.2">
      <c r="A1889" t="s">
        <v>16</v>
      </c>
      <c r="B1889" t="s">
        <v>893</v>
      </c>
      <c r="C1889">
        <v>270</v>
      </c>
      <c r="D1889" t="s">
        <v>6377</v>
      </c>
      <c r="E1889" t="s">
        <v>49</v>
      </c>
      <c r="F1889">
        <v>3</v>
      </c>
      <c r="G1889">
        <v>0.39500014711940212</v>
      </c>
      <c r="H1889" t="s">
        <v>95</v>
      </c>
      <c r="I1889">
        <v>0</v>
      </c>
      <c r="J1889">
        <v>0</v>
      </c>
      <c r="K1889">
        <v>0</v>
      </c>
    </row>
    <row r="1890" spans="1:11" x14ac:dyDescent="0.2">
      <c r="A1890" t="s">
        <v>16</v>
      </c>
      <c r="B1890" t="s">
        <v>893</v>
      </c>
      <c r="C1890">
        <v>270</v>
      </c>
      <c r="D1890" t="s">
        <v>6360</v>
      </c>
      <c r="E1890" t="s">
        <v>49</v>
      </c>
      <c r="F1890">
        <v>3</v>
      </c>
      <c r="G1890">
        <v>0.39500014711940212</v>
      </c>
      <c r="H1890" t="s">
        <v>88</v>
      </c>
      <c r="I1890">
        <v>0</v>
      </c>
      <c r="J1890">
        <v>0</v>
      </c>
      <c r="K1890">
        <v>0</v>
      </c>
    </row>
    <row r="1891" spans="1:11" x14ac:dyDescent="0.2">
      <c r="A1891" t="s">
        <v>16</v>
      </c>
      <c r="B1891" t="s">
        <v>893</v>
      </c>
      <c r="C1891">
        <v>270</v>
      </c>
      <c r="D1891" t="s">
        <v>6369</v>
      </c>
      <c r="E1891" t="s">
        <v>49</v>
      </c>
      <c r="F1891">
        <v>3</v>
      </c>
      <c r="G1891">
        <v>0.39500014711940212</v>
      </c>
      <c r="H1891" t="s">
        <v>104</v>
      </c>
      <c r="I1891">
        <v>0</v>
      </c>
      <c r="J1891">
        <v>0</v>
      </c>
      <c r="K1891">
        <v>0</v>
      </c>
    </row>
    <row r="1892" spans="1:11" x14ac:dyDescent="0.2">
      <c r="A1892" t="s">
        <v>16</v>
      </c>
      <c r="B1892" t="s">
        <v>893</v>
      </c>
      <c r="C1892">
        <v>270</v>
      </c>
      <c r="D1892" t="s">
        <v>6371</v>
      </c>
      <c r="E1892" t="s">
        <v>49</v>
      </c>
      <c r="F1892">
        <v>3</v>
      </c>
      <c r="G1892">
        <v>0.39500014711940212</v>
      </c>
      <c r="H1892" t="s">
        <v>95</v>
      </c>
      <c r="I1892">
        <v>0</v>
      </c>
      <c r="J1892">
        <v>0</v>
      </c>
      <c r="K1892">
        <v>0</v>
      </c>
    </row>
    <row r="1893" spans="1:11" x14ac:dyDescent="0.2">
      <c r="A1893" t="s">
        <v>16</v>
      </c>
      <c r="B1893" t="s">
        <v>893</v>
      </c>
      <c r="C1893">
        <v>270</v>
      </c>
      <c r="D1893" t="s">
        <v>6398</v>
      </c>
      <c r="E1893" t="s">
        <v>49</v>
      </c>
      <c r="F1893">
        <v>3</v>
      </c>
      <c r="G1893">
        <v>0.39500014711940212</v>
      </c>
      <c r="H1893" t="s">
        <v>88</v>
      </c>
      <c r="I1893">
        <v>0</v>
      </c>
      <c r="J1893">
        <v>0</v>
      </c>
      <c r="K1893">
        <v>0</v>
      </c>
    </row>
    <row r="1894" spans="1:11" x14ac:dyDescent="0.2">
      <c r="A1894" t="s">
        <v>16</v>
      </c>
      <c r="B1894" t="s">
        <v>893</v>
      </c>
      <c r="C1894">
        <v>270</v>
      </c>
      <c r="D1894" t="s">
        <v>6390</v>
      </c>
      <c r="E1894" t="s">
        <v>49</v>
      </c>
      <c r="F1894">
        <v>3</v>
      </c>
      <c r="G1894">
        <v>0.39500014711940212</v>
      </c>
      <c r="H1894" t="s">
        <v>104</v>
      </c>
      <c r="I1894">
        <v>0</v>
      </c>
      <c r="J1894">
        <v>0</v>
      </c>
      <c r="K1894">
        <v>0</v>
      </c>
    </row>
    <row r="1895" spans="1:11" x14ac:dyDescent="0.2">
      <c r="A1895" t="s">
        <v>16</v>
      </c>
      <c r="B1895" t="s">
        <v>893</v>
      </c>
      <c r="C1895">
        <v>270</v>
      </c>
      <c r="D1895" t="s">
        <v>6375</v>
      </c>
      <c r="E1895" t="s">
        <v>49</v>
      </c>
      <c r="F1895">
        <v>3</v>
      </c>
      <c r="G1895">
        <v>0.39500014711940212</v>
      </c>
      <c r="H1895" t="s">
        <v>95</v>
      </c>
      <c r="I1895">
        <v>0</v>
      </c>
      <c r="J1895">
        <v>0</v>
      </c>
      <c r="K1895">
        <v>0</v>
      </c>
    </row>
    <row r="1896" spans="1:11" x14ac:dyDescent="0.2">
      <c r="A1896" t="s">
        <v>16</v>
      </c>
      <c r="B1896" t="s">
        <v>893</v>
      </c>
      <c r="C1896">
        <v>270</v>
      </c>
      <c r="D1896" t="s">
        <v>6385</v>
      </c>
      <c r="E1896" t="s">
        <v>49</v>
      </c>
      <c r="F1896">
        <v>3</v>
      </c>
      <c r="G1896">
        <v>0.39500014711940212</v>
      </c>
      <c r="H1896" t="s">
        <v>88</v>
      </c>
      <c r="I1896">
        <v>0</v>
      </c>
      <c r="J1896">
        <v>0</v>
      </c>
      <c r="K1896">
        <v>0</v>
      </c>
    </row>
    <row r="1897" spans="1:11" x14ac:dyDescent="0.2">
      <c r="A1897" t="s">
        <v>16</v>
      </c>
      <c r="B1897" t="s">
        <v>893</v>
      </c>
      <c r="C1897">
        <v>270</v>
      </c>
      <c r="D1897" t="s">
        <v>6393</v>
      </c>
      <c r="E1897" t="s">
        <v>49</v>
      </c>
      <c r="F1897">
        <v>3</v>
      </c>
      <c r="G1897">
        <v>0.39500014711940212</v>
      </c>
      <c r="H1897" t="s">
        <v>104</v>
      </c>
      <c r="I1897">
        <v>0</v>
      </c>
      <c r="J1897">
        <v>0</v>
      </c>
      <c r="K1897">
        <v>0</v>
      </c>
    </row>
    <row r="1898" spans="1:11" x14ac:dyDescent="0.2">
      <c r="A1898" t="s">
        <v>16</v>
      </c>
      <c r="B1898" t="s">
        <v>893</v>
      </c>
      <c r="C1898">
        <v>270</v>
      </c>
      <c r="D1898" t="s">
        <v>6384</v>
      </c>
      <c r="E1898" t="s">
        <v>49</v>
      </c>
      <c r="F1898">
        <v>3</v>
      </c>
      <c r="G1898">
        <v>0.39500014711940212</v>
      </c>
      <c r="H1898" t="s">
        <v>95</v>
      </c>
      <c r="I1898">
        <v>0</v>
      </c>
      <c r="J1898">
        <v>0</v>
      </c>
      <c r="K1898">
        <v>0</v>
      </c>
    </row>
    <row r="1899" spans="1:11" x14ac:dyDescent="0.2">
      <c r="A1899" t="s">
        <v>16</v>
      </c>
      <c r="B1899" t="s">
        <v>893</v>
      </c>
      <c r="C1899">
        <v>270</v>
      </c>
      <c r="D1899" t="s">
        <v>6399</v>
      </c>
      <c r="E1899" t="s">
        <v>49</v>
      </c>
      <c r="F1899">
        <v>3</v>
      </c>
      <c r="G1899">
        <v>0.39500014711940212</v>
      </c>
      <c r="H1899" t="s">
        <v>88</v>
      </c>
      <c r="I1899">
        <v>0</v>
      </c>
      <c r="J1899">
        <v>0</v>
      </c>
      <c r="K1899">
        <v>0</v>
      </c>
    </row>
    <row r="1900" spans="1:11" x14ac:dyDescent="0.2">
      <c r="A1900" t="s">
        <v>16</v>
      </c>
      <c r="B1900" t="s">
        <v>893</v>
      </c>
      <c r="C1900">
        <v>270</v>
      </c>
      <c r="D1900" t="s">
        <v>6400</v>
      </c>
      <c r="E1900" t="s">
        <v>49</v>
      </c>
      <c r="F1900">
        <v>3</v>
      </c>
      <c r="G1900">
        <v>0.39500014711940212</v>
      </c>
      <c r="H1900" t="s">
        <v>104</v>
      </c>
      <c r="I1900">
        <v>0</v>
      </c>
      <c r="J1900">
        <v>0</v>
      </c>
      <c r="K1900">
        <v>0</v>
      </c>
    </row>
    <row r="1901" spans="1:11" x14ac:dyDescent="0.2">
      <c r="A1901" t="s">
        <v>16</v>
      </c>
      <c r="B1901" t="s">
        <v>893</v>
      </c>
      <c r="C1901">
        <v>270</v>
      </c>
      <c r="D1901" t="s">
        <v>6396</v>
      </c>
      <c r="E1901" t="s">
        <v>49</v>
      </c>
      <c r="F1901">
        <v>3</v>
      </c>
      <c r="G1901">
        <v>0.39500014711940212</v>
      </c>
      <c r="H1901" t="s">
        <v>95</v>
      </c>
      <c r="I1901">
        <v>0</v>
      </c>
      <c r="J1901">
        <v>0</v>
      </c>
      <c r="K1901">
        <v>0</v>
      </c>
    </row>
    <row r="1902" spans="1:11" x14ac:dyDescent="0.2">
      <c r="A1902" t="s">
        <v>16</v>
      </c>
      <c r="B1902" t="s">
        <v>893</v>
      </c>
      <c r="C1902">
        <v>270</v>
      </c>
      <c r="D1902" t="s">
        <v>6364</v>
      </c>
      <c r="E1902" t="s">
        <v>49</v>
      </c>
      <c r="F1902">
        <v>3</v>
      </c>
      <c r="G1902">
        <v>0.39500014711940212</v>
      </c>
      <c r="H1902" t="s">
        <v>88</v>
      </c>
      <c r="I1902">
        <v>0</v>
      </c>
      <c r="J1902">
        <v>0</v>
      </c>
      <c r="K1902">
        <v>0</v>
      </c>
    </row>
    <row r="1903" spans="1:11" x14ac:dyDescent="0.2">
      <c r="A1903" t="s">
        <v>16</v>
      </c>
      <c r="B1903" t="s">
        <v>893</v>
      </c>
      <c r="C1903">
        <v>270</v>
      </c>
      <c r="D1903" t="s">
        <v>6394</v>
      </c>
      <c r="E1903" t="s">
        <v>49</v>
      </c>
      <c r="F1903">
        <v>3</v>
      </c>
      <c r="G1903">
        <v>0.39500014711940212</v>
      </c>
      <c r="H1903" t="s">
        <v>104</v>
      </c>
      <c r="I1903">
        <v>0</v>
      </c>
      <c r="J1903">
        <v>0</v>
      </c>
      <c r="K1903">
        <v>0</v>
      </c>
    </row>
    <row r="1904" spans="1:11" x14ac:dyDescent="0.2">
      <c r="A1904" t="s">
        <v>16</v>
      </c>
      <c r="B1904" t="s">
        <v>893</v>
      </c>
      <c r="C1904">
        <v>270</v>
      </c>
      <c r="D1904" t="s">
        <v>6370</v>
      </c>
      <c r="E1904" t="s">
        <v>49</v>
      </c>
      <c r="F1904">
        <v>3</v>
      </c>
      <c r="G1904">
        <v>0.39500014711940212</v>
      </c>
      <c r="H1904" t="s">
        <v>95</v>
      </c>
      <c r="I1904">
        <v>0</v>
      </c>
      <c r="J1904">
        <v>0</v>
      </c>
      <c r="K1904">
        <v>0</v>
      </c>
    </row>
    <row r="1905" spans="1:11" x14ac:dyDescent="0.2">
      <c r="A1905" t="s">
        <v>16</v>
      </c>
      <c r="B1905" t="s">
        <v>893</v>
      </c>
      <c r="C1905">
        <v>270</v>
      </c>
      <c r="D1905" t="s">
        <v>6391</v>
      </c>
      <c r="E1905" t="s">
        <v>49</v>
      </c>
      <c r="F1905">
        <v>3</v>
      </c>
      <c r="G1905">
        <v>0.39500014711940212</v>
      </c>
      <c r="H1905" t="s">
        <v>88</v>
      </c>
      <c r="I1905">
        <v>0</v>
      </c>
      <c r="J1905">
        <v>0</v>
      </c>
      <c r="K1905">
        <v>0</v>
      </c>
    </row>
    <row r="1906" spans="1:11" x14ac:dyDescent="0.2">
      <c r="A1906" t="s">
        <v>16</v>
      </c>
      <c r="B1906" t="s">
        <v>893</v>
      </c>
      <c r="C1906">
        <v>270</v>
      </c>
      <c r="D1906" t="s">
        <v>6374</v>
      </c>
      <c r="E1906" t="s">
        <v>49</v>
      </c>
      <c r="F1906">
        <v>3</v>
      </c>
      <c r="G1906">
        <v>0.39500014711940212</v>
      </c>
      <c r="H1906" t="s">
        <v>104</v>
      </c>
      <c r="I1906">
        <v>0</v>
      </c>
      <c r="J1906">
        <v>0</v>
      </c>
      <c r="K1906">
        <v>0</v>
      </c>
    </row>
    <row r="1907" spans="1:11" x14ac:dyDescent="0.2">
      <c r="A1907" t="s">
        <v>16</v>
      </c>
      <c r="B1907" t="s">
        <v>893</v>
      </c>
      <c r="C1907">
        <v>270</v>
      </c>
      <c r="D1907" t="s">
        <v>6387</v>
      </c>
      <c r="E1907" t="s">
        <v>49</v>
      </c>
      <c r="F1907">
        <v>3</v>
      </c>
      <c r="G1907">
        <v>0.39500014711940212</v>
      </c>
      <c r="H1907" t="s">
        <v>95</v>
      </c>
      <c r="I1907">
        <v>0</v>
      </c>
      <c r="J1907">
        <v>0</v>
      </c>
      <c r="K1907">
        <v>0</v>
      </c>
    </row>
    <row r="1908" spans="1:11" x14ac:dyDescent="0.2">
      <c r="A1908" t="s">
        <v>16</v>
      </c>
      <c r="B1908" t="s">
        <v>893</v>
      </c>
      <c r="C1908">
        <v>270</v>
      </c>
      <c r="D1908" t="s">
        <v>6365</v>
      </c>
      <c r="E1908" t="s">
        <v>49</v>
      </c>
      <c r="F1908">
        <v>3</v>
      </c>
      <c r="G1908">
        <v>0.39500014711940212</v>
      </c>
      <c r="H1908" t="s">
        <v>88</v>
      </c>
      <c r="I1908">
        <v>0</v>
      </c>
      <c r="J1908">
        <v>0</v>
      </c>
      <c r="K1908">
        <v>0</v>
      </c>
    </row>
    <row r="1909" spans="1:11" x14ac:dyDescent="0.2">
      <c r="A1909" t="s">
        <v>16</v>
      </c>
      <c r="B1909" t="s">
        <v>893</v>
      </c>
      <c r="C1909">
        <v>270</v>
      </c>
      <c r="D1909" t="s">
        <v>6383</v>
      </c>
      <c r="E1909" t="s">
        <v>49</v>
      </c>
      <c r="F1909">
        <v>3</v>
      </c>
      <c r="G1909">
        <v>0.39500014711940212</v>
      </c>
      <c r="H1909" t="s">
        <v>104</v>
      </c>
      <c r="I1909">
        <v>0</v>
      </c>
      <c r="J1909">
        <v>0</v>
      </c>
      <c r="K1909">
        <v>0</v>
      </c>
    </row>
    <row r="1910" spans="1:11" x14ac:dyDescent="0.2">
      <c r="A1910" t="s">
        <v>16</v>
      </c>
      <c r="B1910" t="s">
        <v>893</v>
      </c>
      <c r="C1910">
        <v>270</v>
      </c>
      <c r="D1910" t="s">
        <v>6381</v>
      </c>
      <c r="E1910" t="s">
        <v>49</v>
      </c>
      <c r="F1910">
        <v>3</v>
      </c>
      <c r="G1910">
        <v>0.39500014711940212</v>
      </c>
      <c r="H1910" t="s">
        <v>95</v>
      </c>
      <c r="I1910">
        <v>0</v>
      </c>
      <c r="J1910">
        <v>0</v>
      </c>
      <c r="K1910">
        <v>0</v>
      </c>
    </row>
    <row r="1911" spans="1:11" x14ac:dyDescent="0.2">
      <c r="A1911" t="s">
        <v>16</v>
      </c>
      <c r="B1911" t="s">
        <v>893</v>
      </c>
      <c r="C1911">
        <v>270</v>
      </c>
      <c r="D1911" t="s">
        <v>6379</v>
      </c>
      <c r="E1911" t="s">
        <v>49</v>
      </c>
      <c r="F1911">
        <v>3</v>
      </c>
      <c r="G1911">
        <v>0.39500014711940212</v>
      </c>
      <c r="H1911" t="s">
        <v>88</v>
      </c>
      <c r="I1911">
        <v>0</v>
      </c>
      <c r="J1911">
        <v>0</v>
      </c>
      <c r="K1911">
        <v>0</v>
      </c>
    </row>
    <row r="1912" spans="1:11" x14ac:dyDescent="0.2">
      <c r="A1912" t="s">
        <v>16</v>
      </c>
      <c r="B1912" t="s">
        <v>893</v>
      </c>
      <c r="C1912">
        <v>270</v>
      </c>
      <c r="D1912" t="s">
        <v>6376</v>
      </c>
      <c r="E1912" t="s">
        <v>49</v>
      </c>
      <c r="F1912">
        <v>3</v>
      </c>
      <c r="G1912">
        <v>0.39500014711940212</v>
      </c>
      <c r="H1912" t="s">
        <v>104</v>
      </c>
      <c r="I1912">
        <v>0</v>
      </c>
      <c r="J1912">
        <v>0</v>
      </c>
      <c r="K1912">
        <v>0</v>
      </c>
    </row>
    <row r="1913" spans="1:11" x14ac:dyDescent="0.2">
      <c r="A1913" t="s">
        <v>16</v>
      </c>
      <c r="B1913" t="s">
        <v>893</v>
      </c>
      <c r="C1913">
        <v>270</v>
      </c>
      <c r="D1913" t="s">
        <v>6392</v>
      </c>
      <c r="E1913" t="s">
        <v>49</v>
      </c>
      <c r="F1913">
        <v>3</v>
      </c>
      <c r="G1913">
        <v>0.39500014711940212</v>
      </c>
      <c r="H1913" t="s">
        <v>95</v>
      </c>
      <c r="I1913">
        <v>0</v>
      </c>
      <c r="J1913">
        <v>0</v>
      </c>
      <c r="K1913">
        <v>0</v>
      </c>
    </row>
    <row r="1914" spans="1:11" x14ac:dyDescent="0.2">
      <c r="A1914" t="s">
        <v>16</v>
      </c>
      <c r="B1914" t="s">
        <v>893</v>
      </c>
      <c r="C1914">
        <v>270</v>
      </c>
      <c r="D1914" t="s">
        <v>6397</v>
      </c>
      <c r="E1914" t="s">
        <v>49</v>
      </c>
      <c r="F1914">
        <v>3</v>
      </c>
      <c r="G1914">
        <v>0.39500014711940212</v>
      </c>
      <c r="H1914" t="s">
        <v>88</v>
      </c>
      <c r="I1914">
        <v>0</v>
      </c>
      <c r="J1914">
        <v>0</v>
      </c>
      <c r="K1914">
        <v>0</v>
      </c>
    </row>
    <row r="1915" spans="1:11" x14ac:dyDescent="0.2">
      <c r="A1915" t="s">
        <v>16</v>
      </c>
      <c r="B1915" t="s">
        <v>893</v>
      </c>
      <c r="C1915">
        <v>270</v>
      </c>
      <c r="D1915" t="s">
        <v>6367</v>
      </c>
      <c r="E1915" t="s">
        <v>49</v>
      </c>
      <c r="F1915">
        <v>3</v>
      </c>
      <c r="G1915">
        <v>0.39500014711940212</v>
      </c>
      <c r="H1915" t="s">
        <v>104</v>
      </c>
      <c r="I1915">
        <v>0</v>
      </c>
      <c r="J1915">
        <v>0</v>
      </c>
      <c r="K1915">
        <v>0</v>
      </c>
    </row>
    <row r="1916" spans="1:11" x14ac:dyDescent="0.2">
      <c r="A1916" t="s">
        <v>16</v>
      </c>
      <c r="B1916" t="s">
        <v>893</v>
      </c>
      <c r="C1916">
        <v>270</v>
      </c>
      <c r="D1916" t="s">
        <v>6363</v>
      </c>
      <c r="E1916" t="s">
        <v>49</v>
      </c>
      <c r="F1916">
        <v>3</v>
      </c>
      <c r="G1916">
        <v>0.39500014711940212</v>
      </c>
      <c r="H1916" t="s">
        <v>95</v>
      </c>
      <c r="I1916">
        <v>0</v>
      </c>
      <c r="J1916">
        <v>0</v>
      </c>
      <c r="K1916">
        <v>0</v>
      </c>
    </row>
    <row r="1917" spans="1:11" x14ac:dyDescent="0.2">
      <c r="A1917" t="s">
        <v>16</v>
      </c>
      <c r="B1917" t="s">
        <v>893</v>
      </c>
      <c r="C1917">
        <v>270</v>
      </c>
      <c r="D1917" t="s">
        <v>6366</v>
      </c>
      <c r="E1917" t="s">
        <v>49</v>
      </c>
      <c r="F1917">
        <v>3</v>
      </c>
      <c r="G1917">
        <v>0.39500014711940212</v>
      </c>
      <c r="H1917" t="s">
        <v>88</v>
      </c>
      <c r="I1917">
        <v>0</v>
      </c>
      <c r="J1917">
        <v>0</v>
      </c>
      <c r="K1917">
        <v>0</v>
      </c>
    </row>
    <row r="1918" spans="1:11" x14ac:dyDescent="0.2">
      <c r="A1918" t="s">
        <v>16</v>
      </c>
      <c r="B1918" t="s">
        <v>893</v>
      </c>
      <c r="C1918">
        <v>270</v>
      </c>
      <c r="D1918" t="s">
        <v>6378</v>
      </c>
      <c r="E1918" t="s">
        <v>49</v>
      </c>
      <c r="F1918">
        <v>3</v>
      </c>
      <c r="G1918">
        <v>0.39500014711940212</v>
      </c>
      <c r="H1918" t="s">
        <v>104</v>
      </c>
      <c r="I1918">
        <v>0</v>
      </c>
      <c r="J1918">
        <v>0</v>
      </c>
      <c r="K1918">
        <v>0</v>
      </c>
    </row>
    <row r="1919" spans="1:11" x14ac:dyDescent="0.2">
      <c r="A1919" t="s">
        <v>16</v>
      </c>
      <c r="B1919" t="s">
        <v>893</v>
      </c>
      <c r="C1919">
        <v>270</v>
      </c>
      <c r="D1919" t="s">
        <v>6395</v>
      </c>
      <c r="E1919" t="s">
        <v>49</v>
      </c>
      <c r="F1919">
        <v>3</v>
      </c>
      <c r="G1919">
        <v>0.39500014711940212</v>
      </c>
      <c r="H1919" t="s">
        <v>95</v>
      </c>
      <c r="I1919">
        <v>0</v>
      </c>
      <c r="J1919">
        <v>0</v>
      </c>
      <c r="K1919">
        <v>0</v>
      </c>
    </row>
    <row r="1920" spans="1:11" x14ac:dyDescent="0.2">
      <c r="A1920" t="s">
        <v>16</v>
      </c>
      <c r="B1920" t="s">
        <v>893</v>
      </c>
      <c r="C1920">
        <v>270</v>
      </c>
      <c r="D1920" t="s">
        <v>6380</v>
      </c>
      <c r="E1920" t="s">
        <v>49</v>
      </c>
      <c r="F1920">
        <v>3</v>
      </c>
      <c r="G1920">
        <v>0.39500014711940212</v>
      </c>
      <c r="H1920" t="s">
        <v>88</v>
      </c>
      <c r="I1920">
        <v>0</v>
      </c>
      <c r="J1920">
        <v>0</v>
      </c>
      <c r="K1920">
        <v>0</v>
      </c>
    </row>
    <row r="1921" spans="1:11" x14ac:dyDescent="0.2">
      <c r="A1921" t="s">
        <v>16</v>
      </c>
      <c r="B1921" t="s">
        <v>2026</v>
      </c>
      <c r="C1921">
        <v>285</v>
      </c>
      <c r="D1921" t="s">
        <v>6402</v>
      </c>
      <c r="E1921" t="s">
        <v>49</v>
      </c>
      <c r="F1921">
        <v>3</v>
      </c>
      <c r="G1921">
        <v>0.46449376947040505</v>
      </c>
      <c r="H1921" t="s">
        <v>99</v>
      </c>
      <c r="I1921">
        <v>0</v>
      </c>
      <c r="J1921">
        <v>0</v>
      </c>
      <c r="K1921">
        <v>0</v>
      </c>
    </row>
    <row r="1922" spans="1:11" x14ac:dyDescent="0.2">
      <c r="A1922" t="s">
        <v>16</v>
      </c>
      <c r="B1922" t="s">
        <v>2026</v>
      </c>
      <c r="C1922">
        <v>285</v>
      </c>
      <c r="D1922" t="s">
        <v>6401</v>
      </c>
      <c r="E1922" t="s">
        <v>49</v>
      </c>
      <c r="F1922">
        <v>3</v>
      </c>
      <c r="G1922">
        <v>0.46449376947040505</v>
      </c>
      <c r="H1922" t="s">
        <v>103</v>
      </c>
      <c r="I1922">
        <v>0</v>
      </c>
      <c r="J1922">
        <v>0</v>
      </c>
      <c r="K1922">
        <v>0</v>
      </c>
    </row>
    <row r="1923" spans="1:11" x14ac:dyDescent="0.2">
      <c r="A1923" t="s">
        <v>16</v>
      </c>
      <c r="B1923" t="s">
        <v>2026</v>
      </c>
      <c r="C1923">
        <v>190</v>
      </c>
      <c r="D1923" t="s">
        <v>6403</v>
      </c>
      <c r="E1923" t="s">
        <v>49</v>
      </c>
      <c r="F1923">
        <v>3</v>
      </c>
      <c r="G1923">
        <v>0.30966251298027003</v>
      </c>
      <c r="H1923" t="s">
        <v>91</v>
      </c>
      <c r="I1923">
        <v>0</v>
      </c>
      <c r="J1923">
        <v>0</v>
      </c>
      <c r="K1923">
        <v>0</v>
      </c>
    </row>
    <row r="1924" spans="1:11" x14ac:dyDescent="0.2">
      <c r="A1924" t="s">
        <v>16</v>
      </c>
      <c r="B1924" t="s">
        <v>919</v>
      </c>
      <c r="C1924">
        <v>270</v>
      </c>
      <c r="D1924" t="s">
        <v>6406</v>
      </c>
      <c r="E1924" t="s">
        <v>49</v>
      </c>
      <c r="F1924">
        <v>3</v>
      </c>
      <c r="G1924">
        <v>0.38218958611481979</v>
      </c>
      <c r="H1924" t="s">
        <v>90</v>
      </c>
      <c r="I1924">
        <v>0</v>
      </c>
      <c r="J1924">
        <v>0</v>
      </c>
      <c r="K1924">
        <v>0</v>
      </c>
    </row>
    <row r="1925" spans="1:11" x14ac:dyDescent="0.2">
      <c r="A1925" t="s">
        <v>16</v>
      </c>
      <c r="B1925" t="s">
        <v>919</v>
      </c>
      <c r="C1925">
        <v>270</v>
      </c>
      <c r="D1925" t="s">
        <v>6404</v>
      </c>
      <c r="E1925" t="s">
        <v>49</v>
      </c>
      <c r="F1925">
        <v>3</v>
      </c>
      <c r="G1925">
        <v>0.38218958611481979</v>
      </c>
      <c r="H1925" t="s">
        <v>94</v>
      </c>
      <c r="I1925">
        <v>0</v>
      </c>
      <c r="J1925">
        <v>0</v>
      </c>
      <c r="K1925">
        <v>0</v>
      </c>
    </row>
    <row r="1926" spans="1:11" x14ac:dyDescent="0.2">
      <c r="A1926" t="s">
        <v>16</v>
      </c>
      <c r="B1926" t="s">
        <v>919</v>
      </c>
      <c r="C1926">
        <v>270</v>
      </c>
      <c r="D1926" t="s">
        <v>6405</v>
      </c>
      <c r="E1926" t="s">
        <v>49</v>
      </c>
      <c r="F1926">
        <v>3</v>
      </c>
      <c r="G1926">
        <v>0.38218958611481979</v>
      </c>
      <c r="H1926" t="s">
        <v>92</v>
      </c>
      <c r="I1926">
        <v>0</v>
      </c>
      <c r="J1926">
        <v>0</v>
      </c>
      <c r="K1926">
        <v>0</v>
      </c>
    </row>
    <row r="1927" spans="1:11" x14ac:dyDescent="0.2">
      <c r="A1927" t="s">
        <v>16</v>
      </c>
      <c r="B1927" t="s">
        <v>919</v>
      </c>
      <c r="C1927">
        <v>270</v>
      </c>
      <c r="D1927" t="s">
        <v>6410</v>
      </c>
      <c r="E1927" t="s">
        <v>49</v>
      </c>
      <c r="F1927">
        <v>3</v>
      </c>
      <c r="G1927">
        <v>0.38218958611481979</v>
      </c>
      <c r="H1927" t="s">
        <v>90</v>
      </c>
      <c r="I1927">
        <v>0</v>
      </c>
      <c r="J1927">
        <v>0</v>
      </c>
      <c r="K1927">
        <v>0</v>
      </c>
    </row>
    <row r="1928" spans="1:11" x14ac:dyDescent="0.2">
      <c r="A1928" t="s">
        <v>16</v>
      </c>
      <c r="B1928" t="s">
        <v>919</v>
      </c>
      <c r="C1928">
        <v>180</v>
      </c>
      <c r="D1928" t="s">
        <v>6407</v>
      </c>
      <c r="E1928" t="s">
        <v>49</v>
      </c>
      <c r="F1928">
        <v>3</v>
      </c>
      <c r="G1928">
        <v>0.25479305740987984</v>
      </c>
      <c r="H1928" t="s">
        <v>94</v>
      </c>
      <c r="I1928">
        <v>0</v>
      </c>
      <c r="J1928">
        <v>0</v>
      </c>
      <c r="K1928">
        <v>0</v>
      </c>
    </row>
    <row r="1929" spans="1:11" x14ac:dyDescent="0.2">
      <c r="A1929" t="s">
        <v>16</v>
      </c>
      <c r="B1929" t="s">
        <v>919</v>
      </c>
      <c r="C1929">
        <v>270</v>
      </c>
      <c r="D1929" t="s">
        <v>6408</v>
      </c>
      <c r="E1929" t="s">
        <v>49</v>
      </c>
      <c r="F1929">
        <v>3</v>
      </c>
      <c r="G1929">
        <v>0.38218958611481979</v>
      </c>
      <c r="H1929" t="s">
        <v>92</v>
      </c>
      <c r="I1929">
        <v>0</v>
      </c>
      <c r="J1929">
        <v>0</v>
      </c>
      <c r="K1929">
        <v>0</v>
      </c>
    </row>
    <row r="1930" spans="1:11" x14ac:dyDescent="0.2">
      <c r="A1930" t="s">
        <v>16</v>
      </c>
      <c r="B1930" t="s">
        <v>919</v>
      </c>
      <c r="C1930">
        <v>270</v>
      </c>
      <c r="D1930" t="s">
        <v>6409</v>
      </c>
      <c r="E1930" t="s">
        <v>49</v>
      </c>
      <c r="F1930">
        <v>3</v>
      </c>
      <c r="G1930">
        <v>0.38218958611481979</v>
      </c>
      <c r="H1930" t="s">
        <v>94</v>
      </c>
      <c r="I1930">
        <v>0</v>
      </c>
      <c r="J1930">
        <v>0</v>
      </c>
      <c r="K1930">
        <v>0</v>
      </c>
    </row>
    <row r="1931" spans="1:11" x14ac:dyDescent="0.2">
      <c r="A1931" t="s">
        <v>16</v>
      </c>
      <c r="B1931" t="s">
        <v>862</v>
      </c>
      <c r="C1931">
        <v>300</v>
      </c>
      <c r="D1931" t="s">
        <v>6411</v>
      </c>
      <c r="E1931" t="s">
        <v>49</v>
      </c>
      <c r="F1931">
        <v>3</v>
      </c>
      <c r="G1931">
        <v>0.49331316864704106</v>
      </c>
      <c r="H1931" t="s">
        <v>99</v>
      </c>
      <c r="I1931">
        <v>0</v>
      </c>
      <c r="J1931">
        <v>0</v>
      </c>
      <c r="K1931">
        <v>0</v>
      </c>
    </row>
    <row r="1932" spans="1:11" x14ac:dyDescent="0.2">
      <c r="A1932" t="s">
        <v>16</v>
      </c>
      <c r="B1932" t="s">
        <v>862</v>
      </c>
      <c r="C1932">
        <v>100</v>
      </c>
      <c r="D1932" t="s">
        <v>6413</v>
      </c>
      <c r="E1932" t="s">
        <v>49</v>
      </c>
      <c r="F1932">
        <v>3</v>
      </c>
      <c r="G1932">
        <v>0.16443772288234701</v>
      </c>
      <c r="H1932" t="s">
        <v>91</v>
      </c>
      <c r="I1932">
        <v>0</v>
      </c>
      <c r="J1932">
        <v>0</v>
      </c>
      <c r="K1932">
        <v>0</v>
      </c>
    </row>
    <row r="1933" spans="1:11" x14ac:dyDescent="0.2">
      <c r="A1933" t="s">
        <v>16</v>
      </c>
      <c r="B1933" t="s">
        <v>862</v>
      </c>
      <c r="C1933">
        <v>100</v>
      </c>
      <c r="D1933" t="s">
        <v>6414</v>
      </c>
      <c r="E1933" t="s">
        <v>49</v>
      </c>
      <c r="F1933">
        <v>3</v>
      </c>
      <c r="G1933">
        <v>0.16443772288234701</v>
      </c>
      <c r="H1933" t="s">
        <v>103</v>
      </c>
      <c r="I1933">
        <v>0</v>
      </c>
      <c r="J1933">
        <v>0</v>
      </c>
      <c r="K1933">
        <v>0</v>
      </c>
    </row>
    <row r="1934" spans="1:11" x14ac:dyDescent="0.2">
      <c r="A1934" t="s">
        <v>16</v>
      </c>
      <c r="B1934" t="s">
        <v>862</v>
      </c>
      <c r="C1934">
        <v>300</v>
      </c>
      <c r="D1934" t="s">
        <v>6415</v>
      </c>
      <c r="E1934" t="s">
        <v>49</v>
      </c>
      <c r="F1934">
        <v>3</v>
      </c>
      <c r="G1934">
        <v>0.49331316864704106</v>
      </c>
      <c r="H1934" t="s">
        <v>91</v>
      </c>
      <c r="I1934">
        <v>0</v>
      </c>
      <c r="J1934">
        <v>0</v>
      </c>
      <c r="K1934">
        <v>0</v>
      </c>
    </row>
    <row r="1935" spans="1:11" x14ac:dyDescent="0.2">
      <c r="A1935" t="s">
        <v>16</v>
      </c>
      <c r="B1935" t="s">
        <v>862</v>
      </c>
      <c r="C1935">
        <v>300</v>
      </c>
      <c r="D1935" t="s">
        <v>6412</v>
      </c>
      <c r="E1935" t="s">
        <v>49</v>
      </c>
      <c r="F1935">
        <v>3</v>
      </c>
      <c r="G1935">
        <v>0.49331316864704106</v>
      </c>
      <c r="H1935" t="s">
        <v>103</v>
      </c>
      <c r="I1935">
        <v>0</v>
      </c>
      <c r="J1935">
        <v>0</v>
      </c>
      <c r="K1935">
        <v>0</v>
      </c>
    </row>
    <row r="1936" spans="1:11" x14ac:dyDescent="0.2">
      <c r="A1936" t="s">
        <v>16</v>
      </c>
      <c r="B1936" t="s">
        <v>841</v>
      </c>
      <c r="C1936">
        <v>200</v>
      </c>
      <c r="D1936" t="s">
        <v>6416</v>
      </c>
      <c r="E1936" t="s">
        <v>49</v>
      </c>
      <c r="F1936">
        <v>4</v>
      </c>
      <c r="G1936">
        <v>0.33179043743641917</v>
      </c>
      <c r="H1936" t="s">
        <v>99</v>
      </c>
      <c r="I1936">
        <v>0</v>
      </c>
      <c r="J1936">
        <v>0</v>
      </c>
      <c r="K1936">
        <v>0</v>
      </c>
    </row>
    <row r="1937" spans="1:11" x14ac:dyDescent="0.2">
      <c r="A1937" t="s">
        <v>16</v>
      </c>
      <c r="B1937" t="s">
        <v>841</v>
      </c>
      <c r="C1937">
        <v>300</v>
      </c>
      <c r="D1937" t="s">
        <v>6417</v>
      </c>
      <c r="E1937" t="s">
        <v>49</v>
      </c>
      <c r="F1937">
        <v>4</v>
      </c>
      <c r="G1937">
        <v>0.49768565615462873</v>
      </c>
      <c r="H1937" t="s">
        <v>90</v>
      </c>
      <c r="I1937">
        <v>0</v>
      </c>
      <c r="J1937">
        <v>0</v>
      </c>
      <c r="K1937">
        <v>0</v>
      </c>
    </row>
    <row r="1938" spans="1:11" x14ac:dyDescent="0.2">
      <c r="A1938" t="s">
        <v>16</v>
      </c>
      <c r="B1938" t="s">
        <v>2028</v>
      </c>
      <c r="C1938">
        <v>85</v>
      </c>
      <c r="D1938" t="s">
        <v>6418</v>
      </c>
      <c r="E1938" t="s">
        <v>49</v>
      </c>
      <c r="F1938">
        <v>5</v>
      </c>
      <c r="G1938">
        <v>8.5184944889232589E-2</v>
      </c>
      <c r="H1938" t="s">
        <v>92</v>
      </c>
      <c r="I1938">
        <v>0</v>
      </c>
      <c r="J1938">
        <v>0</v>
      </c>
      <c r="K1938">
        <v>0</v>
      </c>
    </row>
    <row r="1939" spans="1:11" x14ac:dyDescent="0.2">
      <c r="A1939" t="s">
        <v>16</v>
      </c>
      <c r="B1939" t="s">
        <v>2028</v>
      </c>
      <c r="C1939">
        <v>85</v>
      </c>
      <c r="D1939" t="s">
        <v>6419</v>
      </c>
      <c r="E1939" t="s">
        <v>49</v>
      </c>
      <c r="F1939">
        <v>5</v>
      </c>
      <c r="G1939">
        <v>8.5184944889232589E-2</v>
      </c>
      <c r="H1939" t="s">
        <v>91</v>
      </c>
      <c r="I1939">
        <v>0</v>
      </c>
      <c r="J1939">
        <v>0</v>
      </c>
      <c r="K1939">
        <v>0</v>
      </c>
    </row>
    <row r="1940" spans="1:11" x14ac:dyDescent="0.2">
      <c r="A1940" t="s">
        <v>16</v>
      </c>
      <c r="B1940" t="s">
        <v>2028</v>
      </c>
      <c r="C1940">
        <v>255</v>
      </c>
      <c r="D1940" t="s">
        <v>6420</v>
      </c>
      <c r="E1940" t="s">
        <v>49</v>
      </c>
      <c r="F1940">
        <v>5</v>
      </c>
      <c r="G1940">
        <v>0.25555483466769774</v>
      </c>
      <c r="H1940" t="s">
        <v>92</v>
      </c>
      <c r="I1940">
        <v>0</v>
      </c>
      <c r="J1940">
        <v>0</v>
      </c>
      <c r="K1940">
        <v>0</v>
      </c>
    </row>
    <row r="1941" spans="1:11" x14ac:dyDescent="0.2">
      <c r="A1941" t="s">
        <v>16</v>
      </c>
      <c r="B1941" t="s">
        <v>921</v>
      </c>
      <c r="C1941">
        <v>270</v>
      </c>
      <c r="D1941" t="s">
        <v>6423</v>
      </c>
      <c r="E1941" t="s">
        <v>49</v>
      </c>
      <c r="F1941">
        <v>2</v>
      </c>
      <c r="G1941">
        <v>0.53652969554234498</v>
      </c>
      <c r="H1941" t="s">
        <v>91</v>
      </c>
      <c r="I1941">
        <v>0</v>
      </c>
      <c r="J1941">
        <v>0</v>
      </c>
      <c r="K1941">
        <v>0</v>
      </c>
    </row>
    <row r="1942" spans="1:11" x14ac:dyDescent="0.2">
      <c r="A1942" t="s">
        <v>16</v>
      </c>
      <c r="B1942" t="s">
        <v>921</v>
      </c>
      <c r="C1942">
        <v>180</v>
      </c>
      <c r="D1942" t="s">
        <v>6424</v>
      </c>
      <c r="E1942" t="s">
        <v>49</v>
      </c>
      <c r="F1942">
        <v>2</v>
      </c>
      <c r="G1942">
        <v>0.35768646369489665</v>
      </c>
      <c r="H1942" t="s">
        <v>99</v>
      </c>
      <c r="I1942">
        <v>0</v>
      </c>
      <c r="J1942">
        <v>0</v>
      </c>
      <c r="K1942">
        <v>0</v>
      </c>
    </row>
    <row r="1943" spans="1:11" x14ac:dyDescent="0.2">
      <c r="A1943" t="s">
        <v>16</v>
      </c>
      <c r="B1943" t="s">
        <v>921</v>
      </c>
      <c r="C1943">
        <v>270</v>
      </c>
      <c r="D1943" t="s">
        <v>6425</v>
      </c>
      <c r="E1943" t="s">
        <v>49</v>
      </c>
      <c r="F1943">
        <v>2</v>
      </c>
      <c r="G1943">
        <v>0.53652969554234498</v>
      </c>
      <c r="H1943" t="s">
        <v>99</v>
      </c>
      <c r="I1943">
        <v>0</v>
      </c>
      <c r="J1943">
        <v>0</v>
      </c>
      <c r="K1943">
        <v>0</v>
      </c>
    </row>
    <row r="1944" spans="1:11" x14ac:dyDescent="0.2">
      <c r="A1944" t="s">
        <v>16</v>
      </c>
      <c r="B1944" t="s">
        <v>921</v>
      </c>
      <c r="C1944">
        <v>90</v>
      </c>
      <c r="D1944" t="s">
        <v>6422</v>
      </c>
      <c r="E1944" t="s">
        <v>49</v>
      </c>
      <c r="F1944">
        <v>2</v>
      </c>
      <c r="G1944">
        <v>0.17884323184744833</v>
      </c>
      <c r="H1944" t="s">
        <v>91</v>
      </c>
      <c r="I1944">
        <v>0</v>
      </c>
      <c r="J1944">
        <v>0</v>
      </c>
      <c r="K1944">
        <v>0</v>
      </c>
    </row>
    <row r="1945" spans="1:11" x14ac:dyDescent="0.2">
      <c r="A1945" t="s">
        <v>16</v>
      </c>
      <c r="B1945" t="s">
        <v>921</v>
      </c>
      <c r="C1945">
        <v>270</v>
      </c>
      <c r="D1945" t="s">
        <v>6421</v>
      </c>
      <c r="E1945" t="s">
        <v>49</v>
      </c>
      <c r="F1945">
        <v>2</v>
      </c>
      <c r="G1945">
        <v>0.53652969554234498</v>
      </c>
      <c r="H1945" t="s">
        <v>91</v>
      </c>
      <c r="I1945">
        <v>0</v>
      </c>
      <c r="J1945">
        <v>0</v>
      </c>
      <c r="K1945">
        <v>0</v>
      </c>
    </row>
    <row r="1946" spans="1:11" x14ac:dyDescent="0.2">
      <c r="A1946" t="s">
        <v>16</v>
      </c>
      <c r="B1946" t="s">
        <v>626</v>
      </c>
      <c r="C1946">
        <v>100</v>
      </c>
      <c r="D1946" t="s">
        <v>6426</v>
      </c>
      <c r="E1946" t="s">
        <v>49</v>
      </c>
      <c r="F1946">
        <v>4</v>
      </c>
      <c r="G1946">
        <v>0.12302508735600262</v>
      </c>
      <c r="H1946" t="s">
        <v>103</v>
      </c>
      <c r="I1946">
        <v>0</v>
      </c>
      <c r="J1946">
        <v>0</v>
      </c>
      <c r="K1946">
        <v>0</v>
      </c>
    </row>
    <row r="1947" spans="1:11" x14ac:dyDescent="0.2">
      <c r="A1947" t="s">
        <v>16</v>
      </c>
      <c r="B1947" t="s">
        <v>657</v>
      </c>
      <c r="C1947">
        <v>100</v>
      </c>
      <c r="D1947" t="s">
        <v>6427</v>
      </c>
      <c r="E1947" t="s">
        <v>49</v>
      </c>
      <c r="F1947">
        <v>2</v>
      </c>
      <c r="G1947">
        <v>0.16589521871820959</v>
      </c>
      <c r="H1947" t="s">
        <v>94</v>
      </c>
      <c r="I1947">
        <v>0</v>
      </c>
      <c r="J1947">
        <v>0</v>
      </c>
      <c r="K1947">
        <v>0</v>
      </c>
    </row>
    <row r="1948" spans="1:11" x14ac:dyDescent="0.2">
      <c r="A1948" t="s">
        <v>16</v>
      </c>
      <c r="B1948" t="s">
        <v>657</v>
      </c>
      <c r="C1948">
        <v>300</v>
      </c>
      <c r="D1948" t="s">
        <v>6428</v>
      </c>
      <c r="E1948" t="s">
        <v>49</v>
      </c>
      <c r="F1948">
        <v>2</v>
      </c>
      <c r="G1948">
        <v>0.49768565615462873</v>
      </c>
      <c r="H1948" t="s">
        <v>103</v>
      </c>
      <c r="I1948">
        <v>0</v>
      </c>
      <c r="J1948">
        <v>0</v>
      </c>
      <c r="K1948">
        <v>0</v>
      </c>
    </row>
    <row r="1949" spans="1:11" x14ac:dyDescent="0.2">
      <c r="A1949" t="s">
        <v>16</v>
      </c>
      <c r="B1949" t="s">
        <v>2030</v>
      </c>
      <c r="C1949">
        <v>360</v>
      </c>
      <c r="D1949" t="s">
        <v>6429</v>
      </c>
      <c r="E1949" t="s">
        <v>49</v>
      </c>
      <c r="F1949">
        <v>3</v>
      </c>
      <c r="G1949">
        <v>0.61296459190498398</v>
      </c>
      <c r="H1949" t="s">
        <v>92</v>
      </c>
      <c r="I1949">
        <v>0</v>
      </c>
      <c r="J1949">
        <v>0</v>
      </c>
      <c r="K1949">
        <v>0</v>
      </c>
    </row>
    <row r="1950" spans="1:11" x14ac:dyDescent="0.2">
      <c r="A1950" t="s">
        <v>16</v>
      </c>
      <c r="B1950" t="s">
        <v>2030</v>
      </c>
      <c r="C1950">
        <v>360</v>
      </c>
      <c r="D1950" t="s">
        <v>6432</v>
      </c>
      <c r="E1950" t="s">
        <v>49</v>
      </c>
      <c r="F1950">
        <v>3</v>
      </c>
      <c r="G1950">
        <v>0.61296459190498398</v>
      </c>
      <c r="H1950" t="s">
        <v>101</v>
      </c>
      <c r="I1950">
        <v>0</v>
      </c>
      <c r="J1950">
        <v>0</v>
      </c>
      <c r="K1950">
        <v>0</v>
      </c>
    </row>
    <row r="1951" spans="1:11" x14ac:dyDescent="0.2">
      <c r="A1951" t="s">
        <v>16</v>
      </c>
      <c r="B1951" t="s">
        <v>2030</v>
      </c>
      <c r="C1951">
        <v>360</v>
      </c>
      <c r="D1951" t="s">
        <v>6430</v>
      </c>
      <c r="E1951" t="s">
        <v>49</v>
      </c>
      <c r="F1951">
        <v>3</v>
      </c>
      <c r="G1951">
        <v>0.61296459190498398</v>
      </c>
      <c r="H1951" t="s">
        <v>94</v>
      </c>
      <c r="I1951">
        <v>0</v>
      </c>
      <c r="J1951">
        <v>0</v>
      </c>
      <c r="K1951">
        <v>0</v>
      </c>
    </row>
    <row r="1952" spans="1:11" x14ac:dyDescent="0.2">
      <c r="A1952" t="s">
        <v>16</v>
      </c>
      <c r="B1952" t="s">
        <v>2030</v>
      </c>
      <c r="C1952">
        <v>360</v>
      </c>
      <c r="D1952" t="s">
        <v>6431</v>
      </c>
      <c r="E1952" t="s">
        <v>49</v>
      </c>
      <c r="F1952">
        <v>3</v>
      </c>
      <c r="G1952">
        <v>0.61296459190498398</v>
      </c>
      <c r="H1952" t="s">
        <v>92</v>
      </c>
      <c r="I1952">
        <v>0</v>
      </c>
      <c r="J1952">
        <v>0</v>
      </c>
      <c r="K1952">
        <v>0</v>
      </c>
    </row>
    <row r="1953" spans="1:11" x14ac:dyDescent="0.2">
      <c r="A1953" t="s">
        <v>16</v>
      </c>
      <c r="B1953" t="s">
        <v>2032</v>
      </c>
      <c r="C1953">
        <v>300</v>
      </c>
      <c r="D1953" t="s">
        <v>6436</v>
      </c>
      <c r="E1953" t="s">
        <v>49</v>
      </c>
      <c r="F1953">
        <v>4</v>
      </c>
      <c r="G1953">
        <v>0.45180128145186815</v>
      </c>
      <c r="H1953" t="s">
        <v>93</v>
      </c>
      <c r="I1953">
        <v>0</v>
      </c>
      <c r="J1953">
        <v>0</v>
      </c>
      <c r="K1953">
        <v>0</v>
      </c>
    </row>
    <row r="1954" spans="1:11" x14ac:dyDescent="0.2">
      <c r="A1954" t="s">
        <v>16</v>
      </c>
      <c r="B1954" t="s">
        <v>2032</v>
      </c>
      <c r="C1954">
        <v>300</v>
      </c>
      <c r="D1954" t="s">
        <v>6433</v>
      </c>
      <c r="E1954" t="s">
        <v>49</v>
      </c>
      <c r="F1954">
        <v>4</v>
      </c>
      <c r="G1954">
        <v>0.45180128145186815</v>
      </c>
      <c r="H1954" t="s">
        <v>90</v>
      </c>
      <c r="I1954">
        <v>0</v>
      </c>
      <c r="J1954">
        <v>0</v>
      </c>
      <c r="K1954">
        <v>0</v>
      </c>
    </row>
    <row r="1955" spans="1:11" x14ac:dyDescent="0.2">
      <c r="A1955" t="s">
        <v>16</v>
      </c>
      <c r="B1955" t="s">
        <v>2032</v>
      </c>
      <c r="C1955">
        <v>300</v>
      </c>
      <c r="D1955" t="s">
        <v>6435</v>
      </c>
      <c r="E1955" t="s">
        <v>49</v>
      </c>
      <c r="F1955">
        <v>4</v>
      </c>
      <c r="G1955">
        <v>0.45180128145186815</v>
      </c>
      <c r="H1955" t="s">
        <v>97</v>
      </c>
      <c r="I1955">
        <v>0</v>
      </c>
      <c r="J1955">
        <v>0</v>
      </c>
      <c r="K1955">
        <v>0</v>
      </c>
    </row>
    <row r="1956" spans="1:11" x14ac:dyDescent="0.2">
      <c r="A1956" t="s">
        <v>16</v>
      </c>
      <c r="B1956" t="s">
        <v>2032</v>
      </c>
      <c r="C1956">
        <v>300</v>
      </c>
      <c r="D1956" t="s">
        <v>6434</v>
      </c>
      <c r="E1956" t="s">
        <v>49</v>
      </c>
      <c r="F1956">
        <v>4</v>
      </c>
      <c r="G1956">
        <v>0.45180128145186815</v>
      </c>
      <c r="H1956" t="s">
        <v>87</v>
      </c>
      <c r="I1956">
        <v>0</v>
      </c>
      <c r="J1956">
        <v>0</v>
      </c>
      <c r="K1956">
        <v>0</v>
      </c>
    </row>
    <row r="1957" spans="1:11" x14ac:dyDescent="0.2">
      <c r="A1957" t="s">
        <v>16</v>
      </c>
      <c r="B1957" t="s">
        <v>861</v>
      </c>
      <c r="C1957">
        <v>360</v>
      </c>
      <c r="D1957" t="s">
        <v>6437</v>
      </c>
      <c r="E1957" t="s">
        <v>49</v>
      </c>
      <c r="F1957">
        <v>3</v>
      </c>
      <c r="G1957">
        <v>0.44233724815958181</v>
      </c>
      <c r="H1957" t="s">
        <v>98</v>
      </c>
      <c r="I1957">
        <v>0</v>
      </c>
      <c r="J1957">
        <v>0</v>
      </c>
      <c r="K1957">
        <v>0</v>
      </c>
    </row>
    <row r="1958" spans="1:11" x14ac:dyDescent="0.2">
      <c r="A1958" t="s">
        <v>16</v>
      </c>
      <c r="B1958" t="s">
        <v>2035</v>
      </c>
      <c r="C1958">
        <v>240</v>
      </c>
      <c r="D1958" t="s">
        <v>6484</v>
      </c>
      <c r="E1958" t="s">
        <v>49</v>
      </c>
      <c r="F1958">
        <v>3</v>
      </c>
      <c r="G1958">
        <v>0.34606984240106448</v>
      </c>
      <c r="H1958" t="s">
        <v>100</v>
      </c>
      <c r="I1958">
        <v>0</v>
      </c>
      <c r="J1958">
        <v>0</v>
      </c>
      <c r="K1958">
        <v>0</v>
      </c>
    </row>
    <row r="1959" spans="1:11" x14ac:dyDescent="0.2">
      <c r="A1959" t="s">
        <v>16</v>
      </c>
      <c r="B1959" t="s">
        <v>2035</v>
      </c>
      <c r="C1959">
        <v>240</v>
      </c>
      <c r="D1959" t="s">
        <v>6468</v>
      </c>
      <c r="E1959" t="s">
        <v>49</v>
      </c>
      <c r="F1959">
        <v>3</v>
      </c>
      <c r="G1959">
        <v>0.34606984240106448</v>
      </c>
      <c r="H1959" t="s">
        <v>96</v>
      </c>
      <c r="I1959">
        <v>0</v>
      </c>
      <c r="J1959">
        <v>0</v>
      </c>
      <c r="K1959">
        <v>0</v>
      </c>
    </row>
    <row r="1960" spans="1:11" x14ac:dyDescent="0.2">
      <c r="A1960" t="s">
        <v>16</v>
      </c>
      <c r="B1960" t="s">
        <v>2035</v>
      </c>
      <c r="C1960">
        <v>240</v>
      </c>
      <c r="D1960" t="s">
        <v>6473</v>
      </c>
      <c r="E1960" t="s">
        <v>49</v>
      </c>
      <c r="F1960">
        <v>3</v>
      </c>
      <c r="G1960">
        <v>0.34606984240106448</v>
      </c>
      <c r="H1960" t="s">
        <v>89</v>
      </c>
      <c r="I1960">
        <v>0</v>
      </c>
      <c r="J1960">
        <v>0</v>
      </c>
      <c r="K1960">
        <v>0</v>
      </c>
    </row>
    <row r="1961" spans="1:11" x14ac:dyDescent="0.2">
      <c r="A1961" t="s">
        <v>16</v>
      </c>
      <c r="B1961" t="s">
        <v>2035</v>
      </c>
      <c r="C1961">
        <v>80</v>
      </c>
      <c r="D1961" t="s">
        <v>6488</v>
      </c>
      <c r="E1961" t="s">
        <v>49</v>
      </c>
      <c r="F1961">
        <v>3</v>
      </c>
      <c r="G1961">
        <v>0.11535661413368815</v>
      </c>
      <c r="H1961" t="s">
        <v>100</v>
      </c>
      <c r="I1961">
        <v>0</v>
      </c>
      <c r="J1961">
        <v>0</v>
      </c>
      <c r="K1961">
        <v>0</v>
      </c>
    </row>
    <row r="1962" spans="1:11" x14ac:dyDescent="0.2">
      <c r="A1962" t="s">
        <v>16</v>
      </c>
      <c r="B1962" t="s">
        <v>2035</v>
      </c>
      <c r="C1962">
        <v>240</v>
      </c>
      <c r="D1962" t="s">
        <v>6483</v>
      </c>
      <c r="E1962" t="s">
        <v>49</v>
      </c>
      <c r="F1962">
        <v>3</v>
      </c>
      <c r="G1962">
        <v>0.34606984240106448</v>
      </c>
      <c r="H1962" t="s">
        <v>96</v>
      </c>
      <c r="I1962">
        <v>0</v>
      </c>
      <c r="J1962">
        <v>0</v>
      </c>
      <c r="K1962">
        <v>0</v>
      </c>
    </row>
    <row r="1963" spans="1:11" x14ac:dyDescent="0.2">
      <c r="A1963" t="s">
        <v>16</v>
      </c>
      <c r="B1963" t="s">
        <v>2035</v>
      </c>
      <c r="C1963">
        <v>240</v>
      </c>
      <c r="D1963" t="s">
        <v>6486</v>
      </c>
      <c r="E1963" t="s">
        <v>49</v>
      </c>
      <c r="F1963">
        <v>3</v>
      </c>
      <c r="G1963">
        <v>0.34606984240106448</v>
      </c>
      <c r="H1963" t="s">
        <v>89</v>
      </c>
      <c r="I1963">
        <v>0</v>
      </c>
      <c r="J1963">
        <v>0</v>
      </c>
      <c r="K1963">
        <v>0</v>
      </c>
    </row>
    <row r="1964" spans="1:11" x14ac:dyDescent="0.2">
      <c r="A1964" t="s">
        <v>16</v>
      </c>
      <c r="B1964" t="s">
        <v>2035</v>
      </c>
      <c r="C1964">
        <v>240</v>
      </c>
      <c r="D1964" t="s">
        <v>6485</v>
      </c>
      <c r="E1964" t="s">
        <v>49</v>
      </c>
      <c r="F1964">
        <v>3</v>
      </c>
      <c r="G1964">
        <v>0.34606984240106448</v>
      </c>
      <c r="H1964" t="s">
        <v>100</v>
      </c>
      <c r="I1964">
        <v>0</v>
      </c>
      <c r="J1964">
        <v>0</v>
      </c>
      <c r="K1964">
        <v>0</v>
      </c>
    </row>
    <row r="1965" spans="1:11" x14ac:dyDescent="0.2">
      <c r="A1965" t="s">
        <v>16</v>
      </c>
      <c r="B1965" t="s">
        <v>2035</v>
      </c>
      <c r="C1965">
        <v>240</v>
      </c>
      <c r="D1965" t="s">
        <v>6451</v>
      </c>
      <c r="E1965" t="s">
        <v>49</v>
      </c>
      <c r="F1965">
        <v>3</v>
      </c>
      <c r="G1965">
        <v>0.34606984240106448</v>
      </c>
      <c r="H1965" t="s">
        <v>96</v>
      </c>
      <c r="I1965">
        <v>0</v>
      </c>
      <c r="J1965">
        <v>0</v>
      </c>
      <c r="K1965">
        <v>0</v>
      </c>
    </row>
    <row r="1966" spans="1:11" x14ac:dyDescent="0.2">
      <c r="A1966" t="s">
        <v>16</v>
      </c>
      <c r="B1966" t="s">
        <v>2035</v>
      </c>
      <c r="C1966">
        <v>240</v>
      </c>
      <c r="D1966" t="s">
        <v>6489</v>
      </c>
      <c r="E1966" t="s">
        <v>49</v>
      </c>
      <c r="F1966">
        <v>3</v>
      </c>
      <c r="G1966">
        <v>0.34606984240106448</v>
      </c>
      <c r="H1966" t="s">
        <v>89</v>
      </c>
      <c r="I1966">
        <v>0</v>
      </c>
      <c r="J1966">
        <v>0</v>
      </c>
      <c r="K1966">
        <v>0</v>
      </c>
    </row>
    <row r="1967" spans="1:11" x14ac:dyDescent="0.2">
      <c r="A1967" t="s">
        <v>16</v>
      </c>
      <c r="B1967" t="s">
        <v>2035</v>
      </c>
      <c r="C1967">
        <v>240</v>
      </c>
      <c r="D1967" t="s">
        <v>6490</v>
      </c>
      <c r="E1967" t="s">
        <v>49</v>
      </c>
      <c r="F1967">
        <v>3</v>
      </c>
      <c r="G1967">
        <v>0.34606984240106448</v>
      </c>
      <c r="H1967" t="s">
        <v>100</v>
      </c>
      <c r="I1967">
        <v>0</v>
      </c>
      <c r="J1967">
        <v>0</v>
      </c>
      <c r="K1967">
        <v>0</v>
      </c>
    </row>
    <row r="1968" spans="1:11" x14ac:dyDescent="0.2">
      <c r="A1968" t="s">
        <v>16</v>
      </c>
      <c r="B1968" t="s">
        <v>2035</v>
      </c>
      <c r="C1968">
        <v>240</v>
      </c>
      <c r="D1968" t="s">
        <v>6487</v>
      </c>
      <c r="E1968" t="s">
        <v>49</v>
      </c>
      <c r="F1968">
        <v>3</v>
      </c>
      <c r="G1968">
        <v>0.34606984240106448</v>
      </c>
      <c r="H1968" t="s">
        <v>96</v>
      </c>
      <c r="I1968">
        <v>0</v>
      </c>
      <c r="J1968">
        <v>0</v>
      </c>
      <c r="K1968">
        <v>0</v>
      </c>
    </row>
    <row r="1969" spans="1:11" x14ac:dyDescent="0.2">
      <c r="A1969" t="s">
        <v>16</v>
      </c>
      <c r="B1969" t="s">
        <v>2035</v>
      </c>
      <c r="C1969">
        <v>240</v>
      </c>
      <c r="D1969" t="s">
        <v>6469</v>
      </c>
      <c r="E1969" t="s">
        <v>49</v>
      </c>
      <c r="F1969">
        <v>3</v>
      </c>
      <c r="G1969">
        <v>0.34606984240106448</v>
      </c>
      <c r="H1969" t="s">
        <v>89</v>
      </c>
      <c r="I1969">
        <v>0</v>
      </c>
      <c r="J1969">
        <v>0</v>
      </c>
      <c r="K1969">
        <v>0</v>
      </c>
    </row>
    <row r="1970" spans="1:11" x14ac:dyDescent="0.2">
      <c r="A1970" t="s">
        <v>16</v>
      </c>
      <c r="B1970" t="s">
        <v>2035</v>
      </c>
      <c r="C1970">
        <v>240</v>
      </c>
      <c r="D1970" t="s">
        <v>6471</v>
      </c>
      <c r="E1970" t="s">
        <v>49</v>
      </c>
      <c r="F1970">
        <v>3</v>
      </c>
      <c r="G1970">
        <v>0.34606984240106448</v>
      </c>
      <c r="H1970" t="s">
        <v>100</v>
      </c>
      <c r="I1970">
        <v>0</v>
      </c>
      <c r="J1970">
        <v>0</v>
      </c>
      <c r="K1970">
        <v>0</v>
      </c>
    </row>
    <row r="1971" spans="1:11" x14ac:dyDescent="0.2">
      <c r="A1971" t="s">
        <v>16</v>
      </c>
      <c r="B1971" t="s">
        <v>2035</v>
      </c>
      <c r="C1971">
        <v>240</v>
      </c>
      <c r="D1971" t="s">
        <v>6474</v>
      </c>
      <c r="E1971" t="s">
        <v>49</v>
      </c>
      <c r="F1971">
        <v>3</v>
      </c>
      <c r="G1971">
        <v>0.34606984240106448</v>
      </c>
      <c r="H1971" t="s">
        <v>96</v>
      </c>
      <c r="I1971">
        <v>0</v>
      </c>
      <c r="J1971">
        <v>0</v>
      </c>
      <c r="K1971">
        <v>0</v>
      </c>
    </row>
    <row r="1972" spans="1:11" x14ac:dyDescent="0.2">
      <c r="A1972" t="s">
        <v>16</v>
      </c>
      <c r="B1972" t="s">
        <v>2035</v>
      </c>
      <c r="C1972">
        <v>240</v>
      </c>
      <c r="D1972" t="s">
        <v>6477</v>
      </c>
      <c r="E1972" t="s">
        <v>49</v>
      </c>
      <c r="F1972">
        <v>3</v>
      </c>
      <c r="G1972">
        <v>0.34606984240106448</v>
      </c>
      <c r="H1972" t="s">
        <v>89</v>
      </c>
      <c r="I1972">
        <v>0</v>
      </c>
      <c r="J1972">
        <v>0</v>
      </c>
      <c r="K1972">
        <v>0</v>
      </c>
    </row>
    <row r="1973" spans="1:11" x14ac:dyDescent="0.2">
      <c r="A1973" t="s">
        <v>16</v>
      </c>
      <c r="B1973" t="s">
        <v>2035</v>
      </c>
      <c r="C1973">
        <v>240</v>
      </c>
      <c r="D1973" t="s">
        <v>6439</v>
      </c>
      <c r="E1973" t="s">
        <v>49</v>
      </c>
      <c r="F1973">
        <v>3</v>
      </c>
      <c r="G1973">
        <v>0.34606984240106448</v>
      </c>
      <c r="H1973" t="s">
        <v>100</v>
      </c>
      <c r="I1973">
        <v>0</v>
      </c>
      <c r="J1973">
        <v>0</v>
      </c>
      <c r="K1973">
        <v>0</v>
      </c>
    </row>
    <row r="1974" spans="1:11" x14ac:dyDescent="0.2">
      <c r="A1974" t="s">
        <v>16</v>
      </c>
      <c r="B1974" t="s">
        <v>2035</v>
      </c>
      <c r="C1974">
        <v>240</v>
      </c>
      <c r="D1974" t="s">
        <v>6441</v>
      </c>
      <c r="E1974" t="s">
        <v>49</v>
      </c>
      <c r="F1974">
        <v>3</v>
      </c>
      <c r="G1974">
        <v>0.34606984240106448</v>
      </c>
      <c r="H1974" t="s">
        <v>96</v>
      </c>
      <c r="I1974">
        <v>0</v>
      </c>
      <c r="J1974">
        <v>0</v>
      </c>
      <c r="K1974">
        <v>0</v>
      </c>
    </row>
    <row r="1975" spans="1:11" x14ac:dyDescent="0.2">
      <c r="A1975" t="s">
        <v>16</v>
      </c>
      <c r="B1975" t="s">
        <v>2035</v>
      </c>
      <c r="C1975">
        <v>240</v>
      </c>
      <c r="D1975" t="s">
        <v>6482</v>
      </c>
      <c r="E1975" t="s">
        <v>49</v>
      </c>
      <c r="F1975">
        <v>3</v>
      </c>
      <c r="G1975">
        <v>0.34606984240106448</v>
      </c>
      <c r="H1975" t="s">
        <v>89</v>
      </c>
      <c r="I1975">
        <v>0</v>
      </c>
      <c r="J1975">
        <v>0</v>
      </c>
      <c r="K1975">
        <v>0</v>
      </c>
    </row>
    <row r="1976" spans="1:11" x14ac:dyDescent="0.2">
      <c r="A1976" t="s">
        <v>16</v>
      </c>
      <c r="B1976" t="s">
        <v>2035</v>
      </c>
      <c r="C1976">
        <v>240</v>
      </c>
      <c r="D1976" t="s">
        <v>6480</v>
      </c>
      <c r="E1976" t="s">
        <v>49</v>
      </c>
      <c r="F1976">
        <v>3</v>
      </c>
      <c r="G1976">
        <v>0.34606984240106448</v>
      </c>
      <c r="H1976" t="s">
        <v>100</v>
      </c>
      <c r="I1976">
        <v>0</v>
      </c>
      <c r="J1976">
        <v>0</v>
      </c>
      <c r="K1976">
        <v>0</v>
      </c>
    </row>
    <row r="1977" spans="1:11" x14ac:dyDescent="0.2">
      <c r="A1977" t="s">
        <v>16</v>
      </c>
      <c r="B1977" t="s">
        <v>2035</v>
      </c>
      <c r="C1977">
        <v>240</v>
      </c>
      <c r="D1977" t="s">
        <v>6476</v>
      </c>
      <c r="E1977" t="s">
        <v>49</v>
      </c>
      <c r="F1977">
        <v>3</v>
      </c>
      <c r="G1977">
        <v>0.34606984240106448</v>
      </c>
      <c r="H1977" t="s">
        <v>96</v>
      </c>
      <c r="I1977">
        <v>0</v>
      </c>
      <c r="J1977">
        <v>0</v>
      </c>
      <c r="K1977">
        <v>0</v>
      </c>
    </row>
    <row r="1978" spans="1:11" x14ac:dyDescent="0.2">
      <c r="A1978" t="s">
        <v>16</v>
      </c>
      <c r="B1978" t="s">
        <v>2035</v>
      </c>
      <c r="C1978">
        <v>240</v>
      </c>
      <c r="D1978" t="s">
        <v>6443</v>
      </c>
      <c r="E1978" t="s">
        <v>49</v>
      </c>
      <c r="F1978">
        <v>3</v>
      </c>
      <c r="G1978">
        <v>0.34606984240106448</v>
      </c>
      <c r="H1978" t="s">
        <v>89</v>
      </c>
      <c r="I1978">
        <v>0</v>
      </c>
      <c r="J1978">
        <v>0</v>
      </c>
      <c r="K1978">
        <v>0</v>
      </c>
    </row>
    <row r="1979" spans="1:11" x14ac:dyDescent="0.2">
      <c r="A1979" t="s">
        <v>16</v>
      </c>
      <c r="B1979" t="s">
        <v>2035</v>
      </c>
      <c r="C1979">
        <v>240</v>
      </c>
      <c r="D1979" t="s">
        <v>6444</v>
      </c>
      <c r="E1979" t="s">
        <v>49</v>
      </c>
      <c r="F1979">
        <v>3</v>
      </c>
      <c r="G1979">
        <v>0.34606984240106448</v>
      </c>
      <c r="H1979" t="s">
        <v>100</v>
      </c>
      <c r="I1979">
        <v>0</v>
      </c>
      <c r="J1979">
        <v>0</v>
      </c>
      <c r="K1979">
        <v>0</v>
      </c>
    </row>
    <row r="1980" spans="1:11" x14ac:dyDescent="0.2">
      <c r="A1980" t="s">
        <v>16</v>
      </c>
      <c r="B1980" t="s">
        <v>2035</v>
      </c>
      <c r="C1980">
        <v>240</v>
      </c>
      <c r="D1980" t="s">
        <v>6454</v>
      </c>
      <c r="E1980" t="s">
        <v>49</v>
      </c>
      <c r="F1980">
        <v>3</v>
      </c>
      <c r="G1980">
        <v>0.34606984240106448</v>
      </c>
      <c r="H1980" t="s">
        <v>96</v>
      </c>
      <c r="I1980">
        <v>0</v>
      </c>
      <c r="J1980">
        <v>0</v>
      </c>
      <c r="K1980">
        <v>0</v>
      </c>
    </row>
    <row r="1981" spans="1:11" x14ac:dyDescent="0.2">
      <c r="A1981" t="s">
        <v>16</v>
      </c>
      <c r="B1981" t="s">
        <v>2035</v>
      </c>
      <c r="C1981">
        <v>240</v>
      </c>
      <c r="D1981" t="s">
        <v>6447</v>
      </c>
      <c r="E1981" t="s">
        <v>49</v>
      </c>
      <c r="F1981">
        <v>3</v>
      </c>
      <c r="G1981">
        <v>0.34606984240106448</v>
      </c>
      <c r="H1981" t="s">
        <v>89</v>
      </c>
      <c r="I1981">
        <v>0</v>
      </c>
      <c r="J1981">
        <v>0</v>
      </c>
      <c r="K1981">
        <v>0</v>
      </c>
    </row>
    <row r="1982" spans="1:11" x14ac:dyDescent="0.2">
      <c r="A1982" t="s">
        <v>16</v>
      </c>
      <c r="B1982" t="s">
        <v>2035</v>
      </c>
      <c r="C1982">
        <v>240</v>
      </c>
      <c r="D1982" t="s">
        <v>6460</v>
      </c>
      <c r="E1982" t="s">
        <v>49</v>
      </c>
      <c r="F1982">
        <v>3</v>
      </c>
      <c r="G1982">
        <v>0.34606984240106448</v>
      </c>
      <c r="H1982" t="s">
        <v>100</v>
      </c>
      <c r="I1982">
        <v>0</v>
      </c>
      <c r="J1982">
        <v>0</v>
      </c>
      <c r="K1982">
        <v>0</v>
      </c>
    </row>
    <row r="1983" spans="1:11" x14ac:dyDescent="0.2">
      <c r="A1983" t="s">
        <v>16</v>
      </c>
      <c r="B1983" t="s">
        <v>2035</v>
      </c>
      <c r="C1983">
        <v>240</v>
      </c>
      <c r="D1983" t="s">
        <v>6459</v>
      </c>
      <c r="E1983" t="s">
        <v>49</v>
      </c>
      <c r="F1983">
        <v>3</v>
      </c>
      <c r="G1983">
        <v>0.34606984240106448</v>
      </c>
      <c r="H1983" t="s">
        <v>96</v>
      </c>
      <c r="I1983">
        <v>0</v>
      </c>
      <c r="J1983">
        <v>0</v>
      </c>
      <c r="K1983">
        <v>0</v>
      </c>
    </row>
    <row r="1984" spans="1:11" x14ac:dyDescent="0.2">
      <c r="A1984" t="s">
        <v>16</v>
      </c>
      <c r="B1984" t="s">
        <v>2035</v>
      </c>
      <c r="C1984">
        <v>240</v>
      </c>
      <c r="D1984" t="s">
        <v>6450</v>
      </c>
      <c r="E1984" t="s">
        <v>49</v>
      </c>
      <c r="F1984">
        <v>3</v>
      </c>
      <c r="G1984">
        <v>0.34606984240106448</v>
      </c>
      <c r="H1984" t="s">
        <v>89</v>
      </c>
      <c r="I1984">
        <v>0</v>
      </c>
      <c r="J1984">
        <v>0</v>
      </c>
      <c r="K1984">
        <v>0</v>
      </c>
    </row>
    <row r="1985" spans="1:11" x14ac:dyDescent="0.2">
      <c r="A1985" t="s">
        <v>16</v>
      </c>
      <c r="B1985" t="s">
        <v>2035</v>
      </c>
      <c r="C1985">
        <v>240</v>
      </c>
      <c r="D1985" t="s">
        <v>6478</v>
      </c>
      <c r="E1985" t="s">
        <v>49</v>
      </c>
      <c r="F1985">
        <v>3</v>
      </c>
      <c r="G1985">
        <v>0.34606984240106448</v>
      </c>
      <c r="H1985" t="s">
        <v>100</v>
      </c>
      <c r="I1985">
        <v>0</v>
      </c>
      <c r="J1985">
        <v>0</v>
      </c>
      <c r="K1985">
        <v>0</v>
      </c>
    </row>
    <row r="1986" spans="1:11" x14ac:dyDescent="0.2">
      <c r="A1986" t="s">
        <v>16</v>
      </c>
      <c r="B1986" t="s">
        <v>2035</v>
      </c>
      <c r="C1986">
        <v>240</v>
      </c>
      <c r="D1986" t="s">
        <v>6479</v>
      </c>
      <c r="E1986" t="s">
        <v>49</v>
      </c>
      <c r="F1986">
        <v>3</v>
      </c>
      <c r="G1986">
        <v>0.34606984240106448</v>
      </c>
      <c r="H1986" t="s">
        <v>96</v>
      </c>
      <c r="I1986">
        <v>0</v>
      </c>
      <c r="J1986">
        <v>0</v>
      </c>
      <c r="K1986">
        <v>0</v>
      </c>
    </row>
    <row r="1987" spans="1:11" x14ac:dyDescent="0.2">
      <c r="A1987" t="s">
        <v>16</v>
      </c>
      <c r="B1987" t="s">
        <v>2035</v>
      </c>
      <c r="C1987">
        <v>240</v>
      </c>
      <c r="D1987" t="s">
        <v>6442</v>
      </c>
      <c r="E1987" t="s">
        <v>49</v>
      </c>
      <c r="F1987">
        <v>3</v>
      </c>
      <c r="G1987">
        <v>0.34606984240106448</v>
      </c>
      <c r="H1987" t="s">
        <v>89</v>
      </c>
      <c r="I1987">
        <v>0</v>
      </c>
      <c r="J1987">
        <v>0</v>
      </c>
      <c r="K1987">
        <v>0</v>
      </c>
    </row>
    <row r="1988" spans="1:11" x14ac:dyDescent="0.2">
      <c r="A1988" t="s">
        <v>16</v>
      </c>
      <c r="B1988" t="s">
        <v>2035</v>
      </c>
      <c r="C1988">
        <v>240</v>
      </c>
      <c r="D1988" t="s">
        <v>6475</v>
      </c>
      <c r="E1988" t="s">
        <v>49</v>
      </c>
      <c r="F1988">
        <v>3</v>
      </c>
      <c r="G1988">
        <v>0.34606984240106448</v>
      </c>
      <c r="H1988" t="s">
        <v>100</v>
      </c>
      <c r="I1988">
        <v>0</v>
      </c>
      <c r="J1988">
        <v>0</v>
      </c>
      <c r="K1988">
        <v>0</v>
      </c>
    </row>
    <row r="1989" spans="1:11" x14ac:dyDescent="0.2">
      <c r="A1989" t="s">
        <v>16</v>
      </c>
      <c r="B1989" t="s">
        <v>2035</v>
      </c>
      <c r="C1989">
        <v>240</v>
      </c>
      <c r="D1989" t="s">
        <v>6449</v>
      </c>
      <c r="E1989" t="s">
        <v>49</v>
      </c>
      <c r="F1989">
        <v>3</v>
      </c>
      <c r="G1989">
        <v>0.34606984240106448</v>
      </c>
      <c r="H1989" t="s">
        <v>96</v>
      </c>
      <c r="I1989">
        <v>0</v>
      </c>
      <c r="J1989">
        <v>0</v>
      </c>
      <c r="K1989">
        <v>0</v>
      </c>
    </row>
    <row r="1990" spans="1:11" x14ac:dyDescent="0.2">
      <c r="A1990" t="s">
        <v>16</v>
      </c>
      <c r="B1990" t="s">
        <v>2035</v>
      </c>
      <c r="C1990">
        <v>240</v>
      </c>
      <c r="D1990" t="s">
        <v>6491</v>
      </c>
      <c r="E1990" t="s">
        <v>49</v>
      </c>
      <c r="F1990">
        <v>3</v>
      </c>
      <c r="G1990">
        <v>0.34606984240106448</v>
      </c>
      <c r="H1990" t="s">
        <v>89</v>
      </c>
      <c r="I1990">
        <v>0</v>
      </c>
      <c r="J1990">
        <v>0</v>
      </c>
      <c r="K1990">
        <v>0</v>
      </c>
    </row>
    <row r="1991" spans="1:11" x14ac:dyDescent="0.2">
      <c r="A1991" t="s">
        <v>16</v>
      </c>
      <c r="B1991" t="s">
        <v>2035</v>
      </c>
      <c r="C1991">
        <v>240</v>
      </c>
      <c r="D1991" t="s">
        <v>6472</v>
      </c>
      <c r="E1991" t="s">
        <v>49</v>
      </c>
      <c r="F1991">
        <v>3</v>
      </c>
      <c r="G1991">
        <v>0.34606984240106448</v>
      </c>
      <c r="H1991" t="s">
        <v>100</v>
      </c>
      <c r="I1991">
        <v>0</v>
      </c>
      <c r="J1991">
        <v>0</v>
      </c>
      <c r="K1991">
        <v>0</v>
      </c>
    </row>
    <row r="1992" spans="1:11" x14ac:dyDescent="0.2">
      <c r="A1992" t="s">
        <v>16</v>
      </c>
      <c r="B1992" t="s">
        <v>2035</v>
      </c>
      <c r="C1992">
        <v>240</v>
      </c>
      <c r="D1992" t="s">
        <v>6455</v>
      </c>
      <c r="E1992" t="s">
        <v>49</v>
      </c>
      <c r="F1992">
        <v>3</v>
      </c>
      <c r="G1992">
        <v>0.34606984240106448</v>
      </c>
      <c r="H1992" t="s">
        <v>96</v>
      </c>
      <c r="I1992">
        <v>0</v>
      </c>
      <c r="J1992">
        <v>0</v>
      </c>
      <c r="K1992">
        <v>0</v>
      </c>
    </row>
    <row r="1993" spans="1:11" x14ac:dyDescent="0.2">
      <c r="A1993" t="s">
        <v>16</v>
      </c>
      <c r="B1993" t="s">
        <v>2035</v>
      </c>
      <c r="C1993">
        <v>240</v>
      </c>
      <c r="D1993" t="s">
        <v>6464</v>
      </c>
      <c r="E1993" t="s">
        <v>49</v>
      </c>
      <c r="F1993">
        <v>3</v>
      </c>
      <c r="G1993">
        <v>0.34606984240106448</v>
      </c>
      <c r="H1993" t="s">
        <v>89</v>
      </c>
      <c r="I1993">
        <v>0</v>
      </c>
      <c r="J1993">
        <v>0</v>
      </c>
      <c r="K1993">
        <v>0</v>
      </c>
    </row>
    <row r="1994" spans="1:11" x14ac:dyDescent="0.2">
      <c r="A1994" t="s">
        <v>16</v>
      </c>
      <c r="B1994" t="s">
        <v>2035</v>
      </c>
      <c r="C1994">
        <v>240</v>
      </c>
      <c r="D1994" t="s">
        <v>6463</v>
      </c>
      <c r="E1994" t="s">
        <v>49</v>
      </c>
      <c r="F1994">
        <v>3</v>
      </c>
      <c r="G1994">
        <v>0.34606984240106448</v>
      </c>
      <c r="H1994" t="s">
        <v>100</v>
      </c>
      <c r="I1994">
        <v>0</v>
      </c>
      <c r="J1994">
        <v>0</v>
      </c>
      <c r="K1994">
        <v>0</v>
      </c>
    </row>
    <row r="1995" spans="1:11" x14ac:dyDescent="0.2">
      <c r="A1995" t="s">
        <v>16</v>
      </c>
      <c r="B1995" t="s">
        <v>2035</v>
      </c>
      <c r="C1995">
        <v>240</v>
      </c>
      <c r="D1995" t="s">
        <v>6446</v>
      </c>
      <c r="E1995" t="s">
        <v>49</v>
      </c>
      <c r="F1995">
        <v>3</v>
      </c>
      <c r="G1995">
        <v>0.34606984240106448</v>
      </c>
      <c r="H1995" t="s">
        <v>96</v>
      </c>
      <c r="I1995">
        <v>0</v>
      </c>
      <c r="J1995">
        <v>0</v>
      </c>
      <c r="K1995">
        <v>0</v>
      </c>
    </row>
    <row r="1996" spans="1:11" x14ac:dyDescent="0.2">
      <c r="A1996" t="s">
        <v>16</v>
      </c>
      <c r="B1996" t="s">
        <v>2035</v>
      </c>
      <c r="C1996">
        <v>240</v>
      </c>
      <c r="D1996" t="s">
        <v>6438</v>
      </c>
      <c r="E1996" t="s">
        <v>49</v>
      </c>
      <c r="F1996">
        <v>3</v>
      </c>
      <c r="G1996">
        <v>0.34606984240106448</v>
      </c>
      <c r="H1996" t="s">
        <v>89</v>
      </c>
      <c r="I1996">
        <v>0</v>
      </c>
      <c r="J1996">
        <v>0</v>
      </c>
      <c r="K1996">
        <v>0</v>
      </c>
    </row>
    <row r="1997" spans="1:11" x14ac:dyDescent="0.2">
      <c r="A1997" t="s">
        <v>16</v>
      </c>
      <c r="B1997" t="s">
        <v>2035</v>
      </c>
      <c r="C1997">
        <v>240</v>
      </c>
      <c r="D1997" t="s">
        <v>6453</v>
      </c>
      <c r="E1997" t="s">
        <v>49</v>
      </c>
      <c r="F1997">
        <v>3</v>
      </c>
      <c r="G1997">
        <v>0.34606984240106448</v>
      </c>
      <c r="H1997" t="s">
        <v>100</v>
      </c>
      <c r="I1997">
        <v>0</v>
      </c>
      <c r="J1997">
        <v>0</v>
      </c>
      <c r="K1997">
        <v>0</v>
      </c>
    </row>
    <row r="1998" spans="1:11" x14ac:dyDescent="0.2">
      <c r="A1998" t="s">
        <v>16</v>
      </c>
      <c r="B1998" t="s">
        <v>2035</v>
      </c>
      <c r="C1998">
        <v>240</v>
      </c>
      <c r="D1998" t="s">
        <v>6445</v>
      </c>
      <c r="E1998" t="s">
        <v>49</v>
      </c>
      <c r="F1998">
        <v>3</v>
      </c>
      <c r="G1998">
        <v>0.34606984240106448</v>
      </c>
      <c r="H1998" t="s">
        <v>96</v>
      </c>
      <c r="I1998">
        <v>0</v>
      </c>
      <c r="J1998">
        <v>0</v>
      </c>
      <c r="K1998">
        <v>0</v>
      </c>
    </row>
    <row r="1999" spans="1:11" x14ac:dyDescent="0.2">
      <c r="A1999" t="s">
        <v>16</v>
      </c>
      <c r="B1999" t="s">
        <v>2035</v>
      </c>
      <c r="C1999">
        <v>240</v>
      </c>
      <c r="D1999" t="s">
        <v>6457</v>
      </c>
      <c r="E1999" t="s">
        <v>49</v>
      </c>
      <c r="F1999">
        <v>3</v>
      </c>
      <c r="G1999">
        <v>0.34606984240106448</v>
      </c>
      <c r="H1999" t="s">
        <v>89</v>
      </c>
      <c r="I1999">
        <v>0</v>
      </c>
      <c r="J1999">
        <v>0</v>
      </c>
      <c r="K1999">
        <v>0</v>
      </c>
    </row>
    <row r="2000" spans="1:11" x14ac:dyDescent="0.2">
      <c r="A2000" t="s">
        <v>16</v>
      </c>
      <c r="B2000" t="s">
        <v>2035</v>
      </c>
      <c r="C2000">
        <v>240</v>
      </c>
      <c r="D2000" t="s">
        <v>6456</v>
      </c>
      <c r="E2000" t="s">
        <v>49</v>
      </c>
      <c r="F2000">
        <v>3</v>
      </c>
      <c r="G2000">
        <v>0.34606984240106448</v>
      </c>
      <c r="H2000" t="s">
        <v>100</v>
      </c>
      <c r="I2000">
        <v>0</v>
      </c>
      <c r="J2000">
        <v>0</v>
      </c>
      <c r="K2000">
        <v>0</v>
      </c>
    </row>
    <row r="2001" spans="1:11" x14ac:dyDescent="0.2">
      <c r="A2001" t="s">
        <v>16</v>
      </c>
      <c r="B2001" t="s">
        <v>2035</v>
      </c>
      <c r="C2001">
        <v>240</v>
      </c>
      <c r="D2001" t="s">
        <v>6461</v>
      </c>
      <c r="E2001" t="s">
        <v>49</v>
      </c>
      <c r="F2001">
        <v>3</v>
      </c>
      <c r="G2001">
        <v>0.34606984240106448</v>
      </c>
      <c r="H2001" t="s">
        <v>96</v>
      </c>
      <c r="I2001">
        <v>0</v>
      </c>
      <c r="J2001">
        <v>0</v>
      </c>
      <c r="K2001">
        <v>0</v>
      </c>
    </row>
    <row r="2002" spans="1:11" x14ac:dyDescent="0.2">
      <c r="A2002" t="s">
        <v>16</v>
      </c>
      <c r="B2002" t="s">
        <v>2035</v>
      </c>
      <c r="C2002">
        <v>240</v>
      </c>
      <c r="D2002" t="s">
        <v>6465</v>
      </c>
      <c r="E2002" t="s">
        <v>49</v>
      </c>
      <c r="F2002">
        <v>3</v>
      </c>
      <c r="G2002">
        <v>0.34606984240106448</v>
      </c>
      <c r="H2002" t="s">
        <v>89</v>
      </c>
      <c r="I2002">
        <v>0</v>
      </c>
      <c r="J2002">
        <v>0</v>
      </c>
      <c r="K2002">
        <v>0</v>
      </c>
    </row>
    <row r="2003" spans="1:11" x14ac:dyDescent="0.2">
      <c r="A2003" t="s">
        <v>16</v>
      </c>
      <c r="B2003" t="s">
        <v>2035</v>
      </c>
      <c r="C2003">
        <v>240</v>
      </c>
      <c r="D2003" t="s">
        <v>6462</v>
      </c>
      <c r="E2003" t="s">
        <v>49</v>
      </c>
      <c r="F2003">
        <v>3</v>
      </c>
      <c r="G2003">
        <v>0.34606984240106448</v>
      </c>
      <c r="H2003" t="s">
        <v>100</v>
      </c>
      <c r="I2003">
        <v>0</v>
      </c>
      <c r="J2003">
        <v>0</v>
      </c>
      <c r="K2003">
        <v>0</v>
      </c>
    </row>
    <row r="2004" spans="1:11" x14ac:dyDescent="0.2">
      <c r="A2004" t="s">
        <v>16</v>
      </c>
      <c r="B2004" t="s">
        <v>2035</v>
      </c>
      <c r="C2004">
        <v>240</v>
      </c>
      <c r="D2004" t="s">
        <v>6467</v>
      </c>
      <c r="E2004" t="s">
        <v>49</v>
      </c>
      <c r="F2004">
        <v>3</v>
      </c>
      <c r="G2004">
        <v>0.34606984240106448</v>
      </c>
      <c r="H2004" t="s">
        <v>96</v>
      </c>
      <c r="I2004">
        <v>0</v>
      </c>
      <c r="J2004">
        <v>0</v>
      </c>
      <c r="K2004">
        <v>0</v>
      </c>
    </row>
    <row r="2005" spans="1:11" x14ac:dyDescent="0.2">
      <c r="A2005" t="s">
        <v>16</v>
      </c>
      <c r="B2005" t="s">
        <v>2035</v>
      </c>
      <c r="C2005">
        <v>240</v>
      </c>
      <c r="D2005" t="s">
        <v>6466</v>
      </c>
      <c r="E2005" t="s">
        <v>49</v>
      </c>
      <c r="F2005">
        <v>3</v>
      </c>
      <c r="G2005">
        <v>0.34606984240106448</v>
      </c>
      <c r="H2005" t="s">
        <v>89</v>
      </c>
      <c r="I2005">
        <v>0</v>
      </c>
      <c r="J2005">
        <v>0</v>
      </c>
      <c r="K2005">
        <v>0</v>
      </c>
    </row>
    <row r="2006" spans="1:11" x14ac:dyDescent="0.2">
      <c r="A2006" t="s">
        <v>16</v>
      </c>
      <c r="B2006" t="s">
        <v>2035</v>
      </c>
      <c r="C2006">
        <v>240</v>
      </c>
      <c r="D2006" t="s">
        <v>6481</v>
      </c>
      <c r="E2006" t="s">
        <v>49</v>
      </c>
      <c r="F2006">
        <v>3</v>
      </c>
      <c r="G2006">
        <v>0.34606984240106448</v>
      </c>
      <c r="H2006" t="s">
        <v>100</v>
      </c>
      <c r="I2006">
        <v>0</v>
      </c>
      <c r="J2006">
        <v>0</v>
      </c>
      <c r="K2006">
        <v>0</v>
      </c>
    </row>
    <row r="2007" spans="1:11" x14ac:dyDescent="0.2">
      <c r="A2007" t="s">
        <v>16</v>
      </c>
      <c r="B2007" t="s">
        <v>2035</v>
      </c>
      <c r="C2007">
        <v>240</v>
      </c>
      <c r="D2007" t="s">
        <v>6440</v>
      </c>
      <c r="E2007" t="s">
        <v>49</v>
      </c>
      <c r="F2007">
        <v>3</v>
      </c>
      <c r="G2007">
        <v>0.34606984240106448</v>
      </c>
      <c r="H2007" t="s">
        <v>96</v>
      </c>
      <c r="I2007">
        <v>0</v>
      </c>
      <c r="J2007">
        <v>0</v>
      </c>
      <c r="K2007">
        <v>0</v>
      </c>
    </row>
    <row r="2008" spans="1:11" x14ac:dyDescent="0.2">
      <c r="A2008" t="s">
        <v>16</v>
      </c>
      <c r="B2008" t="s">
        <v>2035</v>
      </c>
      <c r="C2008">
        <v>240</v>
      </c>
      <c r="D2008" t="s">
        <v>6452</v>
      </c>
      <c r="E2008" t="s">
        <v>49</v>
      </c>
      <c r="F2008">
        <v>3</v>
      </c>
      <c r="G2008">
        <v>0.34606984240106448</v>
      </c>
      <c r="H2008" t="s">
        <v>89</v>
      </c>
      <c r="I2008">
        <v>0</v>
      </c>
      <c r="J2008">
        <v>0</v>
      </c>
      <c r="K2008">
        <v>0</v>
      </c>
    </row>
    <row r="2009" spans="1:11" x14ac:dyDescent="0.2">
      <c r="A2009" t="s">
        <v>16</v>
      </c>
      <c r="B2009" t="s">
        <v>2035</v>
      </c>
      <c r="C2009">
        <v>240</v>
      </c>
      <c r="D2009" t="s">
        <v>6458</v>
      </c>
      <c r="E2009" t="s">
        <v>49</v>
      </c>
      <c r="F2009">
        <v>3</v>
      </c>
      <c r="G2009">
        <v>0.34606984240106448</v>
      </c>
      <c r="H2009" t="s">
        <v>100</v>
      </c>
      <c r="I2009">
        <v>0</v>
      </c>
      <c r="J2009">
        <v>0</v>
      </c>
      <c r="K2009">
        <v>0</v>
      </c>
    </row>
    <row r="2010" spans="1:11" x14ac:dyDescent="0.2">
      <c r="A2010" t="s">
        <v>16</v>
      </c>
      <c r="B2010" t="s">
        <v>2035</v>
      </c>
      <c r="C2010">
        <v>240</v>
      </c>
      <c r="D2010" t="s">
        <v>6470</v>
      </c>
      <c r="E2010" t="s">
        <v>49</v>
      </c>
      <c r="F2010">
        <v>3</v>
      </c>
      <c r="G2010">
        <v>0.34606984240106448</v>
      </c>
      <c r="H2010" t="s">
        <v>96</v>
      </c>
      <c r="I2010">
        <v>0</v>
      </c>
      <c r="J2010">
        <v>0</v>
      </c>
      <c r="K2010">
        <v>0</v>
      </c>
    </row>
    <row r="2011" spans="1:11" x14ac:dyDescent="0.2">
      <c r="A2011" t="s">
        <v>16</v>
      </c>
      <c r="B2011" t="s">
        <v>2035</v>
      </c>
      <c r="C2011">
        <v>240</v>
      </c>
      <c r="D2011" t="s">
        <v>6448</v>
      </c>
      <c r="E2011" t="s">
        <v>49</v>
      </c>
      <c r="F2011">
        <v>3</v>
      </c>
      <c r="G2011">
        <v>0.34606984240106448</v>
      </c>
      <c r="H2011" t="s">
        <v>89</v>
      </c>
      <c r="I2011">
        <v>0</v>
      </c>
      <c r="J2011">
        <v>0</v>
      </c>
      <c r="K2011">
        <v>0</v>
      </c>
    </row>
    <row r="2012" spans="1:11" x14ac:dyDescent="0.2">
      <c r="A2012" t="s">
        <v>16</v>
      </c>
      <c r="B2012" t="s">
        <v>2036</v>
      </c>
      <c r="C2012">
        <v>225</v>
      </c>
      <c r="D2012" t="s">
        <v>6492</v>
      </c>
      <c r="E2012" t="s">
        <v>49</v>
      </c>
      <c r="F2012">
        <v>3</v>
      </c>
      <c r="G2012">
        <v>0.36998487648528078</v>
      </c>
      <c r="H2012" t="s">
        <v>103</v>
      </c>
      <c r="I2012">
        <v>0</v>
      </c>
      <c r="J2012">
        <v>0</v>
      </c>
      <c r="K2012">
        <v>0</v>
      </c>
    </row>
    <row r="2013" spans="1:11" x14ac:dyDescent="0.2">
      <c r="A2013" t="s">
        <v>16</v>
      </c>
      <c r="B2013" t="s">
        <v>2036</v>
      </c>
      <c r="C2013">
        <v>75</v>
      </c>
      <c r="D2013" t="s">
        <v>6493</v>
      </c>
      <c r="E2013" t="s">
        <v>49</v>
      </c>
      <c r="F2013">
        <v>3</v>
      </c>
      <c r="G2013">
        <v>0.12332829216176026</v>
      </c>
      <c r="H2013" t="s">
        <v>93</v>
      </c>
      <c r="I2013">
        <v>0</v>
      </c>
      <c r="J2013">
        <v>0</v>
      </c>
      <c r="K2013">
        <v>0</v>
      </c>
    </row>
    <row r="2014" spans="1:11" x14ac:dyDescent="0.2">
      <c r="A2014" t="s">
        <v>16</v>
      </c>
      <c r="B2014" t="s">
        <v>840</v>
      </c>
      <c r="C2014">
        <v>170</v>
      </c>
      <c r="D2014" t="s">
        <v>6494</v>
      </c>
      <c r="E2014" t="s">
        <v>49</v>
      </c>
      <c r="F2014">
        <v>3</v>
      </c>
      <c r="G2014">
        <v>0.28202187182095628</v>
      </c>
      <c r="H2014" t="s">
        <v>84</v>
      </c>
      <c r="I2014">
        <v>0</v>
      </c>
      <c r="J2014">
        <v>0</v>
      </c>
      <c r="K2014">
        <v>0</v>
      </c>
    </row>
    <row r="2015" spans="1:11" x14ac:dyDescent="0.2">
      <c r="A2015" t="s">
        <v>16</v>
      </c>
      <c r="B2015" t="s">
        <v>221</v>
      </c>
      <c r="C2015">
        <v>80</v>
      </c>
      <c r="D2015" t="s">
        <v>6496</v>
      </c>
      <c r="E2015" t="s">
        <v>49</v>
      </c>
      <c r="F2015">
        <v>3</v>
      </c>
      <c r="G2015">
        <v>0.1362143537566631</v>
      </c>
      <c r="H2015" t="s">
        <v>90</v>
      </c>
      <c r="I2015">
        <v>0</v>
      </c>
      <c r="J2015">
        <v>0</v>
      </c>
      <c r="K2015">
        <v>0</v>
      </c>
    </row>
    <row r="2016" spans="1:11" x14ac:dyDescent="0.2">
      <c r="A2016" t="s">
        <v>16</v>
      </c>
      <c r="B2016" t="s">
        <v>221</v>
      </c>
      <c r="C2016">
        <v>240</v>
      </c>
      <c r="D2016" t="s">
        <v>6495</v>
      </c>
      <c r="E2016" t="s">
        <v>49</v>
      </c>
      <c r="F2016">
        <v>3</v>
      </c>
      <c r="G2016">
        <v>0.40864306126998928</v>
      </c>
      <c r="H2016" t="s">
        <v>97</v>
      </c>
      <c r="I2016">
        <v>0</v>
      </c>
      <c r="J2016">
        <v>0</v>
      </c>
      <c r="K2016">
        <v>0</v>
      </c>
    </row>
    <row r="2017" spans="1:11" x14ac:dyDescent="0.2">
      <c r="A2017" t="s">
        <v>16</v>
      </c>
      <c r="B2017" t="s">
        <v>2038</v>
      </c>
      <c r="C2017">
        <v>300</v>
      </c>
      <c r="D2017" t="s">
        <v>6512</v>
      </c>
      <c r="E2017" t="s">
        <v>49</v>
      </c>
      <c r="F2017">
        <v>3</v>
      </c>
      <c r="G2017">
        <v>0.39394932783598424</v>
      </c>
      <c r="H2017" t="s">
        <v>93</v>
      </c>
      <c r="I2017">
        <v>0</v>
      </c>
      <c r="J2017">
        <v>0</v>
      </c>
      <c r="K2017">
        <v>0</v>
      </c>
    </row>
    <row r="2018" spans="1:11" x14ac:dyDescent="0.2">
      <c r="A2018" t="s">
        <v>16</v>
      </c>
      <c r="B2018" t="s">
        <v>2038</v>
      </c>
      <c r="C2018">
        <v>300</v>
      </c>
      <c r="D2018" t="s">
        <v>6497</v>
      </c>
      <c r="E2018" t="s">
        <v>49</v>
      </c>
      <c r="F2018">
        <v>3</v>
      </c>
      <c r="G2018">
        <v>0.39394932783598424</v>
      </c>
      <c r="H2018" t="s">
        <v>101</v>
      </c>
      <c r="I2018">
        <v>0</v>
      </c>
      <c r="J2018">
        <v>0</v>
      </c>
      <c r="K2018">
        <v>0</v>
      </c>
    </row>
    <row r="2019" spans="1:11" x14ac:dyDescent="0.2">
      <c r="A2019" t="s">
        <v>16</v>
      </c>
      <c r="B2019" t="s">
        <v>2038</v>
      </c>
      <c r="C2019">
        <v>300</v>
      </c>
      <c r="D2019" t="s">
        <v>6501</v>
      </c>
      <c r="E2019" t="s">
        <v>49</v>
      </c>
      <c r="F2019">
        <v>3</v>
      </c>
      <c r="G2019">
        <v>0.39394932783598424</v>
      </c>
      <c r="H2019" t="s">
        <v>94</v>
      </c>
      <c r="I2019">
        <v>0</v>
      </c>
      <c r="J2019">
        <v>0</v>
      </c>
      <c r="K2019">
        <v>0</v>
      </c>
    </row>
    <row r="2020" spans="1:11" x14ac:dyDescent="0.2">
      <c r="A2020" t="s">
        <v>16</v>
      </c>
      <c r="B2020" t="s">
        <v>2038</v>
      </c>
      <c r="C2020">
        <v>300</v>
      </c>
      <c r="D2020" t="s">
        <v>6509</v>
      </c>
      <c r="E2020" t="s">
        <v>49</v>
      </c>
      <c r="F2020">
        <v>3</v>
      </c>
      <c r="G2020">
        <v>0.39394932783598424</v>
      </c>
      <c r="H2020" t="s">
        <v>93</v>
      </c>
      <c r="I2020">
        <v>0</v>
      </c>
      <c r="J2020">
        <v>0</v>
      </c>
      <c r="K2020">
        <v>0</v>
      </c>
    </row>
    <row r="2021" spans="1:11" x14ac:dyDescent="0.2">
      <c r="A2021" t="s">
        <v>16</v>
      </c>
      <c r="B2021" t="s">
        <v>2038</v>
      </c>
      <c r="C2021">
        <v>300</v>
      </c>
      <c r="D2021" t="s">
        <v>6498</v>
      </c>
      <c r="E2021" t="s">
        <v>49</v>
      </c>
      <c r="F2021">
        <v>3</v>
      </c>
      <c r="G2021">
        <v>0.39394932783598424</v>
      </c>
      <c r="H2021" t="s">
        <v>101</v>
      </c>
      <c r="I2021">
        <v>0</v>
      </c>
      <c r="J2021">
        <v>0</v>
      </c>
      <c r="K2021">
        <v>0</v>
      </c>
    </row>
    <row r="2022" spans="1:11" x14ac:dyDescent="0.2">
      <c r="A2022" t="s">
        <v>16</v>
      </c>
      <c r="B2022" t="s">
        <v>2038</v>
      </c>
      <c r="C2022">
        <v>300</v>
      </c>
      <c r="D2022" t="s">
        <v>6508</v>
      </c>
      <c r="E2022" t="s">
        <v>49</v>
      </c>
      <c r="F2022">
        <v>3</v>
      </c>
      <c r="G2022">
        <v>0.39394932783598424</v>
      </c>
      <c r="H2022" t="s">
        <v>94</v>
      </c>
      <c r="I2022">
        <v>0</v>
      </c>
      <c r="J2022">
        <v>0</v>
      </c>
      <c r="K2022">
        <v>0</v>
      </c>
    </row>
    <row r="2023" spans="1:11" x14ac:dyDescent="0.2">
      <c r="A2023" t="s">
        <v>16</v>
      </c>
      <c r="B2023" t="s">
        <v>2038</v>
      </c>
      <c r="C2023">
        <v>300</v>
      </c>
      <c r="D2023" t="s">
        <v>6510</v>
      </c>
      <c r="E2023" t="s">
        <v>49</v>
      </c>
      <c r="F2023">
        <v>3</v>
      </c>
      <c r="G2023">
        <v>0.39394932783598424</v>
      </c>
      <c r="H2023" t="s">
        <v>93</v>
      </c>
      <c r="I2023">
        <v>0</v>
      </c>
      <c r="J2023">
        <v>0</v>
      </c>
      <c r="K2023">
        <v>0</v>
      </c>
    </row>
    <row r="2024" spans="1:11" x14ac:dyDescent="0.2">
      <c r="A2024" t="s">
        <v>16</v>
      </c>
      <c r="B2024" t="s">
        <v>2038</v>
      </c>
      <c r="C2024">
        <v>300</v>
      </c>
      <c r="D2024" t="s">
        <v>6507</v>
      </c>
      <c r="E2024" t="s">
        <v>49</v>
      </c>
      <c r="F2024">
        <v>3</v>
      </c>
      <c r="G2024">
        <v>0.39394932783598424</v>
      </c>
      <c r="H2024" t="s">
        <v>101</v>
      </c>
      <c r="I2024">
        <v>0</v>
      </c>
      <c r="J2024">
        <v>0</v>
      </c>
      <c r="K2024">
        <v>0</v>
      </c>
    </row>
    <row r="2025" spans="1:11" x14ac:dyDescent="0.2">
      <c r="A2025" t="s">
        <v>16</v>
      </c>
      <c r="B2025" t="s">
        <v>2038</v>
      </c>
      <c r="C2025">
        <v>300</v>
      </c>
      <c r="D2025" t="s">
        <v>6505</v>
      </c>
      <c r="E2025" t="s">
        <v>49</v>
      </c>
      <c r="F2025">
        <v>3</v>
      </c>
      <c r="G2025">
        <v>0.39394932783598424</v>
      </c>
      <c r="H2025" t="s">
        <v>94</v>
      </c>
      <c r="I2025">
        <v>0</v>
      </c>
      <c r="J2025">
        <v>0</v>
      </c>
      <c r="K2025">
        <v>0</v>
      </c>
    </row>
    <row r="2026" spans="1:11" x14ac:dyDescent="0.2">
      <c r="A2026" t="s">
        <v>16</v>
      </c>
      <c r="B2026" t="s">
        <v>2038</v>
      </c>
      <c r="C2026">
        <v>200</v>
      </c>
      <c r="D2026" t="s">
        <v>6503</v>
      </c>
      <c r="E2026" t="s">
        <v>49</v>
      </c>
      <c r="F2026">
        <v>3</v>
      </c>
      <c r="G2026">
        <v>0.26263288522398948</v>
      </c>
      <c r="H2026" t="s">
        <v>93</v>
      </c>
      <c r="I2026">
        <v>0</v>
      </c>
      <c r="J2026">
        <v>0</v>
      </c>
      <c r="K2026">
        <v>0</v>
      </c>
    </row>
    <row r="2027" spans="1:11" x14ac:dyDescent="0.2">
      <c r="A2027" t="s">
        <v>16</v>
      </c>
      <c r="B2027" t="s">
        <v>2038</v>
      </c>
      <c r="C2027">
        <v>300</v>
      </c>
      <c r="D2027" t="s">
        <v>6514</v>
      </c>
      <c r="E2027" t="s">
        <v>49</v>
      </c>
      <c r="F2027">
        <v>3</v>
      </c>
      <c r="G2027">
        <v>0.39394932783598424</v>
      </c>
      <c r="H2027" t="s">
        <v>101</v>
      </c>
      <c r="I2027">
        <v>0</v>
      </c>
      <c r="J2027">
        <v>0</v>
      </c>
      <c r="K2027">
        <v>0</v>
      </c>
    </row>
    <row r="2028" spans="1:11" x14ac:dyDescent="0.2">
      <c r="A2028" t="s">
        <v>16</v>
      </c>
      <c r="B2028" t="s">
        <v>2038</v>
      </c>
      <c r="C2028">
        <v>300</v>
      </c>
      <c r="D2028" t="s">
        <v>6516</v>
      </c>
      <c r="E2028" t="s">
        <v>49</v>
      </c>
      <c r="F2028">
        <v>3</v>
      </c>
      <c r="G2028">
        <v>0.39394932783598424</v>
      </c>
      <c r="H2028" t="s">
        <v>94</v>
      </c>
      <c r="I2028">
        <v>0</v>
      </c>
      <c r="J2028">
        <v>0</v>
      </c>
      <c r="K2028">
        <v>0</v>
      </c>
    </row>
    <row r="2029" spans="1:11" x14ac:dyDescent="0.2">
      <c r="A2029" t="s">
        <v>16</v>
      </c>
      <c r="B2029" t="s">
        <v>2038</v>
      </c>
      <c r="C2029">
        <v>300</v>
      </c>
      <c r="D2029" t="s">
        <v>6499</v>
      </c>
      <c r="E2029" t="s">
        <v>49</v>
      </c>
      <c r="F2029">
        <v>3</v>
      </c>
      <c r="G2029">
        <v>0.39394932783598424</v>
      </c>
      <c r="H2029" t="s">
        <v>93</v>
      </c>
      <c r="I2029">
        <v>0</v>
      </c>
      <c r="J2029">
        <v>0</v>
      </c>
      <c r="K2029">
        <v>0</v>
      </c>
    </row>
    <row r="2030" spans="1:11" x14ac:dyDescent="0.2">
      <c r="A2030" t="s">
        <v>16</v>
      </c>
      <c r="B2030" t="s">
        <v>2038</v>
      </c>
      <c r="C2030">
        <v>300</v>
      </c>
      <c r="D2030" t="s">
        <v>6504</v>
      </c>
      <c r="E2030" t="s">
        <v>49</v>
      </c>
      <c r="F2030">
        <v>3</v>
      </c>
      <c r="G2030">
        <v>0.39394932783598424</v>
      </c>
      <c r="H2030" t="s">
        <v>101</v>
      </c>
      <c r="I2030">
        <v>0</v>
      </c>
      <c r="J2030">
        <v>0</v>
      </c>
      <c r="K2030">
        <v>0</v>
      </c>
    </row>
    <row r="2031" spans="1:11" x14ac:dyDescent="0.2">
      <c r="A2031" t="s">
        <v>16</v>
      </c>
      <c r="B2031" t="s">
        <v>2038</v>
      </c>
      <c r="C2031">
        <v>100</v>
      </c>
      <c r="D2031" t="s">
        <v>6500</v>
      </c>
      <c r="E2031" t="s">
        <v>49</v>
      </c>
      <c r="F2031">
        <v>3</v>
      </c>
      <c r="G2031">
        <v>0.13131644261199474</v>
      </c>
      <c r="H2031" t="s">
        <v>94</v>
      </c>
      <c r="I2031">
        <v>0</v>
      </c>
      <c r="J2031">
        <v>0</v>
      </c>
      <c r="K2031">
        <v>0</v>
      </c>
    </row>
    <row r="2032" spans="1:11" x14ac:dyDescent="0.2">
      <c r="A2032" t="s">
        <v>16</v>
      </c>
      <c r="B2032" t="s">
        <v>2038</v>
      </c>
      <c r="C2032">
        <v>300</v>
      </c>
      <c r="D2032" t="s">
        <v>6515</v>
      </c>
      <c r="E2032" t="s">
        <v>49</v>
      </c>
      <c r="F2032">
        <v>3</v>
      </c>
      <c r="G2032">
        <v>0.39394932783598424</v>
      </c>
      <c r="H2032" t="s">
        <v>94</v>
      </c>
      <c r="I2032">
        <v>0</v>
      </c>
      <c r="J2032">
        <v>0</v>
      </c>
      <c r="K2032">
        <v>0</v>
      </c>
    </row>
    <row r="2033" spans="1:11" x14ac:dyDescent="0.2">
      <c r="A2033" t="s">
        <v>16</v>
      </c>
      <c r="B2033" t="s">
        <v>2038</v>
      </c>
      <c r="C2033">
        <v>300</v>
      </c>
      <c r="D2033" t="s">
        <v>6513</v>
      </c>
      <c r="E2033" t="s">
        <v>49</v>
      </c>
      <c r="F2033">
        <v>3</v>
      </c>
      <c r="G2033">
        <v>0.39394932783598424</v>
      </c>
      <c r="H2033" t="s">
        <v>93</v>
      </c>
      <c r="I2033">
        <v>0</v>
      </c>
      <c r="J2033">
        <v>0</v>
      </c>
      <c r="K2033">
        <v>0</v>
      </c>
    </row>
    <row r="2034" spans="1:11" x14ac:dyDescent="0.2">
      <c r="A2034" t="s">
        <v>16</v>
      </c>
      <c r="B2034" t="s">
        <v>2038</v>
      </c>
      <c r="C2034">
        <v>300</v>
      </c>
      <c r="D2034" t="s">
        <v>6511</v>
      </c>
      <c r="E2034" t="s">
        <v>49</v>
      </c>
      <c r="F2034">
        <v>3</v>
      </c>
      <c r="G2034">
        <v>0.39394932783598424</v>
      </c>
      <c r="H2034" t="s">
        <v>101</v>
      </c>
      <c r="I2034">
        <v>0</v>
      </c>
      <c r="J2034">
        <v>0</v>
      </c>
      <c r="K2034">
        <v>0</v>
      </c>
    </row>
    <row r="2035" spans="1:11" x14ac:dyDescent="0.2">
      <c r="A2035" t="s">
        <v>16</v>
      </c>
      <c r="B2035" t="s">
        <v>2038</v>
      </c>
      <c r="C2035">
        <v>300</v>
      </c>
      <c r="D2035" t="s">
        <v>6506</v>
      </c>
      <c r="E2035" t="s">
        <v>49</v>
      </c>
      <c r="F2035">
        <v>3</v>
      </c>
      <c r="G2035">
        <v>0.39394932783598424</v>
      </c>
      <c r="H2035" t="s">
        <v>94</v>
      </c>
      <c r="I2035">
        <v>0</v>
      </c>
      <c r="J2035">
        <v>0</v>
      </c>
      <c r="K2035">
        <v>0</v>
      </c>
    </row>
    <row r="2036" spans="1:11" x14ac:dyDescent="0.2">
      <c r="A2036" t="s">
        <v>16</v>
      </c>
      <c r="B2036" t="s">
        <v>2038</v>
      </c>
      <c r="C2036">
        <v>300</v>
      </c>
      <c r="D2036" t="s">
        <v>6502</v>
      </c>
      <c r="E2036" t="s">
        <v>49</v>
      </c>
      <c r="F2036">
        <v>3</v>
      </c>
      <c r="G2036">
        <v>0.39394932783598424</v>
      </c>
      <c r="H2036" t="s">
        <v>93</v>
      </c>
      <c r="I2036">
        <v>0</v>
      </c>
      <c r="J2036">
        <v>0</v>
      </c>
      <c r="K2036">
        <v>0</v>
      </c>
    </row>
    <row r="2037" spans="1:11" x14ac:dyDescent="0.2">
      <c r="A2037" t="s">
        <v>16</v>
      </c>
      <c r="B2037" t="s">
        <v>867</v>
      </c>
      <c r="C2037">
        <v>300</v>
      </c>
      <c r="D2037" t="s">
        <v>6517</v>
      </c>
      <c r="E2037" t="s">
        <v>49</v>
      </c>
      <c r="F2037">
        <v>3</v>
      </c>
      <c r="G2037">
        <v>0.49768565615462873</v>
      </c>
      <c r="H2037" t="s">
        <v>90</v>
      </c>
      <c r="I2037">
        <v>0</v>
      </c>
      <c r="J2037">
        <v>0</v>
      </c>
      <c r="K2037">
        <v>0</v>
      </c>
    </row>
    <row r="2038" spans="1:11" x14ac:dyDescent="0.2">
      <c r="A2038" t="s">
        <v>16</v>
      </c>
      <c r="B2038" t="s">
        <v>867</v>
      </c>
      <c r="C2038">
        <v>300</v>
      </c>
      <c r="D2038" t="s">
        <v>6525</v>
      </c>
      <c r="E2038" t="s">
        <v>49</v>
      </c>
      <c r="F2038">
        <v>3</v>
      </c>
      <c r="G2038">
        <v>0.49768565615462873</v>
      </c>
      <c r="H2038" t="s">
        <v>87</v>
      </c>
      <c r="I2038">
        <v>0</v>
      </c>
      <c r="J2038">
        <v>0</v>
      </c>
      <c r="K2038">
        <v>0</v>
      </c>
    </row>
    <row r="2039" spans="1:11" x14ac:dyDescent="0.2">
      <c r="A2039" t="s">
        <v>16</v>
      </c>
      <c r="B2039" t="s">
        <v>867</v>
      </c>
      <c r="C2039">
        <v>100</v>
      </c>
      <c r="D2039" t="s">
        <v>6522</v>
      </c>
      <c r="E2039" t="s">
        <v>49</v>
      </c>
      <c r="F2039">
        <v>3</v>
      </c>
      <c r="G2039">
        <v>0.16589521871820959</v>
      </c>
      <c r="H2039" t="s">
        <v>99</v>
      </c>
      <c r="I2039">
        <v>0</v>
      </c>
      <c r="J2039">
        <v>0</v>
      </c>
      <c r="K2039">
        <v>0</v>
      </c>
    </row>
    <row r="2040" spans="1:11" x14ac:dyDescent="0.2">
      <c r="A2040" t="s">
        <v>16</v>
      </c>
      <c r="B2040" t="s">
        <v>867</v>
      </c>
      <c r="C2040">
        <v>300</v>
      </c>
      <c r="D2040" t="s">
        <v>6518</v>
      </c>
      <c r="E2040" t="s">
        <v>49</v>
      </c>
      <c r="F2040">
        <v>3</v>
      </c>
      <c r="G2040">
        <v>0.49768565615462873</v>
      </c>
      <c r="H2040" t="s">
        <v>99</v>
      </c>
      <c r="I2040">
        <v>0</v>
      </c>
      <c r="J2040">
        <v>0</v>
      </c>
      <c r="K2040">
        <v>0</v>
      </c>
    </row>
    <row r="2041" spans="1:11" x14ac:dyDescent="0.2">
      <c r="A2041" t="s">
        <v>16</v>
      </c>
      <c r="B2041" t="s">
        <v>867</v>
      </c>
      <c r="C2041">
        <v>300</v>
      </c>
      <c r="D2041" t="s">
        <v>6526</v>
      </c>
      <c r="E2041" t="s">
        <v>49</v>
      </c>
      <c r="F2041">
        <v>3</v>
      </c>
      <c r="G2041">
        <v>0.49768565615462873</v>
      </c>
      <c r="H2041" t="s">
        <v>90</v>
      </c>
      <c r="I2041">
        <v>0</v>
      </c>
      <c r="J2041">
        <v>0</v>
      </c>
      <c r="K2041">
        <v>0</v>
      </c>
    </row>
    <row r="2042" spans="1:11" x14ac:dyDescent="0.2">
      <c r="A2042" t="s">
        <v>16</v>
      </c>
      <c r="B2042" t="s">
        <v>867</v>
      </c>
      <c r="C2042">
        <v>300</v>
      </c>
      <c r="D2042" t="s">
        <v>6520</v>
      </c>
      <c r="E2042" t="s">
        <v>49</v>
      </c>
      <c r="F2042">
        <v>3</v>
      </c>
      <c r="G2042">
        <v>0.49768565615462873</v>
      </c>
      <c r="H2042" t="s">
        <v>87</v>
      </c>
      <c r="I2042">
        <v>0</v>
      </c>
      <c r="J2042">
        <v>0</v>
      </c>
      <c r="K2042">
        <v>0</v>
      </c>
    </row>
    <row r="2043" spans="1:11" x14ac:dyDescent="0.2">
      <c r="A2043" t="s">
        <v>16</v>
      </c>
      <c r="B2043" t="s">
        <v>867</v>
      </c>
      <c r="C2043">
        <v>300</v>
      </c>
      <c r="D2043" t="s">
        <v>6524</v>
      </c>
      <c r="E2043" t="s">
        <v>49</v>
      </c>
      <c r="F2043">
        <v>3</v>
      </c>
      <c r="G2043">
        <v>0.49768565615462873</v>
      </c>
      <c r="H2043" t="s">
        <v>99</v>
      </c>
      <c r="I2043">
        <v>0</v>
      </c>
      <c r="J2043">
        <v>0</v>
      </c>
      <c r="K2043">
        <v>0</v>
      </c>
    </row>
    <row r="2044" spans="1:11" x14ac:dyDescent="0.2">
      <c r="A2044" t="s">
        <v>16</v>
      </c>
      <c r="B2044" t="s">
        <v>867</v>
      </c>
      <c r="C2044">
        <v>300</v>
      </c>
      <c r="D2044" t="s">
        <v>6519</v>
      </c>
      <c r="E2044" t="s">
        <v>49</v>
      </c>
      <c r="F2044">
        <v>3</v>
      </c>
      <c r="G2044">
        <v>0.49768565615462873</v>
      </c>
      <c r="H2044" t="s">
        <v>90</v>
      </c>
      <c r="I2044">
        <v>0</v>
      </c>
      <c r="J2044">
        <v>0</v>
      </c>
      <c r="K2044">
        <v>0</v>
      </c>
    </row>
    <row r="2045" spans="1:11" x14ac:dyDescent="0.2">
      <c r="A2045" t="s">
        <v>16</v>
      </c>
      <c r="B2045" t="s">
        <v>867</v>
      </c>
      <c r="C2045">
        <v>300</v>
      </c>
      <c r="D2045" t="s">
        <v>6523</v>
      </c>
      <c r="E2045" t="s">
        <v>49</v>
      </c>
      <c r="F2045">
        <v>3</v>
      </c>
      <c r="G2045">
        <v>0.49768565615462873</v>
      </c>
      <c r="H2045" t="s">
        <v>87</v>
      </c>
      <c r="I2045">
        <v>0</v>
      </c>
      <c r="J2045">
        <v>0</v>
      </c>
      <c r="K2045">
        <v>0</v>
      </c>
    </row>
    <row r="2046" spans="1:11" x14ac:dyDescent="0.2">
      <c r="A2046" t="s">
        <v>16</v>
      </c>
      <c r="B2046" t="s">
        <v>867</v>
      </c>
      <c r="C2046">
        <v>300</v>
      </c>
      <c r="D2046" t="s">
        <v>6521</v>
      </c>
      <c r="E2046" t="s">
        <v>49</v>
      </c>
      <c r="F2046">
        <v>3</v>
      </c>
      <c r="G2046">
        <v>0.49768565615462873</v>
      </c>
      <c r="H2046" t="s">
        <v>99</v>
      </c>
      <c r="I2046">
        <v>0</v>
      </c>
      <c r="J2046">
        <v>0</v>
      </c>
      <c r="K2046">
        <v>0</v>
      </c>
    </row>
    <row r="2047" spans="1:11" x14ac:dyDescent="0.2">
      <c r="A2047" t="s">
        <v>16</v>
      </c>
      <c r="B2047" t="s">
        <v>908</v>
      </c>
      <c r="C2047">
        <v>190</v>
      </c>
      <c r="D2047" t="s">
        <v>6527</v>
      </c>
      <c r="E2047" t="s">
        <v>49</v>
      </c>
      <c r="F2047">
        <v>3</v>
      </c>
      <c r="G2047">
        <v>0.19124629268013685</v>
      </c>
      <c r="H2047" t="s">
        <v>98</v>
      </c>
      <c r="I2047">
        <v>0</v>
      </c>
      <c r="J2047">
        <v>0</v>
      </c>
      <c r="K2047">
        <v>0</v>
      </c>
    </row>
    <row r="2048" spans="1:11" x14ac:dyDescent="0.2">
      <c r="A2048" t="s">
        <v>16</v>
      </c>
      <c r="B2048" t="s">
        <v>843</v>
      </c>
      <c r="C2048">
        <v>100</v>
      </c>
      <c r="D2048" t="s">
        <v>6528</v>
      </c>
      <c r="E2048" t="s">
        <v>49</v>
      </c>
      <c r="F2048">
        <v>4</v>
      </c>
      <c r="G2048">
        <v>0.17026794219582889</v>
      </c>
      <c r="H2048" t="s">
        <v>84</v>
      </c>
      <c r="I2048">
        <v>0</v>
      </c>
      <c r="J2048">
        <v>0</v>
      </c>
      <c r="K2048">
        <v>0</v>
      </c>
    </row>
    <row r="2049" spans="1:11" x14ac:dyDescent="0.2">
      <c r="A2049" t="s">
        <v>16</v>
      </c>
      <c r="B2049" t="s">
        <v>470</v>
      </c>
      <c r="C2049">
        <v>300</v>
      </c>
      <c r="D2049" t="s">
        <v>6533</v>
      </c>
      <c r="E2049" t="s">
        <v>49</v>
      </c>
      <c r="F2049">
        <v>5</v>
      </c>
      <c r="G2049">
        <v>0.31826782830597539</v>
      </c>
      <c r="H2049" t="s">
        <v>103</v>
      </c>
      <c r="I2049">
        <v>0</v>
      </c>
      <c r="J2049">
        <v>0</v>
      </c>
      <c r="K2049">
        <v>0</v>
      </c>
    </row>
    <row r="2050" spans="1:11" x14ac:dyDescent="0.2">
      <c r="A2050" t="s">
        <v>16</v>
      </c>
      <c r="B2050" t="s">
        <v>470</v>
      </c>
      <c r="C2050">
        <v>300</v>
      </c>
      <c r="D2050" t="s">
        <v>6532</v>
      </c>
      <c r="E2050" t="s">
        <v>49</v>
      </c>
      <c r="F2050">
        <v>5</v>
      </c>
      <c r="G2050">
        <v>0.31826782830597539</v>
      </c>
      <c r="H2050" t="s">
        <v>98</v>
      </c>
      <c r="I2050">
        <v>0</v>
      </c>
      <c r="J2050">
        <v>0</v>
      </c>
      <c r="K2050">
        <v>0</v>
      </c>
    </row>
    <row r="2051" spans="1:11" x14ac:dyDescent="0.2">
      <c r="A2051" t="s">
        <v>16</v>
      </c>
      <c r="B2051" t="s">
        <v>470</v>
      </c>
      <c r="C2051">
        <v>100</v>
      </c>
      <c r="D2051" t="s">
        <v>6531</v>
      </c>
      <c r="E2051" t="s">
        <v>49</v>
      </c>
      <c r="F2051">
        <v>5</v>
      </c>
      <c r="G2051">
        <v>0.1060892761019918</v>
      </c>
      <c r="H2051" t="s">
        <v>84</v>
      </c>
      <c r="I2051">
        <v>0</v>
      </c>
      <c r="J2051">
        <v>0</v>
      </c>
      <c r="K2051">
        <v>0</v>
      </c>
    </row>
    <row r="2052" spans="1:11" x14ac:dyDescent="0.2">
      <c r="A2052" t="s">
        <v>16</v>
      </c>
      <c r="B2052" t="s">
        <v>470</v>
      </c>
      <c r="C2052">
        <v>300</v>
      </c>
      <c r="D2052" t="s">
        <v>6530</v>
      </c>
      <c r="E2052" t="s">
        <v>49</v>
      </c>
      <c r="F2052">
        <v>5</v>
      </c>
      <c r="G2052">
        <v>0.31826782830597539</v>
      </c>
      <c r="H2052" t="s">
        <v>97</v>
      </c>
      <c r="I2052">
        <v>0</v>
      </c>
      <c r="J2052">
        <v>0</v>
      </c>
      <c r="K2052">
        <v>0</v>
      </c>
    </row>
    <row r="2053" spans="1:11" x14ac:dyDescent="0.2">
      <c r="A2053" t="s">
        <v>16</v>
      </c>
      <c r="B2053" t="s">
        <v>470</v>
      </c>
      <c r="C2053">
        <v>300</v>
      </c>
      <c r="D2053" t="s">
        <v>6529</v>
      </c>
      <c r="E2053" t="s">
        <v>49</v>
      </c>
      <c r="F2053">
        <v>5</v>
      </c>
      <c r="G2053">
        <v>0.31826782830597539</v>
      </c>
      <c r="H2053" t="s">
        <v>91</v>
      </c>
      <c r="I2053">
        <v>0</v>
      </c>
      <c r="J2053">
        <v>0</v>
      </c>
      <c r="K2053">
        <v>0</v>
      </c>
    </row>
    <row r="2054" spans="1:11" x14ac:dyDescent="0.2">
      <c r="A2054" t="s">
        <v>16</v>
      </c>
      <c r="B2054" t="s">
        <v>2069</v>
      </c>
      <c r="C2054">
        <v>100</v>
      </c>
      <c r="D2054" t="s">
        <v>6555</v>
      </c>
      <c r="E2054" t="s">
        <v>49</v>
      </c>
      <c r="F2054">
        <v>3</v>
      </c>
      <c r="G2054">
        <v>0.14741695181738151</v>
      </c>
      <c r="H2054" t="s">
        <v>84</v>
      </c>
      <c r="I2054">
        <v>0</v>
      </c>
      <c r="J2054">
        <v>0</v>
      </c>
      <c r="K2054">
        <v>0</v>
      </c>
    </row>
    <row r="2055" spans="1:11" x14ac:dyDescent="0.2">
      <c r="A2055" t="s">
        <v>16</v>
      </c>
      <c r="B2055" t="s">
        <v>2069</v>
      </c>
      <c r="C2055">
        <v>300</v>
      </c>
      <c r="D2055" t="s">
        <v>6563</v>
      </c>
      <c r="E2055" t="s">
        <v>49</v>
      </c>
      <c r="F2055">
        <v>3</v>
      </c>
      <c r="G2055">
        <v>0.44225085545214454</v>
      </c>
      <c r="H2055" t="s">
        <v>103</v>
      </c>
      <c r="I2055">
        <v>0</v>
      </c>
      <c r="J2055">
        <v>0</v>
      </c>
      <c r="K2055">
        <v>0</v>
      </c>
    </row>
    <row r="2056" spans="1:11" x14ac:dyDescent="0.2">
      <c r="A2056" t="s">
        <v>16</v>
      </c>
      <c r="B2056" t="s">
        <v>2069</v>
      </c>
      <c r="C2056">
        <v>300</v>
      </c>
      <c r="D2056" t="s">
        <v>6565</v>
      </c>
      <c r="E2056" t="s">
        <v>49</v>
      </c>
      <c r="F2056">
        <v>3</v>
      </c>
      <c r="G2056">
        <v>0.44225085545214454</v>
      </c>
      <c r="H2056" t="s">
        <v>92</v>
      </c>
      <c r="I2056">
        <v>0</v>
      </c>
      <c r="J2056">
        <v>0</v>
      </c>
      <c r="K2056">
        <v>0</v>
      </c>
    </row>
    <row r="2057" spans="1:11" x14ac:dyDescent="0.2">
      <c r="A2057" t="s">
        <v>16</v>
      </c>
      <c r="B2057" t="s">
        <v>2069</v>
      </c>
      <c r="C2057">
        <v>300</v>
      </c>
      <c r="D2057" t="s">
        <v>6540</v>
      </c>
      <c r="E2057" t="s">
        <v>49</v>
      </c>
      <c r="F2057">
        <v>3</v>
      </c>
      <c r="G2057">
        <v>0.44225085545214454</v>
      </c>
      <c r="H2057" t="s">
        <v>84</v>
      </c>
      <c r="I2057">
        <v>0</v>
      </c>
      <c r="J2057">
        <v>0</v>
      </c>
      <c r="K2057">
        <v>0</v>
      </c>
    </row>
    <row r="2058" spans="1:11" x14ac:dyDescent="0.2">
      <c r="A2058" t="s">
        <v>16</v>
      </c>
      <c r="B2058" t="s">
        <v>2069</v>
      </c>
      <c r="C2058">
        <v>300</v>
      </c>
      <c r="D2058" t="s">
        <v>6541</v>
      </c>
      <c r="E2058" t="s">
        <v>49</v>
      </c>
      <c r="F2058">
        <v>3</v>
      </c>
      <c r="G2058">
        <v>0.44225085545214454</v>
      </c>
      <c r="H2058" t="s">
        <v>103</v>
      </c>
      <c r="I2058">
        <v>0</v>
      </c>
      <c r="J2058">
        <v>0</v>
      </c>
      <c r="K2058">
        <v>0</v>
      </c>
    </row>
    <row r="2059" spans="1:11" x14ac:dyDescent="0.2">
      <c r="A2059" t="s">
        <v>16</v>
      </c>
      <c r="B2059" t="s">
        <v>2069</v>
      </c>
      <c r="C2059">
        <v>100</v>
      </c>
      <c r="D2059" t="s">
        <v>6567</v>
      </c>
      <c r="E2059" t="s">
        <v>49</v>
      </c>
      <c r="F2059">
        <v>3</v>
      </c>
      <c r="G2059">
        <v>0.14741695181738151</v>
      </c>
      <c r="H2059" t="s">
        <v>92</v>
      </c>
      <c r="I2059">
        <v>0</v>
      </c>
      <c r="J2059">
        <v>0</v>
      </c>
      <c r="K2059">
        <v>0</v>
      </c>
    </row>
    <row r="2060" spans="1:11" x14ac:dyDescent="0.2">
      <c r="A2060" t="s">
        <v>16</v>
      </c>
      <c r="B2060" t="s">
        <v>2069</v>
      </c>
      <c r="C2060">
        <v>300</v>
      </c>
      <c r="D2060" t="s">
        <v>6549</v>
      </c>
      <c r="E2060" t="s">
        <v>49</v>
      </c>
      <c r="F2060">
        <v>3</v>
      </c>
      <c r="G2060">
        <v>0.44225085545214454</v>
      </c>
      <c r="H2060" t="s">
        <v>84</v>
      </c>
      <c r="I2060">
        <v>0</v>
      </c>
      <c r="J2060">
        <v>0</v>
      </c>
      <c r="K2060">
        <v>0</v>
      </c>
    </row>
    <row r="2061" spans="1:11" x14ac:dyDescent="0.2">
      <c r="A2061" t="s">
        <v>16</v>
      </c>
      <c r="B2061" t="s">
        <v>2069</v>
      </c>
      <c r="C2061">
        <v>300</v>
      </c>
      <c r="D2061" t="s">
        <v>6544</v>
      </c>
      <c r="E2061" t="s">
        <v>49</v>
      </c>
      <c r="F2061">
        <v>3</v>
      </c>
      <c r="G2061">
        <v>0.44225085545214454</v>
      </c>
      <c r="H2061" t="s">
        <v>92</v>
      </c>
      <c r="I2061">
        <v>0</v>
      </c>
      <c r="J2061">
        <v>0</v>
      </c>
      <c r="K2061">
        <v>0</v>
      </c>
    </row>
    <row r="2062" spans="1:11" x14ac:dyDescent="0.2">
      <c r="A2062" t="s">
        <v>16</v>
      </c>
      <c r="B2062" t="s">
        <v>2069</v>
      </c>
      <c r="C2062">
        <v>300</v>
      </c>
      <c r="D2062" t="s">
        <v>6558</v>
      </c>
      <c r="E2062" t="s">
        <v>49</v>
      </c>
      <c r="F2062">
        <v>3</v>
      </c>
      <c r="G2062">
        <v>0.44225085545214454</v>
      </c>
      <c r="H2062" t="s">
        <v>103</v>
      </c>
      <c r="I2062">
        <v>0</v>
      </c>
      <c r="J2062">
        <v>0</v>
      </c>
      <c r="K2062">
        <v>0</v>
      </c>
    </row>
    <row r="2063" spans="1:11" x14ac:dyDescent="0.2">
      <c r="A2063" t="s">
        <v>16</v>
      </c>
      <c r="B2063" t="s">
        <v>2069</v>
      </c>
      <c r="C2063">
        <v>300</v>
      </c>
      <c r="D2063" t="s">
        <v>6556</v>
      </c>
      <c r="E2063" t="s">
        <v>49</v>
      </c>
      <c r="F2063">
        <v>3</v>
      </c>
      <c r="G2063">
        <v>0.44225085545214454</v>
      </c>
      <c r="H2063" t="s">
        <v>84</v>
      </c>
      <c r="I2063">
        <v>0</v>
      </c>
      <c r="J2063">
        <v>0</v>
      </c>
      <c r="K2063">
        <v>0</v>
      </c>
    </row>
    <row r="2064" spans="1:11" x14ac:dyDescent="0.2">
      <c r="A2064" t="s">
        <v>16</v>
      </c>
      <c r="B2064" t="s">
        <v>2069</v>
      </c>
      <c r="C2064">
        <v>300</v>
      </c>
      <c r="D2064" t="s">
        <v>6548</v>
      </c>
      <c r="E2064" t="s">
        <v>49</v>
      </c>
      <c r="F2064">
        <v>3</v>
      </c>
      <c r="G2064">
        <v>0.44225085545214454</v>
      </c>
      <c r="H2064" t="s">
        <v>92</v>
      </c>
      <c r="I2064">
        <v>0</v>
      </c>
      <c r="J2064">
        <v>0</v>
      </c>
      <c r="K2064">
        <v>0</v>
      </c>
    </row>
    <row r="2065" spans="1:11" x14ac:dyDescent="0.2">
      <c r="A2065" t="s">
        <v>16</v>
      </c>
      <c r="B2065" t="s">
        <v>2069</v>
      </c>
      <c r="C2065">
        <v>300</v>
      </c>
      <c r="D2065" t="s">
        <v>6553</v>
      </c>
      <c r="E2065" t="s">
        <v>49</v>
      </c>
      <c r="F2065">
        <v>3</v>
      </c>
      <c r="G2065">
        <v>0.44225085545214454</v>
      </c>
      <c r="H2065" t="s">
        <v>103</v>
      </c>
      <c r="I2065">
        <v>0</v>
      </c>
      <c r="J2065">
        <v>0</v>
      </c>
      <c r="K2065">
        <v>0</v>
      </c>
    </row>
    <row r="2066" spans="1:11" x14ac:dyDescent="0.2">
      <c r="A2066" t="s">
        <v>16</v>
      </c>
      <c r="B2066" t="s">
        <v>2069</v>
      </c>
      <c r="C2066">
        <v>300</v>
      </c>
      <c r="D2066" t="s">
        <v>6545</v>
      </c>
      <c r="E2066" t="s">
        <v>49</v>
      </c>
      <c r="F2066">
        <v>3</v>
      </c>
      <c r="G2066">
        <v>0.44225085545214454</v>
      </c>
      <c r="H2066" t="s">
        <v>84</v>
      </c>
      <c r="I2066">
        <v>0</v>
      </c>
      <c r="J2066">
        <v>0</v>
      </c>
      <c r="K2066">
        <v>0</v>
      </c>
    </row>
    <row r="2067" spans="1:11" x14ac:dyDescent="0.2">
      <c r="A2067" t="s">
        <v>16</v>
      </c>
      <c r="B2067" t="s">
        <v>2069</v>
      </c>
      <c r="C2067">
        <v>300</v>
      </c>
      <c r="D2067" t="s">
        <v>6535</v>
      </c>
      <c r="E2067" t="s">
        <v>49</v>
      </c>
      <c r="F2067">
        <v>3</v>
      </c>
      <c r="G2067">
        <v>0.44225085545214454</v>
      </c>
      <c r="H2067" t="s">
        <v>92</v>
      </c>
      <c r="I2067">
        <v>0</v>
      </c>
      <c r="J2067">
        <v>0</v>
      </c>
      <c r="K2067">
        <v>0</v>
      </c>
    </row>
    <row r="2068" spans="1:11" x14ac:dyDescent="0.2">
      <c r="A2068" t="s">
        <v>16</v>
      </c>
      <c r="B2068" t="s">
        <v>2069</v>
      </c>
      <c r="C2068">
        <v>300</v>
      </c>
      <c r="D2068" t="s">
        <v>6534</v>
      </c>
      <c r="E2068" t="s">
        <v>49</v>
      </c>
      <c r="F2068">
        <v>3</v>
      </c>
      <c r="G2068">
        <v>0.44225085545214454</v>
      </c>
      <c r="H2068" t="s">
        <v>103</v>
      </c>
      <c r="I2068">
        <v>0</v>
      </c>
      <c r="J2068">
        <v>0</v>
      </c>
      <c r="K2068">
        <v>0</v>
      </c>
    </row>
    <row r="2069" spans="1:11" x14ac:dyDescent="0.2">
      <c r="A2069" t="s">
        <v>16</v>
      </c>
      <c r="B2069" t="s">
        <v>2069</v>
      </c>
      <c r="C2069">
        <v>300</v>
      </c>
      <c r="D2069" t="s">
        <v>6562</v>
      </c>
      <c r="E2069" t="s">
        <v>49</v>
      </c>
      <c r="F2069">
        <v>3</v>
      </c>
      <c r="G2069">
        <v>0.44225085545214454</v>
      </c>
      <c r="H2069" t="s">
        <v>84</v>
      </c>
      <c r="I2069">
        <v>0</v>
      </c>
      <c r="J2069">
        <v>0</v>
      </c>
      <c r="K2069">
        <v>0</v>
      </c>
    </row>
    <row r="2070" spans="1:11" x14ac:dyDescent="0.2">
      <c r="A2070" t="s">
        <v>16</v>
      </c>
      <c r="B2070" t="s">
        <v>2069</v>
      </c>
      <c r="C2070">
        <v>300</v>
      </c>
      <c r="D2070" t="s">
        <v>6564</v>
      </c>
      <c r="E2070" t="s">
        <v>49</v>
      </c>
      <c r="F2070">
        <v>3</v>
      </c>
      <c r="G2070">
        <v>0.44225085545214454</v>
      </c>
      <c r="H2070" t="s">
        <v>92</v>
      </c>
      <c r="I2070">
        <v>0</v>
      </c>
      <c r="J2070">
        <v>0</v>
      </c>
      <c r="K2070">
        <v>0</v>
      </c>
    </row>
    <row r="2071" spans="1:11" x14ac:dyDescent="0.2">
      <c r="A2071" t="s">
        <v>16</v>
      </c>
      <c r="B2071" t="s">
        <v>2069</v>
      </c>
      <c r="C2071">
        <v>300</v>
      </c>
      <c r="D2071" t="s">
        <v>6551</v>
      </c>
      <c r="E2071" t="s">
        <v>49</v>
      </c>
      <c r="F2071">
        <v>3</v>
      </c>
      <c r="G2071">
        <v>0.44225085545214454</v>
      </c>
      <c r="H2071" t="s">
        <v>103</v>
      </c>
      <c r="I2071">
        <v>0</v>
      </c>
      <c r="J2071">
        <v>0</v>
      </c>
      <c r="K2071">
        <v>0</v>
      </c>
    </row>
    <row r="2072" spans="1:11" x14ac:dyDescent="0.2">
      <c r="A2072" t="s">
        <v>16</v>
      </c>
      <c r="B2072" t="s">
        <v>2069</v>
      </c>
      <c r="C2072">
        <v>300</v>
      </c>
      <c r="D2072" t="s">
        <v>6542</v>
      </c>
      <c r="E2072" t="s">
        <v>49</v>
      </c>
      <c r="F2072">
        <v>3</v>
      </c>
      <c r="G2072">
        <v>0.44225085545214454</v>
      </c>
      <c r="H2072" t="s">
        <v>84</v>
      </c>
      <c r="I2072">
        <v>0</v>
      </c>
      <c r="J2072">
        <v>0</v>
      </c>
      <c r="K2072">
        <v>0</v>
      </c>
    </row>
    <row r="2073" spans="1:11" x14ac:dyDescent="0.2">
      <c r="A2073" t="s">
        <v>16</v>
      </c>
      <c r="B2073" t="s">
        <v>2069</v>
      </c>
      <c r="C2073">
        <v>300</v>
      </c>
      <c r="D2073" t="s">
        <v>6552</v>
      </c>
      <c r="E2073" t="s">
        <v>49</v>
      </c>
      <c r="F2073">
        <v>3</v>
      </c>
      <c r="G2073">
        <v>0.44225085545214454</v>
      </c>
      <c r="H2073" t="s">
        <v>92</v>
      </c>
      <c r="I2073">
        <v>0</v>
      </c>
      <c r="J2073">
        <v>0</v>
      </c>
      <c r="K2073">
        <v>0</v>
      </c>
    </row>
    <row r="2074" spans="1:11" x14ac:dyDescent="0.2">
      <c r="A2074" t="s">
        <v>16</v>
      </c>
      <c r="B2074" t="s">
        <v>2069</v>
      </c>
      <c r="C2074">
        <v>300</v>
      </c>
      <c r="D2074" t="s">
        <v>6537</v>
      </c>
      <c r="E2074" t="s">
        <v>49</v>
      </c>
      <c r="F2074">
        <v>3</v>
      </c>
      <c r="G2074">
        <v>0.44225085545214454</v>
      </c>
      <c r="H2074" t="s">
        <v>103</v>
      </c>
      <c r="I2074">
        <v>0</v>
      </c>
      <c r="J2074">
        <v>0</v>
      </c>
      <c r="K2074">
        <v>0</v>
      </c>
    </row>
    <row r="2075" spans="1:11" x14ac:dyDescent="0.2">
      <c r="A2075" t="s">
        <v>16</v>
      </c>
      <c r="B2075" t="s">
        <v>2069</v>
      </c>
      <c r="C2075">
        <v>300</v>
      </c>
      <c r="D2075" t="s">
        <v>6550</v>
      </c>
      <c r="E2075" t="s">
        <v>49</v>
      </c>
      <c r="F2075">
        <v>3</v>
      </c>
      <c r="G2075">
        <v>0.44225085545214454</v>
      </c>
      <c r="H2075" t="s">
        <v>84</v>
      </c>
      <c r="I2075">
        <v>0</v>
      </c>
      <c r="J2075">
        <v>0</v>
      </c>
      <c r="K2075">
        <v>0</v>
      </c>
    </row>
    <row r="2076" spans="1:11" x14ac:dyDescent="0.2">
      <c r="A2076" t="s">
        <v>16</v>
      </c>
      <c r="B2076" t="s">
        <v>2069</v>
      </c>
      <c r="C2076">
        <v>300</v>
      </c>
      <c r="D2076" t="s">
        <v>6560</v>
      </c>
      <c r="E2076" t="s">
        <v>49</v>
      </c>
      <c r="F2076">
        <v>3</v>
      </c>
      <c r="G2076">
        <v>0.44225085545214454</v>
      </c>
      <c r="H2076" t="s">
        <v>92</v>
      </c>
      <c r="I2076">
        <v>0</v>
      </c>
      <c r="J2076">
        <v>0</v>
      </c>
      <c r="K2076">
        <v>0</v>
      </c>
    </row>
    <row r="2077" spans="1:11" x14ac:dyDescent="0.2">
      <c r="A2077" t="s">
        <v>16</v>
      </c>
      <c r="B2077" t="s">
        <v>2069</v>
      </c>
      <c r="C2077">
        <v>300</v>
      </c>
      <c r="D2077" t="s">
        <v>6569</v>
      </c>
      <c r="E2077" t="s">
        <v>49</v>
      </c>
      <c r="F2077">
        <v>3</v>
      </c>
      <c r="G2077">
        <v>0.44225085545214454</v>
      </c>
      <c r="H2077" t="s">
        <v>103</v>
      </c>
      <c r="I2077">
        <v>0</v>
      </c>
      <c r="J2077">
        <v>0</v>
      </c>
      <c r="K2077">
        <v>0</v>
      </c>
    </row>
    <row r="2078" spans="1:11" x14ac:dyDescent="0.2">
      <c r="A2078" t="s">
        <v>16</v>
      </c>
      <c r="B2078" t="s">
        <v>2069</v>
      </c>
      <c r="C2078">
        <v>200</v>
      </c>
      <c r="D2078" t="s">
        <v>6566</v>
      </c>
      <c r="E2078" t="s">
        <v>49</v>
      </c>
      <c r="F2078">
        <v>3</v>
      </c>
      <c r="G2078">
        <v>0.29483390363476303</v>
      </c>
      <c r="H2078" t="s">
        <v>84</v>
      </c>
      <c r="I2078">
        <v>0</v>
      </c>
      <c r="J2078">
        <v>0</v>
      </c>
      <c r="K2078">
        <v>0</v>
      </c>
    </row>
    <row r="2079" spans="1:11" x14ac:dyDescent="0.2">
      <c r="A2079" t="s">
        <v>16</v>
      </c>
      <c r="B2079" t="s">
        <v>2069</v>
      </c>
      <c r="C2079">
        <v>300</v>
      </c>
      <c r="D2079" t="s">
        <v>6536</v>
      </c>
      <c r="E2079" t="s">
        <v>49</v>
      </c>
      <c r="F2079">
        <v>3</v>
      </c>
      <c r="G2079">
        <v>0.44225085545214454</v>
      </c>
      <c r="H2079" t="s">
        <v>92</v>
      </c>
      <c r="I2079">
        <v>0</v>
      </c>
      <c r="J2079">
        <v>0</v>
      </c>
      <c r="K2079">
        <v>0</v>
      </c>
    </row>
    <row r="2080" spans="1:11" x14ac:dyDescent="0.2">
      <c r="A2080" t="s">
        <v>16</v>
      </c>
      <c r="B2080" t="s">
        <v>2069</v>
      </c>
      <c r="C2080">
        <v>300</v>
      </c>
      <c r="D2080" t="s">
        <v>6559</v>
      </c>
      <c r="E2080" t="s">
        <v>49</v>
      </c>
      <c r="F2080">
        <v>3</v>
      </c>
      <c r="G2080">
        <v>0.44225085545214454</v>
      </c>
      <c r="H2080" t="s">
        <v>84</v>
      </c>
      <c r="I2080">
        <v>0</v>
      </c>
      <c r="J2080">
        <v>0</v>
      </c>
      <c r="K2080">
        <v>0</v>
      </c>
    </row>
    <row r="2081" spans="1:11" x14ac:dyDescent="0.2">
      <c r="A2081" t="s">
        <v>16</v>
      </c>
      <c r="B2081" t="s">
        <v>2069</v>
      </c>
      <c r="C2081">
        <v>300</v>
      </c>
      <c r="D2081" t="s">
        <v>6547</v>
      </c>
      <c r="E2081" t="s">
        <v>49</v>
      </c>
      <c r="F2081">
        <v>3</v>
      </c>
      <c r="G2081">
        <v>0.44225085545214454</v>
      </c>
      <c r="H2081" t="s">
        <v>103</v>
      </c>
      <c r="I2081">
        <v>0</v>
      </c>
      <c r="J2081">
        <v>0</v>
      </c>
      <c r="K2081">
        <v>0</v>
      </c>
    </row>
    <row r="2082" spans="1:11" x14ac:dyDescent="0.2">
      <c r="A2082" t="s">
        <v>16</v>
      </c>
      <c r="B2082" t="s">
        <v>2069</v>
      </c>
      <c r="C2082">
        <v>300</v>
      </c>
      <c r="D2082" t="s">
        <v>6557</v>
      </c>
      <c r="E2082" t="s">
        <v>49</v>
      </c>
      <c r="F2082">
        <v>3</v>
      </c>
      <c r="G2082">
        <v>0.44225085545214454</v>
      </c>
      <c r="H2082" t="s">
        <v>92</v>
      </c>
      <c r="I2082">
        <v>0</v>
      </c>
      <c r="J2082">
        <v>0</v>
      </c>
      <c r="K2082">
        <v>0</v>
      </c>
    </row>
    <row r="2083" spans="1:11" x14ac:dyDescent="0.2">
      <c r="A2083" t="s">
        <v>16</v>
      </c>
      <c r="B2083" t="s">
        <v>2069</v>
      </c>
      <c r="C2083">
        <v>300</v>
      </c>
      <c r="D2083" t="s">
        <v>6538</v>
      </c>
      <c r="E2083" t="s">
        <v>49</v>
      </c>
      <c r="F2083">
        <v>3</v>
      </c>
      <c r="G2083">
        <v>0.44225085545214454</v>
      </c>
      <c r="H2083" t="s">
        <v>84</v>
      </c>
      <c r="I2083">
        <v>0</v>
      </c>
      <c r="J2083">
        <v>0</v>
      </c>
      <c r="K2083">
        <v>0</v>
      </c>
    </row>
    <row r="2084" spans="1:11" x14ac:dyDescent="0.2">
      <c r="A2084" t="s">
        <v>16</v>
      </c>
      <c r="B2084" t="s">
        <v>2069</v>
      </c>
      <c r="C2084">
        <v>300</v>
      </c>
      <c r="D2084" t="s">
        <v>6554</v>
      </c>
      <c r="E2084" t="s">
        <v>49</v>
      </c>
      <c r="F2084">
        <v>3</v>
      </c>
      <c r="G2084">
        <v>0.44225085545214454</v>
      </c>
      <c r="H2084" t="s">
        <v>103</v>
      </c>
      <c r="I2084">
        <v>0</v>
      </c>
      <c r="J2084">
        <v>0</v>
      </c>
      <c r="K2084">
        <v>0</v>
      </c>
    </row>
    <row r="2085" spans="1:11" x14ac:dyDescent="0.2">
      <c r="A2085" t="s">
        <v>16</v>
      </c>
      <c r="B2085" t="s">
        <v>2069</v>
      </c>
      <c r="C2085">
        <v>300</v>
      </c>
      <c r="D2085" t="s">
        <v>6561</v>
      </c>
      <c r="E2085" t="s">
        <v>49</v>
      </c>
      <c r="F2085">
        <v>3</v>
      </c>
      <c r="G2085">
        <v>0.44225085545214454</v>
      </c>
      <c r="H2085" t="s">
        <v>92</v>
      </c>
      <c r="I2085">
        <v>0</v>
      </c>
      <c r="J2085">
        <v>0</v>
      </c>
      <c r="K2085">
        <v>0</v>
      </c>
    </row>
    <row r="2086" spans="1:11" x14ac:dyDescent="0.2">
      <c r="A2086" t="s">
        <v>16</v>
      </c>
      <c r="B2086" t="s">
        <v>2069</v>
      </c>
      <c r="C2086">
        <v>300</v>
      </c>
      <c r="D2086" t="s">
        <v>6539</v>
      </c>
      <c r="E2086" t="s">
        <v>49</v>
      </c>
      <c r="F2086">
        <v>3</v>
      </c>
      <c r="G2086">
        <v>0.44225085545214454</v>
      </c>
      <c r="H2086" t="s">
        <v>84</v>
      </c>
      <c r="I2086">
        <v>0</v>
      </c>
      <c r="J2086">
        <v>0</v>
      </c>
      <c r="K2086">
        <v>0</v>
      </c>
    </row>
    <row r="2087" spans="1:11" x14ac:dyDescent="0.2">
      <c r="A2087" t="s">
        <v>16</v>
      </c>
      <c r="B2087" t="s">
        <v>2069</v>
      </c>
      <c r="C2087">
        <v>300</v>
      </c>
      <c r="D2087" t="s">
        <v>6543</v>
      </c>
      <c r="E2087" t="s">
        <v>49</v>
      </c>
      <c r="F2087">
        <v>3</v>
      </c>
      <c r="G2087">
        <v>0.44225085545214454</v>
      </c>
      <c r="H2087" t="s">
        <v>103</v>
      </c>
      <c r="I2087">
        <v>0</v>
      </c>
      <c r="J2087">
        <v>0</v>
      </c>
      <c r="K2087">
        <v>0</v>
      </c>
    </row>
    <row r="2088" spans="1:11" x14ac:dyDescent="0.2">
      <c r="A2088" t="s">
        <v>16</v>
      </c>
      <c r="B2088" t="s">
        <v>2069</v>
      </c>
      <c r="C2088">
        <v>300</v>
      </c>
      <c r="D2088" t="s">
        <v>6546</v>
      </c>
      <c r="E2088" t="s">
        <v>49</v>
      </c>
      <c r="F2088">
        <v>3</v>
      </c>
      <c r="G2088">
        <v>0.44225085545214454</v>
      </c>
      <c r="H2088" t="s">
        <v>92</v>
      </c>
      <c r="I2088">
        <v>0</v>
      </c>
      <c r="J2088">
        <v>0</v>
      </c>
      <c r="K2088">
        <v>0</v>
      </c>
    </row>
    <row r="2089" spans="1:11" x14ac:dyDescent="0.2">
      <c r="A2089" t="s">
        <v>16</v>
      </c>
      <c r="B2089" t="s">
        <v>2069</v>
      </c>
      <c r="C2089">
        <v>300</v>
      </c>
      <c r="D2089" t="s">
        <v>6568</v>
      </c>
      <c r="E2089" t="s">
        <v>49</v>
      </c>
      <c r="F2089">
        <v>3</v>
      </c>
      <c r="G2089">
        <v>0.44225085545214454</v>
      </c>
      <c r="H2089" t="s">
        <v>84</v>
      </c>
      <c r="I2089">
        <v>0</v>
      </c>
      <c r="J2089">
        <v>0</v>
      </c>
      <c r="K2089">
        <v>0</v>
      </c>
    </row>
    <row r="2090" spans="1:11" x14ac:dyDescent="0.2">
      <c r="A2090" t="s">
        <v>16</v>
      </c>
      <c r="B2090" t="s">
        <v>2071</v>
      </c>
      <c r="C2090">
        <v>300</v>
      </c>
      <c r="D2090" t="s">
        <v>6571</v>
      </c>
      <c r="E2090" t="s">
        <v>49</v>
      </c>
      <c r="F2090">
        <v>2</v>
      </c>
      <c r="G2090">
        <v>0.50653656973785877</v>
      </c>
      <c r="H2090" t="s">
        <v>98</v>
      </c>
      <c r="I2090">
        <v>0</v>
      </c>
      <c r="J2090">
        <v>0</v>
      </c>
      <c r="K2090">
        <v>0</v>
      </c>
    </row>
    <row r="2091" spans="1:11" x14ac:dyDescent="0.2">
      <c r="A2091" t="s">
        <v>16</v>
      </c>
      <c r="B2091" t="s">
        <v>2071</v>
      </c>
      <c r="C2091">
        <v>300</v>
      </c>
      <c r="D2091" t="s">
        <v>6576</v>
      </c>
      <c r="E2091" t="s">
        <v>49</v>
      </c>
      <c r="F2091">
        <v>2</v>
      </c>
      <c r="G2091">
        <v>0.50653656973785877</v>
      </c>
      <c r="H2091" t="s">
        <v>97</v>
      </c>
      <c r="I2091">
        <v>0</v>
      </c>
      <c r="J2091">
        <v>0</v>
      </c>
      <c r="K2091">
        <v>0</v>
      </c>
    </row>
    <row r="2092" spans="1:11" x14ac:dyDescent="0.2">
      <c r="A2092" t="s">
        <v>16</v>
      </c>
      <c r="B2092" t="s">
        <v>2071</v>
      </c>
      <c r="C2092">
        <v>300</v>
      </c>
      <c r="D2092" t="s">
        <v>6570</v>
      </c>
      <c r="E2092" t="s">
        <v>49</v>
      </c>
      <c r="F2092">
        <v>2</v>
      </c>
      <c r="G2092">
        <v>0.50653656973785877</v>
      </c>
      <c r="H2092" t="s">
        <v>98</v>
      </c>
      <c r="I2092">
        <v>0</v>
      </c>
      <c r="J2092">
        <v>0</v>
      </c>
      <c r="K2092">
        <v>0</v>
      </c>
    </row>
    <row r="2093" spans="1:11" x14ac:dyDescent="0.2">
      <c r="A2093" t="s">
        <v>16</v>
      </c>
      <c r="B2093" t="s">
        <v>2071</v>
      </c>
      <c r="C2093">
        <v>200</v>
      </c>
      <c r="D2093" t="s">
        <v>6601</v>
      </c>
      <c r="E2093" t="s">
        <v>49</v>
      </c>
      <c r="F2093">
        <v>2</v>
      </c>
      <c r="G2093">
        <v>0.33769104649190584</v>
      </c>
      <c r="H2093" t="s">
        <v>97</v>
      </c>
      <c r="I2093">
        <v>0</v>
      </c>
      <c r="J2093">
        <v>0</v>
      </c>
      <c r="K2093">
        <v>0</v>
      </c>
    </row>
    <row r="2094" spans="1:11" x14ac:dyDescent="0.2">
      <c r="A2094" t="s">
        <v>16</v>
      </c>
      <c r="B2094" t="s">
        <v>2071</v>
      </c>
      <c r="C2094">
        <v>100</v>
      </c>
      <c r="D2094" t="s">
        <v>6572</v>
      </c>
      <c r="E2094" t="s">
        <v>49</v>
      </c>
      <c r="F2094">
        <v>2</v>
      </c>
      <c r="G2094">
        <v>0.16884552324595292</v>
      </c>
      <c r="H2094" t="s">
        <v>97</v>
      </c>
      <c r="I2094">
        <v>0</v>
      </c>
      <c r="J2094">
        <v>0</v>
      </c>
      <c r="K2094">
        <v>0</v>
      </c>
    </row>
    <row r="2095" spans="1:11" x14ac:dyDescent="0.2">
      <c r="A2095" t="s">
        <v>16</v>
      </c>
      <c r="B2095" t="s">
        <v>2071</v>
      </c>
      <c r="C2095">
        <v>300</v>
      </c>
      <c r="D2095" t="s">
        <v>6579</v>
      </c>
      <c r="E2095" t="s">
        <v>49</v>
      </c>
      <c r="F2095">
        <v>2</v>
      </c>
      <c r="G2095">
        <v>0.50653656973785877</v>
      </c>
      <c r="H2095" t="s">
        <v>98</v>
      </c>
      <c r="I2095">
        <v>0</v>
      </c>
      <c r="J2095">
        <v>0</v>
      </c>
      <c r="K2095">
        <v>0</v>
      </c>
    </row>
    <row r="2096" spans="1:11" x14ac:dyDescent="0.2">
      <c r="A2096" t="s">
        <v>16</v>
      </c>
      <c r="B2096" t="s">
        <v>2071</v>
      </c>
      <c r="C2096">
        <v>300</v>
      </c>
      <c r="D2096" t="s">
        <v>6575</v>
      </c>
      <c r="E2096" t="s">
        <v>49</v>
      </c>
      <c r="F2096">
        <v>2</v>
      </c>
      <c r="G2096">
        <v>0.50653656973785877</v>
      </c>
      <c r="H2096" t="s">
        <v>97</v>
      </c>
      <c r="I2096">
        <v>0</v>
      </c>
      <c r="J2096">
        <v>0</v>
      </c>
      <c r="K2096">
        <v>0</v>
      </c>
    </row>
    <row r="2097" spans="1:11" x14ac:dyDescent="0.2">
      <c r="A2097" t="s">
        <v>16</v>
      </c>
      <c r="B2097" t="s">
        <v>2071</v>
      </c>
      <c r="C2097">
        <v>300</v>
      </c>
      <c r="D2097" t="s">
        <v>6598</v>
      </c>
      <c r="E2097" t="s">
        <v>49</v>
      </c>
      <c r="F2097">
        <v>2</v>
      </c>
      <c r="G2097">
        <v>0.50653656973785877</v>
      </c>
      <c r="H2097" t="s">
        <v>98</v>
      </c>
      <c r="I2097">
        <v>0</v>
      </c>
      <c r="J2097">
        <v>0</v>
      </c>
      <c r="K2097">
        <v>0</v>
      </c>
    </row>
    <row r="2098" spans="1:11" x14ac:dyDescent="0.2">
      <c r="A2098" t="s">
        <v>16</v>
      </c>
      <c r="B2098" t="s">
        <v>2071</v>
      </c>
      <c r="C2098">
        <v>300</v>
      </c>
      <c r="D2098" t="s">
        <v>6599</v>
      </c>
      <c r="E2098" t="s">
        <v>49</v>
      </c>
      <c r="F2098">
        <v>2</v>
      </c>
      <c r="G2098">
        <v>0.50653656973785877</v>
      </c>
      <c r="H2098" t="s">
        <v>97</v>
      </c>
      <c r="I2098">
        <v>0</v>
      </c>
      <c r="J2098">
        <v>0</v>
      </c>
      <c r="K2098">
        <v>0</v>
      </c>
    </row>
    <row r="2099" spans="1:11" x14ac:dyDescent="0.2">
      <c r="A2099" t="s">
        <v>16</v>
      </c>
      <c r="B2099" t="s">
        <v>2071</v>
      </c>
      <c r="C2099">
        <v>300</v>
      </c>
      <c r="D2099" t="s">
        <v>6587</v>
      </c>
      <c r="E2099" t="s">
        <v>49</v>
      </c>
      <c r="F2099">
        <v>2</v>
      </c>
      <c r="G2099">
        <v>0.50653656973785877</v>
      </c>
      <c r="H2099" t="s">
        <v>98</v>
      </c>
      <c r="I2099">
        <v>0</v>
      </c>
      <c r="J2099">
        <v>0</v>
      </c>
      <c r="K2099">
        <v>0</v>
      </c>
    </row>
    <row r="2100" spans="1:11" x14ac:dyDescent="0.2">
      <c r="A2100" t="s">
        <v>16</v>
      </c>
      <c r="B2100" t="s">
        <v>2071</v>
      </c>
      <c r="C2100">
        <v>100</v>
      </c>
      <c r="D2100" t="s">
        <v>6604</v>
      </c>
      <c r="E2100" t="s">
        <v>49</v>
      </c>
      <c r="F2100">
        <v>2</v>
      </c>
      <c r="G2100">
        <v>0.16884552324595292</v>
      </c>
      <c r="H2100" t="s">
        <v>97</v>
      </c>
      <c r="I2100">
        <v>0</v>
      </c>
      <c r="J2100">
        <v>0</v>
      </c>
      <c r="K2100">
        <v>0</v>
      </c>
    </row>
    <row r="2101" spans="1:11" x14ac:dyDescent="0.2">
      <c r="A2101" t="s">
        <v>16</v>
      </c>
      <c r="B2101" t="s">
        <v>2071</v>
      </c>
      <c r="C2101">
        <v>300</v>
      </c>
      <c r="D2101" t="s">
        <v>6602</v>
      </c>
      <c r="E2101" t="s">
        <v>49</v>
      </c>
      <c r="F2101">
        <v>2</v>
      </c>
      <c r="G2101">
        <v>0.50653656973785877</v>
      </c>
      <c r="H2101" t="s">
        <v>97</v>
      </c>
      <c r="I2101">
        <v>0</v>
      </c>
      <c r="J2101">
        <v>0</v>
      </c>
      <c r="K2101">
        <v>0</v>
      </c>
    </row>
    <row r="2102" spans="1:11" x14ac:dyDescent="0.2">
      <c r="A2102" t="s">
        <v>16</v>
      </c>
      <c r="B2102" t="s">
        <v>2071</v>
      </c>
      <c r="C2102">
        <v>300</v>
      </c>
      <c r="D2102" t="s">
        <v>6577</v>
      </c>
      <c r="E2102" t="s">
        <v>49</v>
      </c>
      <c r="F2102">
        <v>2</v>
      </c>
      <c r="G2102">
        <v>0.50653656973785877</v>
      </c>
      <c r="H2102" t="s">
        <v>98</v>
      </c>
      <c r="I2102">
        <v>0</v>
      </c>
      <c r="J2102">
        <v>0</v>
      </c>
      <c r="K2102">
        <v>0</v>
      </c>
    </row>
    <row r="2103" spans="1:11" x14ac:dyDescent="0.2">
      <c r="A2103" t="s">
        <v>16</v>
      </c>
      <c r="B2103" t="s">
        <v>2071</v>
      </c>
      <c r="C2103">
        <v>300</v>
      </c>
      <c r="D2103" t="s">
        <v>6593</v>
      </c>
      <c r="E2103" t="s">
        <v>49</v>
      </c>
      <c r="F2103">
        <v>2</v>
      </c>
      <c r="G2103">
        <v>0.50653656973785877</v>
      </c>
      <c r="H2103" t="s">
        <v>97</v>
      </c>
      <c r="I2103">
        <v>0</v>
      </c>
      <c r="J2103">
        <v>0</v>
      </c>
      <c r="K2103">
        <v>0</v>
      </c>
    </row>
    <row r="2104" spans="1:11" x14ac:dyDescent="0.2">
      <c r="A2104" t="s">
        <v>16</v>
      </c>
      <c r="B2104" t="s">
        <v>2071</v>
      </c>
      <c r="C2104">
        <v>300</v>
      </c>
      <c r="D2104" t="s">
        <v>6605</v>
      </c>
      <c r="E2104" t="s">
        <v>49</v>
      </c>
      <c r="F2104">
        <v>2</v>
      </c>
      <c r="G2104">
        <v>0.50653656973785877</v>
      </c>
      <c r="H2104" t="s">
        <v>98</v>
      </c>
      <c r="I2104">
        <v>0</v>
      </c>
      <c r="J2104">
        <v>0</v>
      </c>
      <c r="K2104">
        <v>0</v>
      </c>
    </row>
    <row r="2105" spans="1:11" x14ac:dyDescent="0.2">
      <c r="A2105" t="s">
        <v>16</v>
      </c>
      <c r="B2105" t="s">
        <v>2071</v>
      </c>
      <c r="C2105">
        <v>300</v>
      </c>
      <c r="D2105" t="s">
        <v>6595</v>
      </c>
      <c r="E2105" t="s">
        <v>49</v>
      </c>
      <c r="F2105">
        <v>2</v>
      </c>
      <c r="G2105">
        <v>0.50653656973785877</v>
      </c>
      <c r="H2105" t="s">
        <v>97</v>
      </c>
      <c r="I2105">
        <v>0</v>
      </c>
      <c r="J2105">
        <v>0</v>
      </c>
      <c r="K2105">
        <v>0</v>
      </c>
    </row>
    <row r="2106" spans="1:11" x14ac:dyDescent="0.2">
      <c r="A2106" t="s">
        <v>16</v>
      </c>
      <c r="B2106" t="s">
        <v>2071</v>
      </c>
      <c r="C2106">
        <v>300</v>
      </c>
      <c r="D2106" t="s">
        <v>6586</v>
      </c>
      <c r="E2106" t="s">
        <v>49</v>
      </c>
      <c r="F2106">
        <v>2</v>
      </c>
      <c r="G2106">
        <v>0.50653656973785877</v>
      </c>
      <c r="H2106" t="s">
        <v>98</v>
      </c>
      <c r="I2106">
        <v>0</v>
      </c>
      <c r="J2106">
        <v>0</v>
      </c>
      <c r="K2106">
        <v>0</v>
      </c>
    </row>
    <row r="2107" spans="1:11" x14ac:dyDescent="0.2">
      <c r="A2107" t="s">
        <v>16</v>
      </c>
      <c r="B2107" t="s">
        <v>2071</v>
      </c>
      <c r="C2107">
        <v>300</v>
      </c>
      <c r="D2107" t="s">
        <v>6596</v>
      </c>
      <c r="E2107" t="s">
        <v>49</v>
      </c>
      <c r="F2107">
        <v>2</v>
      </c>
      <c r="G2107">
        <v>0.50653656973785877</v>
      </c>
      <c r="H2107" t="s">
        <v>97</v>
      </c>
      <c r="I2107">
        <v>0</v>
      </c>
      <c r="J2107">
        <v>0</v>
      </c>
      <c r="K2107">
        <v>0</v>
      </c>
    </row>
    <row r="2108" spans="1:11" x14ac:dyDescent="0.2">
      <c r="A2108" t="s">
        <v>16</v>
      </c>
      <c r="B2108" t="s">
        <v>2071</v>
      </c>
      <c r="C2108">
        <v>300</v>
      </c>
      <c r="D2108" t="s">
        <v>6582</v>
      </c>
      <c r="E2108" t="s">
        <v>49</v>
      </c>
      <c r="F2108">
        <v>2</v>
      </c>
      <c r="G2108">
        <v>0.50653656973785877</v>
      </c>
      <c r="H2108" t="s">
        <v>98</v>
      </c>
      <c r="I2108">
        <v>0</v>
      </c>
      <c r="J2108">
        <v>0</v>
      </c>
      <c r="K2108">
        <v>0</v>
      </c>
    </row>
    <row r="2109" spans="1:11" x14ac:dyDescent="0.2">
      <c r="A2109" t="s">
        <v>16</v>
      </c>
      <c r="B2109" t="s">
        <v>2071</v>
      </c>
      <c r="C2109">
        <v>300</v>
      </c>
      <c r="D2109" t="s">
        <v>6574</v>
      </c>
      <c r="E2109" t="s">
        <v>49</v>
      </c>
      <c r="F2109">
        <v>2</v>
      </c>
      <c r="G2109">
        <v>0.50653656973785877</v>
      </c>
      <c r="H2109" t="s">
        <v>97</v>
      </c>
      <c r="I2109">
        <v>0</v>
      </c>
      <c r="J2109">
        <v>0</v>
      </c>
      <c r="K2109">
        <v>0</v>
      </c>
    </row>
    <row r="2110" spans="1:11" x14ac:dyDescent="0.2">
      <c r="A2110" t="s">
        <v>16</v>
      </c>
      <c r="B2110" t="s">
        <v>2071</v>
      </c>
      <c r="C2110">
        <v>300</v>
      </c>
      <c r="D2110" t="s">
        <v>6589</v>
      </c>
      <c r="E2110" t="s">
        <v>49</v>
      </c>
      <c r="F2110">
        <v>2</v>
      </c>
      <c r="G2110">
        <v>0.50653656973785877</v>
      </c>
      <c r="H2110" t="s">
        <v>98</v>
      </c>
      <c r="I2110">
        <v>0</v>
      </c>
      <c r="J2110">
        <v>0</v>
      </c>
      <c r="K2110">
        <v>0</v>
      </c>
    </row>
    <row r="2111" spans="1:11" x14ac:dyDescent="0.2">
      <c r="A2111" t="s">
        <v>16</v>
      </c>
      <c r="B2111" t="s">
        <v>2071</v>
      </c>
      <c r="C2111">
        <v>300</v>
      </c>
      <c r="D2111" t="s">
        <v>6590</v>
      </c>
      <c r="E2111" t="s">
        <v>49</v>
      </c>
      <c r="F2111">
        <v>2</v>
      </c>
      <c r="G2111">
        <v>0.50653656973785877</v>
      </c>
      <c r="H2111" t="s">
        <v>97</v>
      </c>
      <c r="I2111">
        <v>0</v>
      </c>
      <c r="J2111">
        <v>0</v>
      </c>
      <c r="K2111">
        <v>0</v>
      </c>
    </row>
    <row r="2112" spans="1:11" x14ac:dyDescent="0.2">
      <c r="A2112" t="s">
        <v>16</v>
      </c>
      <c r="B2112" t="s">
        <v>2071</v>
      </c>
      <c r="C2112">
        <v>300</v>
      </c>
      <c r="D2112" t="s">
        <v>6573</v>
      </c>
      <c r="E2112" t="s">
        <v>49</v>
      </c>
      <c r="F2112">
        <v>2</v>
      </c>
      <c r="G2112">
        <v>0.50653656973785877</v>
      </c>
      <c r="H2112" t="s">
        <v>98</v>
      </c>
      <c r="I2112">
        <v>0</v>
      </c>
      <c r="J2112">
        <v>0</v>
      </c>
      <c r="K2112">
        <v>0</v>
      </c>
    </row>
    <row r="2113" spans="1:11" x14ac:dyDescent="0.2">
      <c r="A2113" t="s">
        <v>16</v>
      </c>
      <c r="B2113" t="s">
        <v>2071</v>
      </c>
      <c r="C2113">
        <v>300</v>
      </c>
      <c r="D2113" t="s">
        <v>6600</v>
      </c>
      <c r="E2113" t="s">
        <v>49</v>
      </c>
      <c r="F2113">
        <v>2</v>
      </c>
      <c r="G2113">
        <v>0.50653656973785877</v>
      </c>
      <c r="H2113" t="s">
        <v>97</v>
      </c>
      <c r="I2113">
        <v>0</v>
      </c>
      <c r="J2113">
        <v>0</v>
      </c>
      <c r="K2113">
        <v>0</v>
      </c>
    </row>
    <row r="2114" spans="1:11" x14ac:dyDescent="0.2">
      <c r="A2114" t="s">
        <v>16</v>
      </c>
      <c r="B2114" t="s">
        <v>2071</v>
      </c>
      <c r="C2114">
        <v>300</v>
      </c>
      <c r="D2114" t="s">
        <v>6592</v>
      </c>
      <c r="E2114" t="s">
        <v>49</v>
      </c>
      <c r="F2114">
        <v>2</v>
      </c>
      <c r="G2114">
        <v>0.50653656973785877</v>
      </c>
      <c r="H2114" t="s">
        <v>98</v>
      </c>
      <c r="I2114">
        <v>0</v>
      </c>
      <c r="J2114">
        <v>0</v>
      </c>
      <c r="K2114">
        <v>0</v>
      </c>
    </row>
    <row r="2115" spans="1:11" x14ac:dyDescent="0.2">
      <c r="A2115" t="s">
        <v>16</v>
      </c>
      <c r="B2115" t="s">
        <v>2071</v>
      </c>
      <c r="C2115">
        <v>300</v>
      </c>
      <c r="D2115" t="s">
        <v>6603</v>
      </c>
      <c r="E2115" t="s">
        <v>49</v>
      </c>
      <c r="F2115">
        <v>2</v>
      </c>
      <c r="G2115">
        <v>0.50653656973785877</v>
      </c>
      <c r="H2115" t="s">
        <v>97</v>
      </c>
      <c r="I2115">
        <v>0</v>
      </c>
      <c r="J2115">
        <v>0</v>
      </c>
      <c r="K2115">
        <v>0</v>
      </c>
    </row>
    <row r="2116" spans="1:11" x14ac:dyDescent="0.2">
      <c r="A2116" t="s">
        <v>16</v>
      </c>
      <c r="B2116" t="s">
        <v>2071</v>
      </c>
      <c r="C2116">
        <v>300</v>
      </c>
      <c r="D2116" t="s">
        <v>6591</v>
      </c>
      <c r="E2116" t="s">
        <v>49</v>
      </c>
      <c r="F2116">
        <v>2</v>
      </c>
      <c r="G2116">
        <v>0.50653656973785877</v>
      </c>
      <c r="H2116" t="s">
        <v>98</v>
      </c>
      <c r="I2116">
        <v>0</v>
      </c>
      <c r="J2116">
        <v>0</v>
      </c>
      <c r="K2116">
        <v>0</v>
      </c>
    </row>
    <row r="2117" spans="1:11" x14ac:dyDescent="0.2">
      <c r="A2117" t="s">
        <v>16</v>
      </c>
      <c r="B2117" t="s">
        <v>2071</v>
      </c>
      <c r="C2117">
        <v>300</v>
      </c>
      <c r="D2117" t="s">
        <v>6585</v>
      </c>
      <c r="E2117" t="s">
        <v>49</v>
      </c>
      <c r="F2117">
        <v>2</v>
      </c>
      <c r="G2117">
        <v>0.50653656973785877</v>
      </c>
      <c r="H2117" t="s">
        <v>97</v>
      </c>
      <c r="I2117">
        <v>0</v>
      </c>
      <c r="J2117">
        <v>0</v>
      </c>
      <c r="K2117">
        <v>0</v>
      </c>
    </row>
    <row r="2118" spans="1:11" x14ac:dyDescent="0.2">
      <c r="A2118" t="s">
        <v>16</v>
      </c>
      <c r="B2118" t="s">
        <v>2071</v>
      </c>
      <c r="C2118">
        <v>300</v>
      </c>
      <c r="D2118" t="s">
        <v>6594</v>
      </c>
      <c r="E2118" t="s">
        <v>49</v>
      </c>
      <c r="F2118">
        <v>2</v>
      </c>
      <c r="G2118">
        <v>0.50653656973785877</v>
      </c>
      <c r="H2118" t="s">
        <v>98</v>
      </c>
      <c r="I2118">
        <v>0</v>
      </c>
      <c r="J2118">
        <v>0</v>
      </c>
      <c r="K2118">
        <v>0</v>
      </c>
    </row>
    <row r="2119" spans="1:11" x14ac:dyDescent="0.2">
      <c r="A2119" t="s">
        <v>16</v>
      </c>
      <c r="B2119" t="s">
        <v>2071</v>
      </c>
      <c r="C2119">
        <v>300</v>
      </c>
      <c r="D2119" t="s">
        <v>6581</v>
      </c>
      <c r="E2119" t="s">
        <v>49</v>
      </c>
      <c r="F2119">
        <v>2</v>
      </c>
      <c r="G2119">
        <v>0.50653656973785877</v>
      </c>
      <c r="H2119" t="s">
        <v>97</v>
      </c>
      <c r="I2119">
        <v>0</v>
      </c>
      <c r="J2119">
        <v>0</v>
      </c>
      <c r="K2119">
        <v>0</v>
      </c>
    </row>
    <row r="2120" spans="1:11" x14ac:dyDescent="0.2">
      <c r="A2120" t="s">
        <v>16</v>
      </c>
      <c r="B2120" t="s">
        <v>2071</v>
      </c>
      <c r="C2120">
        <v>300</v>
      </c>
      <c r="D2120" t="s">
        <v>6583</v>
      </c>
      <c r="E2120" t="s">
        <v>49</v>
      </c>
      <c r="F2120">
        <v>2</v>
      </c>
      <c r="G2120">
        <v>0.50653656973785877</v>
      </c>
      <c r="H2120" t="s">
        <v>98</v>
      </c>
      <c r="I2120">
        <v>0</v>
      </c>
      <c r="J2120">
        <v>0</v>
      </c>
      <c r="K2120">
        <v>0</v>
      </c>
    </row>
    <row r="2121" spans="1:11" x14ac:dyDescent="0.2">
      <c r="A2121" t="s">
        <v>16</v>
      </c>
      <c r="B2121" t="s">
        <v>2071</v>
      </c>
      <c r="C2121">
        <v>300</v>
      </c>
      <c r="D2121" t="s">
        <v>6584</v>
      </c>
      <c r="E2121" t="s">
        <v>49</v>
      </c>
      <c r="F2121">
        <v>2</v>
      </c>
      <c r="G2121">
        <v>0.50653656973785877</v>
      </c>
      <c r="H2121" t="s">
        <v>97</v>
      </c>
      <c r="I2121">
        <v>0</v>
      </c>
      <c r="J2121">
        <v>0</v>
      </c>
      <c r="K2121">
        <v>0</v>
      </c>
    </row>
    <row r="2122" spans="1:11" x14ac:dyDescent="0.2">
      <c r="A2122" t="s">
        <v>16</v>
      </c>
      <c r="B2122" t="s">
        <v>2071</v>
      </c>
      <c r="C2122">
        <v>300</v>
      </c>
      <c r="D2122" t="s">
        <v>6580</v>
      </c>
      <c r="E2122" t="s">
        <v>49</v>
      </c>
      <c r="F2122">
        <v>2</v>
      </c>
      <c r="G2122">
        <v>0.50653656973785877</v>
      </c>
      <c r="H2122" t="s">
        <v>98</v>
      </c>
      <c r="I2122">
        <v>0</v>
      </c>
      <c r="J2122">
        <v>0</v>
      </c>
      <c r="K2122">
        <v>0</v>
      </c>
    </row>
    <row r="2123" spans="1:11" x14ac:dyDescent="0.2">
      <c r="A2123" t="s">
        <v>16</v>
      </c>
      <c r="B2123" t="s">
        <v>2071</v>
      </c>
      <c r="C2123">
        <v>300</v>
      </c>
      <c r="D2123" t="s">
        <v>6597</v>
      </c>
      <c r="E2123" t="s">
        <v>49</v>
      </c>
      <c r="F2123">
        <v>2</v>
      </c>
      <c r="G2123">
        <v>0.50653656973785877</v>
      </c>
      <c r="H2123" t="s">
        <v>97</v>
      </c>
      <c r="I2123">
        <v>0</v>
      </c>
      <c r="J2123">
        <v>0</v>
      </c>
      <c r="K2123">
        <v>0</v>
      </c>
    </row>
    <row r="2124" spans="1:11" x14ac:dyDescent="0.2">
      <c r="A2124" t="s">
        <v>16</v>
      </c>
      <c r="B2124" t="s">
        <v>2071</v>
      </c>
      <c r="C2124">
        <v>300</v>
      </c>
      <c r="D2124" t="s">
        <v>6588</v>
      </c>
      <c r="E2124" t="s">
        <v>49</v>
      </c>
      <c r="F2124">
        <v>2</v>
      </c>
      <c r="G2124">
        <v>0.50653656973785877</v>
      </c>
      <c r="H2124" t="s">
        <v>98</v>
      </c>
      <c r="I2124">
        <v>0</v>
      </c>
      <c r="J2124">
        <v>0</v>
      </c>
      <c r="K2124">
        <v>0</v>
      </c>
    </row>
    <row r="2125" spans="1:11" x14ac:dyDescent="0.2">
      <c r="A2125" t="s">
        <v>16</v>
      </c>
      <c r="B2125" t="s">
        <v>2071</v>
      </c>
      <c r="C2125">
        <v>300</v>
      </c>
      <c r="D2125" t="s">
        <v>6578</v>
      </c>
      <c r="E2125" t="s">
        <v>49</v>
      </c>
      <c r="F2125">
        <v>2</v>
      </c>
      <c r="G2125">
        <v>0.50653656973785877</v>
      </c>
      <c r="H2125" t="s">
        <v>97</v>
      </c>
      <c r="I2125">
        <v>0</v>
      </c>
      <c r="J2125">
        <v>0</v>
      </c>
      <c r="K2125">
        <v>0</v>
      </c>
    </row>
    <row r="2126" spans="1:11" x14ac:dyDescent="0.2">
      <c r="A2126" t="s">
        <v>16</v>
      </c>
      <c r="B2126" t="s">
        <v>2073</v>
      </c>
      <c r="C2126">
        <v>600</v>
      </c>
      <c r="D2126" t="s">
        <v>6609</v>
      </c>
      <c r="E2126" t="s">
        <v>49</v>
      </c>
      <c r="F2126">
        <v>3</v>
      </c>
      <c r="G2126">
        <v>0.3896550477138615</v>
      </c>
      <c r="H2126" t="s">
        <v>105</v>
      </c>
      <c r="I2126">
        <v>0</v>
      </c>
      <c r="J2126">
        <v>0</v>
      </c>
      <c r="K2126">
        <v>0</v>
      </c>
    </row>
    <row r="2127" spans="1:11" x14ac:dyDescent="0.2">
      <c r="A2127" t="s">
        <v>16</v>
      </c>
      <c r="B2127" t="s">
        <v>2073</v>
      </c>
      <c r="C2127">
        <v>200</v>
      </c>
      <c r="D2127" t="s">
        <v>6621</v>
      </c>
      <c r="E2127" t="s">
        <v>49</v>
      </c>
      <c r="F2127">
        <v>3</v>
      </c>
      <c r="G2127">
        <v>0.12988501590462051</v>
      </c>
      <c r="H2127" t="s">
        <v>91</v>
      </c>
      <c r="I2127">
        <v>0</v>
      </c>
      <c r="J2127">
        <v>0</v>
      </c>
      <c r="K2127">
        <v>0</v>
      </c>
    </row>
    <row r="2128" spans="1:11" x14ac:dyDescent="0.2">
      <c r="A2128" t="s">
        <v>16</v>
      </c>
      <c r="B2128" t="s">
        <v>2073</v>
      </c>
      <c r="C2128">
        <v>600</v>
      </c>
      <c r="D2128" t="s">
        <v>6612</v>
      </c>
      <c r="E2128" t="s">
        <v>49</v>
      </c>
      <c r="F2128">
        <v>3</v>
      </c>
      <c r="G2128">
        <v>0.3896550477138615</v>
      </c>
      <c r="H2128" t="s">
        <v>91</v>
      </c>
      <c r="I2128">
        <v>0</v>
      </c>
      <c r="J2128">
        <v>0</v>
      </c>
      <c r="K2128">
        <v>0</v>
      </c>
    </row>
    <row r="2129" spans="1:11" x14ac:dyDescent="0.2">
      <c r="A2129" t="s">
        <v>16</v>
      </c>
      <c r="B2129" t="s">
        <v>2073</v>
      </c>
      <c r="C2129">
        <v>600</v>
      </c>
      <c r="D2129" t="s">
        <v>6606</v>
      </c>
      <c r="E2129" t="s">
        <v>49</v>
      </c>
      <c r="F2129">
        <v>3</v>
      </c>
      <c r="G2129">
        <v>0.3896550477138615</v>
      </c>
      <c r="H2129" t="s">
        <v>105</v>
      </c>
      <c r="I2129">
        <v>0</v>
      </c>
      <c r="J2129">
        <v>0</v>
      </c>
      <c r="K2129">
        <v>0</v>
      </c>
    </row>
    <row r="2130" spans="1:11" x14ac:dyDescent="0.2">
      <c r="A2130" t="s">
        <v>16</v>
      </c>
      <c r="B2130" t="s">
        <v>2073</v>
      </c>
      <c r="C2130">
        <v>400</v>
      </c>
      <c r="D2130" t="s">
        <v>6610</v>
      </c>
      <c r="E2130" t="s">
        <v>49</v>
      </c>
      <c r="F2130">
        <v>3</v>
      </c>
      <c r="G2130">
        <v>0.25977003180924102</v>
      </c>
      <c r="H2130" t="s">
        <v>91</v>
      </c>
      <c r="I2130">
        <v>0</v>
      </c>
      <c r="J2130">
        <v>0</v>
      </c>
      <c r="K2130">
        <v>0</v>
      </c>
    </row>
    <row r="2131" spans="1:11" x14ac:dyDescent="0.2">
      <c r="A2131" t="s">
        <v>16</v>
      </c>
      <c r="B2131" t="s">
        <v>2073</v>
      </c>
      <c r="C2131">
        <v>600</v>
      </c>
      <c r="D2131" t="s">
        <v>6608</v>
      </c>
      <c r="E2131" t="s">
        <v>49</v>
      </c>
      <c r="F2131">
        <v>3</v>
      </c>
      <c r="G2131">
        <v>0.3896550477138615</v>
      </c>
      <c r="H2131" t="s">
        <v>105</v>
      </c>
      <c r="I2131">
        <v>0</v>
      </c>
      <c r="J2131">
        <v>0</v>
      </c>
      <c r="K2131">
        <v>0</v>
      </c>
    </row>
    <row r="2132" spans="1:11" x14ac:dyDescent="0.2">
      <c r="A2132" t="s">
        <v>16</v>
      </c>
      <c r="B2132" t="s">
        <v>2073</v>
      </c>
      <c r="C2132">
        <v>600</v>
      </c>
      <c r="D2132" t="s">
        <v>6623</v>
      </c>
      <c r="E2132" t="s">
        <v>49</v>
      </c>
      <c r="F2132">
        <v>3</v>
      </c>
      <c r="G2132">
        <v>0.3896550477138615</v>
      </c>
      <c r="H2132" t="s">
        <v>91</v>
      </c>
      <c r="I2132">
        <v>0</v>
      </c>
      <c r="J2132">
        <v>0</v>
      </c>
      <c r="K2132">
        <v>0</v>
      </c>
    </row>
    <row r="2133" spans="1:11" x14ac:dyDescent="0.2">
      <c r="A2133" t="s">
        <v>16</v>
      </c>
      <c r="B2133" t="s">
        <v>2073</v>
      </c>
      <c r="C2133">
        <v>600</v>
      </c>
      <c r="D2133" t="s">
        <v>6607</v>
      </c>
      <c r="E2133" t="s">
        <v>49</v>
      </c>
      <c r="F2133">
        <v>3</v>
      </c>
      <c r="G2133">
        <v>0.3896550477138615</v>
      </c>
      <c r="H2133" t="s">
        <v>90</v>
      </c>
      <c r="I2133">
        <v>0</v>
      </c>
      <c r="J2133">
        <v>0</v>
      </c>
      <c r="K2133">
        <v>0</v>
      </c>
    </row>
    <row r="2134" spans="1:11" x14ac:dyDescent="0.2">
      <c r="A2134" t="s">
        <v>16</v>
      </c>
      <c r="B2134" t="s">
        <v>2073</v>
      </c>
      <c r="C2134">
        <v>600</v>
      </c>
      <c r="D2134" t="s">
        <v>6614</v>
      </c>
      <c r="E2134" t="s">
        <v>49</v>
      </c>
      <c r="F2134">
        <v>3</v>
      </c>
      <c r="G2134">
        <v>0.3896550477138615</v>
      </c>
      <c r="H2134" t="s">
        <v>105</v>
      </c>
      <c r="I2134">
        <v>0</v>
      </c>
      <c r="J2134">
        <v>0</v>
      </c>
      <c r="K2134">
        <v>0</v>
      </c>
    </row>
    <row r="2135" spans="1:11" x14ac:dyDescent="0.2">
      <c r="A2135" t="s">
        <v>16</v>
      </c>
      <c r="B2135" t="s">
        <v>2073</v>
      </c>
      <c r="C2135">
        <v>600</v>
      </c>
      <c r="D2135" t="s">
        <v>6616</v>
      </c>
      <c r="E2135" t="s">
        <v>49</v>
      </c>
      <c r="F2135">
        <v>3</v>
      </c>
      <c r="G2135">
        <v>0.3896550477138615</v>
      </c>
      <c r="H2135" t="s">
        <v>91</v>
      </c>
      <c r="I2135">
        <v>0</v>
      </c>
      <c r="J2135">
        <v>0</v>
      </c>
      <c r="K2135">
        <v>0</v>
      </c>
    </row>
    <row r="2136" spans="1:11" x14ac:dyDescent="0.2">
      <c r="A2136" t="s">
        <v>16</v>
      </c>
      <c r="B2136" t="s">
        <v>2073</v>
      </c>
      <c r="C2136">
        <v>600</v>
      </c>
      <c r="D2136" t="s">
        <v>6613</v>
      </c>
      <c r="E2136" t="s">
        <v>49</v>
      </c>
      <c r="F2136">
        <v>3</v>
      </c>
      <c r="G2136">
        <v>0.3896550477138615</v>
      </c>
      <c r="H2136" t="s">
        <v>90</v>
      </c>
      <c r="I2136">
        <v>0</v>
      </c>
      <c r="J2136">
        <v>0</v>
      </c>
      <c r="K2136">
        <v>0</v>
      </c>
    </row>
    <row r="2137" spans="1:11" x14ac:dyDescent="0.2">
      <c r="A2137" t="s">
        <v>16</v>
      </c>
      <c r="B2137" t="s">
        <v>2073</v>
      </c>
      <c r="C2137">
        <v>600</v>
      </c>
      <c r="D2137" t="s">
        <v>6617</v>
      </c>
      <c r="E2137" t="s">
        <v>49</v>
      </c>
      <c r="F2137">
        <v>3</v>
      </c>
      <c r="G2137">
        <v>0.3896550477138615</v>
      </c>
      <c r="H2137" t="s">
        <v>105</v>
      </c>
      <c r="I2137">
        <v>0</v>
      </c>
      <c r="J2137">
        <v>0</v>
      </c>
      <c r="K2137">
        <v>0</v>
      </c>
    </row>
    <row r="2138" spans="1:11" x14ac:dyDescent="0.2">
      <c r="A2138" t="s">
        <v>16</v>
      </c>
      <c r="B2138" t="s">
        <v>2073</v>
      </c>
      <c r="C2138">
        <v>600</v>
      </c>
      <c r="D2138" t="s">
        <v>6624</v>
      </c>
      <c r="E2138" t="s">
        <v>49</v>
      </c>
      <c r="F2138">
        <v>3</v>
      </c>
      <c r="G2138">
        <v>0.3896550477138615</v>
      </c>
      <c r="H2138" t="s">
        <v>91</v>
      </c>
      <c r="I2138">
        <v>0</v>
      </c>
      <c r="J2138">
        <v>0</v>
      </c>
      <c r="K2138">
        <v>0</v>
      </c>
    </row>
    <row r="2139" spans="1:11" x14ac:dyDescent="0.2">
      <c r="A2139" t="s">
        <v>16</v>
      </c>
      <c r="B2139" t="s">
        <v>2073</v>
      </c>
      <c r="C2139">
        <v>600</v>
      </c>
      <c r="D2139" t="s">
        <v>6618</v>
      </c>
      <c r="E2139" t="s">
        <v>49</v>
      </c>
      <c r="F2139">
        <v>3</v>
      </c>
      <c r="G2139">
        <v>0.3896550477138615</v>
      </c>
      <c r="H2139" t="s">
        <v>90</v>
      </c>
      <c r="I2139">
        <v>0</v>
      </c>
      <c r="J2139">
        <v>0</v>
      </c>
      <c r="K2139">
        <v>0</v>
      </c>
    </row>
    <row r="2140" spans="1:11" x14ac:dyDescent="0.2">
      <c r="A2140" t="s">
        <v>16</v>
      </c>
      <c r="B2140" t="s">
        <v>2073</v>
      </c>
      <c r="C2140">
        <v>600</v>
      </c>
      <c r="D2140" t="s">
        <v>6620</v>
      </c>
      <c r="E2140" t="s">
        <v>49</v>
      </c>
      <c r="F2140">
        <v>3</v>
      </c>
      <c r="G2140">
        <v>0.3896550477138615</v>
      </c>
      <c r="H2140" t="s">
        <v>105</v>
      </c>
      <c r="I2140">
        <v>0</v>
      </c>
      <c r="J2140">
        <v>0</v>
      </c>
      <c r="K2140">
        <v>0</v>
      </c>
    </row>
    <row r="2141" spans="1:11" x14ac:dyDescent="0.2">
      <c r="A2141" t="s">
        <v>16</v>
      </c>
      <c r="B2141" t="s">
        <v>2073</v>
      </c>
      <c r="C2141">
        <v>600</v>
      </c>
      <c r="D2141" t="s">
        <v>6615</v>
      </c>
      <c r="E2141" t="s">
        <v>49</v>
      </c>
      <c r="F2141">
        <v>3</v>
      </c>
      <c r="G2141">
        <v>0.3896550477138615</v>
      </c>
      <c r="H2141" t="s">
        <v>91</v>
      </c>
      <c r="I2141">
        <v>0</v>
      </c>
      <c r="J2141">
        <v>0</v>
      </c>
      <c r="K2141">
        <v>0</v>
      </c>
    </row>
    <row r="2142" spans="1:11" x14ac:dyDescent="0.2">
      <c r="A2142" t="s">
        <v>16</v>
      </c>
      <c r="B2142" t="s">
        <v>2073</v>
      </c>
      <c r="C2142">
        <v>600</v>
      </c>
      <c r="D2142" t="s">
        <v>6611</v>
      </c>
      <c r="E2142" t="s">
        <v>49</v>
      </c>
      <c r="F2142">
        <v>3</v>
      </c>
      <c r="G2142">
        <v>0.3896550477138615</v>
      </c>
      <c r="H2142" t="s">
        <v>90</v>
      </c>
      <c r="I2142">
        <v>0</v>
      </c>
      <c r="J2142">
        <v>0</v>
      </c>
      <c r="K2142">
        <v>0</v>
      </c>
    </row>
    <row r="2143" spans="1:11" x14ac:dyDescent="0.2">
      <c r="A2143" t="s">
        <v>16</v>
      </c>
      <c r="B2143" t="s">
        <v>2073</v>
      </c>
      <c r="C2143">
        <v>600</v>
      </c>
      <c r="D2143" t="s">
        <v>6619</v>
      </c>
      <c r="E2143" t="s">
        <v>49</v>
      </c>
      <c r="F2143">
        <v>3</v>
      </c>
      <c r="G2143">
        <v>0.3896550477138615</v>
      </c>
      <c r="H2143" t="s">
        <v>105</v>
      </c>
      <c r="I2143">
        <v>0</v>
      </c>
      <c r="J2143">
        <v>0</v>
      </c>
      <c r="K2143">
        <v>0</v>
      </c>
    </row>
    <row r="2144" spans="1:11" x14ac:dyDescent="0.2">
      <c r="A2144" t="s">
        <v>16</v>
      </c>
      <c r="B2144" t="s">
        <v>2073</v>
      </c>
      <c r="C2144">
        <v>200</v>
      </c>
      <c r="D2144" t="s">
        <v>6622</v>
      </c>
      <c r="E2144" t="s">
        <v>49</v>
      </c>
      <c r="F2144">
        <v>3</v>
      </c>
      <c r="G2144">
        <v>0.12988501590462051</v>
      </c>
      <c r="H2144" t="s">
        <v>91</v>
      </c>
      <c r="I2144">
        <v>0</v>
      </c>
      <c r="J2144">
        <v>0</v>
      </c>
      <c r="K2144">
        <v>0</v>
      </c>
    </row>
    <row r="2145" spans="1:11" x14ac:dyDescent="0.2">
      <c r="A2145" t="s">
        <v>16</v>
      </c>
      <c r="B2145" t="s">
        <v>615</v>
      </c>
      <c r="C2145">
        <v>330</v>
      </c>
      <c r="D2145" t="s">
        <v>6629</v>
      </c>
      <c r="E2145" t="s">
        <v>49</v>
      </c>
      <c r="F2145">
        <v>4</v>
      </c>
      <c r="G2145">
        <v>0.40066621626693699</v>
      </c>
      <c r="H2145" t="s">
        <v>87</v>
      </c>
      <c r="I2145">
        <v>0</v>
      </c>
      <c r="J2145">
        <v>0</v>
      </c>
      <c r="K2145">
        <v>0</v>
      </c>
    </row>
    <row r="2146" spans="1:11" x14ac:dyDescent="0.2">
      <c r="A2146" t="s">
        <v>16</v>
      </c>
      <c r="B2146" t="s">
        <v>615</v>
      </c>
      <c r="C2146">
        <v>330</v>
      </c>
      <c r="D2146" t="s">
        <v>6627</v>
      </c>
      <c r="E2146" t="s">
        <v>49</v>
      </c>
      <c r="F2146">
        <v>4</v>
      </c>
      <c r="G2146">
        <v>0.40066621626693699</v>
      </c>
      <c r="H2146" t="s">
        <v>99</v>
      </c>
      <c r="I2146">
        <v>0</v>
      </c>
      <c r="J2146">
        <v>0</v>
      </c>
      <c r="K2146">
        <v>0</v>
      </c>
    </row>
    <row r="2147" spans="1:11" x14ac:dyDescent="0.2">
      <c r="A2147" t="s">
        <v>16</v>
      </c>
      <c r="B2147" t="s">
        <v>615</v>
      </c>
      <c r="C2147">
        <v>330</v>
      </c>
      <c r="D2147" t="s">
        <v>6636</v>
      </c>
      <c r="E2147" t="s">
        <v>49</v>
      </c>
      <c r="F2147">
        <v>4</v>
      </c>
      <c r="G2147">
        <v>0.40066621626693699</v>
      </c>
      <c r="H2147" t="s">
        <v>87</v>
      </c>
      <c r="I2147">
        <v>0</v>
      </c>
      <c r="J2147">
        <v>0</v>
      </c>
      <c r="K2147">
        <v>0</v>
      </c>
    </row>
    <row r="2148" spans="1:11" x14ac:dyDescent="0.2">
      <c r="A2148" t="s">
        <v>16</v>
      </c>
      <c r="B2148" t="s">
        <v>615</v>
      </c>
      <c r="C2148">
        <v>330</v>
      </c>
      <c r="D2148" t="s">
        <v>6637</v>
      </c>
      <c r="E2148" t="s">
        <v>49</v>
      </c>
      <c r="F2148">
        <v>4</v>
      </c>
      <c r="G2148">
        <v>0.40066621626693699</v>
      </c>
      <c r="H2148" t="s">
        <v>99</v>
      </c>
      <c r="I2148">
        <v>0</v>
      </c>
      <c r="J2148">
        <v>0</v>
      </c>
      <c r="K2148">
        <v>0</v>
      </c>
    </row>
    <row r="2149" spans="1:11" x14ac:dyDescent="0.2">
      <c r="A2149" t="s">
        <v>16</v>
      </c>
      <c r="B2149" t="s">
        <v>615</v>
      </c>
      <c r="C2149">
        <v>330</v>
      </c>
      <c r="D2149" t="s">
        <v>6633</v>
      </c>
      <c r="E2149" t="s">
        <v>49</v>
      </c>
      <c r="F2149">
        <v>4</v>
      </c>
      <c r="G2149">
        <v>0.40066621626693699</v>
      </c>
      <c r="H2149" t="s">
        <v>87</v>
      </c>
      <c r="I2149">
        <v>0</v>
      </c>
      <c r="J2149">
        <v>0</v>
      </c>
      <c r="K2149">
        <v>0</v>
      </c>
    </row>
    <row r="2150" spans="1:11" x14ac:dyDescent="0.2">
      <c r="A2150" t="s">
        <v>16</v>
      </c>
      <c r="B2150" t="s">
        <v>615</v>
      </c>
      <c r="C2150">
        <v>330</v>
      </c>
      <c r="D2150" t="s">
        <v>6626</v>
      </c>
      <c r="E2150" t="s">
        <v>49</v>
      </c>
      <c r="F2150">
        <v>4</v>
      </c>
      <c r="G2150">
        <v>0.40066621626693699</v>
      </c>
      <c r="H2150" t="s">
        <v>101</v>
      </c>
      <c r="I2150">
        <v>0</v>
      </c>
      <c r="J2150">
        <v>0</v>
      </c>
      <c r="K2150">
        <v>0</v>
      </c>
    </row>
    <row r="2151" spans="1:11" x14ac:dyDescent="0.2">
      <c r="A2151" t="s">
        <v>16</v>
      </c>
      <c r="B2151" t="s">
        <v>615</v>
      </c>
      <c r="C2151">
        <v>330</v>
      </c>
      <c r="D2151" t="s">
        <v>6625</v>
      </c>
      <c r="E2151" t="s">
        <v>49</v>
      </c>
      <c r="F2151">
        <v>4</v>
      </c>
      <c r="G2151">
        <v>0.40066621626693699</v>
      </c>
      <c r="H2151" t="s">
        <v>94</v>
      </c>
      <c r="I2151">
        <v>0</v>
      </c>
      <c r="J2151">
        <v>0</v>
      </c>
      <c r="K2151">
        <v>0</v>
      </c>
    </row>
    <row r="2152" spans="1:11" x14ac:dyDescent="0.2">
      <c r="A2152" t="s">
        <v>16</v>
      </c>
      <c r="B2152" t="s">
        <v>615</v>
      </c>
      <c r="C2152">
        <v>330</v>
      </c>
      <c r="D2152" t="s">
        <v>6634</v>
      </c>
      <c r="E2152" t="s">
        <v>49</v>
      </c>
      <c r="F2152">
        <v>4</v>
      </c>
      <c r="G2152">
        <v>0.40066621626693699</v>
      </c>
      <c r="H2152" t="s">
        <v>99</v>
      </c>
      <c r="I2152">
        <v>0</v>
      </c>
      <c r="J2152">
        <v>0</v>
      </c>
      <c r="K2152">
        <v>0</v>
      </c>
    </row>
    <row r="2153" spans="1:11" x14ac:dyDescent="0.2">
      <c r="A2153" t="s">
        <v>16</v>
      </c>
      <c r="B2153" t="s">
        <v>615</v>
      </c>
      <c r="C2153">
        <v>110</v>
      </c>
      <c r="D2153" t="s">
        <v>6639</v>
      </c>
      <c r="E2153" t="s">
        <v>49</v>
      </c>
      <c r="F2153">
        <v>4</v>
      </c>
      <c r="G2153">
        <v>0.13355540542231231</v>
      </c>
      <c r="H2153" t="s">
        <v>87</v>
      </c>
      <c r="I2153">
        <v>0</v>
      </c>
      <c r="J2153">
        <v>0</v>
      </c>
      <c r="K2153">
        <v>0</v>
      </c>
    </row>
    <row r="2154" spans="1:11" x14ac:dyDescent="0.2">
      <c r="A2154" t="s">
        <v>16</v>
      </c>
      <c r="B2154" t="s">
        <v>615</v>
      </c>
      <c r="C2154">
        <v>330</v>
      </c>
      <c r="D2154" t="s">
        <v>6628</v>
      </c>
      <c r="E2154" t="s">
        <v>49</v>
      </c>
      <c r="F2154">
        <v>4</v>
      </c>
      <c r="G2154">
        <v>0.40066621626693699</v>
      </c>
      <c r="H2154" t="s">
        <v>101</v>
      </c>
      <c r="I2154">
        <v>0</v>
      </c>
      <c r="J2154">
        <v>0</v>
      </c>
      <c r="K2154">
        <v>0</v>
      </c>
    </row>
    <row r="2155" spans="1:11" x14ac:dyDescent="0.2">
      <c r="A2155" t="s">
        <v>16</v>
      </c>
      <c r="B2155" t="s">
        <v>615</v>
      </c>
      <c r="C2155">
        <v>220</v>
      </c>
      <c r="D2155" t="s">
        <v>6638</v>
      </c>
      <c r="E2155" t="s">
        <v>49</v>
      </c>
      <c r="F2155">
        <v>4</v>
      </c>
      <c r="G2155">
        <v>0.26711081084462462</v>
      </c>
      <c r="H2155" t="s">
        <v>87</v>
      </c>
      <c r="I2155">
        <v>0</v>
      </c>
      <c r="J2155">
        <v>0</v>
      </c>
      <c r="K2155">
        <v>0</v>
      </c>
    </row>
    <row r="2156" spans="1:11" x14ac:dyDescent="0.2">
      <c r="A2156" t="s">
        <v>16</v>
      </c>
      <c r="B2156" t="s">
        <v>615</v>
      </c>
      <c r="C2156">
        <v>110</v>
      </c>
      <c r="D2156" t="s">
        <v>6635</v>
      </c>
      <c r="E2156" t="s">
        <v>49</v>
      </c>
      <c r="F2156">
        <v>4</v>
      </c>
      <c r="G2156">
        <v>0.13355540542231231</v>
      </c>
      <c r="H2156" t="s">
        <v>94</v>
      </c>
      <c r="I2156">
        <v>0</v>
      </c>
      <c r="J2156">
        <v>0</v>
      </c>
      <c r="K2156">
        <v>0</v>
      </c>
    </row>
    <row r="2157" spans="1:11" x14ac:dyDescent="0.2">
      <c r="A2157" t="s">
        <v>16</v>
      </c>
      <c r="B2157" t="s">
        <v>615</v>
      </c>
      <c r="C2157">
        <v>330</v>
      </c>
      <c r="D2157" t="s">
        <v>6632</v>
      </c>
      <c r="E2157" t="s">
        <v>49</v>
      </c>
      <c r="F2157">
        <v>4</v>
      </c>
      <c r="G2157">
        <v>0.40066621626693699</v>
      </c>
      <c r="H2157" t="s">
        <v>99</v>
      </c>
      <c r="I2157">
        <v>0</v>
      </c>
      <c r="J2157">
        <v>0</v>
      </c>
      <c r="K2157">
        <v>0</v>
      </c>
    </row>
    <row r="2158" spans="1:11" x14ac:dyDescent="0.2">
      <c r="A2158" t="s">
        <v>16</v>
      </c>
      <c r="B2158" t="s">
        <v>615</v>
      </c>
      <c r="C2158">
        <v>330</v>
      </c>
      <c r="D2158" t="s">
        <v>6630</v>
      </c>
      <c r="E2158" t="s">
        <v>49</v>
      </c>
      <c r="F2158">
        <v>4</v>
      </c>
      <c r="G2158">
        <v>0.40066621626693699</v>
      </c>
      <c r="H2158" t="s">
        <v>94</v>
      </c>
      <c r="I2158">
        <v>0</v>
      </c>
      <c r="J2158">
        <v>0</v>
      </c>
      <c r="K2158">
        <v>0</v>
      </c>
    </row>
    <row r="2159" spans="1:11" x14ac:dyDescent="0.2">
      <c r="A2159" t="s">
        <v>16</v>
      </c>
      <c r="B2159" t="s">
        <v>615</v>
      </c>
      <c r="C2159">
        <v>330</v>
      </c>
      <c r="D2159" t="s">
        <v>6631</v>
      </c>
      <c r="E2159" t="s">
        <v>49</v>
      </c>
      <c r="F2159">
        <v>4</v>
      </c>
      <c r="G2159">
        <v>0.40066621626693699</v>
      </c>
      <c r="H2159" t="s">
        <v>87</v>
      </c>
      <c r="I2159">
        <v>0</v>
      </c>
      <c r="J2159">
        <v>0</v>
      </c>
      <c r="K2159">
        <v>0</v>
      </c>
    </row>
    <row r="2160" spans="1:11" x14ac:dyDescent="0.2">
      <c r="A2160" t="s">
        <v>16</v>
      </c>
      <c r="B2160" t="s">
        <v>664</v>
      </c>
      <c r="C2160">
        <v>540</v>
      </c>
      <c r="D2160" t="s">
        <v>6641</v>
      </c>
      <c r="E2160" t="s">
        <v>49</v>
      </c>
      <c r="F2160">
        <v>2</v>
      </c>
      <c r="G2160">
        <v>0.65563562661862418</v>
      </c>
      <c r="H2160" t="s">
        <v>93</v>
      </c>
      <c r="I2160">
        <v>0</v>
      </c>
      <c r="J2160">
        <v>0</v>
      </c>
      <c r="K2160">
        <v>0</v>
      </c>
    </row>
    <row r="2161" spans="1:11" x14ac:dyDescent="0.2">
      <c r="A2161" t="s">
        <v>16</v>
      </c>
      <c r="B2161" t="s">
        <v>664</v>
      </c>
      <c r="C2161">
        <v>180</v>
      </c>
      <c r="D2161" t="s">
        <v>6642</v>
      </c>
      <c r="E2161" t="s">
        <v>49</v>
      </c>
      <c r="F2161">
        <v>2</v>
      </c>
      <c r="G2161">
        <v>0.21854520887287471</v>
      </c>
      <c r="H2161" t="s">
        <v>104</v>
      </c>
      <c r="I2161">
        <v>0</v>
      </c>
      <c r="J2161">
        <v>0</v>
      </c>
      <c r="K2161">
        <v>0</v>
      </c>
    </row>
    <row r="2162" spans="1:11" x14ac:dyDescent="0.2">
      <c r="A2162" t="s">
        <v>16</v>
      </c>
      <c r="B2162" t="s">
        <v>664</v>
      </c>
      <c r="C2162">
        <v>540</v>
      </c>
      <c r="D2162" t="s">
        <v>6640</v>
      </c>
      <c r="E2162" t="s">
        <v>49</v>
      </c>
      <c r="F2162">
        <v>2</v>
      </c>
      <c r="G2162">
        <v>0.65563562661862418</v>
      </c>
      <c r="H2162" t="s">
        <v>104</v>
      </c>
      <c r="I2162">
        <v>0</v>
      </c>
      <c r="J2162">
        <v>0</v>
      </c>
      <c r="K2162">
        <v>0</v>
      </c>
    </row>
    <row r="2163" spans="1:11" x14ac:dyDescent="0.2">
      <c r="A2163" t="s">
        <v>16</v>
      </c>
      <c r="B2163" t="s">
        <v>659</v>
      </c>
      <c r="C2163">
        <v>360</v>
      </c>
      <c r="D2163" t="s">
        <v>6644</v>
      </c>
      <c r="E2163" t="s">
        <v>49</v>
      </c>
      <c r="F2163">
        <v>3</v>
      </c>
      <c r="G2163">
        <v>0.40218102684714302</v>
      </c>
      <c r="H2163" t="s">
        <v>90</v>
      </c>
      <c r="I2163">
        <v>0</v>
      </c>
      <c r="J2163">
        <v>0</v>
      </c>
      <c r="K2163">
        <v>0</v>
      </c>
    </row>
    <row r="2164" spans="1:11" x14ac:dyDescent="0.2">
      <c r="A2164" t="s">
        <v>16</v>
      </c>
      <c r="B2164" t="s">
        <v>659</v>
      </c>
      <c r="C2164">
        <v>180</v>
      </c>
      <c r="D2164" t="s">
        <v>6645</v>
      </c>
      <c r="E2164" t="s">
        <v>49</v>
      </c>
      <c r="F2164">
        <v>3</v>
      </c>
      <c r="G2164">
        <v>0.20109051342357151</v>
      </c>
      <c r="H2164" t="s">
        <v>101</v>
      </c>
      <c r="I2164">
        <v>0</v>
      </c>
      <c r="J2164">
        <v>0</v>
      </c>
      <c r="K2164">
        <v>0</v>
      </c>
    </row>
    <row r="2165" spans="1:11" x14ac:dyDescent="0.2">
      <c r="A2165" t="s">
        <v>16</v>
      </c>
      <c r="B2165" t="s">
        <v>659</v>
      </c>
      <c r="C2165">
        <v>180</v>
      </c>
      <c r="D2165" t="s">
        <v>6646</v>
      </c>
      <c r="E2165" t="s">
        <v>49</v>
      </c>
      <c r="F2165">
        <v>3</v>
      </c>
      <c r="G2165">
        <v>0.20109051342357151</v>
      </c>
      <c r="H2165" t="s">
        <v>91</v>
      </c>
      <c r="I2165">
        <v>0</v>
      </c>
      <c r="J2165">
        <v>0</v>
      </c>
      <c r="K2165">
        <v>0</v>
      </c>
    </row>
    <row r="2166" spans="1:11" x14ac:dyDescent="0.2">
      <c r="A2166" t="s">
        <v>16</v>
      </c>
      <c r="B2166" t="s">
        <v>659</v>
      </c>
      <c r="C2166">
        <v>540</v>
      </c>
      <c r="D2166" t="s">
        <v>6643</v>
      </c>
      <c r="E2166" t="s">
        <v>49</v>
      </c>
      <c r="F2166">
        <v>3</v>
      </c>
      <c r="G2166">
        <v>0.6032715402707145</v>
      </c>
      <c r="H2166" t="s">
        <v>101</v>
      </c>
      <c r="I2166">
        <v>0</v>
      </c>
      <c r="J2166">
        <v>0</v>
      </c>
      <c r="K2166">
        <v>0</v>
      </c>
    </row>
    <row r="2167" spans="1:11" x14ac:dyDescent="0.2">
      <c r="A2167" t="s">
        <v>16</v>
      </c>
      <c r="B2167" t="s">
        <v>668</v>
      </c>
      <c r="C2167">
        <v>400</v>
      </c>
      <c r="D2167" t="s">
        <v>6647</v>
      </c>
      <c r="E2167" t="s">
        <v>49</v>
      </c>
      <c r="F2167">
        <v>5</v>
      </c>
      <c r="G2167">
        <v>0.48565601971749933</v>
      </c>
      <c r="H2167" t="s">
        <v>93</v>
      </c>
      <c r="I2167">
        <v>0</v>
      </c>
      <c r="J2167">
        <v>0</v>
      </c>
      <c r="K2167">
        <v>0</v>
      </c>
    </row>
    <row r="2168" spans="1:11" x14ac:dyDescent="0.2">
      <c r="A2168" t="s">
        <v>16</v>
      </c>
      <c r="B2168" t="s">
        <v>668</v>
      </c>
      <c r="C2168">
        <v>600</v>
      </c>
      <c r="D2168" t="s">
        <v>6648</v>
      </c>
      <c r="E2168" t="s">
        <v>49</v>
      </c>
      <c r="F2168">
        <v>5</v>
      </c>
      <c r="G2168">
        <v>0.72848402957624903</v>
      </c>
      <c r="H2168" t="s">
        <v>95</v>
      </c>
      <c r="I2168">
        <v>0</v>
      </c>
      <c r="J2168">
        <v>0</v>
      </c>
      <c r="K2168">
        <v>0</v>
      </c>
    </row>
    <row r="2169" spans="1:11" x14ac:dyDescent="0.2">
      <c r="A2169" t="s">
        <v>16</v>
      </c>
      <c r="B2169" t="s">
        <v>2473</v>
      </c>
      <c r="C2169">
        <v>210</v>
      </c>
      <c r="D2169" t="s">
        <v>6682</v>
      </c>
      <c r="E2169" t="s">
        <v>49</v>
      </c>
      <c r="F2169">
        <v>8</v>
      </c>
      <c r="G2169">
        <v>0.2683956698455367</v>
      </c>
      <c r="H2169" t="s">
        <v>99</v>
      </c>
      <c r="I2169">
        <v>0</v>
      </c>
      <c r="J2169">
        <v>0</v>
      </c>
      <c r="K2169">
        <v>0</v>
      </c>
    </row>
    <row r="2170" spans="1:11" x14ac:dyDescent="0.2">
      <c r="A2170" t="s">
        <v>16</v>
      </c>
      <c r="B2170" t="s">
        <v>2473</v>
      </c>
      <c r="C2170">
        <v>210</v>
      </c>
      <c r="D2170" t="s">
        <v>6650</v>
      </c>
      <c r="E2170" t="s">
        <v>49</v>
      </c>
      <c r="F2170">
        <v>8</v>
      </c>
      <c r="G2170">
        <v>0.2683956698455367</v>
      </c>
      <c r="H2170" t="s">
        <v>91</v>
      </c>
      <c r="I2170">
        <v>0</v>
      </c>
      <c r="J2170">
        <v>0</v>
      </c>
      <c r="K2170">
        <v>0</v>
      </c>
    </row>
    <row r="2171" spans="1:11" x14ac:dyDescent="0.2">
      <c r="A2171" t="s">
        <v>16</v>
      </c>
      <c r="B2171" t="s">
        <v>2473</v>
      </c>
      <c r="C2171">
        <v>210</v>
      </c>
      <c r="D2171" t="s">
        <v>6663</v>
      </c>
      <c r="E2171" t="s">
        <v>49</v>
      </c>
      <c r="F2171">
        <v>8</v>
      </c>
      <c r="G2171">
        <v>0.2683956698455367</v>
      </c>
      <c r="H2171" t="s">
        <v>88</v>
      </c>
      <c r="I2171">
        <v>0</v>
      </c>
      <c r="J2171">
        <v>0</v>
      </c>
      <c r="K2171">
        <v>0</v>
      </c>
    </row>
    <row r="2172" spans="1:11" x14ac:dyDescent="0.2">
      <c r="A2172" t="s">
        <v>16</v>
      </c>
      <c r="B2172" t="s">
        <v>2473</v>
      </c>
      <c r="C2172">
        <v>210</v>
      </c>
      <c r="D2172" t="s">
        <v>6667</v>
      </c>
      <c r="E2172" t="s">
        <v>49</v>
      </c>
      <c r="F2172">
        <v>8</v>
      </c>
      <c r="G2172">
        <v>0.2683956698455367</v>
      </c>
      <c r="H2172" t="s">
        <v>105</v>
      </c>
      <c r="I2172">
        <v>0</v>
      </c>
      <c r="J2172">
        <v>0</v>
      </c>
      <c r="K2172">
        <v>0</v>
      </c>
    </row>
    <row r="2173" spans="1:11" x14ac:dyDescent="0.2">
      <c r="A2173" t="s">
        <v>16</v>
      </c>
      <c r="B2173" t="s">
        <v>2473</v>
      </c>
      <c r="C2173">
        <v>210</v>
      </c>
      <c r="D2173" t="s">
        <v>6678</v>
      </c>
      <c r="E2173" t="s">
        <v>49</v>
      </c>
      <c r="F2173">
        <v>8</v>
      </c>
      <c r="G2173">
        <v>0.2683956698455367</v>
      </c>
      <c r="H2173" t="s">
        <v>94</v>
      </c>
      <c r="I2173">
        <v>0</v>
      </c>
      <c r="J2173">
        <v>0</v>
      </c>
      <c r="K2173">
        <v>0</v>
      </c>
    </row>
    <row r="2174" spans="1:11" x14ac:dyDescent="0.2">
      <c r="A2174" t="s">
        <v>16</v>
      </c>
      <c r="B2174" t="s">
        <v>2473</v>
      </c>
      <c r="C2174">
        <v>210</v>
      </c>
      <c r="D2174" t="s">
        <v>6683</v>
      </c>
      <c r="E2174" t="s">
        <v>49</v>
      </c>
      <c r="F2174">
        <v>8</v>
      </c>
      <c r="G2174">
        <v>0.2683956698455367</v>
      </c>
      <c r="H2174" t="s">
        <v>90</v>
      </c>
      <c r="I2174">
        <v>0</v>
      </c>
      <c r="J2174">
        <v>0</v>
      </c>
      <c r="K2174">
        <v>0</v>
      </c>
    </row>
    <row r="2175" spans="1:11" x14ac:dyDescent="0.2">
      <c r="A2175" t="s">
        <v>16</v>
      </c>
      <c r="B2175" t="s">
        <v>2473</v>
      </c>
      <c r="C2175">
        <v>210</v>
      </c>
      <c r="D2175" t="s">
        <v>6662</v>
      </c>
      <c r="E2175" t="s">
        <v>49</v>
      </c>
      <c r="F2175">
        <v>8</v>
      </c>
      <c r="G2175">
        <v>0.2683956698455367</v>
      </c>
      <c r="H2175" t="s">
        <v>87</v>
      </c>
      <c r="I2175">
        <v>0</v>
      </c>
      <c r="J2175">
        <v>0</v>
      </c>
      <c r="K2175">
        <v>0</v>
      </c>
    </row>
    <row r="2176" spans="1:11" x14ac:dyDescent="0.2">
      <c r="A2176" t="s">
        <v>16</v>
      </c>
      <c r="B2176" t="s">
        <v>2473</v>
      </c>
      <c r="C2176">
        <v>210</v>
      </c>
      <c r="D2176" t="s">
        <v>6693</v>
      </c>
      <c r="E2176" t="s">
        <v>49</v>
      </c>
      <c r="F2176">
        <v>8</v>
      </c>
      <c r="G2176">
        <v>0.2683956698455367</v>
      </c>
      <c r="H2176" t="s">
        <v>99</v>
      </c>
      <c r="I2176">
        <v>0</v>
      </c>
      <c r="J2176">
        <v>0</v>
      </c>
      <c r="K2176">
        <v>0</v>
      </c>
    </row>
    <row r="2177" spans="1:11" x14ac:dyDescent="0.2">
      <c r="A2177" t="s">
        <v>16</v>
      </c>
      <c r="B2177" t="s">
        <v>2473</v>
      </c>
      <c r="C2177">
        <v>210</v>
      </c>
      <c r="D2177" t="s">
        <v>6689</v>
      </c>
      <c r="E2177" t="s">
        <v>49</v>
      </c>
      <c r="F2177">
        <v>8</v>
      </c>
      <c r="G2177">
        <v>0.2683956698455367</v>
      </c>
      <c r="H2177" t="s">
        <v>91</v>
      </c>
      <c r="I2177">
        <v>0</v>
      </c>
      <c r="J2177">
        <v>0</v>
      </c>
      <c r="K2177">
        <v>0</v>
      </c>
    </row>
    <row r="2178" spans="1:11" x14ac:dyDescent="0.2">
      <c r="A2178" t="s">
        <v>16</v>
      </c>
      <c r="B2178" t="s">
        <v>2473</v>
      </c>
      <c r="C2178">
        <v>210</v>
      </c>
      <c r="D2178" t="s">
        <v>6673</v>
      </c>
      <c r="E2178" t="s">
        <v>49</v>
      </c>
      <c r="F2178">
        <v>8</v>
      </c>
      <c r="G2178">
        <v>0.2683956698455367</v>
      </c>
      <c r="H2178" t="s">
        <v>88</v>
      </c>
      <c r="I2178">
        <v>0</v>
      </c>
      <c r="J2178">
        <v>0</v>
      </c>
      <c r="K2178">
        <v>0</v>
      </c>
    </row>
    <row r="2179" spans="1:11" x14ac:dyDescent="0.2">
      <c r="A2179" t="s">
        <v>16</v>
      </c>
      <c r="B2179" t="s">
        <v>2473</v>
      </c>
      <c r="C2179">
        <v>210</v>
      </c>
      <c r="D2179" t="s">
        <v>6676</v>
      </c>
      <c r="E2179" t="s">
        <v>49</v>
      </c>
      <c r="F2179">
        <v>8</v>
      </c>
      <c r="G2179">
        <v>0.2683956698455367</v>
      </c>
      <c r="H2179" t="s">
        <v>105</v>
      </c>
      <c r="I2179">
        <v>0</v>
      </c>
      <c r="J2179">
        <v>0</v>
      </c>
      <c r="K2179">
        <v>0</v>
      </c>
    </row>
    <row r="2180" spans="1:11" x14ac:dyDescent="0.2">
      <c r="A2180" t="s">
        <v>16</v>
      </c>
      <c r="B2180" t="s">
        <v>2473</v>
      </c>
      <c r="C2180">
        <v>210</v>
      </c>
      <c r="D2180" t="s">
        <v>6660</v>
      </c>
      <c r="E2180" t="s">
        <v>49</v>
      </c>
      <c r="F2180">
        <v>8</v>
      </c>
      <c r="G2180">
        <v>0.2683956698455367</v>
      </c>
      <c r="H2180" t="s">
        <v>94</v>
      </c>
      <c r="I2180">
        <v>0</v>
      </c>
      <c r="J2180">
        <v>0</v>
      </c>
      <c r="K2180">
        <v>0</v>
      </c>
    </row>
    <row r="2181" spans="1:11" x14ac:dyDescent="0.2">
      <c r="A2181" t="s">
        <v>16</v>
      </c>
      <c r="B2181" t="s">
        <v>2473</v>
      </c>
      <c r="C2181">
        <v>210</v>
      </c>
      <c r="D2181" t="s">
        <v>6691</v>
      </c>
      <c r="E2181" t="s">
        <v>49</v>
      </c>
      <c r="F2181">
        <v>8</v>
      </c>
      <c r="G2181">
        <v>0.2683956698455367</v>
      </c>
      <c r="H2181" t="s">
        <v>93</v>
      </c>
      <c r="I2181">
        <v>0</v>
      </c>
      <c r="J2181">
        <v>0</v>
      </c>
      <c r="K2181">
        <v>0</v>
      </c>
    </row>
    <row r="2182" spans="1:11" x14ac:dyDescent="0.2">
      <c r="A2182" t="s">
        <v>16</v>
      </c>
      <c r="B2182" t="s">
        <v>2473</v>
      </c>
      <c r="C2182">
        <v>210</v>
      </c>
      <c r="D2182" t="s">
        <v>6684</v>
      </c>
      <c r="E2182" t="s">
        <v>49</v>
      </c>
      <c r="F2182">
        <v>8</v>
      </c>
      <c r="G2182">
        <v>0.2683956698455367</v>
      </c>
      <c r="H2182" t="s">
        <v>90</v>
      </c>
      <c r="I2182">
        <v>0</v>
      </c>
      <c r="J2182">
        <v>0</v>
      </c>
      <c r="K2182">
        <v>0</v>
      </c>
    </row>
    <row r="2183" spans="1:11" x14ac:dyDescent="0.2">
      <c r="A2183" t="s">
        <v>16</v>
      </c>
      <c r="B2183" t="s">
        <v>2473</v>
      </c>
      <c r="C2183">
        <v>210</v>
      </c>
      <c r="D2183" t="s">
        <v>6664</v>
      </c>
      <c r="E2183" t="s">
        <v>49</v>
      </c>
      <c r="F2183">
        <v>8</v>
      </c>
      <c r="G2183">
        <v>0.2683956698455367</v>
      </c>
      <c r="H2183" t="s">
        <v>87</v>
      </c>
      <c r="I2183">
        <v>0</v>
      </c>
      <c r="J2183">
        <v>0</v>
      </c>
      <c r="K2183">
        <v>0</v>
      </c>
    </row>
    <row r="2184" spans="1:11" x14ac:dyDescent="0.2">
      <c r="A2184" t="s">
        <v>16</v>
      </c>
      <c r="B2184" t="s">
        <v>2473</v>
      </c>
      <c r="C2184">
        <v>210</v>
      </c>
      <c r="D2184" t="s">
        <v>6665</v>
      </c>
      <c r="E2184" t="s">
        <v>49</v>
      </c>
      <c r="F2184">
        <v>8</v>
      </c>
      <c r="G2184">
        <v>0.2683956698455367</v>
      </c>
      <c r="H2184" t="s">
        <v>99</v>
      </c>
      <c r="I2184">
        <v>0</v>
      </c>
      <c r="J2184">
        <v>0</v>
      </c>
      <c r="K2184">
        <v>0</v>
      </c>
    </row>
    <row r="2185" spans="1:11" x14ac:dyDescent="0.2">
      <c r="A2185" t="s">
        <v>16</v>
      </c>
      <c r="B2185" t="s">
        <v>2473</v>
      </c>
      <c r="C2185">
        <v>210</v>
      </c>
      <c r="D2185" t="s">
        <v>6681</v>
      </c>
      <c r="E2185" t="s">
        <v>49</v>
      </c>
      <c r="F2185">
        <v>8</v>
      </c>
      <c r="G2185">
        <v>0.2683956698455367</v>
      </c>
      <c r="H2185" t="s">
        <v>91</v>
      </c>
      <c r="I2185">
        <v>0</v>
      </c>
      <c r="J2185">
        <v>0</v>
      </c>
      <c r="K2185">
        <v>0</v>
      </c>
    </row>
    <row r="2186" spans="1:11" x14ac:dyDescent="0.2">
      <c r="A2186" t="s">
        <v>16</v>
      </c>
      <c r="B2186" t="s">
        <v>2473</v>
      </c>
      <c r="C2186">
        <v>210</v>
      </c>
      <c r="D2186" t="s">
        <v>6670</v>
      </c>
      <c r="E2186" t="s">
        <v>49</v>
      </c>
      <c r="F2186">
        <v>8</v>
      </c>
      <c r="G2186">
        <v>0.2683956698455367</v>
      </c>
      <c r="H2186" t="s">
        <v>88</v>
      </c>
      <c r="I2186">
        <v>0</v>
      </c>
      <c r="J2186">
        <v>0</v>
      </c>
      <c r="K2186">
        <v>0</v>
      </c>
    </row>
    <row r="2187" spans="1:11" x14ac:dyDescent="0.2">
      <c r="A2187" t="s">
        <v>16</v>
      </c>
      <c r="B2187" t="s">
        <v>2473</v>
      </c>
      <c r="C2187">
        <v>210</v>
      </c>
      <c r="D2187" t="s">
        <v>6655</v>
      </c>
      <c r="E2187" t="s">
        <v>49</v>
      </c>
      <c r="F2187">
        <v>8</v>
      </c>
      <c r="G2187">
        <v>0.2683956698455367</v>
      </c>
      <c r="H2187" t="s">
        <v>105</v>
      </c>
      <c r="I2187">
        <v>0</v>
      </c>
      <c r="J2187">
        <v>0</v>
      </c>
      <c r="K2187">
        <v>0</v>
      </c>
    </row>
    <row r="2188" spans="1:11" x14ac:dyDescent="0.2">
      <c r="A2188" t="s">
        <v>16</v>
      </c>
      <c r="B2188" t="s">
        <v>2473</v>
      </c>
      <c r="C2188">
        <v>210</v>
      </c>
      <c r="D2188" t="s">
        <v>6675</v>
      </c>
      <c r="E2188" t="s">
        <v>49</v>
      </c>
      <c r="F2188">
        <v>8</v>
      </c>
      <c r="G2188">
        <v>0.2683956698455367</v>
      </c>
      <c r="H2188" t="s">
        <v>94</v>
      </c>
      <c r="I2188">
        <v>0</v>
      </c>
      <c r="J2188">
        <v>0</v>
      </c>
      <c r="K2188">
        <v>0</v>
      </c>
    </row>
    <row r="2189" spans="1:11" x14ac:dyDescent="0.2">
      <c r="A2189" t="s">
        <v>16</v>
      </c>
      <c r="B2189" t="s">
        <v>2473</v>
      </c>
      <c r="C2189">
        <v>210</v>
      </c>
      <c r="D2189" t="s">
        <v>6679</v>
      </c>
      <c r="E2189" t="s">
        <v>49</v>
      </c>
      <c r="F2189">
        <v>8</v>
      </c>
      <c r="G2189">
        <v>0.2683956698455367</v>
      </c>
      <c r="H2189" t="s">
        <v>93</v>
      </c>
      <c r="I2189">
        <v>0</v>
      </c>
      <c r="J2189">
        <v>0</v>
      </c>
      <c r="K2189">
        <v>0</v>
      </c>
    </row>
    <row r="2190" spans="1:11" x14ac:dyDescent="0.2">
      <c r="A2190" t="s">
        <v>16</v>
      </c>
      <c r="B2190" t="s">
        <v>2473</v>
      </c>
      <c r="C2190">
        <v>210</v>
      </c>
      <c r="D2190" t="s">
        <v>6652</v>
      </c>
      <c r="E2190" t="s">
        <v>49</v>
      </c>
      <c r="F2190">
        <v>8</v>
      </c>
      <c r="G2190">
        <v>0.2683956698455367</v>
      </c>
      <c r="H2190" t="s">
        <v>90</v>
      </c>
      <c r="I2190">
        <v>0</v>
      </c>
      <c r="J2190">
        <v>0</v>
      </c>
      <c r="K2190">
        <v>0</v>
      </c>
    </row>
    <row r="2191" spans="1:11" x14ac:dyDescent="0.2">
      <c r="A2191" t="s">
        <v>16</v>
      </c>
      <c r="B2191" t="s">
        <v>2473</v>
      </c>
      <c r="C2191">
        <v>210</v>
      </c>
      <c r="D2191" t="s">
        <v>6659</v>
      </c>
      <c r="E2191" t="s">
        <v>49</v>
      </c>
      <c r="F2191">
        <v>8</v>
      </c>
      <c r="G2191">
        <v>0.2683956698455367</v>
      </c>
      <c r="H2191" t="s">
        <v>87</v>
      </c>
      <c r="I2191">
        <v>0</v>
      </c>
      <c r="J2191">
        <v>0</v>
      </c>
      <c r="K2191">
        <v>0</v>
      </c>
    </row>
    <row r="2192" spans="1:11" x14ac:dyDescent="0.2">
      <c r="A2192" t="s">
        <v>16</v>
      </c>
      <c r="B2192" t="s">
        <v>2473</v>
      </c>
      <c r="C2192">
        <v>210</v>
      </c>
      <c r="D2192" t="s">
        <v>6688</v>
      </c>
      <c r="E2192" t="s">
        <v>49</v>
      </c>
      <c r="F2192">
        <v>8</v>
      </c>
      <c r="G2192">
        <v>0.2683956698455367</v>
      </c>
      <c r="H2192" t="s">
        <v>99</v>
      </c>
      <c r="I2192">
        <v>0</v>
      </c>
      <c r="J2192">
        <v>0</v>
      </c>
      <c r="K2192">
        <v>0</v>
      </c>
    </row>
    <row r="2193" spans="1:11" x14ac:dyDescent="0.2">
      <c r="A2193" t="s">
        <v>16</v>
      </c>
      <c r="B2193" t="s">
        <v>2473</v>
      </c>
      <c r="C2193">
        <v>210</v>
      </c>
      <c r="D2193" t="s">
        <v>6680</v>
      </c>
      <c r="E2193" t="s">
        <v>49</v>
      </c>
      <c r="F2193">
        <v>8</v>
      </c>
      <c r="G2193">
        <v>0.2683956698455367</v>
      </c>
      <c r="H2193" t="s">
        <v>91</v>
      </c>
      <c r="I2193">
        <v>0</v>
      </c>
      <c r="J2193">
        <v>0</v>
      </c>
      <c r="K2193">
        <v>0</v>
      </c>
    </row>
    <row r="2194" spans="1:11" x14ac:dyDescent="0.2">
      <c r="A2194" t="s">
        <v>16</v>
      </c>
      <c r="B2194" t="s">
        <v>2473</v>
      </c>
      <c r="C2194">
        <v>210</v>
      </c>
      <c r="D2194" t="s">
        <v>6690</v>
      </c>
      <c r="E2194" t="s">
        <v>49</v>
      </c>
      <c r="F2194">
        <v>8</v>
      </c>
      <c r="G2194">
        <v>0.2683956698455367</v>
      </c>
      <c r="H2194" t="s">
        <v>88</v>
      </c>
      <c r="I2194">
        <v>0</v>
      </c>
      <c r="J2194">
        <v>0</v>
      </c>
      <c r="K2194">
        <v>0</v>
      </c>
    </row>
    <row r="2195" spans="1:11" x14ac:dyDescent="0.2">
      <c r="A2195" t="s">
        <v>16</v>
      </c>
      <c r="B2195" t="s">
        <v>2473</v>
      </c>
      <c r="C2195">
        <v>210</v>
      </c>
      <c r="D2195" t="s">
        <v>6685</v>
      </c>
      <c r="E2195" t="s">
        <v>49</v>
      </c>
      <c r="F2195">
        <v>8</v>
      </c>
      <c r="G2195">
        <v>0.2683956698455367</v>
      </c>
      <c r="H2195" t="s">
        <v>105</v>
      </c>
      <c r="I2195">
        <v>0</v>
      </c>
      <c r="J2195">
        <v>0</v>
      </c>
      <c r="K2195">
        <v>0</v>
      </c>
    </row>
    <row r="2196" spans="1:11" x14ac:dyDescent="0.2">
      <c r="A2196" t="s">
        <v>16</v>
      </c>
      <c r="B2196" t="s">
        <v>2473</v>
      </c>
      <c r="C2196">
        <v>210</v>
      </c>
      <c r="D2196" t="s">
        <v>6672</v>
      </c>
      <c r="E2196" t="s">
        <v>49</v>
      </c>
      <c r="F2196">
        <v>8</v>
      </c>
      <c r="G2196">
        <v>0.2683956698455367</v>
      </c>
      <c r="H2196" t="s">
        <v>94</v>
      </c>
      <c r="I2196">
        <v>0</v>
      </c>
      <c r="J2196">
        <v>0</v>
      </c>
      <c r="K2196">
        <v>0</v>
      </c>
    </row>
    <row r="2197" spans="1:11" x14ac:dyDescent="0.2">
      <c r="A2197" t="s">
        <v>16</v>
      </c>
      <c r="B2197" t="s">
        <v>2473</v>
      </c>
      <c r="C2197">
        <v>210</v>
      </c>
      <c r="D2197" t="s">
        <v>6671</v>
      </c>
      <c r="E2197" t="s">
        <v>49</v>
      </c>
      <c r="F2197">
        <v>8</v>
      </c>
      <c r="G2197">
        <v>0.2683956698455367</v>
      </c>
      <c r="H2197" t="s">
        <v>93</v>
      </c>
      <c r="I2197">
        <v>0</v>
      </c>
      <c r="J2197">
        <v>0</v>
      </c>
      <c r="K2197">
        <v>0</v>
      </c>
    </row>
    <row r="2198" spans="1:11" x14ac:dyDescent="0.2">
      <c r="A2198" t="s">
        <v>16</v>
      </c>
      <c r="B2198" t="s">
        <v>2473</v>
      </c>
      <c r="C2198">
        <v>210</v>
      </c>
      <c r="D2198" t="s">
        <v>6677</v>
      </c>
      <c r="E2198" t="s">
        <v>49</v>
      </c>
      <c r="F2198">
        <v>8</v>
      </c>
      <c r="G2198">
        <v>0.2683956698455367</v>
      </c>
      <c r="H2198" t="s">
        <v>90</v>
      </c>
      <c r="I2198">
        <v>0</v>
      </c>
      <c r="J2198">
        <v>0</v>
      </c>
      <c r="K2198">
        <v>0</v>
      </c>
    </row>
    <row r="2199" spans="1:11" x14ac:dyDescent="0.2">
      <c r="A2199" t="s">
        <v>16</v>
      </c>
      <c r="B2199" t="s">
        <v>2473</v>
      </c>
      <c r="C2199">
        <v>210</v>
      </c>
      <c r="D2199" t="s">
        <v>6661</v>
      </c>
      <c r="E2199" t="s">
        <v>49</v>
      </c>
      <c r="F2199">
        <v>8</v>
      </c>
      <c r="G2199">
        <v>0.2683956698455367</v>
      </c>
      <c r="H2199" t="s">
        <v>87</v>
      </c>
      <c r="I2199">
        <v>0</v>
      </c>
      <c r="J2199">
        <v>0</v>
      </c>
      <c r="K2199">
        <v>0</v>
      </c>
    </row>
    <row r="2200" spans="1:11" x14ac:dyDescent="0.2">
      <c r="A2200" t="s">
        <v>16</v>
      </c>
      <c r="B2200" t="s">
        <v>2473</v>
      </c>
      <c r="C2200">
        <v>210</v>
      </c>
      <c r="D2200" t="s">
        <v>6686</v>
      </c>
      <c r="E2200" t="s">
        <v>49</v>
      </c>
      <c r="F2200">
        <v>8</v>
      </c>
      <c r="G2200">
        <v>0.2683956698455367</v>
      </c>
      <c r="H2200" t="s">
        <v>99</v>
      </c>
      <c r="I2200">
        <v>0</v>
      </c>
      <c r="J2200">
        <v>0</v>
      </c>
      <c r="K2200">
        <v>0</v>
      </c>
    </row>
    <row r="2201" spans="1:11" x14ac:dyDescent="0.2">
      <c r="A2201" t="s">
        <v>16</v>
      </c>
      <c r="B2201" t="s">
        <v>2473</v>
      </c>
      <c r="C2201">
        <v>210</v>
      </c>
      <c r="D2201" t="s">
        <v>6687</v>
      </c>
      <c r="E2201" t="s">
        <v>49</v>
      </c>
      <c r="F2201">
        <v>8</v>
      </c>
      <c r="G2201">
        <v>0.2683956698455367</v>
      </c>
      <c r="H2201" t="s">
        <v>91</v>
      </c>
      <c r="I2201">
        <v>0</v>
      </c>
      <c r="J2201">
        <v>0</v>
      </c>
      <c r="K2201">
        <v>0</v>
      </c>
    </row>
    <row r="2202" spans="1:11" x14ac:dyDescent="0.2">
      <c r="A2202" t="s">
        <v>16</v>
      </c>
      <c r="B2202" t="s">
        <v>2473</v>
      </c>
      <c r="C2202">
        <v>210</v>
      </c>
      <c r="D2202" t="s">
        <v>6666</v>
      </c>
      <c r="E2202" t="s">
        <v>49</v>
      </c>
      <c r="F2202">
        <v>8</v>
      </c>
      <c r="G2202">
        <v>0.2683956698455367</v>
      </c>
      <c r="H2202" t="s">
        <v>88</v>
      </c>
      <c r="I2202">
        <v>0</v>
      </c>
      <c r="J2202">
        <v>0</v>
      </c>
      <c r="K2202">
        <v>0</v>
      </c>
    </row>
    <row r="2203" spans="1:11" x14ac:dyDescent="0.2">
      <c r="A2203" t="s">
        <v>16</v>
      </c>
      <c r="B2203" t="s">
        <v>2473</v>
      </c>
      <c r="C2203">
        <v>210</v>
      </c>
      <c r="D2203" t="s">
        <v>6658</v>
      </c>
      <c r="E2203" t="s">
        <v>49</v>
      </c>
      <c r="F2203">
        <v>8</v>
      </c>
      <c r="G2203">
        <v>0.2683956698455367</v>
      </c>
      <c r="H2203" t="s">
        <v>105</v>
      </c>
      <c r="I2203">
        <v>0</v>
      </c>
      <c r="J2203">
        <v>0</v>
      </c>
      <c r="K2203">
        <v>0</v>
      </c>
    </row>
    <row r="2204" spans="1:11" x14ac:dyDescent="0.2">
      <c r="A2204" t="s">
        <v>16</v>
      </c>
      <c r="B2204" t="s">
        <v>2473</v>
      </c>
      <c r="C2204">
        <v>210</v>
      </c>
      <c r="D2204" t="s">
        <v>6657</v>
      </c>
      <c r="E2204" t="s">
        <v>49</v>
      </c>
      <c r="F2204">
        <v>8</v>
      </c>
      <c r="G2204">
        <v>0.2683956698455367</v>
      </c>
      <c r="H2204" t="s">
        <v>94</v>
      </c>
      <c r="I2204">
        <v>0</v>
      </c>
      <c r="J2204">
        <v>0</v>
      </c>
      <c r="K2204">
        <v>0</v>
      </c>
    </row>
    <row r="2205" spans="1:11" x14ac:dyDescent="0.2">
      <c r="A2205" t="s">
        <v>16</v>
      </c>
      <c r="B2205" t="s">
        <v>2473</v>
      </c>
      <c r="C2205">
        <v>210</v>
      </c>
      <c r="D2205" t="s">
        <v>6656</v>
      </c>
      <c r="E2205" t="s">
        <v>49</v>
      </c>
      <c r="F2205">
        <v>8</v>
      </c>
      <c r="G2205">
        <v>0.2683956698455367</v>
      </c>
      <c r="H2205" t="s">
        <v>93</v>
      </c>
      <c r="I2205">
        <v>0</v>
      </c>
      <c r="J2205">
        <v>0</v>
      </c>
      <c r="K2205">
        <v>0</v>
      </c>
    </row>
    <row r="2206" spans="1:11" x14ac:dyDescent="0.2">
      <c r="A2206" t="s">
        <v>16</v>
      </c>
      <c r="B2206" t="s">
        <v>2473</v>
      </c>
      <c r="C2206">
        <v>210</v>
      </c>
      <c r="D2206" t="s">
        <v>6668</v>
      </c>
      <c r="E2206" t="s">
        <v>49</v>
      </c>
      <c r="F2206">
        <v>8</v>
      </c>
      <c r="G2206">
        <v>0.2683956698455367</v>
      </c>
      <c r="H2206" t="s">
        <v>90</v>
      </c>
      <c r="I2206">
        <v>0</v>
      </c>
      <c r="J2206">
        <v>0</v>
      </c>
      <c r="K2206">
        <v>0</v>
      </c>
    </row>
    <row r="2207" spans="1:11" x14ac:dyDescent="0.2">
      <c r="A2207" t="s">
        <v>16</v>
      </c>
      <c r="B2207" t="s">
        <v>2473</v>
      </c>
      <c r="C2207">
        <v>210</v>
      </c>
      <c r="D2207" t="s">
        <v>6654</v>
      </c>
      <c r="E2207" t="s">
        <v>49</v>
      </c>
      <c r="F2207">
        <v>8</v>
      </c>
      <c r="G2207">
        <v>0.2683956698455367</v>
      </c>
      <c r="H2207" t="s">
        <v>87</v>
      </c>
      <c r="I2207">
        <v>0</v>
      </c>
      <c r="J2207">
        <v>0</v>
      </c>
      <c r="K2207">
        <v>0</v>
      </c>
    </row>
    <row r="2208" spans="1:11" x14ac:dyDescent="0.2">
      <c r="A2208" t="s">
        <v>16</v>
      </c>
      <c r="B2208" t="s">
        <v>2473</v>
      </c>
      <c r="C2208">
        <v>210</v>
      </c>
      <c r="D2208" t="s">
        <v>6669</v>
      </c>
      <c r="E2208" t="s">
        <v>49</v>
      </c>
      <c r="F2208">
        <v>8</v>
      </c>
      <c r="G2208">
        <v>0.2683956698455367</v>
      </c>
      <c r="H2208" t="s">
        <v>99</v>
      </c>
      <c r="I2208">
        <v>0</v>
      </c>
      <c r="J2208">
        <v>0</v>
      </c>
      <c r="K2208">
        <v>0</v>
      </c>
    </row>
    <row r="2209" spans="1:11" x14ac:dyDescent="0.2">
      <c r="A2209" t="s">
        <v>16</v>
      </c>
      <c r="B2209" t="s">
        <v>2473</v>
      </c>
      <c r="C2209">
        <v>210</v>
      </c>
      <c r="D2209" t="s">
        <v>6653</v>
      </c>
      <c r="E2209" t="s">
        <v>49</v>
      </c>
      <c r="F2209">
        <v>8</v>
      </c>
      <c r="G2209">
        <v>0.2683956698455367</v>
      </c>
      <c r="H2209" t="s">
        <v>91</v>
      </c>
      <c r="I2209">
        <v>0</v>
      </c>
      <c r="J2209">
        <v>0</v>
      </c>
      <c r="K2209">
        <v>0</v>
      </c>
    </row>
    <row r="2210" spans="1:11" x14ac:dyDescent="0.2">
      <c r="A2210" t="s">
        <v>16</v>
      </c>
      <c r="B2210" t="s">
        <v>2473</v>
      </c>
      <c r="C2210">
        <v>210</v>
      </c>
      <c r="D2210" t="s">
        <v>6649</v>
      </c>
      <c r="E2210" t="s">
        <v>49</v>
      </c>
      <c r="F2210">
        <v>8</v>
      </c>
      <c r="G2210">
        <v>0.2683956698455367</v>
      </c>
      <c r="H2210" t="s">
        <v>88</v>
      </c>
      <c r="I2210">
        <v>0</v>
      </c>
      <c r="J2210">
        <v>0</v>
      </c>
      <c r="K2210">
        <v>0</v>
      </c>
    </row>
    <row r="2211" spans="1:11" x14ac:dyDescent="0.2">
      <c r="A2211" t="s">
        <v>16</v>
      </c>
      <c r="B2211" t="s">
        <v>2473</v>
      </c>
      <c r="C2211">
        <v>210</v>
      </c>
      <c r="D2211" t="s">
        <v>6651</v>
      </c>
      <c r="E2211" t="s">
        <v>49</v>
      </c>
      <c r="F2211">
        <v>8</v>
      </c>
      <c r="G2211">
        <v>0.2683956698455367</v>
      </c>
      <c r="H2211" t="s">
        <v>105</v>
      </c>
      <c r="I2211">
        <v>0</v>
      </c>
      <c r="J2211">
        <v>0</v>
      </c>
      <c r="K2211">
        <v>0</v>
      </c>
    </row>
    <row r="2212" spans="1:11" x14ac:dyDescent="0.2">
      <c r="A2212" t="s">
        <v>16</v>
      </c>
      <c r="B2212" t="s">
        <v>2473</v>
      </c>
      <c r="C2212">
        <v>210</v>
      </c>
      <c r="D2212" t="s">
        <v>6674</v>
      </c>
      <c r="E2212" t="s">
        <v>49</v>
      </c>
      <c r="F2212">
        <v>8</v>
      </c>
      <c r="G2212">
        <v>0.2683956698455367</v>
      </c>
      <c r="H2212" t="s">
        <v>94</v>
      </c>
      <c r="I2212">
        <v>0</v>
      </c>
      <c r="J2212">
        <v>0</v>
      </c>
      <c r="K2212">
        <v>0</v>
      </c>
    </row>
    <row r="2213" spans="1:11" x14ac:dyDescent="0.2">
      <c r="A2213" t="s">
        <v>16</v>
      </c>
      <c r="B2213" t="s">
        <v>2473</v>
      </c>
      <c r="C2213">
        <v>210</v>
      </c>
      <c r="D2213" t="s">
        <v>6692</v>
      </c>
      <c r="E2213" t="s">
        <v>49</v>
      </c>
      <c r="F2213">
        <v>8</v>
      </c>
      <c r="G2213">
        <v>0.2683956698455367</v>
      </c>
      <c r="H2213" t="s">
        <v>93</v>
      </c>
      <c r="I2213">
        <v>0</v>
      </c>
      <c r="J2213">
        <v>0</v>
      </c>
      <c r="K2213">
        <v>0</v>
      </c>
    </row>
    <row r="2214" spans="1:11" x14ac:dyDescent="0.2">
      <c r="A2214" t="s">
        <v>16</v>
      </c>
      <c r="B2214" t="s">
        <v>2502</v>
      </c>
      <c r="C2214">
        <v>160</v>
      </c>
      <c r="D2214" t="s">
        <v>6694</v>
      </c>
      <c r="E2214" t="s">
        <v>49</v>
      </c>
      <c r="F2214">
        <v>3</v>
      </c>
      <c r="G2214">
        <v>0.19426240788699975</v>
      </c>
      <c r="H2214" t="s">
        <v>104</v>
      </c>
      <c r="I2214">
        <v>0</v>
      </c>
      <c r="J2214">
        <v>0</v>
      </c>
      <c r="K2214">
        <v>0</v>
      </c>
    </row>
    <row r="2215" spans="1:11" x14ac:dyDescent="0.2">
      <c r="A2215" t="s">
        <v>16</v>
      </c>
      <c r="B2215" t="s">
        <v>2537</v>
      </c>
      <c r="C2215">
        <v>330</v>
      </c>
      <c r="D2215" t="s">
        <v>6695</v>
      </c>
      <c r="E2215" t="s">
        <v>49</v>
      </c>
      <c r="F2215">
        <v>9</v>
      </c>
      <c r="G2215">
        <v>0.39425476166032075</v>
      </c>
      <c r="H2215" t="s">
        <v>101</v>
      </c>
      <c r="I2215">
        <v>0</v>
      </c>
      <c r="J2215">
        <v>0</v>
      </c>
      <c r="K2215">
        <v>0</v>
      </c>
    </row>
    <row r="2216" spans="1:11" x14ac:dyDescent="0.2">
      <c r="A2216" t="s">
        <v>16</v>
      </c>
      <c r="B2216" t="s">
        <v>2571</v>
      </c>
      <c r="C2216">
        <v>300</v>
      </c>
      <c r="D2216" t="s">
        <v>6698</v>
      </c>
      <c r="E2216" t="s">
        <v>49</v>
      </c>
      <c r="F2216">
        <v>1</v>
      </c>
      <c r="G2216">
        <v>0.12147011519252655</v>
      </c>
      <c r="H2216" t="s">
        <v>95</v>
      </c>
      <c r="I2216">
        <v>0</v>
      </c>
      <c r="J2216">
        <v>0</v>
      </c>
      <c r="K2216">
        <v>0</v>
      </c>
    </row>
    <row r="2217" spans="1:11" x14ac:dyDescent="0.2">
      <c r="A2217" t="s">
        <v>16</v>
      </c>
      <c r="B2217" t="s">
        <v>2571</v>
      </c>
      <c r="C2217">
        <v>900</v>
      </c>
      <c r="D2217" t="s">
        <v>6697</v>
      </c>
      <c r="E2217" t="s">
        <v>49</v>
      </c>
      <c r="F2217">
        <v>1</v>
      </c>
      <c r="G2217">
        <v>0.36441034557757968</v>
      </c>
      <c r="H2217" t="s">
        <v>95</v>
      </c>
      <c r="I2217">
        <v>0</v>
      </c>
      <c r="J2217">
        <v>0</v>
      </c>
      <c r="K2217">
        <v>0</v>
      </c>
    </row>
    <row r="2218" spans="1:11" x14ac:dyDescent="0.2">
      <c r="A2218" t="s">
        <v>16</v>
      </c>
      <c r="B2218" t="s">
        <v>2571</v>
      </c>
      <c r="C2218">
        <v>900</v>
      </c>
      <c r="D2218" t="s">
        <v>6696</v>
      </c>
      <c r="E2218" t="s">
        <v>49</v>
      </c>
      <c r="F2218">
        <v>1</v>
      </c>
      <c r="G2218">
        <v>0.36441034557757968</v>
      </c>
      <c r="H2218" t="s">
        <v>95</v>
      </c>
      <c r="I2218">
        <v>0</v>
      </c>
      <c r="J2218">
        <v>0</v>
      </c>
      <c r="K2218">
        <v>0</v>
      </c>
    </row>
    <row r="2219" spans="1:11" x14ac:dyDescent="0.2">
      <c r="A2219" t="s">
        <v>16</v>
      </c>
      <c r="B2219" t="s">
        <v>2623</v>
      </c>
      <c r="C2219">
        <v>420</v>
      </c>
      <c r="D2219" t="s">
        <v>6706</v>
      </c>
      <c r="E2219" t="s">
        <v>49</v>
      </c>
      <c r="F2219">
        <v>5</v>
      </c>
      <c r="G2219">
        <v>0.23462354907605174</v>
      </c>
      <c r="H2219" t="s">
        <v>104</v>
      </c>
      <c r="I2219">
        <v>0</v>
      </c>
      <c r="J2219">
        <v>0</v>
      </c>
      <c r="K2219">
        <v>0</v>
      </c>
    </row>
    <row r="2220" spans="1:11" x14ac:dyDescent="0.2">
      <c r="A2220" t="s">
        <v>16</v>
      </c>
      <c r="B2220" t="s">
        <v>2623</v>
      </c>
      <c r="C2220">
        <v>420</v>
      </c>
      <c r="D2220" t="s">
        <v>6699</v>
      </c>
      <c r="E2220" t="s">
        <v>49</v>
      </c>
      <c r="F2220">
        <v>5</v>
      </c>
      <c r="G2220">
        <v>0.23462354907605174</v>
      </c>
      <c r="H2220" t="s">
        <v>104</v>
      </c>
      <c r="I2220">
        <v>0</v>
      </c>
      <c r="J2220">
        <v>0</v>
      </c>
      <c r="K2220">
        <v>0</v>
      </c>
    </row>
    <row r="2221" spans="1:11" x14ac:dyDescent="0.2">
      <c r="A2221" t="s">
        <v>16</v>
      </c>
      <c r="B2221" t="s">
        <v>2623</v>
      </c>
      <c r="C2221">
        <v>420</v>
      </c>
      <c r="D2221" t="s">
        <v>6705</v>
      </c>
      <c r="E2221" t="s">
        <v>49</v>
      </c>
      <c r="F2221">
        <v>5</v>
      </c>
      <c r="G2221">
        <v>0.23462354907605174</v>
      </c>
      <c r="H2221" t="s">
        <v>101</v>
      </c>
      <c r="I2221">
        <v>0</v>
      </c>
      <c r="J2221">
        <v>0</v>
      </c>
      <c r="K2221">
        <v>0</v>
      </c>
    </row>
    <row r="2222" spans="1:11" x14ac:dyDescent="0.2">
      <c r="A2222" t="s">
        <v>16</v>
      </c>
      <c r="B2222" t="s">
        <v>2623</v>
      </c>
      <c r="C2222">
        <v>420</v>
      </c>
      <c r="D2222" t="s">
        <v>6721</v>
      </c>
      <c r="E2222" t="s">
        <v>49</v>
      </c>
      <c r="F2222">
        <v>5</v>
      </c>
      <c r="G2222">
        <v>0.23462354907605174</v>
      </c>
      <c r="H2222" t="s">
        <v>104</v>
      </c>
      <c r="I2222">
        <v>0</v>
      </c>
      <c r="J2222">
        <v>0</v>
      </c>
      <c r="K2222">
        <v>0</v>
      </c>
    </row>
    <row r="2223" spans="1:11" x14ac:dyDescent="0.2">
      <c r="A2223" t="s">
        <v>16</v>
      </c>
      <c r="B2223" t="s">
        <v>2623</v>
      </c>
      <c r="C2223">
        <v>420</v>
      </c>
      <c r="D2223" t="s">
        <v>6708</v>
      </c>
      <c r="E2223" t="s">
        <v>49</v>
      </c>
      <c r="F2223">
        <v>5</v>
      </c>
      <c r="G2223">
        <v>0.23462354907605174</v>
      </c>
      <c r="H2223" t="s">
        <v>101</v>
      </c>
      <c r="I2223">
        <v>0</v>
      </c>
      <c r="J2223">
        <v>0</v>
      </c>
      <c r="K2223">
        <v>0</v>
      </c>
    </row>
    <row r="2224" spans="1:11" x14ac:dyDescent="0.2">
      <c r="A2224" t="s">
        <v>16</v>
      </c>
      <c r="B2224" t="s">
        <v>2623</v>
      </c>
      <c r="C2224">
        <v>420</v>
      </c>
      <c r="D2224" t="s">
        <v>6703</v>
      </c>
      <c r="E2224" t="s">
        <v>49</v>
      </c>
      <c r="F2224">
        <v>5</v>
      </c>
      <c r="G2224">
        <v>0.23462354907605174</v>
      </c>
      <c r="H2224" t="s">
        <v>104</v>
      </c>
      <c r="I2224">
        <v>0</v>
      </c>
      <c r="J2224">
        <v>0</v>
      </c>
      <c r="K2224">
        <v>0</v>
      </c>
    </row>
    <row r="2225" spans="1:11" x14ac:dyDescent="0.2">
      <c r="A2225" t="s">
        <v>16</v>
      </c>
      <c r="B2225" t="s">
        <v>2623</v>
      </c>
      <c r="C2225">
        <v>280</v>
      </c>
      <c r="D2225" t="s">
        <v>6727</v>
      </c>
      <c r="E2225" t="s">
        <v>49</v>
      </c>
      <c r="F2225">
        <v>5</v>
      </c>
      <c r="G2225">
        <v>0.15641569938403449</v>
      </c>
      <c r="H2225" t="s">
        <v>101</v>
      </c>
      <c r="I2225">
        <v>0</v>
      </c>
      <c r="J2225">
        <v>0</v>
      </c>
      <c r="K2225">
        <v>0</v>
      </c>
    </row>
    <row r="2226" spans="1:11" x14ac:dyDescent="0.2">
      <c r="A2226" t="s">
        <v>16</v>
      </c>
      <c r="B2226" t="s">
        <v>2623</v>
      </c>
      <c r="C2226">
        <v>420</v>
      </c>
      <c r="D2226" t="s">
        <v>6709</v>
      </c>
      <c r="E2226" t="s">
        <v>49</v>
      </c>
      <c r="F2226">
        <v>5</v>
      </c>
      <c r="G2226">
        <v>0.23462354907605174</v>
      </c>
      <c r="H2226" t="s">
        <v>90</v>
      </c>
      <c r="I2226">
        <v>0</v>
      </c>
      <c r="J2226">
        <v>0</v>
      </c>
      <c r="K2226">
        <v>0</v>
      </c>
    </row>
    <row r="2227" spans="1:11" x14ac:dyDescent="0.2">
      <c r="A2227" t="s">
        <v>16</v>
      </c>
      <c r="B2227" t="s">
        <v>2623</v>
      </c>
      <c r="C2227">
        <v>420</v>
      </c>
      <c r="D2227" t="s">
        <v>6700</v>
      </c>
      <c r="E2227" t="s">
        <v>49</v>
      </c>
      <c r="F2227">
        <v>5</v>
      </c>
      <c r="G2227">
        <v>0.23462354907605174</v>
      </c>
      <c r="H2227" t="s">
        <v>95</v>
      </c>
      <c r="I2227">
        <v>0</v>
      </c>
      <c r="J2227">
        <v>0</v>
      </c>
      <c r="K2227">
        <v>0</v>
      </c>
    </row>
    <row r="2228" spans="1:11" x14ac:dyDescent="0.2">
      <c r="A2228" t="s">
        <v>16</v>
      </c>
      <c r="B2228" t="s">
        <v>2623</v>
      </c>
      <c r="C2228">
        <v>420</v>
      </c>
      <c r="D2228" t="s">
        <v>6713</v>
      </c>
      <c r="E2228" t="s">
        <v>49</v>
      </c>
      <c r="F2228">
        <v>5</v>
      </c>
      <c r="G2228">
        <v>0.23462354907605174</v>
      </c>
      <c r="H2228" t="s">
        <v>87</v>
      </c>
      <c r="I2228">
        <v>0</v>
      </c>
      <c r="J2228">
        <v>0</v>
      </c>
      <c r="K2228">
        <v>0</v>
      </c>
    </row>
    <row r="2229" spans="1:11" x14ac:dyDescent="0.2">
      <c r="A2229" t="s">
        <v>16</v>
      </c>
      <c r="B2229" t="s">
        <v>2623</v>
      </c>
      <c r="C2229">
        <v>420</v>
      </c>
      <c r="D2229" t="s">
        <v>6717</v>
      </c>
      <c r="E2229" t="s">
        <v>49</v>
      </c>
      <c r="F2229">
        <v>5</v>
      </c>
      <c r="G2229">
        <v>0.23462354907605174</v>
      </c>
      <c r="H2229" t="s">
        <v>101</v>
      </c>
      <c r="I2229">
        <v>0</v>
      </c>
      <c r="J2229">
        <v>0</v>
      </c>
      <c r="K2229">
        <v>0</v>
      </c>
    </row>
    <row r="2230" spans="1:11" x14ac:dyDescent="0.2">
      <c r="A2230" t="s">
        <v>16</v>
      </c>
      <c r="B2230" t="s">
        <v>2623</v>
      </c>
      <c r="C2230">
        <v>420</v>
      </c>
      <c r="D2230" t="s">
        <v>6716</v>
      </c>
      <c r="E2230" t="s">
        <v>49</v>
      </c>
      <c r="F2230">
        <v>5</v>
      </c>
      <c r="G2230">
        <v>0.23462354907605174</v>
      </c>
      <c r="H2230" t="s">
        <v>104</v>
      </c>
      <c r="I2230">
        <v>0</v>
      </c>
      <c r="J2230">
        <v>0</v>
      </c>
      <c r="K2230">
        <v>0</v>
      </c>
    </row>
    <row r="2231" spans="1:11" x14ac:dyDescent="0.2">
      <c r="A2231" t="s">
        <v>16</v>
      </c>
      <c r="B2231" t="s">
        <v>2623</v>
      </c>
      <c r="C2231">
        <v>420</v>
      </c>
      <c r="D2231" t="s">
        <v>6730</v>
      </c>
      <c r="E2231" t="s">
        <v>49</v>
      </c>
      <c r="F2231">
        <v>5</v>
      </c>
      <c r="G2231">
        <v>0.23462354907605174</v>
      </c>
      <c r="H2231" t="s">
        <v>90</v>
      </c>
      <c r="I2231">
        <v>0</v>
      </c>
      <c r="J2231">
        <v>0</v>
      </c>
      <c r="K2231">
        <v>0</v>
      </c>
    </row>
    <row r="2232" spans="1:11" x14ac:dyDescent="0.2">
      <c r="A2232" t="s">
        <v>16</v>
      </c>
      <c r="B2232" t="s">
        <v>2623</v>
      </c>
      <c r="C2232">
        <v>420</v>
      </c>
      <c r="D2232" t="s">
        <v>6718</v>
      </c>
      <c r="E2232" t="s">
        <v>49</v>
      </c>
      <c r="F2232">
        <v>5</v>
      </c>
      <c r="G2232">
        <v>0.23462354907605174</v>
      </c>
      <c r="H2232" t="s">
        <v>95</v>
      </c>
      <c r="I2232">
        <v>0</v>
      </c>
      <c r="J2232">
        <v>0</v>
      </c>
      <c r="K2232">
        <v>0</v>
      </c>
    </row>
    <row r="2233" spans="1:11" x14ac:dyDescent="0.2">
      <c r="A2233" t="s">
        <v>16</v>
      </c>
      <c r="B2233" t="s">
        <v>2623</v>
      </c>
      <c r="C2233">
        <v>420</v>
      </c>
      <c r="D2233" t="s">
        <v>6704</v>
      </c>
      <c r="E2233" t="s">
        <v>49</v>
      </c>
      <c r="F2233">
        <v>5</v>
      </c>
      <c r="G2233">
        <v>0.23462354907605174</v>
      </c>
      <c r="H2233" t="s">
        <v>87</v>
      </c>
      <c r="I2233">
        <v>0</v>
      </c>
      <c r="J2233">
        <v>0</v>
      </c>
      <c r="K2233">
        <v>0</v>
      </c>
    </row>
    <row r="2234" spans="1:11" x14ac:dyDescent="0.2">
      <c r="A2234" t="s">
        <v>16</v>
      </c>
      <c r="B2234" t="s">
        <v>2623</v>
      </c>
      <c r="C2234">
        <v>420</v>
      </c>
      <c r="D2234" t="s">
        <v>6707</v>
      </c>
      <c r="E2234" t="s">
        <v>49</v>
      </c>
      <c r="F2234">
        <v>5</v>
      </c>
      <c r="G2234">
        <v>0.23462354907605174</v>
      </c>
      <c r="H2234" t="s">
        <v>101</v>
      </c>
      <c r="I2234">
        <v>0</v>
      </c>
      <c r="J2234">
        <v>0</v>
      </c>
      <c r="K2234">
        <v>0</v>
      </c>
    </row>
    <row r="2235" spans="1:11" x14ac:dyDescent="0.2">
      <c r="A2235" t="s">
        <v>16</v>
      </c>
      <c r="B2235" t="s">
        <v>2623</v>
      </c>
      <c r="C2235">
        <v>420</v>
      </c>
      <c r="D2235" t="s">
        <v>6731</v>
      </c>
      <c r="E2235" t="s">
        <v>49</v>
      </c>
      <c r="F2235">
        <v>5</v>
      </c>
      <c r="G2235">
        <v>0.23462354907605174</v>
      </c>
      <c r="H2235" t="s">
        <v>104</v>
      </c>
      <c r="I2235">
        <v>0</v>
      </c>
      <c r="J2235">
        <v>0</v>
      </c>
      <c r="K2235">
        <v>0</v>
      </c>
    </row>
    <row r="2236" spans="1:11" x14ac:dyDescent="0.2">
      <c r="A2236" t="s">
        <v>16</v>
      </c>
      <c r="B2236" t="s">
        <v>2623</v>
      </c>
      <c r="C2236">
        <v>420</v>
      </c>
      <c r="D2236" t="s">
        <v>6702</v>
      </c>
      <c r="E2236" t="s">
        <v>49</v>
      </c>
      <c r="F2236">
        <v>5</v>
      </c>
      <c r="G2236">
        <v>0.23462354907605174</v>
      </c>
      <c r="H2236" t="s">
        <v>90</v>
      </c>
      <c r="I2236">
        <v>0</v>
      </c>
      <c r="J2236">
        <v>0</v>
      </c>
      <c r="K2236">
        <v>0</v>
      </c>
    </row>
    <row r="2237" spans="1:11" x14ac:dyDescent="0.2">
      <c r="A2237" t="s">
        <v>16</v>
      </c>
      <c r="B2237" t="s">
        <v>2623</v>
      </c>
      <c r="C2237">
        <v>420</v>
      </c>
      <c r="D2237" t="s">
        <v>6728</v>
      </c>
      <c r="E2237" t="s">
        <v>49</v>
      </c>
      <c r="F2237">
        <v>5</v>
      </c>
      <c r="G2237">
        <v>0.23462354907605174</v>
      </c>
      <c r="H2237" t="s">
        <v>95</v>
      </c>
      <c r="I2237">
        <v>0</v>
      </c>
      <c r="J2237">
        <v>0</v>
      </c>
      <c r="K2237">
        <v>0</v>
      </c>
    </row>
    <row r="2238" spans="1:11" x14ac:dyDescent="0.2">
      <c r="A2238" t="s">
        <v>16</v>
      </c>
      <c r="B2238" t="s">
        <v>2623</v>
      </c>
      <c r="C2238">
        <v>420</v>
      </c>
      <c r="D2238" t="s">
        <v>6723</v>
      </c>
      <c r="E2238" t="s">
        <v>49</v>
      </c>
      <c r="F2238">
        <v>5</v>
      </c>
      <c r="G2238">
        <v>0.23462354907605174</v>
      </c>
      <c r="H2238" t="s">
        <v>87</v>
      </c>
      <c r="I2238">
        <v>0</v>
      </c>
      <c r="J2238">
        <v>0</v>
      </c>
      <c r="K2238">
        <v>0</v>
      </c>
    </row>
    <row r="2239" spans="1:11" x14ac:dyDescent="0.2">
      <c r="A2239" t="s">
        <v>16</v>
      </c>
      <c r="B2239" t="s">
        <v>2623</v>
      </c>
      <c r="C2239">
        <v>420</v>
      </c>
      <c r="D2239" t="s">
        <v>6712</v>
      </c>
      <c r="E2239" t="s">
        <v>49</v>
      </c>
      <c r="F2239">
        <v>5</v>
      </c>
      <c r="G2239">
        <v>0.23462354907605174</v>
      </c>
      <c r="H2239" t="s">
        <v>101</v>
      </c>
      <c r="I2239">
        <v>0</v>
      </c>
      <c r="J2239">
        <v>0</v>
      </c>
      <c r="K2239">
        <v>0</v>
      </c>
    </row>
    <row r="2240" spans="1:11" x14ac:dyDescent="0.2">
      <c r="A2240" t="s">
        <v>16</v>
      </c>
      <c r="B2240" t="s">
        <v>2623</v>
      </c>
      <c r="C2240">
        <v>420</v>
      </c>
      <c r="D2240" t="s">
        <v>6722</v>
      </c>
      <c r="E2240" t="s">
        <v>49</v>
      </c>
      <c r="F2240">
        <v>5</v>
      </c>
      <c r="G2240">
        <v>0.23462354907605174</v>
      </c>
      <c r="H2240" t="s">
        <v>104</v>
      </c>
      <c r="I2240">
        <v>0</v>
      </c>
      <c r="J2240">
        <v>0</v>
      </c>
      <c r="K2240">
        <v>0</v>
      </c>
    </row>
    <row r="2241" spans="1:11" x14ac:dyDescent="0.2">
      <c r="A2241" t="s">
        <v>16</v>
      </c>
      <c r="B2241" t="s">
        <v>2623</v>
      </c>
      <c r="C2241">
        <v>420</v>
      </c>
      <c r="D2241" t="s">
        <v>6732</v>
      </c>
      <c r="E2241" t="s">
        <v>49</v>
      </c>
      <c r="F2241">
        <v>5</v>
      </c>
      <c r="G2241">
        <v>0.23462354907605174</v>
      </c>
      <c r="H2241" t="s">
        <v>90</v>
      </c>
      <c r="I2241">
        <v>0</v>
      </c>
      <c r="J2241">
        <v>0</v>
      </c>
      <c r="K2241">
        <v>0</v>
      </c>
    </row>
    <row r="2242" spans="1:11" x14ac:dyDescent="0.2">
      <c r="A2242" t="s">
        <v>16</v>
      </c>
      <c r="B2242" t="s">
        <v>2623</v>
      </c>
      <c r="C2242">
        <v>420</v>
      </c>
      <c r="D2242" t="s">
        <v>6729</v>
      </c>
      <c r="E2242" t="s">
        <v>49</v>
      </c>
      <c r="F2242">
        <v>5</v>
      </c>
      <c r="G2242">
        <v>0.23462354907605174</v>
      </c>
      <c r="H2242" t="s">
        <v>95</v>
      </c>
      <c r="I2242">
        <v>0</v>
      </c>
      <c r="J2242">
        <v>0</v>
      </c>
      <c r="K2242">
        <v>0</v>
      </c>
    </row>
    <row r="2243" spans="1:11" x14ac:dyDescent="0.2">
      <c r="A2243" t="s">
        <v>16</v>
      </c>
      <c r="B2243" t="s">
        <v>2623</v>
      </c>
      <c r="C2243">
        <v>420</v>
      </c>
      <c r="D2243" t="s">
        <v>6726</v>
      </c>
      <c r="E2243" t="s">
        <v>49</v>
      </c>
      <c r="F2243">
        <v>5</v>
      </c>
      <c r="G2243">
        <v>0.23462354907605174</v>
      </c>
      <c r="H2243" t="s">
        <v>87</v>
      </c>
      <c r="I2243">
        <v>0</v>
      </c>
      <c r="J2243">
        <v>0</v>
      </c>
      <c r="K2243">
        <v>0</v>
      </c>
    </row>
    <row r="2244" spans="1:11" x14ac:dyDescent="0.2">
      <c r="A2244" t="s">
        <v>16</v>
      </c>
      <c r="B2244" t="s">
        <v>2623</v>
      </c>
      <c r="C2244">
        <v>420</v>
      </c>
      <c r="D2244" t="s">
        <v>6725</v>
      </c>
      <c r="E2244" t="s">
        <v>49</v>
      </c>
      <c r="F2244">
        <v>5</v>
      </c>
      <c r="G2244">
        <v>0.23462354907605174</v>
      </c>
      <c r="H2244" t="s">
        <v>101</v>
      </c>
      <c r="I2244">
        <v>0</v>
      </c>
      <c r="J2244">
        <v>0</v>
      </c>
      <c r="K2244">
        <v>0</v>
      </c>
    </row>
    <row r="2245" spans="1:11" x14ac:dyDescent="0.2">
      <c r="A2245" t="s">
        <v>16</v>
      </c>
      <c r="B2245" t="s">
        <v>2623</v>
      </c>
      <c r="C2245">
        <v>420</v>
      </c>
      <c r="D2245" t="s">
        <v>6714</v>
      </c>
      <c r="E2245" t="s">
        <v>49</v>
      </c>
      <c r="F2245">
        <v>5</v>
      </c>
      <c r="G2245">
        <v>0.23462354907605174</v>
      </c>
      <c r="H2245" t="s">
        <v>104</v>
      </c>
      <c r="I2245">
        <v>0</v>
      </c>
      <c r="J2245">
        <v>0</v>
      </c>
      <c r="K2245">
        <v>0</v>
      </c>
    </row>
    <row r="2246" spans="1:11" x14ac:dyDescent="0.2">
      <c r="A2246" t="s">
        <v>16</v>
      </c>
      <c r="B2246" t="s">
        <v>2623</v>
      </c>
      <c r="C2246">
        <v>420</v>
      </c>
      <c r="D2246" t="s">
        <v>6701</v>
      </c>
      <c r="E2246" t="s">
        <v>49</v>
      </c>
      <c r="F2246">
        <v>5</v>
      </c>
      <c r="G2246">
        <v>0.23462354907605174</v>
      </c>
      <c r="H2246" t="s">
        <v>90</v>
      </c>
      <c r="I2246">
        <v>0</v>
      </c>
      <c r="J2246">
        <v>0</v>
      </c>
      <c r="K2246">
        <v>0</v>
      </c>
    </row>
    <row r="2247" spans="1:11" x14ac:dyDescent="0.2">
      <c r="A2247" t="s">
        <v>16</v>
      </c>
      <c r="B2247" t="s">
        <v>2623</v>
      </c>
      <c r="C2247">
        <v>420</v>
      </c>
      <c r="D2247" t="s">
        <v>6715</v>
      </c>
      <c r="E2247" t="s">
        <v>49</v>
      </c>
      <c r="F2247">
        <v>5</v>
      </c>
      <c r="G2247">
        <v>0.23462354907605174</v>
      </c>
      <c r="H2247" t="s">
        <v>95</v>
      </c>
      <c r="I2247">
        <v>0</v>
      </c>
      <c r="J2247">
        <v>0</v>
      </c>
      <c r="K2247">
        <v>0</v>
      </c>
    </row>
    <row r="2248" spans="1:11" x14ac:dyDescent="0.2">
      <c r="A2248" t="s">
        <v>16</v>
      </c>
      <c r="B2248" t="s">
        <v>2623</v>
      </c>
      <c r="C2248">
        <v>420</v>
      </c>
      <c r="D2248" t="s">
        <v>6711</v>
      </c>
      <c r="E2248" t="s">
        <v>49</v>
      </c>
      <c r="F2248">
        <v>5</v>
      </c>
      <c r="G2248">
        <v>0.23462354907605174</v>
      </c>
      <c r="H2248" t="s">
        <v>87</v>
      </c>
      <c r="I2248">
        <v>0</v>
      </c>
      <c r="J2248">
        <v>0</v>
      </c>
      <c r="K2248">
        <v>0</v>
      </c>
    </row>
    <row r="2249" spans="1:11" x14ac:dyDescent="0.2">
      <c r="A2249" t="s">
        <v>16</v>
      </c>
      <c r="B2249" t="s">
        <v>2623</v>
      </c>
      <c r="C2249">
        <v>420</v>
      </c>
      <c r="D2249" t="s">
        <v>6724</v>
      </c>
      <c r="E2249" t="s">
        <v>49</v>
      </c>
      <c r="F2249">
        <v>5</v>
      </c>
      <c r="G2249">
        <v>0.23462354907605174</v>
      </c>
      <c r="H2249" t="s">
        <v>101</v>
      </c>
      <c r="I2249">
        <v>0</v>
      </c>
      <c r="J2249">
        <v>0</v>
      </c>
      <c r="K2249">
        <v>0</v>
      </c>
    </row>
    <row r="2250" spans="1:11" x14ac:dyDescent="0.2">
      <c r="A2250" t="s">
        <v>16</v>
      </c>
      <c r="B2250" t="s">
        <v>2623</v>
      </c>
      <c r="C2250">
        <v>420</v>
      </c>
      <c r="D2250" t="s">
        <v>6710</v>
      </c>
      <c r="E2250" t="s">
        <v>49</v>
      </c>
      <c r="F2250">
        <v>5</v>
      </c>
      <c r="G2250">
        <v>0.23462354907605174</v>
      </c>
      <c r="H2250" t="s">
        <v>104</v>
      </c>
      <c r="I2250">
        <v>0</v>
      </c>
      <c r="J2250">
        <v>0</v>
      </c>
      <c r="K2250">
        <v>0</v>
      </c>
    </row>
    <row r="2251" spans="1:11" x14ac:dyDescent="0.2">
      <c r="A2251" t="s">
        <v>16</v>
      </c>
      <c r="B2251" t="s">
        <v>2623</v>
      </c>
      <c r="C2251">
        <v>420</v>
      </c>
      <c r="D2251" t="s">
        <v>6719</v>
      </c>
      <c r="E2251" t="s">
        <v>49</v>
      </c>
      <c r="F2251">
        <v>5</v>
      </c>
      <c r="G2251">
        <v>0.23462354907605174</v>
      </c>
      <c r="H2251" t="s">
        <v>90</v>
      </c>
      <c r="I2251">
        <v>0</v>
      </c>
      <c r="J2251">
        <v>0</v>
      </c>
      <c r="K2251">
        <v>0</v>
      </c>
    </row>
    <row r="2252" spans="1:11" x14ac:dyDescent="0.2">
      <c r="A2252" t="s">
        <v>16</v>
      </c>
      <c r="B2252" t="s">
        <v>2623</v>
      </c>
      <c r="C2252">
        <v>420</v>
      </c>
      <c r="D2252" t="s">
        <v>6720</v>
      </c>
      <c r="E2252" t="s">
        <v>49</v>
      </c>
      <c r="F2252">
        <v>5</v>
      </c>
      <c r="G2252">
        <v>0.23462354907605174</v>
      </c>
      <c r="H2252" t="s">
        <v>95</v>
      </c>
      <c r="I2252">
        <v>0</v>
      </c>
      <c r="J2252">
        <v>0</v>
      </c>
      <c r="K2252">
        <v>0</v>
      </c>
    </row>
    <row r="2253" spans="1:11" x14ac:dyDescent="0.2">
      <c r="A2253" t="s">
        <v>16</v>
      </c>
      <c r="B2253" t="s">
        <v>2726</v>
      </c>
      <c r="C2253">
        <v>185</v>
      </c>
      <c r="D2253" t="s">
        <v>6735</v>
      </c>
      <c r="E2253" t="s">
        <v>49</v>
      </c>
      <c r="F2253">
        <v>28</v>
      </c>
      <c r="G2253">
        <v>0.12432238520735331</v>
      </c>
      <c r="H2253" t="s">
        <v>99</v>
      </c>
      <c r="I2253">
        <v>0</v>
      </c>
      <c r="J2253">
        <v>0</v>
      </c>
      <c r="K2253">
        <v>0</v>
      </c>
    </row>
    <row r="2254" spans="1:11" x14ac:dyDescent="0.2">
      <c r="A2254" t="s">
        <v>16</v>
      </c>
      <c r="B2254" t="s">
        <v>2726</v>
      </c>
      <c r="C2254">
        <v>370</v>
      </c>
      <c r="D2254" t="s">
        <v>6734</v>
      </c>
      <c r="E2254" t="s">
        <v>49</v>
      </c>
      <c r="F2254">
        <v>28</v>
      </c>
      <c r="G2254">
        <v>0.24864477041470662</v>
      </c>
      <c r="H2254" t="s">
        <v>91</v>
      </c>
      <c r="I2254">
        <v>0</v>
      </c>
      <c r="J2254">
        <v>0</v>
      </c>
      <c r="K2254">
        <v>0</v>
      </c>
    </row>
    <row r="2255" spans="1:11" x14ac:dyDescent="0.2">
      <c r="A2255" t="s">
        <v>16</v>
      </c>
      <c r="B2255" t="s">
        <v>2726</v>
      </c>
      <c r="C2255">
        <v>185</v>
      </c>
      <c r="D2255" t="s">
        <v>6733</v>
      </c>
      <c r="E2255" t="s">
        <v>49</v>
      </c>
      <c r="F2255">
        <v>28</v>
      </c>
      <c r="G2255">
        <v>0.12432238520735331</v>
      </c>
      <c r="H2255" t="s">
        <v>88</v>
      </c>
      <c r="I2255">
        <v>0</v>
      </c>
      <c r="J2255">
        <v>0</v>
      </c>
      <c r="K2255">
        <v>0</v>
      </c>
    </row>
    <row r="2256" spans="1:11" x14ac:dyDescent="0.2">
      <c r="A2256" t="s">
        <v>16</v>
      </c>
      <c r="B2256" t="s">
        <v>2727</v>
      </c>
      <c r="C2256">
        <v>185</v>
      </c>
      <c r="D2256" t="s">
        <v>6737</v>
      </c>
      <c r="E2256" t="s">
        <v>49</v>
      </c>
      <c r="F2256">
        <v>25</v>
      </c>
      <c r="G2256">
        <v>0.13817844522103237</v>
      </c>
      <c r="H2256" t="s">
        <v>105</v>
      </c>
      <c r="I2256">
        <v>0</v>
      </c>
      <c r="J2256">
        <v>0</v>
      </c>
      <c r="K2256">
        <v>0</v>
      </c>
    </row>
    <row r="2257" spans="1:11" x14ac:dyDescent="0.2">
      <c r="A2257" t="s">
        <v>16</v>
      </c>
      <c r="B2257" t="s">
        <v>2727</v>
      </c>
      <c r="C2257">
        <v>185</v>
      </c>
      <c r="D2257" t="s">
        <v>6738</v>
      </c>
      <c r="E2257" t="s">
        <v>49</v>
      </c>
      <c r="F2257">
        <v>25</v>
      </c>
      <c r="G2257">
        <v>0.13817844522103237</v>
      </c>
      <c r="H2257" t="s">
        <v>94</v>
      </c>
      <c r="I2257">
        <v>0</v>
      </c>
      <c r="J2257">
        <v>0</v>
      </c>
      <c r="K2257">
        <v>0</v>
      </c>
    </row>
    <row r="2258" spans="1:11" x14ac:dyDescent="0.2">
      <c r="A2258" t="s">
        <v>16</v>
      </c>
      <c r="B2258" t="s">
        <v>2727</v>
      </c>
      <c r="C2258">
        <v>370</v>
      </c>
      <c r="D2258" t="s">
        <v>6736</v>
      </c>
      <c r="E2258" t="s">
        <v>49</v>
      </c>
      <c r="F2258">
        <v>25</v>
      </c>
      <c r="G2258">
        <v>0.27635689044206474</v>
      </c>
      <c r="H2258" t="s">
        <v>99</v>
      </c>
      <c r="I2258">
        <v>0</v>
      </c>
      <c r="J2258">
        <v>0</v>
      </c>
      <c r="K2258">
        <v>0</v>
      </c>
    </row>
    <row r="2259" spans="1:11" x14ac:dyDescent="0.2">
      <c r="A2259" t="s">
        <v>16</v>
      </c>
      <c r="B2259" t="s">
        <v>889</v>
      </c>
      <c r="C2259">
        <v>480</v>
      </c>
      <c r="D2259" t="s">
        <v>6739</v>
      </c>
      <c r="E2259" t="s">
        <v>49</v>
      </c>
      <c r="F2259">
        <v>3</v>
      </c>
      <c r="G2259">
        <v>0.33692218315242317</v>
      </c>
      <c r="H2259" t="s">
        <v>93</v>
      </c>
      <c r="I2259">
        <v>0</v>
      </c>
      <c r="J2259">
        <v>0</v>
      </c>
      <c r="K2259">
        <v>0</v>
      </c>
    </row>
    <row r="2260" spans="1:11" x14ac:dyDescent="0.2">
      <c r="A2260" t="s">
        <v>16</v>
      </c>
      <c r="B2260" t="s">
        <v>890</v>
      </c>
      <c r="C2260">
        <v>500</v>
      </c>
      <c r="D2260" t="s">
        <v>6740</v>
      </c>
      <c r="E2260" t="s">
        <v>49</v>
      </c>
      <c r="F2260">
        <v>2</v>
      </c>
      <c r="G2260">
        <v>0.29979523195899238</v>
      </c>
      <c r="H2260" t="s">
        <v>88</v>
      </c>
      <c r="I2260">
        <v>0</v>
      </c>
      <c r="J2260">
        <v>0</v>
      </c>
      <c r="K2260">
        <v>0</v>
      </c>
    </row>
    <row r="2261" spans="1:11" x14ac:dyDescent="0.2">
      <c r="A2261" t="s">
        <v>16</v>
      </c>
      <c r="B2261" t="s">
        <v>666</v>
      </c>
      <c r="C2261">
        <v>270</v>
      </c>
      <c r="D2261" t="s">
        <v>6753</v>
      </c>
      <c r="E2261" t="s">
        <v>49</v>
      </c>
      <c r="F2261">
        <v>5</v>
      </c>
      <c r="G2261">
        <v>0.34202327628393187</v>
      </c>
      <c r="H2261" t="s">
        <v>105</v>
      </c>
      <c r="I2261">
        <v>0</v>
      </c>
      <c r="J2261">
        <v>0</v>
      </c>
      <c r="K2261">
        <v>0</v>
      </c>
    </row>
    <row r="2262" spans="1:11" x14ac:dyDescent="0.2">
      <c r="A2262" t="s">
        <v>16</v>
      </c>
      <c r="B2262" t="s">
        <v>666</v>
      </c>
      <c r="C2262">
        <v>270</v>
      </c>
      <c r="D2262" t="s">
        <v>6750</v>
      </c>
      <c r="E2262" t="s">
        <v>49</v>
      </c>
      <c r="F2262">
        <v>5</v>
      </c>
      <c r="G2262">
        <v>0.34202327628393187</v>
      </c>
      <c r="H2262" t="s">
        <v>94</v>
      </c>
      <c r="I2262">
        <v>0</v>
      </c>
      <c r="J2262">
        <v>0</v>
      </c>
      <c r="K2262">
        <v>0</v>
      </c>
    </row>
    <row r="2263" spans="1:11" x14ac:dyDescent="0.2">
      <c r="A2263" t="s">
        <v>16</v>
      </c>
      <c r="B2263" t="s">
        <v>666</v>
      </c>
      <c r="C2263">
        <v>270</v>
      </c>
      <c r="D2263" t="s">
        <v>6749</v>
      </c>
      <c r="E2263" t="s">
        <v>49</v>
      </c>
      <c r="F2263">
        <v>5</v>
      </c>
      <c r="G2263">
        <v>0.34202327628393187</v>
      </c>
      <c r="H2263" t="s">
        <v>91</v>
      </c>
      <c r="I2263">
        <v>0</v>
      </c>
      <c r="J2263">
        <v>0</v>
      </c>
      <c r="K2263">
        <v>0</v>
      </c>
    </row>
    <row r="2264" spans="1:11" x14ac:dyDescent="0.2">
      <c r="A2264" t="s">
        <v>16</v>
      </c>
      <c r="B2264" t="s">
        <v>666</v>
      </c>
      <c r="C2264">
        <v>270</v>
      </c>
      <c r="D2264" t="s">
        <v>6746</v>
      </c>
      <c r="E2264" t="s">
        <v>49</v>
      </c>
      <c r="F2264">
        <v>5</v>
      </c>
      <c r="G2264">
        <v>0.34202327628393187</v>
      </c>
      <c r="H2264" t="s">
        <v>99</v>
      </c>
      <c r="I2264">
        <v>0</v>
      </c>
      <c r="J2264">
        <v>0</v>
      </c>
      <c r="K2264">
        <v>0</v>
      </c>
    </row>
    <row r="2265" spans="1:11" x14ac:dyDescent="0.2">
      <c r="A2265" t="s">
        <v>16</v>
      </c>
      <c r="B2265" t="s">
        <v>666</v>
      </c>
      <c r="C2265">
        <v>270</v>
      </c>
      <c r="D2265" t="s">
        <v>6742</v>
      </c>
      <c r="E2265" t="s">
        <v>49</v>
      </c>
      <c r="F2265">
        <v>5</v>
      </c>
      <c r="G2265">
        <v>0.34202327628393187</v>
      </c>
      <c r="H2265" t="s">
        <v>103</v>
      </c>
      <c r="I2265">
        <v>0</v>
      </c>
      <c r="J2265">
        <v>0</v>
      </c>
      <c r="K2265">
        <v>0</v>
      </c>
    </row>
    <row r="2266" spans="1:11" x14ac:dyDescent="0.2">
      <c r="A2266" t="s">
        <v>16</v>
      </c>
      <c r="B2266" t="s">
        <v>666</v>
      </c>
      <c r="C2266">
        <v>90</v>
      </c>
      <c r="D2266" t="s">
        <v>6744</v>
      </c>
      <c r="E2266" t="s">
        <v>49</v>
      </c>
      <c r="F2266">
        <v>5</v>
      </c>
      <c r="G2266">
        <v>0.11400775876131063</v>
      </c>
      <c r="H2266" t="s">
        <v>105</v>
      </c>
      <c r="I2266">
        <v>0</v>
      </c>
      <c r="J2266">
        <v>0</v>
      </c>
      <c r="K2266">
        <v>0</v>
      </c>
    </row>
    <row r="2267" spans="1:11" x14ac:dyDescent="0.2">
      <c r="A2267" t="s">
        <v>16</v>
      </c>
      <c r="B2267" t="s">
        <v>666</v>
      </c>
      <c r="C2267">
        <v>270</v>
      </c>
      <c r="D2267" t="s">
        <v>6743</v>
      </c>
      <c r="E2267" t="s">
        <v>49</v>
      </c>
      <c r="F2267">
        <v>5</v>
      </c>
      <c r="G2267">
        <v>0.34202327628393187</v>
      </c>
      <c r="H2267" t="s">
        <v>94</v>
      </c>
      <c r="I2267">
        <v>0</v>
      </c>
      <c r="J2267">
        <v>0</v>
      </c>
      <c r="K2267">
        <v>0</v>
      </c>
    </row>
    <row r="2268" spans="1:11" x14ac:dyDescent="0.2">
      <c r="A2268" t="s">
        <v>16</v>
      </c>
      <c r="B2268" t="s">
        <v>666</v>
      </c>
      <c r="C2268">
        <v>270</v>
      </c>
      <c r="D2268" t="s">
        <v>6747</v>
      </c>
      <c r="E2268" t="s">
        <v>49</v>
      </c>
      <c r="F2268">
        <v>5</v>
      </c>
      <c r="G2268">
        <v>0.34202327628393187</v>
      </c>
      <c r="H2268" t="s">
        <v>91</v>
      </c>
      <c r="I2268">
        <v>0</v>
      </c>
      <c r="J2268">
        <v>0</v>
      </c>
      <c r="K2268">
        <v>0</v>
      </c>
    </row>
    <row r="2269" spans="1:11" x14ac:dyDescent="0.2">
      <c r="A2269" t="s">
        <v>16</v>
      </c>
      <c r="B2269" t="s">
        <v>666</v>
      </c>
      <c r="C2269">
        <v>270</v>
      </c>
      <c r="D2269" t="s">
        <v>6752</v>
      </c>
      <c r="E2269" t="s">
        <v>49</v>
      </c>
      <c r="F2269">
        <v>5</v>
      </c>
      <c r="G2269">
        <v>0.34202327628393187</v>
      </c>
      <c r="H2269" t="s">
        <v>105</v>
      </c>
      <c r="I2269">
        <v>0</v>
      </c>
      <c r="J2269">
        <v>0</v>
      </c>
      <c r="K2269">
        <v>0</v>
      </c>
    </row>
    <row r="2270" spans="1:11" x14ac:dyDescent="0.2">
      <c r="A2270" t="s">
        <v>16</v>
      </c>
      <c r="B2270" t="s">
        <v>666</v>
      </c>
      <c r="C2270">
        <v>270</v>
      </c>
      <c r="D2270" t="s">
        <v>6745</v>
      </c>
      <c r="E2270" t="s">
        <v>49</v>
      </c>
      <c r="F2270">
        <v>5</v>
      </c>
      <c r="G2270">
        <v>0.34202327628393187</v>
      </c>
      <c r="H2270" t="s">
        <v>99</v>
      </c>
      <c r="I2270">
        <v>0</v>
      </c>
      <c r="J2270">
        <v>0</v>
      </c>
      <c r="K2270">
        <v>0</v>
      </c>
    </row>
    <row r="2271" spans="1:11" x14ac:dyDescent="0.2">
      <c r="A2271" t="s">
        <v>16</v>
      </c>
      <c r="B2271" t="s">
        <v>666</v>
      </c>
      <c r="C2271">
        <v>270</v>
      </c>
      <c r="D2271" t="s">
        <v>6741</v>
      </c>
      <c r="E2271" t="s">
        <v>49</v>
      </c>
      <c r="F2271">
        <v>5</v>
      </c>
      <c r="G2271">
        <v>0.34202327628393187</v>
      </c>
      <c r="H2271" t="s">
        <v>103</v>
      </c>
      <c r="I2271">
        <v>0</v>
      </c>
      <c r="J2271">
        <v>0</v>
      </c>
      <c r="K2271">
        <v>0</v>
      </c>
    </row>
    <row r="2272" spans="1:11" x14ac:dyDescent="0.2">
      <c r="A2272" t="s">
        <v>16</v>
      </c>
      <c r="B2272" t="s">
        <v>666</v>
      </c>
      <c r="C2272">
        <v>90</v>
      </c>
      <c r="D2272" t="s">
        <v>6754</v>
      </c>
      <c r="E2272" t="s">
        <v>49</v>
      </c>
      <c r="F2272">
        <v>5</v>
      </c>
      <c r="G2272">
        <v>0.11400775876131063</v>
      </c>
      <c r="H2272" t="s">
        <v>94</v>
      </c>
      <c r="I2272">
        <v>0</v>
      </c>
      <c r="J2272">
        <v>0</v>
      </c>
      <c r="K2272">
        <v>0</v>
      </c>
    </row>
    <row r="2273" spans="1:11" x14ac:dyDescent="0.2">
      <c r="A2273" t="s">
        <v>16</v>
      </c>
      <c r="B2273" t="s">
        <v>666</v>
      </c>
      <c r="C2273">
        <v>180</v>
      </c>
      <c r="D2273" t="s">
        <v>6748</v>
      </c>
      <c r="E2273" t="s">
        <v>49</v>
      </c>
      <c r="F2273">
        <v>5</v>
      </c>
      <c r="G2273">
        <v>0.22801551752262125</v>
      </c>
      <c r="H2273" t="s">
        <v>91</v>
      </c>
      <c r="I2273">
        <v>0</v>
      </c>
      <c r="J2273">
        <v>0</v>
      </c>
      <c r="K2273">
        <v>0</v>
      </c>
    </row>
    <row r="2274" spans="1:11" x14ac:dyDescent="0.2">
      <c r="A2274" t="s">
        <v>16</v>
      </c>
      <c r="B2274" t="s">
        <v>666</v>
      </c>
      <c r="C2274">
        <v>270</v>
      </c>
      <c r="D2274" t="s">
        <v>6751</v>
      </c>
      <c r="E2274" t="s">
        <v>49</v>
      </c>
      <c r="F2274">
        <v>5</v>
      </c>
      <c r="G2274">
        <v>0.34202327628393187</v>
      </c>
      <c r="H2274" t="s">
        <v>105</v>
      </c>
      <c r="I2274">
        <v>0</v>
      </c>
      <c r="J2274">
        <v>0</v>
      </c>
      <c r="K2274">
        <v>0</v>
      </c>
    </row>
    <row r="2275" spans="1:11" x14ac:dyDescent="0.2">
      <c r="A2275" t="s">
        <v>16</v>
      </c>
      <c r="B2275" t="s">
        <v>779</v>
      </c>
      <c r="C2275">
        <v>300</v>
      </c>
      <c r="D2275" t="s">
        <v>6769</v>
      </c>
      <c r="E2275" t="s">
        <v>49</v>
      </c>
      <c r="F2275">
        <v>34</v>
      </c>
      <c r="G2275">
        <v>0.3302613073877515</v>
      </c>
      <c r="H2275" t="s">
        <v>88</v>
      </c>
      <c r="I2275">
        <v>0</v>
      </c>
      <c r="J2275">
        <v>0</v>
      </c>
      <c r="K2275">
        <v>0</v>
      </c>
    </row>
    <row r="2276" spans="1:11" x14ac:dyDescent="0.2">
      <c r="A2276" t="s">
        <v>16</v>
      </c>
      <c r="B2276" t="s">
        <v>779</v>
      </c>
      <c r="C2276">
        <v>300</v>
      </c>
      <c r="D2276" t="s">
        <v>6763</v>
      </c>
      <c r="E2276" t="s">
        <v>49</v>
      </c>
      <c r="F2276">
        <v>34</v>
      </c>
      <c r="G2276">
        <v>0.3302613073877515</v>
      </c>
      <c r="H2276" t="s">
        <v>93</v>
      </c>
      <c r="I2276">
        <v>0</v>
      </c>
      <c r="J2276">
        <v>0</v>
      </c>
      <c r="K2276">
        <v>0</v>
      </c>
    </row>
    <row r="2277" spans="1:11" x14ac:dyDescent="0.2">
      <c r="A2277" t="s">
        <v>16</v>
      </c>
      <c r="B2277" t="s">
        <v>779</v>
      </c>
      <c r="C2277">
        <v>300</v>
      </c>
      <c r="D2277" t="s">
        <v>6777</v>
      </c>
      <c r="E2277" t="s">
        <v>49</v>
      </c>
      <c r="F2277">
        <v>34</v>
      </c>
      <c r="G2277">
        <v>0.3302613073877515</v>
      </c>
      <c r="H2277" t="s">
        <v>92</v>
      </c>
      <c r="I2277">
        <v>0</v>
      </c>
      <c r="J2277">
        <v>0</v>
      </c>
      <c r="K2277">
        <v>0</v>
      </c>
    </row>
    <row r="2278" spans="1:11" x14ac:dyDescent="0.2">
      <c r="A2278" t="s">
        <v>16</v>
      </c>
      <c r="B2278" t="s">
        <v>779</v>
      </c>
      <c r="C2278">
        <v>300</v>
      </c>
      <c r="D2278" t="s">
        <v>6772</v>
      </c>
      <c r="E2278" t="s">
        <v>49</v>
      </c>
      <c r="F2278">
        <v>34</v>
      </c>
      <c r="G2278">
        <v>0.3302613073877515</v>
      </c>
      <c r="H2278" t="s">
        <v>100</v>
      </c>
      <c r="I2278">
        <v>0</v>
      </c>
      <c r="J2278">
        <v>0</v>
      </c>
      <c r="K2278">
        <v>0</v>
      </c>
    </row>
    <row r="2279" spans="1:11" x14ac:dyDescent="0.2">
      <c r="A2279" t="s">
        <v>16</v>
      </c>
      <c r="B2279" t="s">
        <v>779</v>
      </c>
      <c r="C2279">
        <v>300</v>
      </c>
      <c r="D2279" t="s">
        <v>6776</v>
      </c>
      <c r="E2279" t="s">
        <v>49</v>
      </c>
      <c r="F2279">
        <v>34</v>
      </c>
      <c r="G2279">
        <v>0.3302613073877515</v>
      </c>
      <c r="H2279" t="s">
        <v>88</v>
      </c>
      <c r="I2279">
        <v>0</v>
      </c>
      <c r="J2279">
        <v>0</v>
      </c>
      <c r="K2279">
        <v>0</v>
      </c>
    </row>
    <row r="2280" spans="1:11" x14ac:dyDescent="0.2">
      <c r="A2280" t="s">
        <v>16</v>
      </c>
      <c r="B2280" t="s">
        <v>779</v>
      </c>
      <c r="C2280">
        <v>300</v>
      </c>
      <c r="D2280" t="s">
        <v>6775</v>
      </c>
      <c r="E2280" t="s">
        <v>49</v>
      </c>
      <c r="F2280">
        <v>34</v>
      </c>
      <c r="G2280">
        <v>0.3302613073877515</v>
      </c>
      <c r="H2280" t="s">
        <v>84</v>
      </c>
      <c r="I2280">
        <v>0</v>
      </c>
      <c r="J2280">
        <v>0</v>
      </c>
      <c r="K2280">
        <v>0</v>
      </c>
    </row>
    <row r="2281" spans="1:11" x14ac:dyDescent="0.2">
      <c r="A2281" t="s">
        <v>16</v>
      </c>
      <c r="B2281" t="s">
        <v>779</v>
      </c>
      <c r="C2281">
        <v>300</v>
      </c>
      <c r="D2281" t="s">
        <v>6774</v>
      </c>
      <c r="E2281" t="s">
        <v>49</v>
      </c>
      <c r="F2281">
        <v>34</v>
      </c>
      <c r="G2281">
        <v>0.3302613073877515</v>
      </c>
      <c r="H2281" t="s">
        <v>93</v>
      </c>
      <c r="I2281">
        <v>0</v>
      </c>
      <c r="J2281">
        <v>0</v>
      </c>
      <c r="K2281">
        <v>0</v>
      </c>
    </row>
    <row r="2282" spans="1:11" x14ac:dyDescent="0.2">
      <c r="A2282" t="s">
        <v>16</v>
      </c>
      <c r="B2282" t="s">
        <v>779</v>
      </c>
      <c r="C2282">
        <v>300</v>
      </c>
      <c r="D2282" t="s">
        <v>6783</v>
      </c>
      <c r="E2282" t="s">
        <v>49</v>
      </c>
      <c r="F2282">
        <v>34</v>
      </c>
      <c r="G2282">
        <v>0.3302613073877515</v>
      </c>
      <c r="H2282" t="s">
        <v>92</v>
      </c>
      <c r="I2282">
        <v>0</v>
      </c>
      <c r="J2282">
        <v>0</v>
      </c>
      <c r="K2282">
        <v>0</v>
      </c>
    </row>
    <row r="2283" spans="1:11" x14ac:dyDescent="0.2">
      <c r="A2283" t="s">
        <v>16</v>
      </c>
      <c r="B2283" t="s">
        <v>779</v>
      </c>
      <c r="C2283">
        <v>300</v>
      </c>
      <c r="D2283" t="s">
        <v>6756</v>
      </c>
      <c r="E2283" t="s">
        <v>49</v>
      </c>
      <c r="F2283">
        <v>34</v>
      </c>
      <c r="G2283">
        <v>0.3302613073877515</v>
      </c>
      <c r="H2283" t="s">
        <v>96</v>
      </c>
      <c r="I2283">
        <v>0</v>
      </c>
      <c r="J2283">
        <v>0</v>
      </c>
      <c r="K2283">
        <v>0</v>
      </c>
    </row>
    <row r="2284" spans="1:11" x14ac:dyDescent="0.2">
      <c r="A2284" t="s">
        <v>16</v>
      </c>
      <c r="B2284" t="s">
        <v>779</v>
      </c>
      <c r="C2284">
        <v>300</v>
      </c>
      <c r="D2284" t="s">
        <v>6766</v>
      </c>
      <c r="E2284" t="s">
        <v>49</v>
      </c>
      <c r="F2284">
        <v>34</v>
      </c>
      <c r="G2284">
        <v>0.3302613073877515</v>
      </c>
      <c r="H2284" t="s">
        <v>94</v>
      </c>
      <c r="I2284">
        <v>0</v>
      </c>
      <c r="J2284">
        <v>0</v>
      </c>
      <c r="K2284">
        <v>0</v>
      </c>
    </row>
    <row r="2285" spans="1:11" x14ac:dyDescent="0.2">
      <c r="A2285" t="s">
        <v>16</v>
      </c>
      <c r="B2285" t="s">
        <v>779</v>
      </c>
      <c r="C2285">
        <v>300</v>
      </c>
      <c r="D2285" t="s">
        <v>6794</v>
      </c>
      <c r="E2285" t="s">
        <v>49</v>
      </c>
      <c r="F2285">
        <v>34</v>
      </c>
      <c r="G2285">
        <v>0.3302613073877515</v>
      </c>
      <c r="H2285" t="s">
        <v>89</v>
      </c>
      <c r="I2285">
        <v>0</v>
      </c>
      <c r="J2285">
        <v>0</v>
      </c>
      <c r="K2285">
        <v>0</v>
      </c>
    </row>
    <row r="2286" spans="1:11" x14ac:dyDescent="0.2">
      <c r="A2286" t="s">
        <v>16</v>
      </c>
      <c r="B2286" t="s">
        <v>779</v>
      </c>
      <c r="C2286">
        <v>300</v>
      </c>
      <c r="D2286" t="s">
        <v>6757</v>
      </c>
      <c r="E2286" t="s">
        <v>49</v>
      </c>
      <c r="F2286">
        <v>34</v>
      </c>
      <c r="G2286">
        <v>0.3302613073877515</v>
      </c>
      <c r="H2286" t="s">
        <v>99</v>
      </c>
      <c r="I2286">
        <v>0</v>
      </c>
      <c r="J2286">
        <v>0</v>
      </c>
      <c r="K2286">
        <v>0</v>
      </c>
    </row>
    <row r="2287" spans="1:11" x14ac:dyDescent="0.2">
      <c r="A2287" t="s">
        <v>16</v>
      </c>
      <c r="B2287" t="s">
        <v>779</v>
      </c>
      <c r="C2287">
        <v>300</v>
      </c>
      <c r="D2287" t="s">
        <v>6773</v>
      </c>
      <c r="E2287" t="s">
        <v>49</v>
      </c>
      <c r="F2287">
        <v>34</v>
      </c>
      <c r="G2287">
        <v>0.3302613073877515</v>
      </c>
      <c r="H2287" t="s">
        <v>100</v>
      </c>
      <c r="I2287">
        <v>0</v>
      </c>
      <c r="J2287">
        <v>0</v>
      </c>
      <c r="K2287">
        <v>0</v>
      </c>
    </row>
    <row r="2288" spans="1:11" x14ac:dyDescent="0.2">
      <c r="A2288" t="s">
        <v>16</v>
      </c>
      <c r="B2288" t="s">
        <v>779</v>
      </c>
      <c r="C2288">
        <v>300</v>
      </c>
      <c r="D2288" t="s">
        <v>6792</v>
      </c>
      <c r="E2288" t="s">
        <v>49</v>
      </c>
      <c r="F2288">
        <v>34</v>
      </c>
      <c r="G2288">
        <v>0.3302613073877515</v>
      </c>
      <c r="H2288" t="s">
        <v>103</v>
      </c>
      <c r="I2288">
        <v>0</v>
      </c>
      <c r="J2288">
        <v>0</v>
      </c>
      <c r="K2288">
        <v>0</v>
      </c>
    </row>
    <row r="2289" spans="1:11" x14ac:dyDescent="0.2">
      <c r="A2289" t="s">
        <v>16</v>
      </c>
      <c r="B2289" t="s">
        <v>779</v>
      </c>
      <c r="C2289">
        <v>300</v>
      </c>
      <c r="D2289" t="s">
        <v>6780</v>
      </c>
      <c r="E2289" t="s">
        <v>49</v>
      </c>
      <c r="F2289">
        <v>34</v>
      </c>
      <c r="G2289">
        <v>0.3302613073877515</v>
      </c>
      <c r="H2289" t="s">
        <v>87</v>
      </c>
      <c r="I2289">
        <v>0</v>
      </c>
      <c r="J2289">
        <v>0</v>
      </c>
      <c r="K2289">
        <v>0</v>
      </c>
    </row>
    <row r="2290" spans="1:11" x14ac:dyDescent="0.2">
      <c r="A2290" t="s">
        <v>16</v>
      </c>
      <c r="B2290" t="s">
        <v>779</v>
      </c>
      <c r="C2290">
        <v>300</v>
      </c>
      <c r="D2290" t="s">
        <v>6793</v>
      </c>
      <c r="E2290" t="s">
        <v>49</v>
      </c>
      <c r="F2290">
        <v>34</v>
      </c>
      <c r="G2290">
        <v>0.3302613073877515</v>
      </c>
      <c r="H2290" t="s">
        <v>88</v>
      </c>
      <c r="I2290">
        <v>0</v>
      </c>
      <c r="J2290">
        <v>0</v>
      </c>
      <c r="K2290">
        <v>0</v>
      </c>
    </row>
    <row r="2291" spans="1:11" x14ac:dyDescent="0.2">
      <c r="A2291" t="s">
        <v>16</v>
      </c>
      <c r="B2291" t="s">
        <v>779</v>
      </c>
      <c r="C2291">
        <v>300</v>
      </c>
      <c r="D2291" t="s">
        <v>6790</v>
      </c>
      <c r="E2291" t="s">
        <v>49</v>
      </c>
      <c r="F2291">
        <v>34</v>
      </c>
      <c r="G2291">
        <v>0.3302613073877515</v>
      </c>
      <c r="H2291" t="s">
        <v>84</v>
      </c>
      <c r="I2291">
        <v>0</v>
      </c>
      <c r="J2291">
        <v>0</v>
      </c>
      <c r="K2291">
        <v>0</v>
      </c>
    </row>
    <row r="2292" spans="1:11" x14ac:dyDescent="0.2">
      <c r="A2292" t="s">
        <v>16</v>
      </c>
      <c r="B2292" t="s">
        <v>779</v>
      </c>
      <c r="C2292">
        <v>300</v>
      </c>
      <c r="D2292" t="s">
        <v>6788</v>
      </c>
      <c r="E2292" t="s">
        <v>49</v>
      </c>
      <c r="F2292">
        <v>34</v>
      </c>
      <c r="G2292">
        <v>0.3302613073877515</v>
      </c>
      <c r="H2292" t="s">
        <v>93</v>
      </c>
      <c r="I2292">
        <v>0</v>
      </c>
      <c r="J2292">
        <v>0</v>
      </c>
      <c r="K2292">
        <v>0</v>
      </c>
    </row>
    <row r="2293" spans="1:11" x14ac:dyDescent="0.2">
      <c r="A2293" t="s">
        <v>16</v>
      </c>
      <c r="B2293" t="s">
        <v>779</v>
      </c>
      <c r="C2293">
        <v>300</v>
      </c>
      <c r="D2293" t="s">
        <v>6791</v>
      </c>
      <c r="E2293" t="s">
        <v>49</v>
      </c>
      <c r="F2293">
        <v>34</v>
      </c>
      <c r="G2293">
        <v>0.3302613073877515</v>
      </c>
      <c r="H2293" t="s">
        <v>91</v>
      </c>
      <c r="I2293">
        <v>0</v>
      </c>
      <c r="J2293">
        <v>0</v>
      </c>
      <c r="K2293">
        <v>0</v>
      </c>
    </row>
    <row r="2294" spans="1:11" x14ac:dyDescent="0.2">
      <c r="A2294" t="s">
        <v>16</v>
      </c>
      <c r="B2294" t="s">
        <v>779</v>
      </c>
      <c r="C2294">
        <v>300</v>
      </c>
      <c r="D2294" t="s">
        <v>6755</v>
      </c>
      <c r="E2294" t="s">
        <v>49</v>
      </c>
      <c r="F2294">
        <v>34</v>
      </c>
      <c r="G2294">
        <v>0.3302613073877515</v>
      </c>
      <c r="H2294" t="s">
        <v>101</v>
      </c>
      <c r="I2294">
        <v>0</v>
      </c>
      <c r="J2294">
        <v>0</v>
      </c>
      <c r="K2294">
        <v>0</v>
      </c>
    </row>
    <row r="2295" spans="1:11" x14ac:dyDescent="0.2">
      <c r="A2295" t="s">
        <v>16</v>
      </c>
      <c r="B2295" t="s">
        <v>779</v>
      </c>
      <c r="C2295">
        <v>300</v>
      </c>
      <c r="D2295" t="s">
        <v>6778</v>
      </c>
      <c r="E2295" t="s">
        <v>49</v>
      </c>
      <c r="F2295">
        <v>34</v>
      </c>
      <c r="G2295">
        <v>0.3302613073877515</v>
      </c>
      <c r="H2295" t="s">
        <v>104</v>
      </c>
      <c r="I2295">
        <v>0</v>
      </c>
      <c r="J2295">
        <v>0</v>
      </c>
      <c r="K2295">
        <v>0</v>
      </c>
    </row>
    <row r="2296" spans="1:11" x14ac:dyDescent="0.2">
      <c r="A2296" t="s">
        <v>16</v>
      </c>
      <c r="B2296" t="s">
        <v>779</v>
      </c>
      <c r="C2296">
        <v>300</v>
      </c>
      <c r="D2296" t="s">
        <v>6758</v>
      </c>
      <c r="E2296" t="s">
        <v>49</v>
      </c>
      <c r="F2296">
        <v>34</v>
      </c>
      <c r="G2296">
        <v>0.3302613073877515</v>
      </c>
      <c r="H2296" t="s">
        <v>90</v>
      </c>
      <c r="I2296">
        <v>0</v>
      </c>
      <c r="J2296">
        <v>0</v>
      </c>
      <c r="K2296">
        <v>0</v>
      </c>
    </row>
    <row r="2297" spans="1:11" x14ac:dyDescent="0.2">
      <c r="A2297" t="s">
        <v>16</v>
      </c>
      <c r="B2297" t="s">
        <v>779</v>
      </c>
      <c r="C2297">
        <v>300</v>
      </c>
      <c r="D2297" t="s">
        <v>6761</v>
      </c>
      <c r="E2297" t="s">
        <v>49</v>
      </c>
      <c r="F2297">
        <v>34</v>
      </c>
      <c r="G2297">
        <v>0.3302613073877515</v>
      </c>
      <c r="H2297" t="s">
        <v>92</v>
      </c>
      <c r="I2297">
        <v>0</v>
      </c>
      <c r="J2297">
        <v>0</v>
      </c>
      <c r="K2297">
        <v>0</v>
      </c>
    </row>
    <row r="2298" spans="1:11" x14ac:dyDescent="0.2">
      <c r="A2298" t="s">
        <v>16</v>
      </c>
      <c r="B2298" t="s">
        <v>779</v>
      </c>
      <c r="C2298">
        <v>300</v>
      </c>
      <c r="D2298" t="s">
        <v>6765</v>
      </c>
      <c r="E2298" t="s">
        <v>49</v>
      </c>
      <c r="F2298">
        <v>34</v>
      </c>
      <c r="G2298">
        <v>0.3302613073877515</v>
      </c>
      <c r="H2298" t="s">
        <v>95</v>
      </c>
      <c r="I2298">
        <v>0</v>
      </c>
      <c r="J2298">
        <v>0</v>
      </c>
      <c r="K2298">
        <v>0</v>
      </c>
    </row>
    <row r="2299" spans="1:11" x14ac:dyDescent="0.2">
      <c r="A2299" t="s">
        <v>16</v>
      </c>
      <c r="B2299" t="s">
        <v>779</v>
      </c>
      <c r="C2299">
        <v>300</v>
      </c>
      <c r="D2299" t="s">
        <v>6762</v>
      </c>
      <c r="E2299" t="s">
        <v>49</v>
      </c>
      <c r="F2299">
        <v>34</v>
      </c>
      <c r="G2299">
        <v>0.3302613073877515</v>
      </c>
      <c r="H2299" t="s">
        <v>105</v>
      </c>
      <c r="I2299">
        <v>0</v>
      </c>
      <c r="J2299">
        <v>0</v>
      </c>
      <c r="K2299">
        <v>0</v>
      </c>
    </row>
    <row r="2300" spans="1:11" x14ac:dyDescent="0.2">
      <c r="A2300" t="s">
        <v>16</v>
      </c>
      <c r="B2300" t="s">
        <v>779</v>
      </c>
      <c r="C2300">
        <v>300</v>
      </c>
      <c r="D2300" t="s">
        <v>6767</v>
      </c>
      <c r="E2300" t="s">
        <v>49</v>
      </c>
      <c r="F2300">
        <v>34</v>
      </c>
      <c r="G2300">
        <v>0.3302613073877515</v>
      </c>
      <c r="H2300" t="s">
        <v>96</v>
      </c>
      <c r="I2300">
        <v>0</v>
      </c>
      <c r="J2300">
        <v>0</v>
      </c>
      <c r="K2300">
        <v>0</v>
      </c>
    </row>
    <row r="2301" spans="1:11" x14ac:dyDescent="0.2">
      <c r="A2301" t="s">
        <v>16</v>
      </c>
      <c r="B2301" t="s">
        <v>779</v>
      </c>
      <c r="C2301">
        <v>300</v>
      </c>
      <c r="D2301" t="s">
        <v>6770</v>
      </c>
      <c r="E2301" t="s">
        <v>49</v>
      </c>
      <c r="F2301">
        <v>34</v>
      </c>
      <c r="G2301">
        <v>0.3302613073877515</v>
      </c>
      <c r="H2301" t="s">
        <v>94</v>
      </c>
      <c r="I2301">
        <v>0</v>
      </c>
      <c r="J2301">
        <v>0</v>
      </c>
      <c r="K2301">
        <v>0</v>
      </c>
    </row>
    <row r="2302" spans="1:11" x14ac:dyDescent="0.2">
      <c r="A2302" t="s">
        <v>16</v>
      </c>
      <c r="B2302" t="s">
        <v>779</v>
      </c>
      <c r="C2302">
        <v>300</v>
      </c>
      <c r="D2302" t="s">
        <v>6768</v>
      </c>
      <c r="E2302" t="s">
        <v>49</v>
      </c>
      <c r="F2302">
        <v>34</v>
      </c>
      <c r="G2302">
        <v>0.3302613073877515</v>
      </c>
      <c r="H2302" t="s">
        <v>89</v>
      </c>
      <c r="I2302">
        <v>0</v>
      </c>
      <c r="J2302">
        <v>0</v>
      </c>
      <c r="K2302">
        <v>0</v>
      </c>
    </row>
    <row r="2303" spans="1:11" x14ac:dyDescent="0.2">
      <c r="A2303" t="s">
        <v>16</v>
      </c>
      <c r="B2303" t="s">
        <v>779</v>
      </c>
      <c r="C2303">
        <v>300</v>
      </c>
      <c r="D2303" t="s">
        <v>6779</v>
      </c>
      <c r="E2303" t="s">
        <v>49</v>
      </c>
      <c r="F2303">
        <v>34</v>
      </c>
      <c r="G2303">
        <v>0.3302613073877515</v>
      </c>
      <c r="H2303" t="s">
        <v>99</v>
      </c>
      <c r="I2303">
        <v>0</v>
      </c>
      <c r="J2303">
        <v>0</v>
      </c>
      <c r="K2303">
        <v>0</v>
      </c>
    </row>
    <row r="2304" spans="1:11" x14ac:dyDescent="0.2">
      <c r="A2304" t="s">
        <v>16</v>
      </c>
      <c r="B2304" t="s">
        <v>779</v>
      </c>
      <c r="C2304">
        <v>100</v>
      </c>
      <c r="D2304" t="s">
        <v>6782</v>
      </c>
      <c r="E2304" t="s">
        <v>49</v>
      </c>
      <c r="F2304">
        <v>34</v>
      </c>
      <c r="G2304">
        <v>0.11008710246258382</v>
      </c>
      <c r="H2304" t="s">
        <v>100</v>
      </c>
      <c r="I2304">
        <v>0</v>
      </c>
      <c r="J2304">
        <v>0</v>
      </c>
      <c r="K2304">
        <v>0</v>
      </c>
    </row>
    <row r="2305" spans="1:11" x14ac:dyDescent="0.2">
      <c r="A2305" t="s">
        <v>16</v>
      </c>
      <c r="B2305" t="s">
        <v>779</v>
      </c>
      <c r="C2305">
        <v>300</v>
      </c>
      <c r="D2305" t="s">
        <v>6764</v>
      </c>
      <c r="E2305" t="s">
        <v>49</v>
      </c>
      <c r="F2305">
        <v>34</v>
      </c>
      <c r="G2305">
        <v>0.3302613073877515</v>
      </c>
      <c r="H2305" t="s">
        <v>103</v>
      </c>
      <c r="I2305">
        <v>0</v>
      </c>
      <c r="J2305">
        <v>0</v>
      </c>
      <c r="K2305">
        <v>0</v>
      </c>
    </row>
    <row r="2306" spans="1:11" x14ac:dyDescent="0.2">
      <c r="A2306" t="s">
        <v>16</v>
      </c>
      <c r="B2306" t="s">
        <v>779</v>
      </c>
      <c r="C2306">
        <v>300</v>
      </c>
      <c r="D2306" t="s">
        <v>6781</v>
      </c>
      <c r="E2306" t="s">
        <v>49</v>
      </c>
      <c r="F2306">
        <v>34</v>
      </c>
      <c r="G2306">
        <v>0.3302613073877515</v>
      </c>
      <c r="H2306" t="s">
        <v>87</v>
      </c>
      <c r="I2306">
        <v>0</v>
      </c>
      <c r="J2306">
        <v>0</v>
      </c>
      <c r="K2306">
        <v>0</v>
      </c>
    </row>
    <row r="2307" spans="1:11" x14ac:dyDescent="0.2">
      <c r="A2307" t="s">
        <v>16</v>
      </c>
      <c r="B2307" t="s">
        <v>779</v>
      </c>
      <c r="C2307">
        <v>300</v>
      </c>
      <c r="D2307" t="s">
        <v>6760</v>
      </c>
      <c r="E2307" t="s">
        <v>49</v>
      </c>
      <c r="F2307">
        <v>34</v>
      </c>
      <c r="G2307">
        <v>0.3302613073877515</v>
      </c>
      <c r="H2307" t="s">
        <v>88</v>
      </c>
      <c r="I2307">
        <v>0</v>
      </c>
      <c r="J2307">
        <v>0</v>
      </c>
      <c r="K2307">
        <v>0</v>
      </c>
    </row>
    <row r="2308" spans="1:11" x14ac:dyDescent="0.2">
      <c r="A2308" t="s">
        <v>16</v>
      </c>
      <c r="B2308" t="s">
        <v>779</v>
      </c>
      <c r="C2308">
        <v>100</v>
      </c>
      <c r="D2308" t="s">
        <v>6771</v>
      </c>
      <c r="E2308" t="s">
        <v>49</v>
      </c>
      <c r="F2308">
        <v>34</v>
      </c>
      <c r="G2308">
        <v>0.11008710246258382</v>
      </c>
      <c r="H2308" t="s">
        <v>84</v>
      </c>
      <c r="I2308">
        <v>0</v>
      </c>
      <c r="J2308">
        <v>0</v>
      </c>
      <c r="K2308">
        <v>0</v>
      </c>
    </row>
    <row r="2309" spans="1:11" x14ac:dyDescent="0.2">
      <c r="A2309" t="s">
        <v>16</v>
      </c>
      <c r="B2309" t="s">
        <v>779</v>
      </c>
      <c r="C2309">
        <v>300</v>
      </c>
      <c r="D2309" t="s">
        <v>6786</v>
      </c>
      <c r="E2309" t="s">
        <v>49</v>
      </c>
      <c r="F2309">
        <v>34</v>
      </c>
      <c r="G2309">
        <v>0.3302613073877515</v>
      </c>
      <c r="H2309" t="s">
        <v>93</v>
      </c>
      <c r="I2309">
        <v>0</v>
      </c>
      <c r="J2309">
        <v>0</v>
      </c>
      <c r="K2309">
        <v>0</v>
      </c>
    </row>
    <row r="2310" spans="1:11" x14ac:dyDescent="0.2">
      <c r="A2310" t="s">
        <v>16</v>
      </c>
      <c r="B2310" t="s">
        <v>779</v>
      </c>
      <c r="C2310">
        <v>300</v>
      </c>
      <c r="D2310" t="s">
        <v>6785</v>
      </c>
      <c r="E2310" t="s">
        <v>49</v>
      </c>
      <c r="F2310">
        <v>34</v>
      </c>
      <c r="G2310">
        <v>0.3302613073877515</v>
      </c>
      <c r="H2310" t="s">
        <v>100</v>
      </c>
      <c r="I2310">
        <v>0</v>
      </c>
      <c r="J2310">
        <v>0</v>
      </c>
      <c r="K2310">
        <v>0</v>
      </c>
    </row>
    <row r="2311" spans="1:11" x14ac:dyDescent="0.2">
      <c r="A2311" t="s">
        <v>16</v>
      </c>
      <c r="B2311" t="s">
        <v>779</v>
      </c>
      <c r="C2311">
        <v>200</v>
      </c>
      <c r="D2311" t="s">
        <v>6795</v>
      </c>
      <c r="E2311" t="s">
        <v>49</v>
      </c>
      <c r="F2311">
        <v>34</v>
      </c>
      <c r="G2311">
        <v>0.22017420492516765</v>
      </c>
      <c r="H2311" t="s">
        <v>91</v>
      </c>
      <c r="I2311">
        <v>0</v>
      </c>
      <c r="J2311">
        <v>0</v>
      </c>
      <c r="K2311">
        <v>0</v>
      </c>
    </row>
    <row r="2312" spans="1:11" x14ac:dyDescent="0.2">
      <c r="A2312" t="s">
        <v>16</v>
      </c>
      <c r="B2312" t="s">
        <v>779</v>
      </c>
      <c r="C2312">
        <v>100</v>
      </c>
      <c r="D2312" t="s">
        <v>6759</v>
      </c>
      <c r="E2312" t="s">
        <v>49</v>
      </c>
      <c r="F2312">
        <v>34</v>
      </c>
      <c r="G2312">
        <v>0.11008710246258382</v>
      </c>
      <c r="H2312" t="s">
        <v>101</v>
      </c>
      <c r="I2312">
        <v>0</v>
      </c>
      <c r="J2312">
        <v>0</v>
      </c>
      <c r="K2312">
        <v>0</v>
      </c>
    </row>
    <row r="2313" spans="1:11" x14ac:dyDescent="0.2">
      <c r="A2313" t="s">
        <v>16</v>
      </c>
      <c r="B2313" t="s">
        <v>779</v>
      </c>
      <c r="C2313">
        <v>300</v>
      </c>
      <c r="D2313" t="s">
        <v>6789</v>
      </c>
      <c r="E2313" t="s">
        <v>49</v>
      </c>
      <c r="F2313">
        <v>34</v>
      </c>
      <c r="G2313">
        <v>0.3302613073877515</v>
      </c>
      <c r="H2313" t="s">
        <v>104</v>
      </c>
      <c r="I2313">
        <v>0</v>
      </c>
      <c r="J2313">
        <v>0</v>
      </c>
      <c r="K2313">
        <v>0</v>
      </c>
    </row>
    <row r="2314" spans="1:11" x14ac:dyDescent="0.2">
      <c r="A2314" t="s">
        <v>16</v>
      </c>
      <c r="B2314" t="s">
        <v>779</v>
      </c>
      <c r="C2314">
        <v>300</v>
      </c>
      <c r="D2314" t="s">
        <v>6787</v>
      </c>
      <c r="E2314" t="s">
        <v>49</v>
      </c>
      <c r="F2314">
        <v>34</v>
      </c>
      <c r="G2314">
        <v>0.3302613073877515</v>
      </c>
      <c r="H2314" t="s">
        <v>84</v>
      </c>
      <c r="I2314">
        <v>0</v>
      </c>
      <c r="J2314">
        <v>0</v>
      </c>
      <c r="K2314">
        <v>0</v>
      </c>
    </row>
    <row r="2315" spans="1:11" x14ac:dyDescent="0.2">
      <c r="A2315" t="s">
        <v>16</v>
      </c>
      <c r="B2315" t="s">
        <v>779</v>
      </c>
      <c r="C2315">
        <v>300</v>
      </c>
      <c r="D2315" t="s">
        <v>6784</v>
      </c>
      <c r="E2315" t="s">
        <v>49</v>
      </c>
      <c r="F2315">
        <v>34</v>
      </c>
      <c r="G2315">
        <v>0.3302613073877515</v>
      </c>
      <c r="H2315" t="s">
        <v>90</v>
      </c>
      <c r="I2315">
        <v>0</v>
      </c>
      <c r="J2315">
        <v>0</v>
      </c>
      <c r="K2315">
        <v>0</v>
      </c>
    </row>
    <row r="2316" spans="1:11" x14ac:dyDescent="0.2">
      <c r="A2316" t="s">
        <v>16</v>
      </c>
      <c r="B2316" t="s">
        <v>797</v>
      </c>
      <c r="C2316">
        <v>360</v>
      </c>
      <c r="D2316" t="s">
        <v>6800</v>
      </c>
      <c r="E2316" t="s">
        <v>49</v>
      </c>
      <c r="F2316">
        <v>5</v>
      </c>
      <c r="G2316">
        <v>0.60835823895056962</v>
      </c>
      <c r="H2316" t="s">
        <v>92</v>
      </c>
      <c r="I2316">
        <v>0</v>
      </c>
      <c r="J2316">
        <v>0</v>
      </c>
      <c r="K2316">
        <v>0</v>
      </c>
    </row>
    <row r="2317" spans="1:11" x14ac:dyDescent="0.2">
      <c r="A2317" t="s">
        <v>16</v>
      </c>
      <c r="B2317" t="s">
        <v>797</v>
      </c>
      <c r="C2317">
        <v>360</v>
      </c>
      <c r="D2317" t="s">
        <v>6797</v>
      </c>
      <c r="E2317" t="s">
        <v>49</v>
      </c>
      <c r="F2317">
        <v>5</v>
      </c>
      <c r="G2317">
        <v>0.60835823895056962</v>
      </c>
      <c r="H2317" t="s">
        <v>101</v>
      </c>
      <c r="I2317">
        <v>0</v>
      </c>
      <c r="J2317">
        <v>0</v>
      </c>
      <c r="K2317">
        <v>0</v>
      </c>
    </row>
    <row r="2318" spans="1:11" x14ac:dyDescent="0.2">
      <c r="A2318" t="s">
        <v>16</v>
      </c>
      <c r="B2318" t="s">
        <v>797</v>
      </c>
      <c r="C2318">
        <v>360</v>
      </c>
      <c r="D2318" t="s">
        <v>6801</v>
      </c>
      <c r="E2318" t="s">
        <v>49</v>
      </c>
      <c r="F2318">
        <v>5</v>
      </c>
      <c r="G2318">
        <v>0.60835823895056962</v>
      </c>
      <c r="H2318" t="s">
        <v>95</v>
      </c>
      <c r="I2318">
        <v>0</v>
      </c>
      <c r="J2318">
        <v>0</v>
      </c>
      <c r="K2318">
        <v>0</v>
      </c>
    </row>
    <row r="2319" spans="1:11" x14ac:dyDescent="0.2">
      <c r="A2319" t="s">
        <v>16</v>
      </c>
      <c r="B2319" t="s">
        <v>797</v>
      </c>
      <c r="C2319">
        <v>360</v>
      </c>
      <c r="D2319" t="s">
        <v>6799</v>
      </c>
      <c r="E2319" t="s">
        <v>49</v>
      </c>
      <c r="F2319">
        <v>5</v>
      </c>
      <c r="G2319">
        <v>0.60835823895056962</v>
      </c>
      <c r="H2319" t="s">
        <v>105</v>
      </c>
      <c r="I2319">
        <v>0</v>
      </c>
      <c r="J2319">
        <v>0</v>
      </c>
      <c r="K2319">
        <v>0</v>
      </c>
    </row>
    <row r="2320" spans="1:11" x14ac:dyDescent="0.2">
      <c r="A2320" t="s">
        <v>16</v>
      </c>
      <c r="B2320" t="s">
        <v>797</v>
      </c>
      <c r="C2320">
        <v>240</v>
      </c>
      <c r="D2320" t="s">
        <v>6798</v>
      </c>
      <c r="E2320" t="s">
        <v>49</v>
      </c>
      <c r="F2320">
        <v>5</v>
      </c>
      <c r="G2320">
        <v>0.40557215930037976</v>
      </c>
      <c r="H2320" t="s">
        <v>96</v>
      </c>
      <c r="I2320">
        <v>0</v>
      </c>
      <c r="J2320">
        <v>0</v>
      </c>
      <c r="K2320">
        <v>0</v>
      </c>
    </row>
    <row r="2321" spans="1:11" x14ac:dyDescent="0.2">
      <c r="A2321" t="s">
        <v>16</v>
      </c>
      <c r="B2321" t="s">
        <v>797</v>
      </c>
      <c r="C2321">
        <v>360</v>
      </c>
      <c r="D2321" t="s">
        <v>6796</v>
      </c>
      <c r="E2321" t="s">
        <v>49</v>
      </c>
      <c r="F2321">
        <v>5</v>
      </c>
      <c r="G2321">
        <v>0.60835823895056962</v>
      </c>
      <c r="H2321" t="s">
        <v>96</v>
      </c>
      <c r="I2321">
        <v>0</v>
      </c>
      <c r="J2321">
        <v>0</v>
      </c>
      <c r="K2321">
        <v>0</v>
      </c>
    </row>
    <row r="2322" spans="1:11" x14ac:dyDescent="0.2">
      <c r="A2322" t="s">
        <v>16</v>
      </c>
      <c r="B2322" t="s">
        <v>797</v>
      </c>
      <c r="C2322">
        <v>360</v>
      </c>
      <c r="D2322" t="s">
        <v>6803</v>
      </c>
      <c r="E2322" t="s">
        <v>49</v>
      </c>
      <c r="F2322">
        <v>5</v>
      </c>
      <c r="G2322">
        <v>0.60835823895056962</v>
      </c>
      <c r="H2322" t="s">
        <v>92</v>
      </c>
      <c r="I2322">
        <v>0</v>
      </c>
      <c r="J2322">
        <v>0</v>
      </c>
      <c r="K2322">
        <v>0</v>
      </c>
    </row>
    <row r="2323" spans="1:11" x14ac:dyDescent="0.2">
      <c r="A2323" t="s">
        <v>16</v>
      </c>
      <c r="B2323" t="s">
        <v>797</v>
      </c>
      <c r="C2323">
        <v>120</v>
      </c>
      <c r="D2323" t="s">
        <v>6802</v>
      </c>
      <c r="E2323" t="s">
        <v>49</v>
      </c>
      <c r="F2323">
        <v>5</v>
      </c>
      <c r="G2323">
        <v>0.20278607965018988</v>
      </c>
      <c r="H2323" t="s">
        <v>101</v>
      </c>
      <c r="I2323">
        <v>0</v>
      </c>
      <c r="J2323">
        <v>0</v>
      </c>
      <c r="K2323">
        <v>0</v>
      </c>
    </row>
    <row r="2324" spans="1:11" x14ac:dyDescent="0.2">
      <c r="A2324" t="s">
        <v>16</v>
      </c>
      <c r="B2324" t="s">
        <v>830</v>
      </c>
      <c r="C2324">
        <v>750</v>
      </c>
      <c r="D2324" t="s">
        <v>6805</v>
      </c>
      <c r="E2324" t="s">
        <v>49</v>
      </c>
      <c r="F2324">
        <v>3</v>
      </c>
      <c r="G2324">
        <v>1.2498107037659549</v>
      </c>
      <c r="H2324" t="s">
        <v>94</v>
      </c>
      <c r="I2324">
        <v>0</v>
      </c>
      <c r="J2324">
        <v>0</v>
      </c>
      <c r="K2324">
        <v>0</v>
      </c>
    </row>
    <row r="2325" spans="1:11" x14ac:dyDescent="0.2">
      <c r="A2325" t="s">
        <v>16</v>
      </c>
      <c r="B2325" t="s">
        <v>830</v>
      </c>
      <c r="C2325">
        <v>750</v>
      </c>
      <c r="D2325" t="s">
        <v>6806</v>
      </c>
      <c r="E2325" t="s">
        <v>49</v>
      </c>
      <c r="F2325">
        <v>3</v>
      </c>
      <c r="G2325">
        <v>1.2498107037659549</v>
      </c>
      <c r="H2325" t="s">
        <v>89</v>
      </c>
      <c r="I2325">
        <v>0</v>
      </c>
      <c r="J2325">
        <v>0</v>
      </c>
      <c r="K2325">
        <v>0</v>
      </c>
    </row>
    <row r="2326" spans="1:11" x14ac:dyDescent="0.2">
      <c r="A2326" t="s">
        <v>16</v>
      </c>
      <c r="B2326" t="s">
        <v>830</v>
      </c>
      <c r="C2326">
        <v>250</v>
      </c>
      <c r="D2326" t="s">
        <v>6804</v>
      </c>
      <c r="E2326" t="s">
        <v>49</v>
      </c>
      <c r="F2326">
        <v>3</v>
      </c>
      <c r="G2326">
        <v>0.416603567921985</v>
      </c>
      <c r="H2326" t="s">
        <v>99</v>
      </c>
      <c r="I2326">
        <v>0</v>
      </c>
      <c r="J2326">
        <v>0</v>
      </c>
      <c r="K2326">
        <v>0</v>
      </c>
    </row>
    <row r="2327" spans="1:11" x14ac:dyDescent="0.2">
      <c r="A2327" t="s">
        <v>16</v>
      </c>
      <c r="B2327" t="s">
        <v>868</v>
      </c>
      <c r="C2327">
        <v>100</v>
      </c>
      <c r="D2327" t="s">
        <v>6808</v>
      </c>
      <c r="E2327" t="s">
        <v>49</v>
      </c>
      <c r="F2327">
        <v>1</v>
      </c>
      <c r="G2327">
        <v>0.1791044079018656</v>
      </c>
      <c r="H2327" t="s">
        <v>91</v>
      </c>
      <c r="I2327">
        <v>0</v>
      </c>
      <c r="J2327">
        <v>0</v>
      </c>
      <c r="K2327">
        <v>0</v>
      </c>
    </row>
    <row r="2328" spans="1:11" x14ac:dyDescent="0.2">
      <c r="A2328" t="s">
        <v>16</v>
      </c>
      <c r="B2328" t="s">
        <v>868</v>
      </c>
      <c r="C2328">
        <v>300</v>
      </c>
      <c r="D2328" t="s">
        <v>6807</v>
      </c>
      <c r="E2328" t="s">
        <v>49</v>
      </c>
      <c r="F2328">
        <v>1</v>
      </c>
      <c r="G2328">
        <v>0.53731322370559687</v>
      </c>
      <c r="H2328" t="s">
        <v>91</v>
      </c>
      <c r="I2328">
        <v>0</v>
      </c>
      <c r="J2328">
        <v>0</v>
      </c>
      <c r="K2328">
        <v>0</v>
      </c>
    </row>
    <row r="2329" spans="1:11" x14ac:dyDescent="0.2">
      <c r="A2329" t="s">
        <v>16</v>
      </c>
      <c r="B2329" t="s">
        <v>868</v>
      </c>
      <c r="C2329">
        <v>300</v>
      </c>
      <c r="D2329" t="s">
        <v>6810</v>
      </c>
      <c r="E2329" t="s">
        <v>49</v>
      </c>
      <c r="F2329">
        <v>1</v>
      </c>
      <c r="G2329">
        <v>0.53731322370559687</v>
      </c>
      <c r="H2329" t="s">
        <v>91</v>
      </c>
      <c r="I2329">
        <v>0</v>
      </c>
      <c r="J2329">
        <v>0</v>
      </c>
      <c r="K2329">
        <v>0</v>
      </c>
    </row>
    <row r="2330" spans="1:11" x14ac:dyDescent="0.2">
      <c r="A2330" t="s">
        <v>16</v>
      </c>
      <c r="B2330" t="s">
        <v>868</v>
      </c>
      <c r="C2330">
        <v>300</v>
      </c>
      <c r="D2330" t="s">
        <v>6809</v>
      </c>
      <c r="E2330" t="s">
        <v>49</v>
      </c>
      <c r="F2330">
        <v>1</v>
      </c>
      <c r="G2330">
        <v>0.53731322370559687</v>
      </c>
      <c r="H2330" t="s">
        <v>91</v>
      </c>
      <c r="I2330">
        <v>0</v>
      </c>
      <c r="J2330">
        <v>0</v>
      </c>
      <c r="K2330">
        <v>0</v>
      </c>
    </row>
    <row r="2331" spans="1:11" x14ac:dyDescent="0.2">
      <c r="A2331" t="s">
        <v>16</v>
      </c>
      <c r="B2331" t="s">
        <v>818</v>
      </c>
      <c r="C2331">
        <v>300</v>
      </c>
      <c r="D2331" t="s">
        <v>6811</v>
      </c>
      <c r="E2331" t="s">
        <v>49</v>
      </c>
      <c r="F2331">
        <v>7</v>
      </c>
      <c r="G2331">
        <v>0.36424201478812451</v>
      </c>
      <c r="H2331" t="s">
        <v>103</v>
      </c>
      <c r="I2331">
        <v>0</v>
      </c>
      <c r="J2331">
        <v>0</v>
      </c>
      <c r="K2331">
        <v>0</v>
      </c>
    </row>
    <row r="2332" spans="1:11" x14ac:dyDescent="0.2">
      <c r="A2332" t="s">
        <v>16</v>
      </c>
      <c r="B2332" t="s">
        <v>818</v>
      </c>
      <c r="C2332">
        <v>300</v>
      </c>
      <c r="D2332" t="s">
        <v>6813</v>
      </c>
      <c r="E2332" t="s">
        <v>49</v>
      </c>
      <c r="F2332">
        <v>7</v>
      </c>
      <c r="G2332">
        <v>0.36424201478812451</v>
      </c>
      <c r="H2332" t="s">
        <v>87</v>
      </c>
      <c r="I2332">
        <v>0</v>
      </c>
      <c r="J2332">
        <v>0</v>
      </c>
      <c r="K2332">
        <v>0</v>
      </c>
    </row>
    <row r="2333" spans="1:11" x14ac:dyDescent="0.2">
      <c r="A2333" t="s">
        <v>16</v>
      </c>
      <c r="B2333" t="s">
        <v>818</v>
      </c>
      <c r="C2333">
        <v>600</v>
      </c>
      <c r="D2333" t="s">
        <v>6815</v>
      </c>
      <c r="E2333" t="s">
        <v>49</v>
      </c>
      <c r="F2333">
        <v>7</v>
      </c>
      <c r="G2333">
        <v>0.72848402957624903</v>
      </c>
      <c r="H2333" t="s">
        <v>88</v>
      </c>
      <c r="I2333">
        <v>0</v>
      </c>
      <c r="J2333">
        <v>0</v>
      </c>
      <c r="K2333">
        <v>0</v>
      </c>
    </row>
    <row r="2334" spans="1:11" x14ac:dyDescent="0.2">
      <c r="A2334" t="s">
        <v>16</v>
      </c>
      <c r="B2334" t="s">
        <v>818</v>
      </c>
      <c r="C2334">
        <v>900</v>
      </c>
      <c r="D2334" t="s">
        <v>6812</v>
      </c>
      <c r="E2334" t="s">
        <v>49</v>
      </c>
      <c r="F2334">
        <v>7</v>
      </c>
      <c r="G2334">
        <v>1.0927260443643736</v>
      </c>
      <c r="H2334" t="s">
        <v>93</v>
      </c>
      <c r="I2334">
        <v>0</v>
      </c>
      <c r="J2334">
        <v>0</v>
      </c>
      <c r="K2334">
        <v>0</v>
      </c>
    </row>
    <row r="2335" spans="1:11" x14ac:dyDescent="0.2">
      <c r="A2335" t="s">
        <v>16</v>
      </c>
      <c r="B2335" t="s">
        <v>818</v>
      </c>
      <c r="C2335">
        <v>900</v>
      </c>
      <c r="D2335" t="s">
        <v>6814</v>
      </c>
      <c r="E2335" t="s">
        <v>49</v>
      </c>
      <c r="F2335">
        <v>7</v>
      </c>
      <c r="G2335">
        <v>1.0927260443643736</v>
      </c>
      <c r="H2335" t="s">
        <v>100</v>
      </c>
      <c r="I2335">
        <v>0</v>
      </c>
      <c r="J2335">
        <v>0</v>
      </c>
      <c r="K2335">
        <v>0</v>
      </c>
    </row>
    <row r="2336" spans="1:11" x14ac:dyDescent="0.2">
      <c r="A2336" t="s">
        <v>16</v>
      </c>
      <c r="B2336" t="s">
        <v>644</v>
      </c>
      <c r="C2336">
        <v>300</v>
      </c>
      <c r="D2336" t="s">
        <v>6817</v>
      </c>
      <c r="E2336" t="s">
        <v>49</v>
      </c>
      <c r="F2336">
        <v>3</v>
      </c>
      <c r="G2336">
        <v>0.35986939056566186</v>
      </c>
      <c r="H2336" t="s">
        <v>104</v>
      </c>
      <c r="I2336">
        <v>0</v>
      </c>
      <c r="J2336">
        <v>0</v>
      </c>
      <c r="K2336">
        <v>0</v>
      </c>
    </row>
    <row r="2337" spans="1:11" x14ac:dyDescent="0.2">
      <c r="A2337" t="s">
        <v>16</v>
      </c>
      <c r="B2337" t="s">
        <v>644</v>
      </c>
      <c r="C2337">
        <v>450</v>
      </c>
      <c r="D2337" t="s">
        <v>6819</v>
      </c>
      <c r="E2337" t="s">
        <v>49</v>
      </c>
      <c r="F2337">
        <v>3</v>
      </c>
      <c r="G2337">
        <v>0.53980408584849282</v>
      </c>
      <c r="H2337" t="s">
        <v>84</v>
      </c>
      <c r="I2337">
        <v>0</v>
      </c>
      <c r="J2337">
        <v>0</v>
      </c>
      <c r="K2337">
        <v>0</v>
      </c>
    </row>
    <row r="2338" spans="1:11" x14ac:dyDescent="0.2">
      <c r="A2338" t="s">
        <v>16</v>
      </c>
      <c r="B2338" t="s">
        <v>644</v>
      </c>
      <c r="C2338">
        <v>150</v>
      </c>
      <c r="D2338" t="s">
        <v>6816</v>
      </c>
      <c r="E2338" t="s">
        <v>49</v>
      </c>
      <c r="F2338">
        <v>3</v>
      </c>
      <c r="G2338">
        <v>0.17993469528283093</v>
      </c>
      <c r="H2338" t="s">
        <v>90</v>
      </c>
      <c r="I2338">
        <v>0</v>
      </c>
      <c r="J2338">
        <v>0</v>
      </c>
      <c r="K2338">
        <v>0</v>
      </c>
    </row>
    <row r="2339" spans="1:11" x14ac:dyDescent="0.2">
      <c r="A2339" t="s">
        <v>16</v>
      </c>
      <c r="B2339" t="s">
        <v>644</v>
      </c>
      <c r="C2339">
        <v>450</v>
      </c>
      <c r="D2339" t="s">
        <v>6822</v>
      </c>
      <c r="E2339" t="s">
        <v>49</v>
      </c>
      <c r="F2339">
        <v>3</v>
      </c>
      <c r="G2339">
        <v>0.53980408584849282</v>
      </c>
      <c r="H2339" t="s">
        <v>90</v>
      </c>
      <c r="I2339">
        <v>0</v>
      </c>
      <c r="J2339">
        <v>0</v>
      </c>
      <c r="K2339">
        <v>0</v>
      </c>
    </row>
    <row r="2340" spans="1:11" x14ac:dyDescent="0.2">
      <c r="A2340" t="s">
        <v>16</v>
      </c>
      <c r="B2340" t="s">
        <v>644</v>
      </c>
      <c r="C2340">
        <v>450</v>
      </c>
      <c r="D2340" t="s">
        <v>6820</v>
      </c>
      <c r="E2340" t="s">
        <v>49</v>
      </c>
      <c r="F2340">
        <v>3</v>
      </c>
      <c r="G2340">
        <v>0.53980408584849282</v>
      </c>
      <c r="H2340" t="s">
        <v>104</v>
      </c>
      <c r="I2340">
        <v>0</v>
      </c>
      <c r="J2340">
        <v>0</v>
      </c>
      <c r="K2340">
        <v>0</v>
      </c>
    </row>
    <row r="2341" spans="1:11" x14ac:dyDescent="0.2">
      <c r="A2341" t="s">
        <v>16</v>
      </c>
      <c r="B2341" t="s">
        <v>644</v>
      </c>
      <c r="C2341">
        <v>450</v>
      </c>
      <c r="D2341" t="s">
        <v>6818</v>
      </c>
      <c r="E2341" t="s">
        <v>49</v>
      </c>
      <c r="F2341">
        <v>3</v>
      </c>
      <c r="G2341">
        <v>0.53980408584849282</v>
      </c>
      <c r="H2341" t="s">
        <v>84</v>
      </c>
      <c r="I2341">
        <v>0</v>
      </c>
      <c r="J2341">
        <v>0</v>
      </c>
      <c r="K2341">
        <v>0</v>
      </c>
    </row>
    <row r="2342" spans="1:11" x14ac:dyDescent="0.2">
      <c r="A2342" t="s">
        <v>16</v>
      </c>
      <c r="B2342" t="s">
        <v>644</v>
      </c>
      <c r="C2342">
        <v>450</v>
      </c>
      <c r="D2342" t="s">
        <v>6821</v>
      </c>
      <c r="E2342" t="s">
        <v>49</v>
      </c>
      <c r="F2342">
        <v>3</v>
      </c>
      <c r="G2342">
        <v>0.53980408584849282</v>
      </c>
      <c r="H2342" t="s">
        <v>90</v>
      </c>
      <c r="I2342">
        <v>0</v>
      </c>
      <c r="J2342">
        <v>0</v>
      </c>
      <c r="K2342">
        <v>0</v>
      </c>
    </row>
    <row r="2343" spans="1:11" x14ac:dyDescent="0.2">
      <c r="A2343" t="s">
        <v>16</v>
      </c>
      <c r="B2343" t="s">
        <v>853</v>
      </c>
      <c r="C2343">
        <v>480</v>
      </c>
      <c r="D2343" t="s">
        <v>6825</v>
      </c>
      <c r="E2343" t="s">
        <v>49</v>
      </c>
      <c r="F2343">
        <v>3</v>
      </c>
      <c r="G2343">
        <v>0.57579102490505896</v>
      </c>
      <c r="H2343" t="s">
        <v>103</v>
      </c>
      <c r="I2343">
        <v>0</v>
      </c>
      <c r="J2343">
        <v>0</v>
      </c>
      <c r="K2343">
        <v>0</v>
      </c>
    </row>
    <row r="2344" spans="1:11" x14ac:dyDescent="0.2">
      <c r="A2344" t="s">
        <v>16</v>
      </c>
      <c r="B2344" t="s">
        <v>853</v>
      </c>
      <c r="C2344">
        <v>720</v>
      </c>
      <c r="D2344" t="s">
        <v>6827</v>
      </c>
      <c r="E2344" t="s">
        <v>49</v>
      </c>
      <c r="F2344">
        <v>3</v>
      </c>
      <c r="G2344">
        <v>0.86368653735758849</v>
      </c>
      <c r="H2344" t="s">
        <v>87</v>
      </c>
      <c r="I2344">
        <v>0</v>
      </c>
      <c r="J2344">
        <v>0</v>
      </c>
      <c r="K2344">
        <v>0</v>
      </c>
    </row>
    <row r="2345" spans="1:11" x14ac:dyDescent="0.2">
      <c r="A2345" t="s">
        <v>16</v>
      </c>
      <c r="B2345" t="s">
        <v>853</v>
      </c>
      <c r="C2345">
        <v>720</v>
      </c>
      <c r="D2345" t="s">
        <v>6824</v>
      </c>
      <c r="E2345" t="s">
        <v>49</v>
      </c>
      <c r="F2345">
        <v>3</v>
      </c>
      <c r="G2345">
        <v>0.86368653735758849</v>
      </c>
      <c r="H2345" t="s">
        <v>99</v>
      </c>
      <c r="I2345">
        <v>0</v>
      </c>
      <c r="J2345">
        <v>0</v>
      </c>
      <c r="K2345">
        <v>0</v>
      </c>
    </row>
    <row r="2346" spans="1:11" x14ac:dyDescent="0.2">
      <c r="A2346" t="s">
        <v>16</v>
      </c>
      <c r="B2346" t="s">
        <v>853</v>
      </c>
      <c r="C2346">
        <v>240</v>
      </c>
      <c r="D2346" t="s">
        <v>6826</v>
      </c>
      <c r="E2346" t="s">
        <v>49</v>
      </c>
      <c r="F2346">
        <v>3</v>
      </c>
      <c r="G2346">
        <v>0.28789551245252948</v>
      </c>
      <c r="H2346" t="s">
        <v>103</v>
      </c>
      <c r="I2346">
        <v>0</v>
      </c>
      <c r="J2346">
        <v>0</v>
      </c>
      <c r="K2346">
        <v>0</v>
      </c>
    </row>
    <row r="2347" spans="1:11" x14ac:dyDescent="0.2">
      <c r="A2347" t="s">
        <v>16</v>
      </c>
      <c r="B2347" t="s">
        <v>853</v>
      </c>
      <c r="C2347">
        <v>720</v>
      </c>
      <c r="D2347" t="s">
        <v>6823</v>
      </c>
      <c r="E2347" t="s">
        <v>49</v>
      </c>
      <c r="F2347">
        <v>3</v>
      </c>
      <c r="G2347">
        <v>0.86368653735758849</v>
      </c>
      <c r="H2347" t="s">
        <v>103</v>
      </c>
      <c r="I2347">
        <v>0</v>
      </c>
      <c r="J2347">
        <v>0</v>
      </c>
      <c r="K2347">
        <v>0</v>
      </c>
    </row>
    <row r="2348" spans="1:11" x14ac:dyDescent="0.2">
      <c r="A2348" t="s">
        <v>16</v>
      </c>
      <c r="B2348" t="s">
        <v>2905</v>
      </c>
      <c r="C2348">
        <v>500</v>
      </c>
      <c r="D2348" t="s">
        <v>6828</v>
      </c>
      <c r="E2348" t="s">
        <v>49</v>
      </c>
      <c r="F2348">
        <v>7</v>
      </c>
      <c r="G2348">
        <v>0.49718631219519227</v>
      </c>
      <c r="H2348" t="s">
        <v>95</v>
      </c>
      <c r="I2348">
        <v>0</v>
      </c>
      <c r="J2348">
        <v>0</v>
      </c>
      <c r="K2348">
        <v>0</v>
      </c>
    </row>
    <row r="2349" spans="1:11" x14ac:dyDescent="0.2">
      <c r="A2349" t="s">
        <v>16</v>
      </c>
      <c r="B2349" t="s">
        <v>2905</v>
      </c>
      <c r="C2349">
        <v>750</v>
      </c>
      <c r="D2349" t="s">
        <v>6829</v>
      </c>
      <c r="E2349" t="s">
        <v>49</v>
      </c>
      <c r="F2349">
        <v>7</v>
      </c>
      <c r="G2349">
        <v>0.74577946829278841</v>
      </c>
      <c r="H2349" t="s">
        <v>105</v>
      </c>
      <c r="I2349">
        <v>0</v>
      </c>
      <c r="J2349">
        <v>0</v>
      </c>
      <c r="K2349">
        <v>0</v>
      </c>
    </row>
    <row r="2350" spans="1:11" x14ac:dyDescent="0.2">
      <c r="A2350" t="s">
        <v>16</v>
      </c>
      <c r="B2350" t="s">
        <v>2907</v>
      </c>
      <c r="C2350">
        <v>450</v>
      </c>
      <c r="D2350" t="s">
        <v>6830</v>
      </c>
      <c r="E2350" t="s">
        <v>49</v>
      </c>
      <c r="F2350">
        <v>7</v>
      </c>
      <c r="G2350">
        <v>0.52571710993059806</v>
      </c>
      <c r="H2350" t="s">
        <v>101</v>
      </c>
      <c r="I2350">
        <v>0</v>
      </c>
      <c r="J2350">
        <v>0</v>
      </c>
      <c r="K2350">
        <v>0</v>
      </c>
    </row>
    <row r="2351" spans="1:11" x14ac:dyDescent="0.2">
      <c r="A2351" t="s">
        <v>16</v>
      </c>
      <c r="B2351" t="s">
        <v>2907</v>
      </c>
      <c r="C2351">
        <v>450</v>
      </c>
      <c r="D2351" t="s">
        <v>6831</v>
      </c>
      <c r="E2351" t="s">
        <v>49</v>
      </c>
      <c r="F2351">
        <v>7</v>
      </c>
      <c r="G2351">
        <v>0.52571710993059806</v>
      </c>
      <c r="H2351" t="s">
        <v>88</v>
      </c>
      <c r="I2351">
        <v>0</v>
      </c>
      <c r="J2351">
        <v>0</v>
      </c>
      <c r="K2351">
        <v>0</v>
      </c>
    </row>
    <row r="2352" spans="1:11" x14ac:dyDescent="0.2">
      <c r="A2352" t="s">
        <v>16</v>
      </c>
      <c r="B2352" t="s">
        <v>2907</v>
      </c>
      <c r="C2352">
        <v>300</v>
      </c>
      <c r="D2352" t="s">
        <v>6832</v>
      </c>
      <c r="E2352" t="s">
        <v>49</v>
      </c>
      <c r="F2352">
        <v>7</v>
      </c>
      <c r="G2352">
        <v>0.35047807328706532</v>
      </c>
      <c r="H2352" t="s">
        <v>96</v>
      </c>
      <c r="I2352">
        <v>0</v>
      </c>
      <c r="J2352">
        <v>0</v>
      </c>
      <c r="K2352">
        <v>0</v>
      </c>
    </row>
    <row r="2353" spans="1:11" x14ac:dyDescent="0.2">
      <c r="A2353" t="s">
        <v>16</v>
      </c>
      <c r="B2353" t="s">
        <v>2909</v>
      </c>
      <c r="C2353">
        <v>900</v>
      </c>
      <c r="D2353" t="s">
        <v>6834</v>
      </c>
      <c r="E2353" t="s">
        <v>49</v>
      </c>
      <c r="F2353">
        <v>5</v>
      </c>
      <c r="G2353">
        <v>1.0796081716969856</v>
      </c>
      <c r="H2353" t="s">
        <v>104</v>
      </c>
      <c r="I2353">
        <v>0</v>
      </c>
      <c r="J2353">
        <v>0</v>
      </c>
      <c r="K2353">
        <v>0</v>
      </c>
    </row>
    <row r="2354" spans="1:11" x14ac:dyDescent="0.2">
      <c r="A2354" t="s">
        <v>16</v>
      </c>
      <c r="B2354" t="s">
        <v>2909</v>
      </c>
      <c r="C2354">
        <v>300</v>
      </c>
      <c r="D2354" t="s">
        <v>6833</v>
      </c>
      <c r="E2354" t="s">
        <v>49</v>
      </c>
      <c r="F2354">
        <v>5</v>
      </c>
      <c r="G2354">
        <v>0.35986939056566186</v>
      </c>
      <c r="H2354" t="s">
        <v>95</v>
      </c>
      <c r="I2354">
        <v>0</v>
      </c>
      <c r="J2354">
        <v>0</v>
      </c>
      <c r="K2354">
        <v>0</v>
      </c>
    </row>
    <row r="2355" spans="1:11" x14ac:dyDescent="0.2">
      <c r="A2355" t="s">
        <v>16</v>
      </c>
      <c r="B2355" t="s">
        <v>3281</v>
      </c>
      <c r="C2355">
        <v>225</v>
      </c>
      <c r="D2355" t="s">
        <v>6860</v>
      </c>
      <c r="E2355" t="s">
        <v>49</v>
      </c>
      <c r="F2355">
        <v>4</v>
      </c>
      <c r="G2355">
        <v>0.3551225758826132</v>
      </c>
      <c r="H2355" t="s">
        <v>92</v>
      </c>
      <c r="I2355">
        <v>0</v>
      </c>
      <c r="J2355">
        <v>0</v>
      </c>
      <c r="K2355">
        <v>0</v>
      </c>
    </row>
    <row r="2356" spans="1:11" x14ac:dyDescent="0.2">
      <c r="A2356" t="s">
        <v>16</v>
      </c>
      <c r="B2356" t="s">
        <v>3281</v>
      </c>
      <c r="C2356">
        <v>225</v>
      </c>
      <c r="D2356" t="s">
        <v>6858</v>
      </c>
      <c r="E2356" t="s">
        <v>49</v>
      </c>
      <c r="F2356">
        <v>4</v>
      </c>
      <c r="G2356">
        <v>0.3551225758826132</v>
      </c>
      <c r="H2356" t="s">
        <v>93</v>
      </c>
      <c r="I2356">
        <v>0</v>
      </c>
      <c r="J2356">
        <v>0</v>
      </c>
      <c r="K2356">
        <v>0</v>
      </c>
    </row>
    <row r="2357" spans="1:11" x14ac:dyDescent="0.2">
      <c r="A2357" t="s">
        <v>16</v>
      </c>
      <c r="B2357" t="s">
        <v>3281</v>
      </c>
      <c r="C2357">
        <v>225</v>
      </c>
      <c r="D2357" t="s">
        <v>6889</v>
      </c>
      <c r="E2357" t="s">
        <v>49</v>
      </c>
      <c r="F2357">
        <v>4</v>
      </c>
      <c r="G2357">
        <v>0.3551225758826132</v>
      </c>
      <c r="H2357" t="s">
        <v>100</v>
      </c>
      <c r="I2357">
        <v>0</v>
      </c>
      <c r="J2357">
        <v>0</v>
      </c>
      <c r="K2357">
        <v>0</v>
      </c>
    </row>
    <row r="2358" spans="1:11" x14ac:dyDescent="0.2">
      <c r="A2358" t="s">
        <v>16</v>
      </c>
      <c r="B2358" t="s">
        <v>3281</v>
      </c>
      <c r="C2358">
        <v>225</v>
      </c>
      <c r="D2358" t="s">
        <v>6886</v>
      </c>
      <c r="E2358" t="s">
        <v>49</v>
      </c>
      <c r="F2358">
        <v>4</v>
      </c>
      <c r="G2358">
        <v>0.3551225758826132</v>
      </c>
      <c r="H2358" t="s">
        <v>94</v>
      </c>
      <c r="I2358">
        <v>0</v>
      </c>
      <c r="J2358">
        <v>0</v>
      </c>
      <c r="K2358">
        <v>0</v>
      </c>
    </row>
    <row r="2359" spans="1:11" x14ac:dyDescent="0.2">
      <c r="A2359" t="s">
        <v>16</v>
      </c>
      <c r="B2359" t="s">
        <v>3281</v>
      </c>
      <c r="C2359">
        <v>225</v>
      </c>
      <c r="D2359" t="s">
        <v>6846</v>
      </c>
      <c r="E2359" t="s">
        <v>49</v>
      </c>
      <c r="F2359">
        <v>4</v>
      </c>
      <c r="G2359">
        <v>0.3551225758826132</v>
      </c>
      <c r="H2359" t="s">
        <v>92</v>
      </c>
      <c r="I2359">
        <v>0</v>
      </c>
      <c r="J2359">
        <v>0</v>
      </c>
      <c r="K2359">
        <v>0</v>
      </c>
    </row>
    <row r="2360" spans="1:11" x14ac:dyDescent="0.2">
      <c r="A2360" t="s">
        <v>16</v>
      </c>
      <c r="B2360" t="s">
        <v>3281</v>
      </c>
      <c r="C2360">
        <v>225</v>
      </c>
      <c r="D2360" t="s">
        <v>6874</v>
      </c>
      <c r="E2360" t="s">
        <v>49</v>
      </c>
      <c r="F2360">
        <v>4</v>
      </c>
      <c r="G2360">
        <v>0.3551225758826132</v>
      </c>
      <c r="H2360" t="s">
        <v>93</v>
      </c>
      <c r="I2360">
        <v>0</v>
      </c>
      <c r="J2360">
        <v>0</v>
      </c>
      <c r="K2360">
        <v>0</v>
      </c>
    </row>
    <row r="2361" spans="1:11" x14ac:dyDescent="0.2">
      <c r="A2361" t="s">
        <v>16</v>
      </c>
      <c r="B2361" t="s">
        <v>3281</v>
      </c>
      <c r="C2361">
        <v>225</v>
      </c>
      <c r="D2361" t="s">
        <v>6887</v>
      </c>
      <c r="E2361" t="s">
        <v>49</v>
      </c>
      <c r="F2361">
        <v>4</v>
      </c>
      <c r="G2361">
        <v>0.3551225758826132</v>
      </c>
      <c r="H2361" t="s">
        <v>100</v>
      </c>
      <c r="I2361">
        <v>0</v>
      </c>
      <c r="J2361">
        <v>0</v>
      </c>
      <c r="K2361">
        <v>0</v>
      </c>
    </row>
    <row r="2362" spans="1:11" x14ac:dyDescent="0.2">
      <c r="A2362" t="s">
        <v>16</v>
      </c>
      <c r="B2362" t="s">
        <v>3281</v>
      </c>
      <c r="C2362">
        <v>225</v>
      </c>
      <c r="D2362" t="s">
        <v>6865</v>
      </c>
      <c r="E2362" t="s">
        <v>49</v>
      </c>
      <c r="F2362">
        <v>4</v>
      </c>
      <c r="G2362">
        <v>0.3551225758826132</v>
      </c>
      <c r="H2362" t="s">
        <v>94</v>
      </c>
      <c r="I2362">
        <v>0</v>
      </c>
      <c r="J2362">
        <v>0</v>
      </c>
      <c r="K2362">
        <v>0</v>
      </c>
    </row>
    <row r="2363" spans="1:11" x14ac:dyDescent="0.2">
      <c r="A2363" t="s">
        <v>16</v>
      </c>
      <c r="B2363" t="s">
        <v>3281</v>
      </c>
      <c r="C2363">
        <v>225</v>
      </c>
      <c r="D2363" t="s">
        <v>6876</v>
      </c>
      <c r="E2363" t="s">
        <v>49</v>
      </c>
      <c r="F2363">
        <v>4</v>
      </c>
      <c r="G2363">
        <v>0.3551225758826132</v>
      </c>
      <c r="H2363" t="s">
        <v>92</v>
      </c>
      <c r="I2363">
        <v>0</v>
      </c>
      <c r="J2363">
        <v>0</v>
      </c>
      <c r="K2363">
        <v>0</v>
      </c>
    </row>
    <row r="2364" spans="1:11" x14ac:dyDescent="0.2">
      <c r="A2364" t="s">
        <v>16</v>
      </c>
      <c r="B2364" t="s">
        <v>3281</v>
      </c>
      <c r="C2364">
        <v>225</v>
      </c>
      <c r="D2364" t="s">
        <v>6888</v>
      </c>
      <c r="E2364" t="s">
        <v>49</v>
      </c>
      <c r="F2364">
        <v>4</v>
      </c>
      <c r="G2364">
        <v>0.3551225758826132</v>
      </c>
      <c r="H2364" t="s">
        <v>93</v>
      </c>
      <c r="I2364">
        <v>0</v>
      </c>
      <c r="J2364">
        <v>0</v>
      </c>
      <c r="K2364">
        <v>0</v>
      </c>
    </row>
    <row r="2365" spans="1:11" x14ac:dyDescent="0.2">
      <c r="A2365" t="s">
        <v>16</v>
      </c>
      <c r="B2365" t="s">
        <v>3281</v>
      </c>
      <c r="C2365">
        <v>225</v>
      </c>
      <c r="D2365" t="s">
        <v>6880</v>
      </c>
      <c r="E2365" t="s">
        <v>49</v>
      </c>
      <c r="F2365">
        <v>4</v>
      </c>
      <c r="G2365">
        <v>0.3551225758826132</v>
      </c>
      <c r="H2365" t="s">
        <v>100</v>
      </c>
      <c r="I2365">
        <v>0</v>
      </c>
      <c r="J2365">
        <v>0</v>
      </c>
      <c r="K2365">
        <v>0</v>
      </c>
    </row>
    <row r="2366" spans="1:11" x14ac:dyDescent="0.2">
      <c r="A2366" t="s">
        <v>16</v>
      </c>
      <c r="B2366" t="s">
        <v>3281</v>
      </c>
      <c r="C2366">
        <v>225</v>
      </c>
      <c r="D2366" t="s">
        <v>6842</v>
      </c>
      <c r="E2366" t="s">
        <v>49</v>
      </c>
      <c r="F2366">
        <v>4</v>
      </c>
      <c r="G2366">
        <v>0.3551225758826132</v>
      </c>
      <c r="H2366" t="s">
        <v>94</v>
      </c>
      <c r="I2366">
        <v>0</v>
      </c>
      <c r="J2366">
        <v>0</v>
      </c>
      <c r="K2366">
        <v>0</v>
      </c>
    </row>
    <row r="2367" spans="1:11" x14ac:dyDescent="0.2">
      <c r="A2367" t="s">
        <v>16</v>
      </c>
      <c r="B2367" t="s">
        <v>3281</v>
      </c>
      <c r="C2367">
        <v>225</v>
      </c>
      <c r="D2367" t="s">
        <v>6859</v>
      </c>
      <c r="E2367" t="s">
        <v>49</v>
      </c>
      <c r="F2367">
        <v>4</v>
      </c>
      <c r="G2367">
        <v>0.3551225758826132</v>
      </c>
      <c r="H2367" t="s">
        <v>92</v>
      </c>
      <c r="I2367">
        <v>0</v>
      </c>
      <c r="J2367">
        <v>0</v>
      </c>
      <c r="K2367">
        <v>0</v>
      </c>
    </row>
    <row r="2368" spans="1:11" x14ac:dyDescent="0.2">
      <c r="A2368" t="s">
        <v>16</v>
      </c>
      <c r="B2368" t="s">
        <v>3281</v>
      </c>
      <c r="C2368">
        <v>225</v>
      </c>
      <c r="D2368" t="s">
        <v>6884</v>
      </c>
      <c r="E2368" t="s">
        <v>49</v>
      </c>
      <c r="F2368">
        <v>4</v>
      </c>
      <c r="G2368">
        <v>0.3551225758826132</v>
      </c>
      <c r="H2368" t="s">
        <v>93</v>
      </c>
      <c r="I2368">
        <v>0</v>
      </c>
      <c r="J2368">
        <v>0</v>
      </c>
      <c r="K2368">
        <v>0</v>
      </c>
    </row>
    <row r="2369" spans="1:11" x14ac:dyDescent="0.2">
      <c r="A2369" t="s">
        <v>16</v>
      </c>
      <c r="B2369" t="s">
        <v>3281</v>
      </c>
      <c r="C2369">
        <v>225</v>
      </c>
      <c r="D2369" t="s">
        <v>6878</v>
      </c>
      <c r="E2369" t="s">
        <v>49</v>
      </c>
      <c r="F2369">
        <v>4</v>
      </c>
      <c r="G2369">
        <v>0.3551225758826132</v>
      </c>
      <c r="H2369" t="s">
        <v>100</v>
      </c>
      <c r="I2369">
        <v>0</v>
      </c>
      <c r="J2369">
        <v>0</v>
      </c>
      <c r="K2369">
        <v>0</v>
      </c>
    </row>
    <row r="2370" spans="1:11" x14ac:dyDescent="0.2">
      <c r="A2370" t="s">
        <v>16</v>
      </c>
      <c r="B2370" t="s">
        <v>3281</v>
      </c>
      <c r="C2370">
        <v>225</v>
      </c>
      <c r="D2370" t="s">
        <v>6891</v>
      </c>
      <c r="E2370" t="s">
        <v>49</v>
      </c>
      <c r="F2370">
        <v>4</v>
      </c>
      <c r="G2370">
        <v>0.3551225758826132</v>
      </c>
      <c r="H2370" t="s">
        <v>94</v>
      </c>
      <c r="I2370">
        <v>0</v>
      </c>
      <c r="J2370">
        <v>0</v>
      </c>
      <c r="K2370">
        <v>0</v>
      </c>
    </row>
    <row r="2371" spans="1:11" x14ac:dyDescent="0.2">
      <c r="A2371" t="s">
        <v>16</v>
      </c>
      <c r="B2371" t="s">
        <v>3281</v>
      </c>
      <c r="C2371">
        <v>225</v>
      </c>
      <c r="D2371" t="s">
        <v>6871</v>
      </c>
      <c r="E2371" t="s">
        <v>49</v>
      </c>
      <c r="F2371">
        <v>4</v>
      </c>
      <c r="G2371">
        <v>0.3551225758826132</v>
      </c>
      <c r="H2371" t="s">
        <v>92</v>
      </c>
      <c r="I2371">
        <v>0</v>
      </c>
      <c r="J2371">
        <v>0</v>
      </c>
      <c r="K2371">
        <v>0</v>
      </c>
    </row>
    <row r="2372" spans="1:11" x14ac:dyDescent="0.2">
      <c r="A2372" t="s">
        <v>16</v>
      </c>
      <c r="B2372" t="s">
        <v>3281</v>
      </c>
      <c r="C2372">
        <v>225</v>
      </c>
      <c r="D2372" t="s">
        <v>6857</v>
      </c>
      <c r="E2372" t="s">
        <v>49</v>
      </c>
      <c r="F2372">
        <v>4</v>
      </c>
      <c r="G2372">
        <v>0.3551225758826132</v>
      </c>
      <c r="H2372" t="s">
        <v>93</v>
      </c>
      <c r="I2372">
        <v>0</v>
      </c>
      <c r="J2372">
        <v>0</v>
      </c>
      <c r="K2372">
        <v>0</v>
      </c>
    </row>
    <row r="2373" spans="1:11" x14ac:dyDescent="0.2">
      <c r="A2373" t="s">
        <v>16</v>
      </c>
      <c r="B2373" t="s">
        <v>3281</v>
      </c>
      <c r="C2373">
        <v>225</v>
      </c>
      <c r="D2373" t="s">
        <v>6881</v>
      </c>
      <c r="E2373" t="s">
        <v>49</v>
      </c>
      <c r="F2373">
        <v>4</v>
      </c>
      <c r="G2373">
        <v>0.3551225758826132</v>
      </c>
      <c r="H2373" t="s">
        <v>100</v>
      </c>
      <c r="I2373">
        <v>0</v>
      </c>
      <c r="J2373">
        <v>0</v>
      </c>
      <c r="K2373">
        <v>0</v>
      </c>
    </row>
    <row r="2374" spans="1:11" x14ac:dyDescent="0.2">
      <c r="A2374" t="s">
        <v>16</v>
      </c>
      <c r="B2374" t="s">
        <v>3281</v>
      </c>
      <c r="C2374">
        <v>225</v>
      </c>
      <c r="D2374" t="s">
        <v>6879</v>
      </c>
      <c r="E2374" t="s">
        <v>49</v>
      </c>
      <c r="F2374">
        <v>4</v>
      </c>
      <c r="G2374">
        <v>0.3551225758826132</v>
      </c>
      <c r="H2374" t="s">
        <v>94</v>
      </c>
      <c r="I2374">
        <v>0</v>
      </c>
      <c r="J2374">
        <v>0</v>
      </c>
      <c r="K2374">
        <v>0</v>
      </c>
    </row>
    <row r="2375" spans="1:11" x14ac:dyDescent="0.2">
      <c r="A2375" t="s">
        <v>16</v>
      </c>
      <c r="B2375" t="s">
        <v>3281</v>
      </c>
      <c r="C2375">
        <v>225</v>
      </c>
      <c r="D2375" t="s">
        <v>6850</v>
      </c>
      <c r="E2375" t="s">
        <v>49</v>
      </c>
      <c r="F2375">
        <v>4</v>
      </c>
      <c r="G2375">
        <v>0.3551225758826132</v>
      </c>
      <c r="H2375" t="s">
        <v>92</v>
      </c>
      <c r="I2375">
        <v>0</v>
      </c>
      <c r="J2375">
        <v>0</v>
      </c>
      <c r="K2375">
        <v>0</v>
      </c>
    </row>
    <row r="2376" spans="1:11" x14ac:dyDescent="0.2">
      <c r="A2376" t="s">
        <v>16</v>
      </c>
      <c r="B2376" t="s">
        <v>3281</v>
      </c>
      <c r="C2376">
        <v>225</v>
      </c>
      <c r="D2376" t="s">
        <v>6893</v>
      </c>
      <c r="E2376" t="s">
        <v>49</v>
      </c>
      <c r="F2376">
        <v>4</v>
      </c>
      <c r="G2376">
        <v>0.3551225758826132</v>
      </c>
      <c r="H2376" t="s">
        <v>93</v>
      </c>
      <c r="I2376">
        <v>0</v>
      </c>
      <c r="J2376">
        <v>0</v>
      </c>
      <c r="K2376">
        <v>0</v>
      </c>
    </row>
    <row r="2377" spans="1:11" x14ac:dyDescent="0.2">
      <c r="A2377" t="s">
        <v>16</v>
      </c>
      <c r="B2377" t="s">
        <v>3281</v>
      </c>
      <c r="C2377">
        <v>225</v>
      </c>
      <c r="D2377" t="s">
        <v>6872</v>
      </c>
      <c r="E2377" t="s">
        <v>49</v>
      </c>
      <c r="F2377">
        <v>4</v>
      </c>
      <c r="G2377">
        <v>0.3551225758826132</v>
      </c>
      <c r="H2377" t="s">
        <v>100</v>
      </c>
      <c r="I2377">
        <v>0</v>
      </c>
      <c r="J2377">
        <v>0</v>
      </c>
      <c r="K2377">
        <v>0</v>
      </c>
    </row>
    <row r="2378" spans="1:11" x14ac:dyDescent="0.2">
      <c r="A2378" t="s">
        <v>16</v>
      </c>
      <c r="B2378" t="s">
        <v>3281</v>
      </c>
      <c r="C2378">
        <v>225</v>
      </c>
      <c r="D2378" t="s">
        <v>6890</v>
      </c>
      <c r="E2378" t="s">
        <v>49</v>
      </c>
      <c r="F2378">
        <v>4</v>
      </c>
      <c r="G2378">
        <v>0.3551225758826132</v>
      </c>
      <c r="H2378" t="s">
        <v>94</v>
      </c>
      <c r="I2378">
        <v>0</v>
      </c>
      <c r="J2378">
        <v>0</v>
      </c>
      <c r="K2378">
        <v>0</v>
      </c>
    </row>
    <row r="2379" spans="1:11" x14ac:dyDescent="0.2">
      <c r="A2379" t="s">
        <v>16</v>
      </c>
      <c r="B2379" t="s">
        <v>3281</v>
      </c>
      <c r="C2379">
        <v>225</v>
      </c>
      <c r="D2379" t="s">
        <v>6863</v>
      </c>
      <c r="E2379" t="s">
        <v>49</v>
      </c>
      <c r="F2379">
        <v>4</v>
      </c>
      <c r="G2379">
        <v>0.3551225758826132</v>
      </c>
      <c r="H2379" t="s">
        <v>92</v>
      </c>
      <c r="I2379">
        <v>0</v>
      </c>
      <c r="J2379">
        <v>0</v>
      </c>
      <c r="K2379">
        <v>0</v>
      </c>
    </row>
    <row r="2380" spans="1:11" x14ac:dyDescent="0.2">
      <c r="A2380" t="s">
        <v>16</v>
      </c>
      <c r="B2380" t="s">
        <v>3281</v>
      </c>
      <c r="C2380">
        <v>225</v>
      </c>
      <c r="D2380" t="s">
        <v>6873</v>
      </c>
      <c r="E2380" t="s">
        <v>49</v>
      </c>
      <c r="F2380">
        <v>4</v>
      </c>
      <c r="G2380">
        <v>0.3551225758826132</v>
      </c>
      <c r="H2380" t="s">
        <v>93</v>
      </c>
      <c r="I2380">
        <v>0</v>
      </c>
      <c r="J2380">
        <v>0</v>
      </c>
      <c r="K2380">
        <v>0</v>
      </c>
    </row>
    <row r="2381" spans="1:11" x14ac:dyDescent="0.2">
      <c r="A2381" t="s">
        <v>16</v>
      </c>
      <c r="B2381" t="s">
        <v>3281</v>
      </c>
      <c r="C2381">
        <v>225</v>
      </c>
      <c r="D2381" t="s">
        <v>6837</v>
      </c>
      <c r="E2381" t="s">
        <v>49</v>
      </c>
      <c r="F2381">
        <v>4</v>
      </c>
      <c r="G2381">
        <v>0.3551225758826132</v>
      </c>
      <c r="H2381" t="s">
        <v>100</v>
      </c>
      <c r="I2381">
        <v>0</v>
      </c>
      <c r="J2381">
        <v>0</v>
      </c>
      <c r="K2381">
        <v>0</v>
      </c>
    </row>
    <row r="2382" spans="1:11" x14ac:dyDescent="0.2">
      <c r="A2382" t="s">
        <v>16</v>
      </c>
      <c r="B2382" t="s">
        <v>3281</v>
      </c>
      <c r="C2382">
        <v>225</v>
      </c>
      <c r="D2382" t="s">
        <v>6841</v>
      </c>
      <c r="E2382" t="s">
        <v>49</v>
      </c>
      <c r="F2382">
        <v>4</v>
      </c>
      <c r="G2382">
        <v>0.3551225758826132</v>
      </c>
      <c r="H2382" t="s">
        <v>94</v>
      </c>
      <c r="I2382">
        <v>0</v>
      </c>
      <c r="J2382">
        <v>0</v>
      </c>
      <c r="K2382">
        <v>0</v>
      </c>
    </row>
    <row r="2383" spans="1:11" x14ac:dyDescent="0.2">
      <c r="A2383" t="s">
        <v>16</v>
      </c>
      <c r="B2383" t="s">
        <v>3281</v>
      </c>
      <c r="C2383">
        <v>225</v>
      </c>
      <c r="D2383" t="s">
        <v>6848</v>
      </c>
      <c r="E2383" t="s">
        <v>49</v>
      </c>
      <c r="F2383">
        <v>4</v>
      </c>
      <c r="G2383">
        <v>0.3551225758826132</v>
      </c>
      <c r="H2383" t="s">
        <v>92</v>
      </c>
      <c r="I2383">
        <v>0</v>
      </c>
      <c r="J2383">
        <v>0</v>
      </c>
      <c r="K2383">
        <v>0</v>
      </c>
    </row>
    <row r="2384" spans="1:11" x14ac:dyDescent="0.2">
      <c r="A2384" t="s">
        <v>16</v>
      </c>
      <c r="B2384" t="s">
        <v>3281</v>
      </c>
      <c r="C2384">
        <v>225</v>
      </c>
      <c r="D2384" t="s">
        <v>6852</v>
      </c>
      <c r="E2384" t="s">
        <v>49</v>
      </c>
      <c r="F2384">
        <v>4</v>
      </c>
      <c r="G2384">
        <v>0.3551225758826132</v>
      </c>
      <c r="H2384" t="s">
        <v>93</v>
      </c>
      <c r="I2384">
        <v>0</v>
      </c>
      <c r="J2384">
        <v>0</v>
      </c>
      <c r="K2384">
        <v>0</v>
      </c>
    </row>
    <row r="2385" spans="1:11" x14ac:dyDescent="0.2">
      <c r="A2385" t="s">
        <v>16</v>
      </c>
      <c r="B2385" t="s">
        <v>3281</v>
      </c>
      <c r="C2385">
        <v>225</v>
      </c>
      <c r="D2385" t="s">
        <v>6861</v>
      </c>
      <c r="E2385" t="s">
        <v>49</v>
      </c>
      <c r="F2385">
        <v>4</v>
      </c>
      <c r="G2385">
        <v>0.3551225758826132</v>
      </c>
      <c r="H2385" t="s">
        <v>100</v>
      </c>
      <c r="I2385">
        <v>0</v>
      </c>
      <c r="J2385">
        <v>0</v>
      </c>
      <c r="K2385">
        <v>0</v>
      </c>
    </row>
    <row r="2386" spans="1:11" x14ac:dyDescent="0.2">
      <c r="A2386" t="s">
        <v>16</v>
      </c>
      <c r="B2386" t="s">
        <v>3281</v>
      </c>
      <c r="C2386">
        <v>225</v>
      </c>
      <c r="D2386" t="s">
        <v>6849</v>
      </c>
      <c r="E2386" t="s">
        <v>49</v>
      </c>
      <c r="F2386">
        <v>4</v>
      </c>
      <c r="G2386">
        <v>0.3551225758826132</v>
      </c>
      <c r="H2386" t="s">
        <v>94</v>
      </c>
      <c r="I2386">
        <v>0</v>
      </c>
      <c r="J2386">
        <v>0</v>
      </c>
      <c r="K2386">
        <v>0</v>
      </c>
    </row>
    <row r="2387" spans="1:11" x14ac:dyDescent="0.2">
      <c r="A2387" t="s">
        <v>16</v>
      </c>
      <c r="B2387" t="s">
        <v>3281</v>
      </c>
      <c r="C2387">
        <v>225</v>
      </c>
      <c r="D2387" t="s">
        <v>6843</v>
      </c>
      <c r="E2387" t="s">
        <v>49</v>
      </c>
      <c r="F2387">
        <v>4</v>
      </c>
      <c r="G2387">
        <v>0.3551225758826132</v>
      </c>
      <c r="H2387" t="s">
        <v>92</v>
      </c>
      <c r="I2387">
        <v>0</v>
      </c>
      <c r="J2387">
        <v>0</v>
      </c>
      <c r="K2387">
        <v>0</v>
      </c>
    </row>
    <row r="2388" spans="1:11" x14ac:dyDescent="0.2">
      <c r="A2388" t="s">
        <v>16</v>
      </c>
      <c r="B2388" t="s">
        <v>3281</v>
      </c>
      <c r="C2388">
        <v>225</v>
      </c>
      <c r="D2388" t="s">
        <v>6839</v>
      </c>
      <c r="E2388" t="s">
        <v>49</v>
      </c>
      <c r="F2388">
        <v>4</v>
      </c>
      <c r="G2388">
        <v>0.3551225758826132</v>
      </c>
      <c r="H2388" t="s">
        <v>93</v>
      </c>
      <c r="I2388">
        <v>0</v>
      </c>
      <c r="J2388">
        <v>0</v>
      </c>
      <c r="K2388">
        <v>0</v>
      </c>
    </row>
    <row r="2389" spans="1:11" x14ac:dyDescent="0.2">
      <c r="A2389" t="s">
        <v>16</v>
      </c>
      <c r="B2389" t="s">
        <v>3281</v>
      </c>
      <c r="C2389">
        <v>225</v>
      </c>
      <c r="D2389" t="s">
        <v>6851</v>
      </c>
      <c r="E2389" t="s">
        <v>49</v>
      </c>
      <c r="F2389">
        <v>4</v>
      </c>
      <c r="G2389">
        <v>0.3551225758826132</v>
      </c>
      <c r="H2389" t="s">
        <v>100</v>
      </c>
      <c r="I2389">
        <v>0</v>
      </c>
      <c r="J2389">
        <v>0</v>
      </c>
      <c r="K2389">
        <v>0</v>
      </c>
    </row>
    <row r="2390" spans="1:11" x14ac:dyDescent="0.2">
      <c r="A2390" t="s">
        <v>16</v>
      </c>
      <c r="B2390" t="s">
        <v>3281</v>
      </c>
      <c r="C2390">
        <v>225</v>
      </c>
      <c r="D2390" t="s">
        <v>6869</v>
      </c>
      <c r="E2390" t="s">
        <v>49</v>
      </c>
      <c r="F2390">
        <v>4</v>
      </c>
      <c r="G2390">
        <v>0.3551225758826132</v>
      </c>
      <c r="H2390" t="s">
        <v>94</v>
      </c>
      <c r="I2390">
        <v>0</v>
      </c>
      <c r="J2390">
        <v>0</v>
      </c>
      <c r="K2390">
        <v>0</v>
      </c>
    </row>
    <row r="2391" spans="1:11" x14ac:dyDescent="0.2">
      <c r="A2391" t="s">
        <v>16</v>
      </c>
      <c r="B2391" t="s">
        <v>3281</v>
      </c>
      <c r="C2391">
        <v>225</v>
      </c>
      <c r="D2391" t="s">
        <v>6883</v>
      </c>
      <c r="E2391" t="s">
        <v>49</v>
      </c>
      <c r="F2391">
        <v>4</v>
      </c>
      <c r="G2391">
        <v>0.3551225758826132</v>
      </c>
      <c r="H2391" t="s">
        <v>92</v>
      </c>
      <c r="I2391">
        <v>0</v>
      </c>
      <c r="J2391">
        <v>0</v>
      </c>
      <c r="K2391">
        <v>0</v>
      </c>
    </row>
    <row r="2392" spans="1:11" x14ac:dyDescent="0.2">
      <c r="A2392" t="s">
        <v>16</v>
      </c>
      <c r="B2392" t="s">
        <v>3281</v>
      </c>
      <c r="C2392">
        <v>225</v>
      </c>
      <c r="D2392" t="s">
        <v>6894</v>
      </c>
      <c r="E2392" t="s">
        <v>49</v>
      </c>
      <c r="F2392">
        <v>4</v>
      </c>
      <c r="G2392">
        <v>0.3551225758826132</v>
      </c>
      <c r="H2392" t="s">
        <v>93</v>
      </c>
      <c r="I2392">
        <v>0</v>
      </c>
      <c r="J2392">
        <v>0</v>
      </c>
      <c r="K2392">
        <v>0</v>
      </c>
    </row>
    <row r="2393" spans="1:11" x14ac:dyDescent="0.2">
      <c r="A2393" t="s">
        <v>16</v>
      </c>
      <c r="B2393" t="s">
        <v>3281</v>
      </c>
      <c r="C2393">
        <v>225</v>
      </c>
      <c r="D2393" t="s">
        <v>6885</v>
      </c>
      <c r="E2393" t="s">
        <v>49</v>
      </c>
      <c r="F2393">
        <v>4</v>
      </c>
      <c r="G2393">
        <v>0.3551225758826132</v>
      </c>
      <c r="H2393" t="s">
        <v>100</v>
      </c>
      <c r="I2393">
        <v>0</v>
      </c>
      <c r="J2393">
        <v>0</v>
      </c>
      <c r="K2393">
        <v>0</v>
      </c>
    </row>
    <row r="2394" spans="1:11" x14ac:dyDescent="0.2">
      <c r="A2394" t="s">
        <v>16</v>
      </c>
      <c r="B2394" t="s">
        <v>3281</v>
      </c>
      <c r="C2394">
        <v>225</v>
      </c>
      <c r="D2394" t="s">
        <v>6866</v>
      </c>
      <c r="E2394" t="s">
        <v>49</v>
      </c>
      <c r="F2394">
        <v>4</v>
      </c>
      <c r="G2394">
        <v>0.3551225758826132</v>
      </c>
      <c r="H2394" t="s">
        <v>94</v>
      </c>
      <c r="I2394">
        <v>0</v>
      </c>
      <c r="J2394">
        <v>0</v>
      </c>
      <c r="K2394">
        <v>0</v>
      </c>
    </row>
    <row r="2395" spans="1:11" x14ac:dyDescent="0.2">
      <c r="A2395" t="s">
        <v>16</v>
      </c>
      <c r="B2395" t="s">
        <v>3281</v>
      </c>
      <c r="C2395">
        <v>225</v>
      </c>
      <c r="D2395" t="s">
        <v>6862</v>
      </c>
      <c r="E2395" t="s">
        <v>49</v>
      </c>
      <c r="F2395">
        <v>4</v>
      </c>
      <c r="G2395">
        <v>0.3551225758826132</v>
      </c>
      <c r="H2395" t="s">
        <v>92</v>
      </c>
      <c r="I2395">
        <v>0</v>
      </c>
      <c r="J2395">
        <v>0</v>
      </c>
      <c r="K2395">
        <v>0</v>
      </c>
    </row>
    <row r="2396" spans="1:11" x14ac:dyDescent="0.2">
      <c r="A2396" t="s">
        <v>16</v>
      </c>
      <c r="B2396" t="s">
        <v>3281</v>
      </c>
      <c r="C2396">
        <v>225</v>
      </c>
      <c r="D2396" t="s">
        <v>6856</v>
      </c>
      <c r="E2396" t="s">
        <v>49</v>
      </c>
      <c r="F2396">
        <v>4</v>
      </c>
      <c r="G2396">
        <v>0.3551225758826132</v>
      </c>
      <c r="H2396" t="s">
        <v>93</v>
      </c>
      <c r="I2396">
        <v>0</v>
      </c>
      <c r="J2396">
        <v>0</v>
      </c>
      <c r="K2396">
        <v>0</v>
      </c>
    </row>
    <row r="2397" spans="1:11" x14ac:dyDescent="0.2">
      <c r="A2397" t="s">
        <v>16</v>
      </c>
      <c r="B2397" t="s">
        <v>3281</v>
      </c>
      <c r="C2397">
        <v>225</v>
      </c>
      <c r="D2397" t="s">
        <v>6875</v>
      </c>
      <c r="E2397" t="s">
        <v>49</v>
      </c>
      <c r="F2397">
        <v>4</v>
      </c>
      <c r="G2397">
        <v>0.3551225758826132</v>
      </c>
      <c r="H2397" t="s">
        <v>100</v>
      </c>
      <c r="I2397">
        <v>0</v>
      </c>
      <c r="J2397">
        <v>0</v>
      </c>
      <c r="K2397">
        <v>0</v>
      </c>
    </row>
    <row r="2398" spans="1:11" x14ac:dyDescent="0.2">
      <c r="A2398" t="s">
        <v>16</v>
      </c>
      <c r="B2398" t="s">
        <v>3281</v>
      </c>
      <c r="C2398">
        <v>225</v>
      </c>
      <c r="D2398" t="s">
        <v>6868</v>
      </c>
      <c r="E2398" t="s">
        <v>49</v>
      </c>
      <c r="F2398">
        <v>4</v>
      </c>
      <c r="G2398">
        <v>0.3551225758826132</v>
      </c>
      <c r="H2398" t="s">
        <v>94</v>
      </c>
      <c r="I2398">
        <v>0</v>
      </c>
      <c r="J2398">
        <v>0</v>
      </c>
      <c r="K2398">
        <v>0</v>
      </c>
    </row>
    <row r="2399" spans="1:11" x14ac:dyDescent="0.2">
      <c r="A2399" t="s">
        <v>16</v>
      </c>
      <c r="B2399" t="s">
        <v>3281</v>
      </c>
      <c r="C2399">
        <v>225</v>
      </c>
      <c r="D2399" t="s">
        <v>6854</v>
      </c>
      <c r="E2399" t="s">
        <v>49</v>
      </c>
      <c r="F2399">
        <v>4</v>
      </c>
      <c r="G2399">
        <v>0.3551225758826132</v>
      </c>
      <c r="H2399" t="s">
        <v>92</v>
      </c>
      <c r="I2399">
        <v>0</v>
      </c>
      <c r="J2399">
        <v>0</v>
      </c>
      <c r="K2399">
        <v>0</v>
      </c>
    </row>
    <row r="2400" spans="1:11" x14ac:dyDescent="0.2">
      <c r="A2400" t="s">
        <v>16</v>
      </c>
      <c r="B2400" t="s">
        <v>3281</v>
      </c>
      <c r="C2400">
        <v>225</v>
      </c>
      <c r="D2400" t="s">
        <v>6877</v>
      </c>
      <c r="E2400" t="s">
        <v>49</v>
      </c>
      <c r="F2400">
        <v>4</v>
      </c>
      <c r="G2400">
        <v>0.3551225758826132</v>
      </c>
      <c r="H2400" t="s">
        <v>93</v>
      </c>
      <c r="I2400">
        <v>0</v>
      </c>
      <c r="J2400">
        <v>0</v>
      </c>
      <c r="K2400">
        <v>0</v>
      </c>
    </row>
    <row r="2401" spans="1:11" x14ac:dyDescent="0.2">
      <c r="A2401" t="s">
        <v>16</v>
      </c>
      <c r="B2401" t="s">
        <v>3281</v>
      </c>
      <c r="C2401">
        <v>225</v>
      </c>
      <c r="D2401" t="s">
        <v>6864</v>
      </c>
      <c r="E2401" t="s">
        <v>49</v>
      </c>
      <c r="F2401">
        <v>4</v>
      </c>
      <c r="G2401">
        <v>0.3551225758826132</v>
      </c>
      <c r="H2401" t="s">
        <v>100</v>
      </c>
      <c r="I2401">
        <v>0</v>
      </c>
      <c r="J2401">
        <v>0</v>
      </c>
      <c r="K2401">
        <v>0</v>
      </c>
    </row>
    <row r="2402" spans="1:11" x14ac:dyDescent="0.2">
      <c r="A2402" t="s">
        <v>16</v>
      </c>
      <c r="B2402" t="s">
        <v>3281</v>
      </c>
      <c r="C2402">
        <v>75</v>
      </c>
      <c r="D2402" t="s">
        <v>6838</v>
      </c>
      <c r="E2402" t="s">
        <v>49</v>
      </c>
      <c r="F2402">
        <v>4</v>
      </c>
      <c r="G2402">
        <v>0.11837419196087107</v>
      </c>
      <c r="H2402" t="s">
        <v>94</v>
      </c>
      <c r="I2402">
        <v>0</v>
      </c>
      <c r="J2402">
        <v>0</v>
      </c>
      <c r="K2402">
        <v>0</v>
      </c>
    </row>
    <row r="2403" spans="1:11" x14ac:dyDescent="0.2">
      <c r="A2403" t="s">
        <v>16</v>
      </c>
      <c r="B2403" t="s">
        <v>3281</v>
      </c>
      <c r="C2403">
        <v>225</v>
      </c>
      <c r="D2403" t="s">
        <v>6836</v>
      </c>
      <c r="E2403" t="s">
        <v>49</v>
      </c>
      <c r="F2403">
        <v>4</v>
      </c>
      <c r="G2403">
        <v>0.3551225758826132</v>
      </c>
      <c r="H2403" t="s">
        <v>94</v>
      </c>
      <c r="I2403">
        <v>0</v>
      </c>
      <c r="J2403">
        <v>0</v>
      </c>
      <c r="K2403">
        <v>0</v>
      </c>
    </row>
    <row r="2404" spans="1:11" x14ac:dyDescent="0.2">
      <c r="A2404" t="s">
        <v>16</v>
      </c>
      <c r="B2404" t="s">
        <v>3281</v>
      </c>
      <c r="C2404">
        <v>225</v>
      </c>
      <c r="D2404" t="s">
        <v>6844</v>
      </c>
      <c r="E2404" t="s">
        <v>49</v>
      </c>
      <c r="F2404">
        <v>4</v>
      </c>
      <c r="G2404">
        <v>0.3551225758826132</v>
      </c>
      <c r="H2404" t="s">
        <v>92</v>
      </c>
      <c r="I2404">
        <v>0</v>
      </c>
      <c r="J2404">
        <v>0</v>
      </c>
      <c r="K2404">
        <v>0</v>
      </c>
    </row>
    <row r="2405" spans="1:11" x14ac:dyDescent="0.2">
      <c r="A2405" t="s">
        <v>16</v>
      </c>
      <c r="B2405" t="s">
        <v>3281</v>
      </c>
      <c r="C2405">
        <v>225</v>
      </c>
      <c r="D2405" t="s">
        <v>6882</v>
      </c>
      <c r="E2405" t="s">
        <v>49</v>
      </c>
      <c r="F2405">
        <v>4</v>
      </c>
      <c r="G2405">
        <v>0.3551225758826132</v>
      </c>
      <c r="H2405" t="s">
        <v>93</v>
      </c>
      <c r="I2405">
        <v>0</v>
      </c>
      <c r="J2405">
        <v>0</v>
      </c>
      <c r="K2405">
        <v>0</v>
      </c>
    </row>
    <row r="2406" spans="1:11" x14ac:dyDescent="0.2">
      <c r="A2406" t="s">
        <v>16</v>
      </c>
      <c r="B2406" t="s">
        <v>3281</v>
      </c>
      <c r="C2406">
        <v>225</v>
      </c>
      <c r="D2406" t="s">
        <v>6835</v>
      </c>
      <c r="E2406" t="s">
        <v>49</v>
      </c>
      <c r="F2406">
        <v>4</v>
      </c>
      <c r="G2406">
        <v>0.3551225758826132</v>
      </c>
      <c r="H2406" t="s">
        <v>100</v>
      </c>
      <c r="I2406">
        <v>0</v>
      </c>
      <c r="J2406">
        <v>0</v>
      </c>
      <c r="K2406">
        <v>0</v>
      </c>
    </row>
    <row r="2407" spans="1:11" x14ac:dyDescent="0.2">
      <c r="A2407" t="s">
        <v>16</v>
      </c>
      <c r="B2407" t="s">
        <v>3281</v>
      </c>
      <c r="C2407">
        <v>225</v>
      </c>
      <c r="D2407" t="s">
        <v>6870</v>
      </c>
      <c r="E2407" t="s">
        <v>49</v>
      </c>
      <c r="F2407">
        <v>4</v>
      </c>
      <c r="G2407">
        <v>0.3551225758826132</v>
      </c>
      <c r="H2407" t="s">
        <v>94</v>
      </c>
      <c r="I2407">
        <v>0</v>
      </c>
      <c r="J2407">
        <v>0</v>
      </c>
      <c r="K2407">
        <v>0</v>
      </c>
    </row>
    <row r="2408" spans="1:11" x14ac:dyDescent="0.2">
      <c r="A2408" t="s">
        <v>16</v>
      </c>
      <c r="B2408" t="s">
        <v>3281</v>
      </c>
      <c r="C2408">
        <v>225</v>
      </c>
      <c r="D2408" t="s">
        <v>6855</v>
      </c>
      <c r="E2408" t="s">
        <v>49</v>
      </c>
      <c r="F2408">
        <v>4</v>
      </c>
      <c r="G2408">
        <v>0.3551225758826132</v>
      </c>
      <c r="H2408" t="s">
        <v>92</v>
      </c>
      <c r="I2408">
        <v>0</v>
      </c>
      <c r="J2408">
        <v>0</v>
      </c>
      <c r="K2408">
        <v>0</v>
      </c>
    </row>
    <row r="2409" spans="1:11" x14ac:dyDescent="0.2">
      <c r="A2409" t="s">
        <v>16</v>
      </c>
      <c r="B2409" t="s">
        <v>3281</v>
      </c>
      <c r="C2409">
        <v>225</v>
      </c>
      <c r="D2409" t="s">
        <v>6867</v>
      </c>
      <c r="E2409" t="s">
        <v>49</v>
      </c>
      <c r="F2409">
        <v>4</v>
      </c>
      <c r="G2409">
        <v>0.3551225758826132</v>
      </c>
      <c r="H2409" t="s">
        <v>93</v>
      </c>
      <c r="I2409">
        <v>0</v>
      </c>
      <c r="J2409">
        <v>0</v>
      </c>
      <c r="K2409">
        <v>0</v>
      </c>
    </row>
    <row r="2410" spans="1:11" x14ac:dyDescent="0.2">
      <c r="A2410" t="s">
        <v>16</v>
      </c>
      <c r="B2410" t="s">
        <v>3281</v>
      </c>
      <c r="C2410">
        <v>225</v>
      </c>
      <c r="D2410" t="s">
        <v>6892</v>
      </c>
      <c r="E2410" t="s">
        <v>49</v>
      </c>
      <c r="F2410">
        <v>4</v>
      </c>
      <c r="G2410">
        <v>0.3551225758826132</v>
      </c>
      <c r="H2410" t="s">
        <v>100</v>
      </c>
      <c r="I2410">
        <v>0</v>
      </c>
      <c r="J2410">
        <v>0</v>
      </c>
      <c r="K2410">
        <v>0</v>
      </c>
    </row>
    <row r="2411" spans="1:11" x14ac:dyDescent="0.2">
      <c r="A2411" t="s">
        <v>16</v>
      </c>
      <c r="B2411" t="s">
        <v>3281</v>
      </c>
      <c r="C2411">
        <v>225</v>
      </c>
      <c r="D2411" t="s">
        <v>6840</v>
      </c>
      <c r="E2411" t="s">
        <v>49</v>
      </c>
      <c r="F2411">
        <v>4</v>
      </c>
      <c r="G2411">
        <v>0.3551225758826132</v>
      </c>
      <c r="H2411" t="s">
        <v>94</v>
      </c>
      <c r="I2411">
        <v>0</v>
      </c>
      <c r="J2411">
        <v>0</v>
      </c>
      <c r="K2411">
        <v>0</v>
      </c>
    </row>
    <row r="2412" spans="1:11" x14ac:dyDescent="0.2">
      <c r="A2412" t="s">
        <v>16</v>
      </c>
      <c r="B2412" t="s">
        <v>3281</v>
      </c>
      <c r="C2412">
        <v>225</v>
      </c>
      <c r="D2412" t="s">
        <v>6853</v>
      </c>
      <c r="E2412" t="s">
        <v>49</v>
      </c>
      <c r="F2412">
        <v>4</v>
      </c>
      <c r="G2412">
        <v>0.3551225758826132</v>
      </c>
      <c r="H2412" t="s">
        <v>92</v>
      </c>
      <c r="I2412">
        <v>0</v>
      </c>
      <c r="J2412">
        <v>0</v>
      </c>
      <c r="K2412">
        <v>0</v>
      </c>
    </row>
    <row r="2413" spans="1:11" x14ac:dyDescent="0.2">
      <c r="A2413" t="s">
        <v>16</v>
      </c>
      <c r="B2413" t="s">
        <v>3281</v>
      </c>
      <c r="C2413">
        <v>225</v>
      </c>
      <c r="D2413" t="s">
        <v>6845</v>
      </c>
      <c r="E2413" t="s">
        <v>49</v>
      </c>
      <c r="F2413">
        <v>4</v>
      </c>
      <c r="G2413">
        <v>0.3551225758826132</v>
      </c>
      <c r="H2413" t="s">
        <v>93</v>
      </c>
      <c r="I2413">
        <v>0</v>
      </c>
      <c r="J2413">
        <v>0</v>
      </c>
      <c r="K2413">
        <v>0</v>
      </c>
    </row>
    <row r="2414" spans="1:11" x14ac:dyDescent="0.2">
      <c r="A2414" t="s">
        <v>16</v>
      </c>
      <c r="B2414" t="s">
        <v>3281</v>
      </c>
      <c r="C2414">
        <v>225</v>
      </c>
      <c r="D2414" t="s">
        <v>6847</v>
      </c>
      <c r="E2414" t="s">
        <v>49</v>
      </c>
      <c r="F2414">
        <v>4</v>
      </c>
      <c r="G2414">
        <v>0.3551225758826132</v>
      </c>
      <c r="H2414" t="s">
        <v>100</v>
      </c>
      <c r="I2414">
        <v>0</v>
      </c>
      <c r="J2414">
        <v>0</v>
      </c>
      <c r="K2414">
        <v>0</v>
      </c>
    </row>
    <row r="2415" spans="1:11" x14ac:dyDescent="0.2">
      <c r="A2415" t="s">
        <v>16</v>
      </c>
      <c r="B2415" t="s">
        <v>3361</v>
      </c>
      <c r="C2415">
        <v>700</v>
      </c>
      <c r="D2415" t="s">
        <v>6895</v>
      </c>
      <c r="E2415" t="s">
        <v>49</v>
      </c>
      <c r="F2415">
        <v>3</v>
      </c>
      <c r="G2415">
        <v>0.51956090131407551</v>
      </c>
      <c r="H2415" t="s">
        <v>89</v>
      </c>
      <c r="I2415">
        <v>0</v>
      </c>
      <c r="J2415">
        <v>0</v>
      </c>
      <c r="K2415">
        <v>0</v>
      </c>
    </row>
    <row r="2416" spans="1:11" x14ac:dyDescent="0.2">
      <c r="A2416" t="s">
        <v>16</v>
      </c>
      <c r="B2416" t="s">
        <v>3417</v>
      </c>
      <c r="C2416">
        <v>240</v>
      </c>
      <c r="D2416" t="s">
        <v>6900</v>
      </c>
      <c r="E2416" t="s">
        <v>49</v>
      </c>
      <c r="F2416">
        <v>8</v>
      </c>
      <c r="G2416">
        <v>0.30665275244972467</v>
      </c>
      <c r="H2416" t="s">
        <v>101</v>
      </c>
      <c r="I2416">
        <v>0</v>
      </c>
      <c r="J2416">
        <v>0</v>
      </c>
      <c r="K2416">
        <v>0</v>
      </c>
    </row>
    <row r="2417" spans="1:11" x14ac:dyDescent="0.2">
      <c r="A2417" t="s">
        <v>16</v>
      </c>
      <c r="B2417" t="s">
        <v>3417</v>
      </c>
      <c r="C2417">
        <v>240</v>
      </c>
      <c r="D2417" t="s">
        <v>6897</v>
      </c>
      <c r="E2417" t="s">
        <v>49</v>
      </c>
      <c r="F2417">
        <v>8</v>
      </c>
      <c r="G2417">
        <v>0.30665275244972467</v>
      </c>
      <c r="H2417" t="s">
        <v>84</v>
      </c>
      <c r="I2417">
        <v>0</v>
      </c>
      <c r="J2417">
        <v>0</v>
      </c>
      <c r="K2417">
        <v>0</v>
      </c>
    </row>
    <row r="2418" spans="1:11" x14ac:dyDescent="0.2">
      <c r="A2418" t="s">
        <v>16</v>
      </c>
      <c r="B2418" t="s">
        <v>3417</v>
      </c>
      <c r="C2418">
        <v>240</v>
      </c>
      <c r="D2418" t="s">
        <v>6922</v>
      </c>
      <c r="E2418" t="s">
        <v>49</v>
      </c>
      <c r="F2418">
        <v>8</v>
      </c>
      <c r="G2418">
        <v>0.30665275244972467</v>
      </c>
      <c r="H2418" t="s">
        <v>87</v>
      </c>
      <c r="I2418">
        <v>0</v>
      </c>
      <c r="J2418">
        <v>0</v>
      </c>
      <c r="K2418">
        <v>0</v>
      </c>
    </row>
    <row r="2419" spans="1:11" x14ac:dyDescent="0.2">
      <c r="A2419" t="s">
        <v>16</v>
      </c>
      <c r="B2419" t="s">
        <v>3417</v>
      </c>
      <c r="C2419">
        <v>80</v>
      </c>
      <c r="D2419" t="s">
        <v>6896</v>
      </c>
      <c r="E2419" t="s">
        <v>49</v>
      </c>
      <c r="F2419">
        <v>8</v>
      </c>
      <c r="G2419">
        <v>0.10221758414990822</v>
      </c>
      <c r="H2419" t="s">
        <v>99</v>
      </c>
      <c r="I2419">
        <v>0</v>
      </c>
      <c r="J2419">
        <v>0</v>
      </c>
      <c r="K2419">
        <v>0</v>
      </c>
    </row>
    <row r="2420" spans="1:11" x14ac:dyDescent="0.2">
      <c r="A2420" t="s">
        <v>16</v>
      </c>
      <c r="B2420" t="s">
        <v>3417</v>
      </c>
      <c r="C2420">
        <v>240</v>
      </c>
      <c r="D2420" t="s">
        <v>6903</v>
      </c>
      <c r="E2420" t="s">
        <v>49</v>
      </c>
      <c r="F2420">
        <v>8</v>
      </c>
      <c r="G2420">
        <v>0.30665275244972467</v>
      </c>
      <c r="H2420" t="s">
        <v>88</v>
      </c>
      <c r="I2420">
        <v>0</v>
      </c>
      <c r="J2420">
        <v>0</v>
      </c>
      <c r="K2420">
        <v>0</v>
      </c>
    </row>
    <row r="2421" spans="1:11" x14ac:dyDescent="0.2">
      <c r="A2421" t="s">
        <v>16</v>
      </c>
      <c r="B2421" t="s">
        <v>3417</v>
      </c>
      <c r="C2421">
        <v>240</v>
      </c>
      <c r="D2421" t="s">
        <v>6924</v>
      </c>
      <c r="E2421" t="s">
        <v>49</v>
      </c>
      <c r="F2421">
        <v>8</v>
      </c>
      <c r="G2421">
        <v>0.30665275244972467</v>
      </c>
      <c r="H2421" t="s">
        <v>105</v>
      </c>
      <c r="I2421">
        <v>0</v>
      </c>
      <c r="J2421">
        <v>0</v>
      </c>
      <c r="K2421">
        <v>0</v>
      </c>
    </row>
    <row r="2422" spans="1:11" x14ac:dyDescent="0.2">
      <c r="A2422" t="s">
        <v>16</v>
      </c>
      <c r="B2422" t="s">
        <v>3417</v>
      </c>
      <c r="C2422">
        <v>240</v>
      </c>
      <c r="D2422" t="s">
        <v>6917</v>
      </c>
      <c r="E2422" t="s">
        <v>49</v>
      </c>
      <c r="F2422">
        <v>8</v>
      </c>
      <c r="G2422">
        <v>0.30665275244972467</v>
      </c>
      <c r="H2422" t="s">
        <v>96</v>
      </c>
      <c r="I2422">
        <v>0</v>
      </c>
      <c r="J2422">
        <v>0</v>
      </c>
      <c r="K2422">
        <v>0</v>
      </c>
    </row>
    <row r="2423" spans="1:11" x14ac:dyDescent="0.2">
      <c r="A2423" t="s">
        <v>16</v>
      </c>
      <c r="B2423" t="s">
        <v>3417</v>
      </c>
      <c r="C2423">
        <v>240</v>
      </c>
      <c r="D2423" t="s">
        <v>6915</v>
      </c>
      <c r="E2423" t="s">
        <v>49</v>
      </c>
      <c r="F2423">
        <v>8</v>
      </c>
      <c r="G2423">
        <v>0.30665275244972467</v>
      </c>
      <c r="H2423" t="s">
        <v>99</v>
      </c>
      <c r="I2423">
        <v>0</v>
      </c>
      <c r="J2423">
        <v>0</v>
      </c>
      <c r="K2423">
        <v>0</v>
      </c>
    </row>
    <row r="2424" spans="1:11" x14ac:dyDescent="0.2">
      <c r="A2424" t="s">
        <v>16</v>
      </c>
      <c r="B2424" t="s">
        <v>3417</v>
      </c>
      <c r="C2424">
        <v>240</v>
      </c>
      <c r="D2424" t="s">
        <v>6913</v>
      </c>
      <c r="E2424" t="s">
        <v>49</v>
      </c>
      <c r="F2424">
        <v>8</v>
      </c>
      <c r="G2424">
        <v>0.30665275244972467</v>
      </c>
      <c r="H2424" t="s">
        <v>95</v>
      </c>
      <c r="I2424">
        <v>0</v>
      </c>
      <c r="J2424">
        <v>0</v>
      </c>
      <c r="K2424">
        <v>0</v>
      </c>
    </row>
    <row r="2425" spans="1:11" x14ac:dyDescent="0.2">
      <c r="A2425" t="s">
        <v>16</v>
      </c>
      <c r="B2425" t="s">
        <v>3417</v>
      </c>
      <c r="C2425">
        <v>240</v>
      </c>
      <c r="D2425" t="s">
        <v>6914</v>
      </c>
      <c r="E2425" t="s">
        <v>49</v>
      </c>
      <c r="F2425">
        <v>8</v>
      </c>
      <c r="G2425">
        <v>0.30665275244972467</v>
      </c>
      <c r="H2425" t="s">
        <v>101</v>
      </c>
      <c r="I2425">
        <v>0</v>
      </c>
      <c r="J2425">
        <v>0</v>
      </c>
      <c r="K2425">
        <v>0</v>
      </c>
    </row>
    <row r="2426" spans="1:11" x14ac:dyDescent="0.2">
      <c r="A2426" t="s">
        <v>16</v>
      </c>
      <c r="B2426" t="s">
        <v>3417</v>
      </c>
      <c r="C2426">
        <v>240</v>
      </c>
      <c r="D2426" t="s">
        <v>6920</v>
      </c>
      <c r="E2426" t="s">
        <v>49</v>
      </c>
      <c r="F2426">
        <v>8</v>
      </c>
      <c r="G2426">
        <v>0.30665275244972467</v>
      </c>
      <c r="H2426" t="s">
        <v>84</v>
      </c>
      <c r="I2426">
        <v>0</v>
      </c>
      <c r="J2426">
        <v>0</v>
      </c>
      <c r="K2426">
        <v>0</v>
      </c>
    </row>
    <row r="2427" spans="1:11" x14ac:dyDescent="0.2">
      <c r="A2427" t="s">
        <v>16</v>
      </c>
      <c r="B2427" t="s">
        <v>3417</v>
      </c>
      <c r="C2427">
        <v>240</v>
      </c>
      <c r="D2427" t="s">
        <v>6919</v>
      </c>
      <c r="E2427" t="s">
        <v>49</v>
      </c>
      <c r="F2427">
        <v>8</v>
      </c>
      <c r="G2427">
        <v>0.30665275244972467</v>
      </c>
      <c r="H2427" t="s">
        <v>87</v>
      </c>
      <c r="I2427">
        <v>0</v>
      </c>
      <c r="J2427">
        <v>0</v>
      </c>
      <c r="K2427">
        <v>0</v>
      </c>
    </row>
    <row r="2428" spans="1:11" x14ac:dyDescent="0.2">
      <c r="A2428" t="s">
        <v>16</v>
      </c>
      <c r="B2428" t="s">
        <v>3417</v>
      </c>
      <c r="C2428">
        <v>240</v>
      </c>
      <c r="D2428" t="s">
        <v>6923</v>
      </c>
      <c r="E2428" t="s">
        <v>49</v>
      </c>
      <c r="F2428">
        <v>8</v>
      </c>
      <c r="G2428">
        <v>0.30665275244972467</v>
      </c>
      <c r="H2428" t="s">
        <v>88</v>
      </c>
      <c r="I2428">
        <v>0</v>
      </c>
      <c r="J2428">
        <v>0</v>
      </c>
      <c r="K2428">
        <v>0</v>
      </c>
    </row>
    <row r="2429" spans="1:11" x14ac:dyDescent="0.2">
      <c r="A2429" t="s">
        <v>16</v>
      </c>
      <c r="B2429" t="s">
        <v>3417</v>
      </c>
      <c r="C2429">
        <v>240</v>
      </c>
      <c r="D2429" t="s">
        <v>6909</v>
      </c>
      <c r="E2429" t="s">
        <v>49</v>
      </c>
      <c r="F2429">
        <v>8</v>
      </c>
      <c r="G2429">
        <v>0.30665275244972467</v>
      </c>
      <c r="H2429" t="s">
        <v>105</v>
      </c>
      <c r="I2429">
        <v>0</v>
      </c>
      <c r="J2429">
        <v>0</v>
      </c>
      <c r="K2429">
        <v>0</v>
      </c>
    </row>
    <row r="2430" spans="1:11" x14ac:dyDescent="0.2">
      <c r="A2430" t="s">
        <v>16</v>
      </c>
      <c r="B2430" t="s">
        <v>3417</v>
      </c>
      <c r="C2430">
        <v>240</v>
      </c>
      <c r="D2430" t="s">
        <v>6899</v>
      </c>
      <c r="E2430" t="s">
        <v>49</v>
      </c>
      <c r="F2430">
        <v>8</v>
      </c>
      <c r="G2430">
        <v>0.30665275244972467</v>
      </c>
      <c r="H2430" t="s">
        <v>96</v>
      </c>
      <c r="I2430">
        <v>0</v>
      </c>
      <c r="J2430">
        <v>0</v>
      </c>
      <c r="K2430">
        <v>0</v>
      </c>
    </row>
    <row r="2431" spans="1:11" x14ac:dyDescent="0.2">
      <c r="A2431" t="s">
        <v>16</v>
      </c>
      <c r="B2431" t="s">
        <v>3417</v>
      </c>
      <c r="C2431">
        <v>240</v>
      </c>
      <c r="D2431" t="s">
        <v>6904</v>
      </c>
      <c r="E2431" t="s">
        <v>49</v>
      </c>
      <c r="F2431">
        <v>8</v>
      </c>
      <c r="G2431">
        <v>0.30665275244972467</v>
      </c>
      <c r="H2431" t="s">
        <v>99</v>
      </c>
      <c r="I2431">
        <v>0</v>
      </c>
      <c r="J2431">
        <v>0</v>
      </c>
      <c r="K2431">
        <v>0</v>
      </c>
    </row>
    <row r="2432" spans="1:11" x14ac:dyDescent="0.2">
      <c r="A2432" t="s">
        <v>16</v>
      </c>
      <c r="B2432" t="s">
        <v>3417</v>
      </c>
      <c r="C2432">
        <v>240</v>
      </c>
      <c r="D2432" t="s">
        <v>6921</v>
      </c>
      <c r="E2432" t="s">
        <v>49</v>
      </c>
      <c r="F2432">
        <v>8</v>
      </c>
      <c r="G2432">
        <v>0.30665275244972467</v>
      </c>
      <c r="H2432" t="s">
        <v>95</v>
      </c>
      <c r="I2432">
        <v>0</v>
      </c>
      <c r="J2432">
        <v>0</v>
      </c>
      <c r="K2432">
        <v>0</v>
      </c>
    </row>
    <row r="2433" spans="1:11" x14ac:dyDescent="0.2">
      <c r="A2433" t="s">
        <v>16</v>
      </c>
      <c r="B2433" t="s">
        <v>3417</v>
      </c>
      <c r="C2433">
        <v>240</v>
      </c>
      <c r="D2433" t="s">
        <v>6898</v>
      </c>
      <c r="E2433" t="s">
        <v>49</v>
      </c>
      <c r="F2433">
        <v>8</v>
      </c>
      <c r="G2433">
        <v>0.30665275244972467</v>
      </c>
      <c r="H2433" t="s">
        <v>101</v>
      </c>
      <c r="I2433">
        <v>0</v>
      </c>
      <c r="J2433">
        <v>0</v>
      </c>
      <c r="K2433">
        <v>0</v>
      </c>
    </row>
    <row r="2434" spans="1:11" x14ac:dyDescent="0.2">
      <c r="A2434" t="s">
        <v>16</v>
      </c>
      <c r="B2434" t="s">
        <v>3417</v>
      </c>
      <c r="C2434">
        <v>240</v>
      </c>
      <c r="D2434" t="s">
        <v>6918</v>
      </c>
      <c r="E2434" t="s">
        <v>49</v>
      </c>
      <c r="F2434">
        <v>8</v>
      </c>
      <c r="G2434">
        <v>0.30665275244972467</v>
      </c>
      <c r="H2434" t="s">
        <v>84</v>
      </c>
      <c r="I2434">
        <v>0</v>
      </c>
      <c r="J2434">
        <v>0</v>
      </c>
      <c r="K2434">
        <v>0</v>
      </c>
    </row>
    <row r="2435" spans="1:11" x14ac:dyDescent="0.2">
      <c r="A2435" t="s">
        <v>16</v>
      </c>
      <c r="B2435" t="s">
        <v>3417</v>
      </c>
      <c r="C2435">
        <v>240</v>
      </c>
      <c r="D2435" t="s">
        <v>6907</v>
      </c>
      <c r="E2435" t="s">
        <v>49</v>
      </c>
      <c r="F2435">
        <v>8</v>
      </c>
      <c r="G2435">
        <v>0.30665275244972467</v>
      </c>
      <c r="H2435" t="s">
        <v>87</v>
      </c>
      <c r="I2435">
        <v>0</v>
      </c>
      <c r="J2435">
        <v>0</v>
      </c>
      <c r="K2435">
        <v>0</v>
      </c>
    </row>
    <row r="2436" spans="1:11" x14ac:dyDescent="0.2">
      <c r="A2436" t="s">
        <v>16</v>
      </c>
      <c r="B2436" t="s">
        <v>3417</v>
      </c>
      <c r="C2436">
        <v>240</v>
      </c>
      <c r="D2436" t="s">
        <v>6901</v>
      </c>
      <c r="E2436" t="s">
        <v>49</v>
      </c>
      <c r="F2436">
        <v>8</v>
      </c>
      <c r="G2436">
        <v>0.30665275244972467</v>
      </c>
      <c r="H2436" t="s">
        <v>88</v>
      </c>
      <c r="I2436">
        <v>0</v>
      </c>
      <c r="J2436">
        <v>0</v>
      </c>
      <c r="K2436">
        <v>0</v>
      </c>
    </row>
    <row r="2437" spans="1:11" x14ac:dyDescent="0.2">
      <c r="A2437" t="s">
        <v>16</v>
      </c>
      <c r="B2437" t="s">
        <v>3417</v>
      </c>
      <c r="C2437">
        <v>240</v>
      </c>
      <c r="D2437" t="s">
        <v>6902</v>
      </c>
      <c r="E2437" t="s">
        <v>49</v>
      </c>
      <c r="F2437">
        <v>8</v>
      </c>
      <c r="G2437">
        <v>0.30665275244972467</v>
      </c>
      <c r="H2437" t="s">
        <v>105</v>
      </c>
      <c r="I2437">
        <v>0</v>
      </c>
      <c r="J2437">
        <v>0</v>
      </c>
      <c r="K2437">
        <v>0</v>
      </c>
    </row>
    <row r="2438" spans="1:11" x14ac:dyDescent="0.2">
      <c r="A2438" t="s">
        <v>16</v>
      </c>
      <c r="B2438" t="s">
        <v>3417</v>
      </c>
      <c r="C2438">
        <v>160</v>
      </c>
      <c r="D2438" t="s">
        <v>6916</v>
      </c>
      <c r="E2438" t="s">
        <v>49</v>
      </c>
      <c r="F2438">
        <v>8</v>
      </c>
      <c r="G2438">
        <v>0.20443516829981645</v>
      </c>
      <c r="H2438" t="s">
        <v>96</v>
      </c>
      <c r="I2438">
        <v>0</v>
      </c>
      <c r="J2438">
        <v>0</v>
      </c>
      <c r="K2438">
        <v>0</v>
      </c>
    </row>
    <row r="2439" spans="1:11" x14ac:dyDescent="0.2">
      <c r="A2439" t="s">
        <v>16</v>
      </c>
      <c r="B2439" t="s">
        <v>3417</v>
      </c>
      <c r="C2439">
        <v>240</v>
      </c>
      <c r="D2439" t="s">
        <v>6911</v>
      </c>
      <c r="E2439" t="s">
        <v>49</v>
      </c>
      <c r="F2439">
        <v>8</v>
      </c>
      <c r="G2439">
        <v>0.30665275244972467</v>
      </c>
      <c r="H2439" t="s">
        <v>99</v>
      </c>
      <c r="I2439">
        <v>0</v>
      </c>
      <c r="J2439">
        <v>0</v>
      </c>
      <c r="K2439">
        <v>0</v>
      </c>
    </row>
    <row r="2440" spans="1:11" x14ac:dyDescent="0.2">
      <c r="A2440" t="s">
        <v>16</v>
      </c>
      <c r="B2440" t="s">
        <v>3417</v>
      </c>
      <c r="C2440">
        <v>240</v>
      </c>
      <c r="D2440" t="s">
        <v>6905</v>
      </c>
      <c r="E2440" t="s">
        <v>49</v>
      </c>
      <c r="F2440">
        <v>8</v>
      </c>
      <c r="G2440">
        <v>0.30665275244972467</v>
      </c>
      <c r="H2440" t="s">
        <v>95</v>
      </c>
      <c r="I2440">
        <v>0</v>
      </c>
      <c r="J2440">
        <v>0</v>
      </c>
      <c r="K2440">
        <v>0</v>
      </c>
    </row>
    <row r="2441" spans="1:11" x14ac:dyDescent="0.2">
      <c r="A2441" t="s">
        <v>16</v>
      </c>
      <c r="B2441" t="s">
        <v>3417</v>
      </c>
      <c r="C2441">
        <v>240</v>
      </c>
      <c r="D2441" t="s">
        <v>6908</v>
      </c>
      <c r="E2441" t="s">
        <v>49</v>
      </c>
      <c r="F2441">
        <v>8</v>
      </c>
      <c r="G2441">
        <v>0.30665275244972467</v>
      </c>
      <c r="H2441" t="s">
        <v>96</v>
      </c>
      <c r="I2441">
        <v>0</v>
      </c>
      <c r="J2441">
        <v>0</v>
      </c>
      <c r="K2441">
        <v>0</v>
      </c>
    </row>
    <row r="2442" spans="1:11" x14ac:dyDescent="0.2">
      <c r="A2442" t="s">
        <v>16</v>
      </c>
      <c r="B2442" t="s">
        <v>3417</v>
      </c>
      <c r="C2442">
        <v>240</v>
      </c>
      <c r="D2442" t="s">
        <v>6906</v>
      </c>
      <c r="E2442" t="s">
        <v>49</v>
      </c>
      <c r="F2442">
        <v>8</v>
      </c>
      <c r="G2442">
        <v>0.30665275244972467</v>
      </c>
      <c r="H2442" t="s">
        <v>101</v>
      </c>
      <c r="I2442">
        <v>0</v>
      </c>
      <c r="J2442">
        <v>0</v>
      </c>
      <c r="K2442">
        <v>0</v>
      </c>
    </row>
    <row r="2443" spans="1:11" x14ac:dyDescent="0.2">
      <c r="A2443" t="s">
        <v>16</v>
      </c>
      <c r="B2443" t="s">
        <v>3417</v>
      </c>
      <c r="C2443">
        <v>240</v>
      </c>
      <c r="D2443" t="s">
        <v>6910</v>
      </c>
      <c r="E2443" t="s">
        <v>49</v>
      </c>
      <c r="F2443">
        <v>8</v>
      </c>
      <c r="G2443">
        <v>0.30665275244972467</v>
      </c>
      <c r="H2443" t="s">
        <v>84</v>
      </c>
      <c r="I2443">
        <v>0</v>
      </c>
      <c r="J2443">
        <v>0</v>
      </c>
      <c r="K2443">
        <v>0</v>
      </c>
    </row>
    <row r="2444" spans="1:11" x14ac:dyDescent="0.2">
      <c r="A2444" t="s">
        <v>16</v>
      </c>
      <c r="B2444" t="s">
        <v>3417</v>
      </c>
      <c r="C2444">
        <v>240</v>
      </c>
      <c r="D2444" t="s">
        <v>6925</v>
      </c>
      <c r="E2444" t="s">
        <v>49</v>
      </c>
      <c r="F2444">
        <v>8</v>
      </c>
      <c r="G2444">
        <v>0.30665275244972467</v>
      </c>
      <c r="H2444" t="s">
        <v>87</v>
      </c>
      <c r="I2444">
        <v>0</v>
      </c>
      <c r="J2444">
        <v>0</v>
      </c>
      <c r="K2444">
        <v>0</v>
      </c>
    </row>
    <row r="2445" spans="1:11" x14ac:dyDescent="0.2">
      <c r="A2445" t="s">
        <v>16</v>
      </c>
      <c r="B2445" t="s">
        <v>3417</v>
      </c>
      <c r="C2445">
        <v>240</v>
      </c>
      <c r="D2445" t="s">
        <v>6912</v>
      </c>
      <c r="E2445" t="s">
        <v>49</v>
      </c>
      <c r="F2445">
        <v>8</v>
      </c>
      <c r="G2445">
        <v>0.30665275244972467</v>
      </c>
      <c r="H2445" t="s">
        <v>88</v>
      </c>
      <c r="I2445">
        <v>0</v>
      </c>
      <c r="J2445">
        <v>0</v>
      </c>
      <c r="K2445">
        <v>0</v>
      </c>
    </row>
    <row r="2446" spans="1:11" x14ac:dyDescent="0.2">
      <c r="A2446" t="s">
        <v>16</v>
      </c>
      <c r="B2446" t="s">
        <v>3423</v>
      </c>
      <c r="C2446">
        <v>300</v>
      </c>
      <c r="D2446" t="s">
        <v>6935</v>
      </c>
      <c r="E2446" t="s">
        <v>49</v>
      </c>
      <c r="F2446">
        <v>3</v>
      </c>
      <c r="G2446">
        <v>0.35524789970238524</v>
      </c>
      <c r="H2446" t="s">
        <v>90</v>
      </c>
      <c r="I2446">
        <v>0</v>
      </c>
      <c r="J2446">
        <v>0</v>
      </c>
      <c r="K2446">
        <v>0</v>
      </c>
    </row>
    <row r="2447" spans="1:11" x14ac:dyDescent="0.2">
      <c r="A2447" t="s">
        <v>16</v>
      </c>
      <c r="B2447" t="s">
        <v>3423</v>
      </c>
      <c r="C2447">
        <v>300</v>
      </c>
      <c r="D2447" t="s">
        <v>6932</v>
      </c>
      <c r="E2447" t="s">
        <v>49</v>
      </c>
      <c r="F2447">
        <v>3</v>
      </c>
      <c r="G2447">
        <v>0.35524789970238524</v>
      </c>
      <c r="H2447" t="s">
        <v>89</v>
      </c>
      <c r="I2447">
        <v>0</v>
      </c>
      <c r="J2447">
        <v>0</v>
      </c>
      <c r="K2447">
        <v>0</v>
      </c>
    </row>
    <row r="2448" spans="1:11" x14ac:dyDescent="0.2">
      <c r="A2448" t="s">
        <v>16</v>
      </c>
      <c r="B2448" t="s">
        <v>3423</v>
      </c>
      <c r="C2448">
        <v>300</v>
      </c>
      <c r="D2448" t="s">
        <v>6938</v>
      </c>
      <c r="E2448" t="s">
        <v>49</v>
      </c>
      <c r="F2448">
        <v>3</v>
      </c>
      <c r="G2448">
        <v>0.35524789970238524</v>
      </c>
      <c r="H2448" t="s">
        <v>91</v>
      </c>
      <c r="I2448">
        <v>0</v>
      </c>
      <c r="J2448">
        <v>0</v>
      </c>
      <c r="K2448">
        <v>0</v>
      </c>
    </row>
    <row r="2449" spans="1:11" x14ac:dyDescent="0.2">
      <c r="A2449" t="s">
        <v>16</v>
      </c>
      <c r="B2449" t="s">
        <v>3423</v>
      </c>
      <c r="C2449">
        <v>300</v>
      </c>
      <c r="D2449" t="s">
        <v>6952</v>
      </c>
      <c r="E2449" t="s">
        <v>49</v>
      </c>
      <c r="F2449">
        <v>3</v>
      </c>
      <c r="G2449">
        <v>0.35524789970238524</v>
      </c>
      <c r="H2449" t="s">
        <v>90</v>
      </c>
      <c r="I2449">
        <v>0</v>
      </c>
      <c r="J2449">
        <v>0</v>
      </c>
      <c r="K2449">
        <v>0</v>
      </c>
    </row>
    <row r="2450" spans="1:11" x14ac:dyDescent="0.2">
      <c r="A2450" t="s">
        <v>16</v>
      </c>
      <c r="B2450" t="s">
        <v>3423</v>
      </c>
      <c r="C2450">
        <v>300</v>
      </c>
      <c r="D2450" t="s">
        <v>6927</v>
      </c>
      <c r="E2450" t="s">
        <v>49</v>
      </c>
      <c r="F2450">
        <v>3</v>
      </c>
      <c r="G2450">
        <v>0.35524789970238524</v>
      </c>
      <c r="H2450" t="s">
        <v>89</v>
      </c>
      <c r="I2450">
        <v>0</v>
      </c>
      <c r="J2450">
        <v>0</v>
      </c>
      <c r="K2450">
        <v>0</v>
      </c>
    </row>
    <row r="2451" spans="1:11" x14ac:dyDescent="0.2">
      <c r="A2451" t="s">
        <v>16</v>
      </c>
      <c r="B2451" t="s">
        <v>3423</v>
      </c>
      <c r="C2451">
        <v>300</v>
      </c>
      <c r="D2451" t="s">
        <v>6939</v>
      </c>
      <c r="E2451" t="s">
        <v>49</v>
      </c>
      <c r="F2451">
        <v>3</v>
      </c>
      <c r="G2451">
        <v>0.35524789970238524</v>
      </c>
      <c r="H2451" t="s">
        <v>91</v>
      </c>
      <c r="I2451">
        <v>0</v>
      </c>
      <c r="J2451">
        <v>0</v>
      </c>
      <c r="K2451">
        <v>0</v>
      </c>
    </row>
    <row r="2452" spans="1:11" x14ac:dyDescent="0.2">
      <c r="A2452" t="s">
        <v>16</v>
      </c>
      <c r="B2452" t="s">
        <v>3423</v>
      </c>
      <c r="C2452">
        <v>300</v>
      </c>
      <c r="D2452" t="s">
        <v>6926</v>
      </c>
      <c r="E2452" t="s">
        <v>49</v>
      </c>
      <c r="F2452">
        <v>3</v>
      </c>
      <c r="G2452">
        <v>0.35524789970238524</v>
      </c>
      <c r="H2452" t="s">
        <v>90</v>
      </c>
      <c r="I2452">
        <v>0</v>
      </c>
      <c r="J2452">
        <v>0</v>
      </c>
      <c r="K2452">
        <v>0</v>
      </c>
    </row>
    <row r="2453" spans="1:11" x14ac:dyDescent="0.2">
      <c r="A2453" t="s">
        <v>16</v>
      </c>
      <c r="B2453" t="s">
        <v>3423</v>
      </c>
      <c r="C2453">
        <v>300</v>
      </c>
      <c r="D2453" t="s">
        <v>6951</v>
      </c>
      <c r="E2453" t="s">
        <v>49</v>
      </c>
      <c r="F2453">
        <v>3</v>
      </c>
      <c r="G2453">
        <v>0.35524789970238524</v>
      </c>
      <c r="H2453" t="s">
        <v>89</v>
      </c>
      <c r="I2453">
        <v>0</v>
      </c>
      <c r="J2453">
        <v>0</v>
      </c>
      <c r="K2453">
        <v>0</v>
      </c>
    </row>
    <row r="2454" spans="1:11" x14ac:dyDescent="0.2">
      <c r="A2454" t="s">
        <v>16</v>
      </c>
      <c r="B2454" t="s">
        <v>3423</v>
      </c>
      <c r="C2454">
        <v>300</v>
      </c>
      <c r="D2454" t="s">
        <v>6946</v>
      </c>
      <c r="E2454" t="s">
        <v>49</v>
      </c>
      <c r="F2454">
        <v>3</v>
      </c>
      <c r="G2454">
        <v>0.35524789970238524</v>
      </c>
      <c r="H2454" t="s">
        <v>91</v>
      </c>
      <c r="I2454">
        <v>0</v>
      </c>
      <c r="J2454">
        <v>0</v>
      </c>
      <c r="K2454">
        <v>0</v>
      </c>
    </row>
    <row r="2455" spans="1:11" x14ac:dyDescent="0.2">
      <c r="A2455" t="s">
        <v>16</v>
      </c>
      <c r="B2455" t="s">
        <v>3423</v>
      </c>
      <c r="C2455">
        <v>300</v>
      </c>
      <c r="D2455" t="s">
        <v>6955</v>
      </c>
      <c r="E2455" t="s">
        <v>49</v>
      </c>
      <c r="F2455">
        <v>3</v>
      </c>
      <c r="G2455">
        <v>0.35524789970238524</v>
      </c>
      <c r="H2455" t="s">
        <v>90</v>
      </c>
      <c r="I2455">
        <v>0</v>
      </c>
      <c r="J2455">
        <v>0</v>
      </c>
      <c r="K2455">
        <v>0</v>
      </c>
    </row>
    <row r="2456" spans="1:11" x14ac:dyDescent="0.2">
      <c r="A2456" t="s">
        <v>16</v>
      </c>
      <c r="B2456" t="s">
        <v>3423</v>
      </c>
      <c r="C2456">
        <v>300</v>
      </c>
      <c r="D2456" t="s">
        <v>6947</v>
      </c>
      <c r="E2456" t="s">
        <v>49</v>
      </c>
      <c r="F2456">
        <v>3</v>
      </c>
      <c r="G2456">
        <v>0.35524789970238524</v>
      </c>
      <c r="H2456" t="s">
        <v>89</v>
      </c>
      <c r="I2456">
        <v>0</v>
      </c>
      <c r="J2456">
        <v>0</v>
      </c>
      <c r="K2456">
        <v>0</v>
      </c>
    </row>
    <row r="2457" spans="1:11" x14ac:dyDescent="0.2">
      <c r="A2457" t="s">
        <v>16</v>
      </c>
      <c r="B2457" t="s">
        <v>3423</v>
      </c>
      <c r="C2457">
        <v>200</v>
      </c>
      <c r="D2457" t="s">
        <v>6949</v>
      </c>
      <c r="E2457" t="s">
        <v>49</v>
      </c>
      <c r="F2457">
        <v>3</v>
      </c>
      <c r="G2457">
        <v>0.23683193313492348</v>
      </c>
      <c r="H2457" t="s">
        <v>91</v>
      </c>
      <c r="I2457">
        <v>0</v>
      </c>
      <c r="J2457">
        <v>0</v>
      </c>
      <c r="K2457">
        <v>0</v>
      </c>
    </row>
    <row r="2458" spans="1:11" x14ac:dyDescent="0.2">
      <c r="A2458" t="s">
        <v>16</v>
      </c>
      <c r="B2458" t="s">
        <v>3423</v>
      </c>
      <c r="C2458">
        <v>300</v>
      </c>
      <c r="D2458" t="s">
        <v>6956</v>
      </c>
      <c r="E2458" t="s">
        <v>49</v>
      </c>
      <c r="F2458">
        <v>3</v>
      </c>
      <c r="G2458">
        <v>0.35524789970238524</v>
      </c>
      <c r="H2458" t="s">
        <v>90</v>
      </c>
      <c r="I2458">
        <v>0</v>
      </c>
      <c r="J2458">
        <v>0</v>
      </c>
      <c r="K2458">
        <v>0</v>
      </c>
    </row>
    <row r="2459" spans="1:11" x14ac:dyDescent="0.2">
      <c r="A2459" t="s">
        <v>16</v>
      </c>
      <c r="B2459" t="s">
        <v>3423</v>
      </c>
      <c r="C2459">
        <v>300</v>
      </c>
      <c r="D2459" t="s">
        <v>6934</v>
      </c>
      <c r="E2459" t="s">
        <v>49</v>
      </c>
      <c r="F2459">
        <v>3</v>
      </c>
      <c r="G2459">
        <v>0.35524789970238524</v>
      </c>
      <c r="H2459" t="s">
        <v>91</v>
      </c>
      <c r="I2459">
        <v>0</v>
      </c>
      <c r="J2459">
        <v>0</v>
      </c>
      <c r="K2459">
        <v>0</v>
      </c>
    </row>
    <row r="2460" spans="1:11" x14ac:dyDescent="0.2">
      <c r="A2460" t="s">
        <v>16</v>
      </c>
      <c r="B2460" t="s">
        <v>3423</v>
      </c>
      <c r="C2460">
        <v>300</v>
      </c>
      <c r="D2460" t="s">
        <v>6954</v>
      </c>
      <c r="E2460" t="s">
        <v>49</v>
      </c>
      <c r="F2460">
        <v>3</v>
      </c>
      <c r="G2460">
        <v>0.35524789970238524</v>
      </c>
      <c r="H2460" t="s">
        <v>89</v>
      </c>
      <c r="I2460">
        <v>0</v>
      </c>
      <c r="J2460">
        <v>0</v>
      </c>
      <c r="K2460">
        <v>0</v>
      </c>
    </row>
    <row r="2461" spans="1:11" x14ac:dyDescent="0.2">
      <c r="A2461" t="s">
        <v>16</v>
      </c>
      <c r="B2461" t="s">
        <v>3423</v>
      </c>
      <c r="C2461">
        <v>300</v>
      </c>
      <c r="D2461" t="s">
        <v>6950</v>
      </c>
      <c r="E2461" t="s">
        <v>49</v>
      </c>
      <c r="F2461">
        <v>3</v>
      </c>
      <c r="G2461">
        <v>0.35524789970238524</v>
      </c>
      <c r="H2461" t="s">
        <v>90</v>
      </c>
      <c r="I2461">
        <v>0</v>
      </c>
      <c r="J2461">
        <v>0</v>
      </c>
      <c r="K2461">
        <v>0</v>
      </c>
    </row>
    <row r="2462" spans="1:11" x14ac:dyDescent="0.2">
      <c r="A2462" t="s">
        <v>16</v>
      </c>
      <c r="B2462" t="s">
        <v>3423</v>
      </c>
      <c r="C2462">
        <v>300</v>
      </c>
      <c r="D2462" t="s">
        <v>6957</v>
      </c>
      <c r="E2462" t="s">
        <v>49</v>
      </c>
      <c r="F2462">
        <v>3</v>
      </c>
      <c r="G2462">
        <v>0.35524789970238524</v>
      </c>
      <c r="H2462" t="s">
        <v>91</v>
      </c>
      <c r="I2462">
        <v>0</v>
      </c>
      <c r="J2462">
        <v>0</v>
      </c>
      <c r="K2462">
        <v>0</v>
      </c>
    </row>
    <row r="2463" spans="1:11" x14ac:dyDescent="0.2">
      <c r="A2463" t="s">
        <v>16</v>
      </c>
      <c r="B2463" t="s">
        <v>3423</v>
      </c>
      <c r="C2463">
        <v>300</v>
      </c>
      <c r="D2463" t="s">
        <v>6944</v>
      </c>
      <c r="E2463" t="s">
        <v>49</v>
      </c>
      <c r="F2463">
        <v>3</v>
      </c>
      <c r="G2463">
        <v>0.35524789970238524</v>
      </c>
      <c r="H2463" t="s">
        <v>89</v>
      </c>
      <c r="I2463">
        <v>0</v>
      </c>
      <c r="J2463">
        <v>0</v>
      </c>
      <c r="K2463">
        <v>0</v>
      </c>
    </row>
    <row r="2464" spans="1:11" x14ac:dyDescent="0.2">
      <c r="A2464" t="s">
        <v>16</v>
      </c>
      <c r="B2464" t="s">
        <v>3423</v>
      </c>
      <c r="C2464">
        <v>300</v>
      </c>
      <c r="D2464" t="s">
        <v>6943</v>
      </c>
      <c r="E2464" t="s">
        <v>49</v>
      </c>
      <c r="F2464">
        <v>3</v>
      </c>
      <c r="G2464">
        <v>0.35524789970238524</v>
      </c>
      <c r="H2464" t="s">
        <v>90</v>
      </c>
      <c r="I2464">
        <v>0</v>
      </c>
      <c r="J2464">
        <v>0</v>
      </c>
      <c r="K2464">
        <v>0</v>
      </c>
    </row>
    <row r="2465" spans="1:11" x14ac:dyDescent="0.2">
      <c r="A2465" t="s">
        <v>16</v>
      </c>
      <c r="B2465" t="s">
        <v>3423</v>
      </c>
      <c r="C2465">
        <v>300</v>
      </c>
      <c r="D2465" t="s">
        <v>6948</v>
      </c>
      <c r="E2465" t="s">
        <v>49</v>
      </c>
      <c r="F2465">
        <v>3</v>
      </c>
      <c r="G2465">
        <v>0.35524789970238524</v>
      </c>
      <c r="H2465" t="s">
        <v>91</v>
      </c>
      <c r="I2465">
        <v>0</v>
      </c>
      <c r="J2465">
        <v>0</v>
      </c>
      <c r="K2465">
        <v>0</v>
      </c>
    </row>
    <row r="2466" spans="1:11" x14ac:dyDescent="0.2">
      <c r="A2466" t="s">
        <v>16</v>
      </c>
      <c r="B2466" t="s">
        <v>3423</v>
      </c>
      <c r="C2466">
        <v>300</v>
      </c>
      <c r="D2466" t="s">
        <v>6953</v>
      </c>
      <c r="E2466" t="s">
        <v>49</v>
      </c>
      <c r="F2466">
        <v>3</v>
      </c>
      <c r="G2466">
        <v>0.35524789970238524</v>
      </c>
      <c r="H2466" t="s">
        <v>89</v>
      </c>
      <c r="I2466">
        <v>0</v>
      </c>
      <c r="J2466">
        <v>0</v>
      </c>
      <c r="K2466">
        <v>0</v>
      </c>
    </row>
    <row r="2467" spans="1:11" x14ac:dyDescent="0.2">
      <c r="A2467" t="s">
        <v>16</v>
      </c>
      <c r="B2467" t="s">
        <v>3423</v>
      </c>
      <c r="C2467">
        <v>300</v>
      </c>
      <c r="D2467" t="s">
        <v>6931</v>
      </c>
      <c r="E2467" t="s">
        <v>49</v>
      </c>
      <c r="F2467">
        <v>3</v>
      </c>
      <c r="G2467">
        <v>0.35524789970238524</v>
      </c>
      <c r="H2467" t="s">
        <v>90</v>
      </c>
      <c r="I2467">
        <v>0</v>
      </c>
      <c r="J2467">
        <v>0</v>
      </c>
      <c r="K2467">
        <v>0</v>
      </c>
    </row>
    <row r="2468" spans="1:11" x14ac:dyDescent="0.2">
      <c r="A2468" t="s">
        <v>16</v>
      </c>
      <c r="B2468" t="s">
        <v>3423</v>
      </c>
      <c r="C2468">
        <v>300</v>
      </c>
      <c r="D2468" t="s">
        <v>6940</v>
      </c>
      <c r="E2468" t="s">
        <v>49</v>
      </c>
      <c r="F2468">
        <v>3</v>
      </c>
      <c r="G2468">
        <v>0.35524789970238524</v>
      </c>
      <c r="H2468" t="s">
        <v>91</v>
      </c>
      <c r="I2468">
        <v>0</v>
      </c>
      <c r="J2468">
        <v>0</v>
      </c>
      <c r="K2468">
        <v>0</v>
      </c>
    </row>
    <row r="2469" spans="1:11" x14ac:dyDescent="0.2">
      <c r="A2469" t="s">
        <v>16</v>
      </c>
      <c r="B2469" t="s">
        <v>3423</v>
      </c>
      <c r="C2469">
        <v>300</v>
      </c>
      <c r="D2469" t="s">
        <v>6930</v>
      </c>
      <c r="E2469" t="s">
        <v>49</v>
      </c>
      <c r="F2469">
        <v>3</v>
      </c>
      <c r="G2469">
        <v>0.35524789970238524</v>
      </c>
      <c r="H2469" t="s">
        <v>89</v>
      </c>
      <c r="I2469">
        <v>0</v>
      </c>
      <c r="J2469">
        <v>0</v>
      </c>
      <c r="K2469">
        <v>0</v>
      </c>
    </row>
    <row r="2470" spans="1:11" x14ac:dyDescent="0.2">
      <c r="A2470" t="s">
        <v>16</v>
      </c>
      <c r="B2470" t="s">
        <v>3423</v>
      </c>
      <c r="C2470">
        <v>300</v>
      </c>
      <c r="D2470" t="s">
        <v>6929</v>
      </c>
      <c r="E2470" t="s">
        <v>49</v>
      </c>
      <c r="F2470">
        <v>3</v>
      </c>
      <c r="G2470">
        <v>0.35524789970238524</v>
      </c>
      <c r="H2470" t="s">
        <v>90</v>
      </c>
      <c r="I2470">
        <v>0</v>
      </c>
      <c r="J2470">
        <v>0</v>
      </c>
      <c r="K2470">
        <v>0</v>
      </c>
    </row>
    <row r="2471" spans="1:11" x14ac:dyDescent="0.2">
      <c r="A2471" t="s">
        <v>16</v>
      </c>
      <c r="B2471" t="s">
        <v>3423</v>
      </c>
      <c r="C2471">
        <v>300</v>
      </c>
      <c r="D2471" t="s">
        <v>6933</v>
      </c>
      <c r="E2471" t="s">
        <v>49</v>
      </c>
      <c r="F2471">
        <v>3</v>
      </c>
      <c r="G2471">
        <v>0.35524789970238524</v>
      </c>
      <c r="H2471" t="s">
        <v>91</v>
      </c>
      <c r="I2471">
        <v>0</v>
      </c>
      <c r="J2471">
        <v>0</v>
      </c>
      <c r="K2471">
        <v>0</v>
      </c>
    </row>
    <row r="2472" spans="1:11" x14ac:dyDescent="0.2">
      <c r="A2472" t="s">
        <v>16</v>
      </c>
      <c r="B2472" t="s">
        <v>3423</v>
      </c>
      <c r="C2472">
        <v>300</v>
      </c>
      <c r="D2472" t="s">
        <v>6942</v>
      </c>
      <c r="E2472" t="s">
        <v>49</v>
      </c>
      <c r="F2472">
        <v>3</v>
      </c>
      <c r="G2472">
        <v>0.35524789970238524</v>
      </c>
      <c r="H2472" t="s">
        <v>89</v>
      </c>
      <c r="I2472">
        <v>0</v>
      </c>
      <c r="J2472">
        <v>0</v>
      </c>
      <c r="K2472">
        <v>0</v>
      </c>
    </row>
    <row r="2473" spans="1:11" x14ac:dyDescent="0.2">
      <c r="A2473" t="s">
        <v>16</v>
      </c>
      <c r="B2473" t="s">
        <v>3423</v>
      </c>
      <c r="C2473">
        <v>300</v>
      </c>
      <c r="D2473" t="s">
        <v>6945</v>
      </c>
      <c r="E2473" t="s">
        <v>49</v>
      </c>
      <c r="F2473">
        <v>3</v>
      </c>
      <c r="G2473">
        <v>0.35524789970238524</v>
      </c>
      <c r="H2473" t="s">
        <v>90</v>
      </c>
      <c r="I2473">
        <v>0</v>
      </c>
      <c r="J2473">
        <v>0</v>
      </c>
      <c r="K2473">
        <v>0</v>
      </c>
    </row>
    <row r="2474" spans="1:11" x14ac:dyDescent="0.2">
      <c r="A2474" t="s">
        <v>16</v>
      </c>
      <c r="B2474" t="s">
        <v>3423</v>
      </c>
      <c r="C2474">
        <v>300</v>
      </c>
      <c r="D2474" t="s">
        <v>6928</v>
      </c>
      <c r="E2474" t="s">
        <v>49</v>
      </c>
      <c r="F2474">
        <v>3</v>
      </c>
      <c r="G2474">
        <v>0.35524789970238524</v>
      </c>
      <c r="H2474" t="s">
        <v>91</v>
      </c>
      <c r="I2474">
        <v>0</v>
      </c>
      <c r="J2474">
        <v>0</v>
      </c>
      <c r="K2474">
        <v>0</v>
      </c>
    </row>
    <row r="2475" spans="1:11" x14ac:dyDescent="0.2">
      <c r="A2475" t="s">
        <v>16</v>
      </c>
      <c r="B2475" t="s">
        <v>3423</v>
      </c>
      <c r="C2475">
        <v>300</v>
      </c>
      <c r="D2475" t="s">
        <v>6937</v>
      </c>
      <c r="E2475" t="s">
        <v>49</v>
      </c>
      <c r="F2475">
        <v>3</v>
      </c>
      <c r="G2475">
        <v>0.35524789970238524</v>
      </c>
      <c r="H2475" t="s">
        <v>89</v>
      </c>
      <c r="I2475">
        <v>0</v>
      </c>
      <c r="J2475">
        <v>0</v>
      </c>
      <c r="K2475">
        <v>0</v>
      </c>
    </row>
    <row r="2476" spans="1:11" x14ac:dyDescent="0.2">
      <c r="A2476" t="s">
        <v>16</v>
      </c>
      <c r="B2476" t="s">
        <v>3423</v>
      </c>
      <c r="C2476">
        <v>300</v>
      </c>
      <c r="D2476" t="s">
        <v>6941</v>
      </c>
      <c r="E2476" t="s">
        <v>49</v>
      </c>
      <c r="F2476">
        <v>3</v>
      </c>
      <c r="G2476">
        <v>0.35524789970238524</v>
      </c>
      <c r="H2476" t="s">
        <v>90</v>
      </c>
      <c r="I2476">
        <v>0</v>
      </c>
      <c r="J2476">
        <v>0</v>
      </c>
      <c r="K2476">
        <v>0</v>
      </c>
    </row>
    <row r="2477" spans="1:11" x14ac:dyDescent="0.2">
      <c r="A2477" t="s">
        <v>16</v>
      </c>
      <c r="B2477" t="s">
        <v>3423</v>
      </c>
      <c r="C2477">
        <v>300</v>
      </c>
      <c r="D2477" t="s">
        <v>6936</v>
      </c>
      <c r="E2477" t="s">
        <v>49</v>
      </c>
      <c r="F2477">
        <v>3</v>
      </c>
      <c r="G2477">
        <v>0.35524789970238524</v>
      </c>
      <c r="H2477" t="s">
        <v>91</v>
      </c>
      <c r="I2477">
        <v>0</v>
      </c>
      <c r="J2477">
        <v>0</v>
      </c>
      <c r="K2477">
        <v>0</v>
      </c>
    </row>
    <row r="2478" spans="1:11" x14ac:dyDescent="0.2">
      <c r="A2478" t="s">
        <v>16</v>
      </c>
      <c r="B2478" t="s">
        <v>3424</v>
      </c>
      <c r="C2478">
        <v>330</v>
      </c>
      <c r="D2478" t="s">
        <v>6974</v>
      </c>
      <c r="E2478" t="s">
        <v>49</v>
      </c>
      <c r="F2478">
        <v>4</v>
      </c>
      <c r="G2478">
        <v>0.39077268967262374</v>
      </c>
      <c r="H2478" t="s">
        <v>104</v>
      </c>
      <c r="I2478">
        <v>0</v>
      </c>
      <c r="J2478">
        <v>0</v>
      </c>
      <c r="K2478">
        <v>0</v>
      </c>
    </row>
    <row r="2479" spans="1:11" x14ac:dyDescent="0.2">
      <c r="A2479" t="s">
        <v>16</v>
      </c>
      <c r="B2479" t="s">
        <v>3424</v>
      </c>
      <c r="C2479">
        <v>330</v>
      </c>
      <c r="D2479" t="s">
        <v>6964</v>
      </c>
      <c r="E2479" t="s">
        <v>49</v>
      </c>
      <c r="F2479">
        <v>4</v>
      </c>
      <c r="G2479">
        <v>0.39077268967262374</v>
      </c>
      <c r="H2479" t="s">
        <v>103</v>
      </c>
      <c r="I2479">
        <v>0</v>
      </c>
      <c r="J2479">
        <v>0</v>
      </c>
      <c r="K2479">
        <v>0</v>
      </c>
    </row>
    <row r="2480" spans="1:11" x14ac:dyDescent="0.2">
      <c r="A2480" t="s">
        <v>16</v>
      </c>
      <c r="B2480" t="s">
        <v>3424</v>
      </c>
      <c r="C2480">
        <v>330</v>
      </c>
      <c r="D2480" t="s">
        <v>6979</v>
      </c>
      <c r="E2480" t="s">
        <v>49</v>
      </c>
      <c r="F2480">
        <v>4</v>
      </c>
      <c r="G2480">
        <v>0.39077268967262374</v>
      </c>
      <c r="H2480" t="s">
        <v>105</v>
      </c>
      <c r="I2480">
        <v>0</v>
      </c>
      <c r="J2480">
        <v>0</v>
      </c>
      <c r="K2480">
        <v>0</v>
      </c>
    </row>
    <row r="2481" spans="1:11" x14ac:dyDescent="0.2">
      <c r="A2481" t="s">
        <v>16</v>
      </c>
      <c r="B2481" t="s">
        <v>3424</v>
      </c>
      <c r="C2481">
        <v>330</v>
      </c>
      <c r="D2481" t="s">
        <v>6986</v>
      </c>
      <c r="E2481" t="s">
        <v>49</v>
      </c>
      <c r="F2481">
        <v>4</v>
      </c>
      <c r="G2481">
        <v>0.39077268967262374</v>
      </c>
      <c r="H2481" t="s">
        <v>99</v>
      </c>
      <c r="I2481">
        <v>0</v>
      </c>
      <c r="J2481">
        <v>0</v>
      </c>
      <c r="K2481">
        <v>0</v>
      </c>
    </row>
    <row r="2482" spans="1:11" x14ac:dyDescent="0.2">
      <c r="A2482" t="s">
        <v>16</v>
      </c>
      <c r="B2482" t="s">
        <v>3424</v>
      </c>
      <c r="C2482">
        <v>330</v>
      </c>
      <c r="D2482" t="s">
        <v>6972</v>
      </c>
      <c r="E2482" t="s">
        <v>49</v>
      </c>
      <c r="F2482">
        <v>4</v>
      </c>
      <c r="G2482">
        <v>0.39077268967262374</v>
      </c>
      <c r="H2482" t="s">
        <v>104</v>
      </c>
      <c r="I2482">
        <v>0</v>
      </c>
      <c r="J2482">
        <v>0</v>
      </c>
      <c r="K2482">
        <v>0</v>
      </c>
    </row>
    <row r="2483" spans="1:11" x14ac:dyDescent="0.2">
      <c r="A2483" t="s">
        <v>16</v>
      </c>
      <c r="B2483" t="s">
        <v>3424</v>
      </c>
      <c r="C2483">
        <v>330</v>
      </c>
      <c r="D2483" t="s">
        <v>6959</v>
      </c>
      <c r="E2483" t="s">
        <v>49</v>
      </c>
      <c r="F2483">
        <v>4</v>
      </c>
      <c r="G2483">
        <v>0.39077268967262374</v>
      </c>
      <c r="H2483" t="s">
        <v>103</v>
      </c>
      <c r="I2483">
        <v>0</v>
      </c>
      <c r="J2483">
        <v>0</v>
      </c>
      <c r="K2483">
        <v>0</v>
      </c>
    </row>
    <row r="2484" spans="1:11" x14ac:dyDescent="0.2">
      <c r="A2484" t="s">
        <v>16</v>
      </c>
      <c r="B2484" t="s">
        <v>3424</v>
      </c>
      <c r="C2484">
        <v>330</v>
      </c>
      <c r="D2484" t="s">
        <v>6962</v>
      </c>
      <c r="E2484" t="s">
        <v>49</v>
      </c>
      <c r="F2484">
        <v>4</v>
      </c>
      <c r="G2484">
        <v>0.39077268967262374</v>
      </c>
      <c r="H2484" t="s">
        <v>105</v>
      </c>
      <c r="I2484">
        <v>0</v>
      </c>
      <c r="J2484">
        <v>0</v>
      </c>
      <c r="K2484">
        <v>0</v>
      </c>
    </row>
    <row r="2485" spans="1:11" x14ac:dyDescent="0.2">
      <c r="A2485" t="s">
        <v>16</v>
      </c>
      <c r="B2485" t="s">
        <v>3424</v>
      </c>
      <c r="C2485">
        <v>330</v>
      </c>
      <c r="D2485" t="s">
        <v>6966</v>
      </c>
      <c r="E2485" t="s">
        <v>49</v>
      </c>
      <c r="F2485">
        <v>4</v>
      </c>
      <c r="G2485">
        <v>0.39077268967262374</v>
      </c>
      <c r="H2485" t="s">
        <v>99</v>
      </c>
      <c r="I2485">
        <v>0</v>
      </c>
      <c r="J2485">
        <v>0</v>
      </c>
      <c r="K2485">
        <v>0</v>
      </c>
    </row>
    <row r="2486" spans="1:11" x14ac:dyDescent="0.2">
      <c r="A2486" t="s">
        <v>16</v>
      </c>
      <c r="B2486" t="s">
        <v>3424</v>
      </c>
      <c r="C2486">
        <v>330</v>
      </c>
      <c r="D2486" t="s">
        <v>6981</v>
      </c>
      <c r="E2486" t="s">
        <v>49</v>
      </c>
      <c r="F2486">
        <v>4</v>
      </c>
      <c r="G2486">
        <v>0.39077268967262374</v>
      </c>
      <c r="H2486" t="s">
        <v>104</v>
      </c>
      <c r="I2486">
        <v>0</v>
      </c>
      <c r="J2486">
        <v>0</v>
      </c>
      <c r="K2486">
        <v>0</v>
      </c>
    </row>
    <row r="2487" spans="1:11" x14ac:dyDescent="0.2">
      <c r="A2487" t="s">
        <v>16</v>
      </c>
      <c r="B2487" t="s">
        <v>3424</v>
      </c>
      <c r="C2487">
        <v>330</v>
      </c>
      <c r="D2487" t="s">
        <v>6963</v>
      </c>
      <c r="E2487" t="s">
        <v>49</v>
      </c>
      <c r="F2487">
        <v>4</v>
      </c>
      <c r="G2487">
        <v>0.39077268967262374</v>
      </c>
      <c r="H2487" t="s">
        <v>103</v>
      </c>
      <c r="I2487">
        <v>0</v>
      </c>
      <c r="J2487">
        <v>0</v>
      </c>
      <c r="K2487">
        <v>0</v>
      </c>
    </row>
    <row r="2488" spans="1:11" x14ac:dyDescent="0.2">
      <c r="A2488" t="s">
        <v>16</v>
      </c>
      <c r="B2488" t="s">
        <v>3424</v>
      </c>
      <c r="C2488">
        <v>330</v>
      </c>
      <c r="D2488" t="s">
        <v>6973</v>
      </c>
      <c r="E2488" t="s">
        <v>49</v>
      </c>
      <c r="F2488">
        <v>4</v>
      </c>
      <c r="G2488">
        <v>0.39077268967262374</v>
      </c>
      <c r="H2488" t="s">
        <v>105</v>
      </c>
      <c r="I2488">
        <v>0</v>
      </c>
      <c r="J2488">
        <v>0</v>
      </c>
      <c r="K2488">
        <v>0</v>
      </c>
    </row>
    <row r="2489" spans="1:11" x14ac:dyDescent="0.2">
      <c r="A2489" t="s">
        <v>16</v>
      </c>
      <c r="B2489" t="s">
        <v>3424</v>
      </c>
      <c r="C2489">
        <v>330</v>
      </c>
      <c r="D2489" t="s">
        <v>6976</v>
      </c>
      <c r="E2489" t="s">
        <v>49</v>
      </c>
      <c r="F2489">
        <v>4</v>
      </c>
      <c r="G2489">
        <v>0.39077268967262374</v>
      </c>
      <c r="H2489" t="s">
        <v>99</v>
      </c>
      <c r="I2489">
        <v>0</v>
      </c>
      <c r="J2489">
        <v>0</v>
      </c>
      <c r="K2489">
        <v>0</v>
      </c>
    </row>
    <row r="2490" spans="1:11" x14ac:dyDescent="0.2">
      <c r="A2490" t="s">
        <v>16</v>
      </c>
      <c r="B2490" t="s">
        <v>3424</v>
      </c>
      <c r="C2490">
        <v>330</v>
      </c>
      <c r="D2490" t="s">
        <v>6985</v>
      </c>
      <c r="E2490" t="s">
        <v>49</v>
      </c>
      <c r="F2490">
        <v>4</v>
      </c>
      <c r="G2490">
        <v>0.39077268967262374</v>
      </c>
      <c r="H2490" t="s">
        <v>104</v>
      </c>
      <c r="I2490">
        <v>0</v>
      </c>
      <c r="J2490">
        <v>0</v>
      </c>
      <c r="K2490">
        <v>0</v>
      </c>
    </row>
    <row r="2491" spans="1:11" x14ac:dyDescent="0.2">
      <c r="A2491" t="s">
        <v>16</v>
      </c>
      <c r="B2491" t="s">
        <v>3424</v>
      </c>
      <c r="C2491">
        <v>330</v>
      </c>
      <c r="D2491" t="s">
        <v>6980</v>
      </c>
      <c r="E2491" t="s">
        <v>49</v>
      </c>
      <c r="F2491">
        <v>4</v>
      </c>
      <c r="G2491">
        <v>0.39077268967262374</v>
      </c>
      <c r="H2491" t="s">
        <v>103</v>
      </c>
      <c r="I2491">
        <v>0</v>
      </c>
      <c r="J2491">
        <v>0</v>
      </c>
      <c r="K2491">
        <v>0</v>
      </c>
    </row>
    <row r="2492" spans="1:11" x14ac:dyDescent="0.2">
      <c r="A2492" t="s">
        <v>16</v>
      </c>
      <c r="B2492" t="s">
        <v>3424</v>
      </c>
      <c r="C2492">
        <v>330</v>
      </c>
      <c r="D2492" t="s">
        <v>6958</v>
      </c>
      <c r="E2492" t="s">
        <v>49</v>
      </c>
      <c r="F2492">
        <v>4</v>
      </c>
      <c r="G2492">
        <v>0.39077268967262374</v>
      </c>
      <c r="H2492" t="s">
        <v>105</v>
      </c>
      <c r="I2492">
        <v>0</v>
      </c>
      <c r="J2492">
        <v>0</v>
      </c>
      <c r="K2492">
        <v>0</v>
      </c>
    </row>
    <row r="2493" spans="1:11" x14ac:dyDescent="0.2">
      <c r="A2493" t="s">
        <v>16</v>
      </c>
      <c r="B2493" t="s">
        <v>3424</v>
      </c>
      <c r="C2493">
        <v>330</v>
      </c>
      <c r="D2493" t="s">
        <v>6960</v>
      </c>
      <c r="E2493" t="s">
        <v>49</v>
      </c>
      <c r="F2493">
        <v>4</v>
      </c>
      <c r="G2493">
        <v>0.39077268967262374</v>
      </c>
      <c r="H2493" t="s">
        <v>99</v>
      </c>
      <c r="I2493">
        <v>0</v>
      </c>
      <c r="J2493">
        <v>0</v>
      </c>
      <c r="K2493">
        <v>0</v>
      </c>
    </row>
    <row r="2494" spans="1:11" x14ac:dyDescent="0.2">
      <c r="A2494" t="s">
        <v>16</v>
      </c>
      <c r="B2494" t="s">
        <v>3424</v>
      </c>
      <c r="C2494">
        <v>330</v>
      </c>
      <c r="D2494" t="s">
        <v>6967</v>
      </c>
      <c r="E2494" t="s">
        <v>49</v>
      </c>
      <c r="F2494">
        <v>4</v>
      </c>
      <c r="G2494">
        <v>0.39077268967262374</v>
      </c>
      <c r="H2494" t="s">
        <v>104</v>
      </c>
      <c r="I2494">
        <v>0</v>
      </c>
      <c r="J2494">
        <v>0</v>
      </c>
      <c r="K2494">
        <v>0</v>
      </c>
    </row>
    <row r="2495" spans="1:11" x14ac:dyDescent="0.2">
      <c r="A2495" t="s">
        <v>16</v>
      </c>
      <c r="B2495" t="s">
        <v>3424</v>
      </c>
      <c r="C2495">
        <v>330</v>
      </c>
      <c r="D2495" t="s">
        <v>6965</v>
      </c>
      <c r="E2495" t="s">
        <v>49</v>
      </c>
      <c r="F2495">
        <v>4</v>
      </c>
      <c r="G2495">
        <v>0.39077268967262374</v>
      </c>
      <c r="H2495" t="s">
        <v>103</v>
      </c>
      <c r="I2495">
        <v>0</v>
      </c>
      <c r="J2495">
        <v>0</v>
      </c>
      <c r="K2495">
        <v>0</v>
      </c>
    </row>
    <row r="2496" spans="1:11" x14ac:dyDescent="0.2">
      <c r="A2496" t="s">
        <v>16</v>
      </c>
      <c r="B2496" t="s">
        <v>3424</v>
      </c>
      <c r="C2496">
        <v>330</v>
      </c>
      <c r="D2496" t="s">
        <v>6982</v>
      </c>
      <c r="E2496" t="s">
        <v>49</v>
      </c>
      <c r="F2496">
        <v>4</v>
      </c>
      <c r="G2496">
        <v>0.39077268967262374</v>
      </c>
      <c r="H2496" t="s">
        <v>105</v>
      </c>
      <c r="I2496">
        <v>0</v>
      </c>
      <c r="J2496">
        <v>0</v>
      </c>
      <c r="K2496">
        <v>0</v>
      </c>
    </row>
    <row r="2497" spans="1:11" x14ac:dyDescent="0.2">
      <c r="A2497" t="s">
        <v>16</v>
      </c>
      <c r="B2497" t="s">
        <v>3424</v>
      </c>
      <c r="C2497">
        <v>330</v>
      </c>
      <c r="D2497" t="s">
        <v>6983</v>
      </c>
      <c r="E2497" t="s">
        <v>49</v>
      </c>
      <c r="F2497">
        <v>4</v>
      </c>
      <c r="G2497">
        <v>0.39077268967262374</v>
      </c>
      <c r="H2497" t="s">
        <v>99</v>
      </c>
      <c r="I2497">
        <v>0</v>
      </c>
      <c r="J2497">
        <v>0</v>
      </c>
      <c r="K2497">
        <v>0</v>
      </c>
    </row>
    <row r="2498" spans="1:11" x14ac:dyDescent="0.2">
      <c r="A2498" t="s">
        <v>16</v>
      </c>
      <c r="B2498" t="s">
        <v>3424</v>
      </c>
      <c r="C2498">
        <v>330</v>
      </c>
      <c r="D2498" t="s">
        <v>6975</v>
      </c>
      <c r="E2498" t="s">
        <v>49</v>
      </c>
      <c r="F2498">
        <v>4</v>
      </c>
      <c r="G2498">
        <v>0.39077268967262374</v>
      </c>
      <c r="H2498" t="s">
        <v>104</v>
      </c>
      <c r="I2498">
        <v>0</v>
      </c>
      <c r="J2498">
        <v>0</v>
      </c>
      <c r="K2498">
        <v>0</v>
      </c>
    </row>
    <row r="2499" spans="1:11" x14ac:dyDescent="0.2">
      <c r="A2499" t="s">
        <v>16</v>
      </c>
      <c r="B2499" t="s">
        <v>3424</v>
      </c>
      <c r="C2499">
        <v>330</v>
      </c>
      <c r="D2499" t="s">
        <v>6961</v>
      </c>
      <c r="E2499" t="s">
        <v>49</v>
      </c>
      <c r="F2499">
        <v>4</v>
      </c>
      <c r="G2499">
        <v>0.39077268967262374</v>
      </c>
      <c r="H2499" t="s">
        <v>103</v>
      </c>
      <c r="I2499">
        <v>0</v>
      </c>
      <c r="J2499">
        <v>0</v>
      </c>
      <c r="K2499">
        <v>0</v>
      </c>
    </row>
    <row r="2500" spans="1:11" x14ac:dyDescent="0.2">
      <c r="A2500" t="s">
        <v>16</v>
      </c>
      <c r="B2500" t="s">
        <v>3424</v>
      </c>
      <c r="C2500">
        <v>220</v>
      </c>
      <c r="D2500" t="s">
        <v>6969</v>
      </c>
      <c r="E2500" t="s">
        <v>49</v>
      </c>
      <c r="F2500">
        <v>4</v>
      </c>
      <c r="G2500">
        <v>0.26051512644841585</v>
      </c>
      <c r="H2500" t="s">
        <v>105</v>
      </c>
      <c r="I2500">
        <v>0</v>
      </c>
      <c r="J2500">
        <v>0</v>
      </c>
      <c r="K2500">
        <v>0</v>
      </c>
    </row>
    <row r="2501" spans="1:11" x14ac:dyDescent="0.2">
      <c r="A2501" t="s">
        <v>16</v>
      </c>
      <c r="B2501" t="s">
        <v>3424</v>
      </c>
      <c r="C2501">
        <v>330</v>
      </c>
      <c r="D2501" t="s">
        <v>6978</v>
      </c>
      <c r="E2501" t="s">
        <v>49</v>
      </c>
      <c r="F2501">
        <v>4</v>
      </c>
      <c r="G2501">
        <v>0.39077268967262374</v>
      </c>
      <c r="H2501" t="s">
        <v>99</v>
      </c>
      <c r="I2501">
        <v>0</v>
      </c>
      <c r="J2501">
        <v>0</v>
      </c>
      <c r="K2501">
        <v>0</v>
      </c>
    </row>
    <row r="2502" spans="1:11" x14ac:dyDescent="0.2">
      <c r="A2502" t="s">
        <v>16</v>
      </c>
      <c r="B2502" t="s">
        <v>3424</v>
      </c>
      <c r="C2502">
        <v>330</v>
      </c>
      <c r="D2502" t="s">
        <v>6968</v>
      </c>
      <c r="E2502" t="s">
        <v>49</v>
      </c>
      <c r="F2502">
        <v>4</v>
      </c>
      <c r="G2502">
        <v>0.39077268967262374</v>
      </c>
      <c r="H2502" t="s">
        <v>105</v>
      </c>
      <c r="I2502">
        <v>0</v>
      </c>
      <c r="J2502">
        <v>0</v>
      </c>
      <c r="K2502">
        <v>0</v>
      </c>
    </row>
    <row r="2503" spans="1:11" x14ac:dyDescent="0.2">
      <c r="A2503" t="s">
        <v>16</v>
      </c>
      <c r="B2503" t="s">
        <v>3424</v>
      </c>
      <c r="C2503">
        <v>330</v>
      </c>
      <c r="D2503" t="s">
        <v>6970</v>
      </c>
      <c r="E2503" t="s">
        <v>49</v>
      </c>
      <c r="F2503">
        <v>4</v>
      </c>
      <c r="G2503">
        <v>0.39077268967262374</v>
      </c>
      <c r="H2503" t="s">
        <v>104</v>
      </c>
      <c r="I2503">
        <v>0</v>
      </c>
      <c r="J2503">
        <v>0</v>
      </c>
      <c r="K2503">
        <v>0</v>
      </c>
    </row>
    <row r="2504" spans="1:11" x14ac:dyDescent="0.2">
      <c r="A2504" t="s">
        <v>16</v>
      </c>
      <c r="B2504" t="s">
        <v>3424</v>
      </c>
      <c r="C2504">
        <v>330</v>
      </c>
      <c r="D2504" t="s">
        <v>6971</v>
      </c>
      <c r="E2504" t="s">
        <v>49</v>
      </c>
      <c r="F2504">
        <v>4</v>
      </c>
      <c r="G2504">
        <v>0.39077268967262374</v>
      </c>
      <c r="H2504" t="s">
        <v>103</v>
      </c>
      <c r="I2504">
        <v>0</v>
      </c>
      <c r="J2504">
        <v>0</v>
      </c>
      <c r="K2504">
        <v>0</v>
      </c>
    </row>
    <row r="2505" spans="1:11" x14ac:dyDescent="0.2">
      <c r="A2505" t="s">
        <v>16</v>
      </c>
      <c r="B2505" t="s">
        <v>3424</v>
      </c>
      <c r="C2505">
        <v>330</v>
      </c>
      <c r="D2505" t="s">
        <v>6984</v>
      </c>
      <c r="E2505" t="s">
        <v>49</v>
      </c>
      <c r="F2505">
        <v>4</v>
      </c>
      <c r="G2505">
        <v>0.39077268967262374</v>
      </c>
      <c r="H2505" t="s">
        <v>99</v>
      </c>
      <c r="I2505">
        <v>0</v>
      </c>
      <c r="J2505">
        <v>0</v>
      </c>
      <c r="K2505">
        <v>0</v>
      </c>
    </row>
    <row r="2506" spans="1:11" x14ac:dyDescent="0.2">
      <c r="A2506" t="s">
        <v>16</v>
      </c>
      <c r="B2506" t="s">
        <v>3424</v>
      </c>
      <c r="C2506">
        <v>330</v>
      </c>
      <c r="D2506" t="s">
        <v>6977</v>
      </c>
      <c r="E2506" t="s">
        <v>49</v>
      </c>
      <c r="F2506">
        <v>4</v>
      </c>
      <c r="G2506">
        <v>0.39077268967262374</v>
      </c>
      <c r="H2506" t="s">
        <v>105</v>
      </c>
      <c r="I2506">
        <v>0</v>
      </c>
      <c r="J2506">
        <v>0</v>
      </c>
      <c r="K2506">
        <v>0</v>
      </c>
    </row>
    <row r="2507" spans="1:11" x14ac:dyDescent="0.2">
      <c r="A2507" t="s">
        <v>16</v>
      </c>
      <c r="B2507" t="s">
        <v>858</v>
      </c>
      <c r="C2507">
        <v>195</v>
      </c>
      <c r="D2507" t="s">
        <v>7000</v>
      </c>
      <c r="E2507" t="s">
        <v>49</v>
      </c>
      <c r="F2507">
        <v>3</v>
      </c>
      <c r="G2507">
        <v>0.38357601069161384</v>
      </c>
      <c r="H2507" t="s">
        <v>95</v>
      </c>
      <c r="I2507">
        <v>0</v>
      </c>
      <c r="J2507">
        <v>0</v>
      </c>
      <c r="K2507">
        <v>0</v>
      </c>
    </row>
    <row r="2508" spans="1:11" x14ac:dyDescent="0.2">
      <c r="A2508" t="s">
        <v>16</v>
      </c>
      <c r="B2508" t="s">
        <v>858</v>
      </c>
      <c r="C2508">
        <v>195</v>
      </c>
      <c r="D2508" t="s">
        <v>7006</v>
      </c>
      <c r="E2508" t="s">
        <v>49</v>
      </c>
      <c r="F2508">
        <v>3</v>
      </c>
      <c r="G2508">
        <v>0.38357601069161384</v>
      </c>
      <c r="H2508" t="s">
        <v>96</v>
      </c>
      <c r="I2508">
        <v>0</v>
      </c>
      <c r="J2508">
        <v>0</v>
      </c>
      <c r="K2508">
        <v>0</v>
      </c>
    </row>
    <row r="2509" spans="1:11" x14ac:dyDescent="0.2">
      <c r="A2509" t="s">
        <v>16</v>
      </c>
      <c r="B2509" t="s">
        <v>858</v>
      </c>
      <c r="C2509">
        <v>195</v>
      </c>
      <c r="D2509" t="s">
        <v>7001</v>
      </c>
      <c r="E2509" t="s">
        <v>49</v>
      </c>
      <c r="F2509">
        <v>3</v>
      </c>
      <c r="G2509">
        <v>0.38357601069161384</v>
      </c>
      <c r="H2509" t="s">
        <v>101</v>
      </c>
      <c r="I2509">
        <v>0</v>
      </c>
      <c r="J2509">
        <v>0</v>
      </c>
      <c r="K2509">
        <v>0</v>
      </c>
    </row>
    <row r="2510" spans="1:11" x14ac:dyDescent="0.2">
      <c r="A2510" t="s">
        <v>16</v>
      </c>
      <c r="B2510" t="s">
        <v>858</v>
      </c>
      <c r="C2510">
        <v>195</v>
      </c>
      <c r="D2510" t="s">
        <v>6991</v>
      </c>
      <c r="E2510" t="s">
        <v>49</v>
      </c>
      <c r="F2510">
        <v>3</v>
      </c>
      <c r="G2510">
        <v>0.38357601069161384</v>
      </c>
      <c r="H2510" t="s">
        <v>95</v>
      </c>
      <c r="I2510">
        <v>0</v>
      </c>
      <c r="J2510">
        <v>0</v>
      </c>
      <c r="K2510">
        <v>0</v>
      </c>
    </row>
    <row r="2511" spans="1:11" x14ac:dyDescent="0.2">
      <c r="A2511" t="s">
        <v>16</v>
      </c>
      <c r="B2511" t="s">
        <v>858</v>
      </c>
      <c r="C2511">
        <v>195</v>
      </c>
      <c r="D2511" t="s">
        <v>7013</v>
      </c>
      <c r="E2511" t="s">
        <v>49</v>
      </c>
      <c r="F2511">
        <v>3</v>
      </c>
      <c r="G2511">
        <v>0.38357601069161384</v>
      </c>
      <c r="H2511" t="s">
        <v>96</v>
      </c>
      <c r="I2511">
        <v>0</v>
      </c>
      <c r="J2511">
        <v>0</v>
      </c>
      <c r="K2511">
        <v>0</v>
      </c>
    </row>
    <row r="2512" spans="1:11" x14ac:dyDescent="0.2">
      <c r="A2512" t="s">
        <v>16</v>
      </c>
      <c r="B2512" t="s">
        <v>858</v>
      </c>
      <c r="C2512">
        <v>195</v>
      </c>
      <c r="D2512" t="s">
        <v>7002</v>
      </c>
      <c r="E2512" t="s">
        <v>49</v>
      </c>
      <c r="F2512">
        <v>3</v>
      </c>
      <c r="G2512">
        <v>0.38357601069161384</v>
      </c>
      <c r="H2512" t="s">
        <v>101</v>
      </c>
      <c r="I2512">
        <v>0</v>
      </c>
      <c r="J2512">
        <v>0</v>
      </c>
      <c r="K2512">
        <v>0</v>
      </c>
    </row>
    <row r="2513" spans="1:11" x14ac:dyDescent="0.2">
      <c r="A2513" t="s">
        <v>16</v>
      </c>
      <c r="B2513" t="s">
        <v>858</v>
      </c>
      <c r="C2513">
        <v>195</v>
      </c>
      <c r="D2513" t="s">
        <v>7009</v>
      </c>
      <c r="E2513" t="s">
        <v>49</v>
      </c>
      <c r="F2513">
        <v>3</v>
      </c>
      <c r="G2513">
        <v>0.38357601069161384</v>
      </c>
      <c r="H2513" t="s">
        <v>95</v>
      </c>
      <c r="I2513">
        <v>0</v>
      </c>
      <c r="J2513">
        <v>0</v>
      </c>
      <c r="K2513">
        <v>0</v>
      </c>
    </row>
    <row r="2514" spans="1:11" x14ac:dyDescent="0.2">
      <c r="A2514" t="s">
        <v>16</v>
      </c>
      <c r="B2514" t="s">
        <v>858</v>
      </c>
      <c r="C2514">
        <v>195</v>
      </c>
      <c r="D2514" t="s">
        <v>6988</v>
      </c>
      <c r="E2514" t="s">
        <v>49</v>
      </c>
      <c r="F2514">
        <v>3</v>
      </c>
      <c r="G2514">
        <v>0.38357601069161384</v>
      </c>
      <c r="H2514" t="s">
        <v>96</v>
      </c>
      <c r="I2514">
        <v>0</v>
      </c>
      <c r="J2514">
        <v>0</v>
      </c>
      <c r="K2514">
        <v>0</v>
      </c>
    </row>
    <row r="2515" spans="1:11" x14ac:dyDescent="0.2">
      <c r="A2515" t="s">
        <v>16</v>
      </c>
      <c r="B2515" t="s">
        <v>858</v>
      </c>
      <c r="C2515">
        <v>195</v>
      </c>
      <c r="D2515" t="s">
        <v>6993</v>
      </c>
      <c r="E2515" t="s">
        <v>49</v>
      </c>
      <c r="F2515">
        <v>3</v>
      </c>
      <c r="G2515">
        <v>0.38357601069161384</v>
      </c>
      <c r="H2515" t="s">
        <v>101</v>
      </c>
      <c r="I2515">
        <v>0</v>
      </c>
      <c r="J2515">
        <v>0</v>
      </c>
      <c r="K2515">
        <v>0</v>
      </c>
    </row>
    <row r="2516" spans="1:11" x14ac:dyDescent="0.2">
      <c r="A2516" t="s">
        <v>16</v>
      </c>
      <c r="B2516" t="s">
        <v>858</v>
      </c>
      <c r="C2516">
        <v>195</v>
      </c>
      <c r="D2516" t="s">
        <v>7012</v>
      </c>
      <c r="E2516" t="s">
        <v>49</v>
      </c>
      <c r="F2516">
        <v>3</v>
      </c>
      <c r="G2516">
        <v>0.38357601069161384</v>
      </c>
      <c r="H2516" t="s">
        <v>95</v>
      </c>
      <c r="I2516">
        <v>0</v>
      </c>
      <c r="J2516">
        <v>0</v>
      </c>
      <c r="K2516">
        <v>0</v>
      </c>
    </row>
    <row r="2517" spans="1:11" x14ac:dyDescent="0.2">
      <c r="A2517" t="s">
        <v>16</v>
      </c>
      <c r="B2517" t="s">
        <v>858</v>
      </c>
      <c r="C2517">
        <v>195</v>
      </c>
      <c r="D2517" t="s">
        <v>7007</v>
      </c>
      <c r="E2517" t="s">
        <v>49</v>
      </c>
      <c r="F2517">
        <v>3</v>
      </c>
      <c r="G2517">
        <v>0.38357601069161384</v>
      </c>
      <c r="H2517" t="s">
        <v>96</v>
      </c>
      <c r="I2517">
        <v>0</v>
      </c>
      <c r="J2517">
        <v>0</v>
      </c>
      <c r="K2517">
        <v>0</v>
      </c>
    </row>
    <row r="2518" spans="1:11" x14ac:dyDescent="0.2">
      <c r="A2518" t="s">
        <v>16</v>
      </c>
      <c r="B2518" t="s">
        <v>858</v>
      </c>
      <c r="C2518">
        <v>195</v>
      </c>
      <c r="D2518" t="s">
        <v>6996</v>
      </c>
      <c r="E2518" t="s">
        <v>49</v>
      </c>
      <c r="F2518">
        <v>3</v>
      </c>
      <c r="G2518">
        <v>0.38357601069161384</v>
      </c>
      <c r="H2518" t="s">
        <v>101</v>
      </c>
      <c r="I2518">
        <v>0</v>
      </c>
      <c r="J2518">
        <v>0</v>
      </c>
      <c r="K2518">
        <v>0</v>
      </c>
    </row>
    <row r="2519" spans="1:11" x14ac:dyDescent="0.2">
      <c r="A2519" t="s">
        <v>16</v>
      </c>
      <c r="B2519" t="s">
        <v>858</v>
      </c>
      <c r="C2519">
        <v>195</v>
      </c>
      <c r="D2519" t="s">
        <v>6999</v>
      </c>
      <c r="E2519" t="s">
        <v>49</v>
      </c>
      <c r="F2519">
        <v>3</v>
      </c>
      <c r="G2519">
        <v>0.38357601069161384</v>
      </c>
      <c r="H2519" t="s">
        <v>95</v>
      </c>
      <c r="I2519">
        <v>0</v>
      </c>
      <c r="J2519">
        <v>0</v>
      </c>
      <c r="K2519">
        <v>0</v>
      </c>
    </row>
    <row r="2520" spans="1:11" x14ac:dyDescent="0.2">
      <c r="A2520" t="s">
        <v>16</v>
      </c>
      <c r="B2520" t="s">
        <v>858</v>
      </c>
      <c r="C2520">
        <v>195</v>
      </c>
      <c r="D2520" t="s">
        <v>6989</v>
      </c>
      <c r="E2520" t="s">
        <v>49</v>
      </c>
      <c r="F2520">
        <v>3</v>
      </c>
      <c r="G2520">
        <v>0.38357601069161384</v>
      </c>
      <c r="H2520" t="s">
        <v>96</v>
      </c>
      <c r="I2520">
        <v>0</v>
      </c>
      <c r="J2520">
        <v>0</v>
      </c>
      <c r="K2520">
        <v>0</v>
      </c>
    </row>
    <row r="2521" spans="1:11" x14ac:dyDescent="0.2">
      <c r="A2521" t="s">
        <v>16</v>
      </c>
      <c r="B2521" t="s">
        <v>858</v>
      </c>
      <c r="C2521">
        <v>195</v>
      </c>
      <c r="D2521" t="s">
        <v>6990</v>
      </c>
      <c r="E2521" t="s">
        <v>49</v>
      </c>
      <c r="F2521">
        <v>3</v>
      </c>
      <c r="G2521">
        <v>0.38357601069161384</v>
      </c>
      <c r="H2521" t="s">
        <v>101</v>
      </c>
      <c r="I2521">
        <v>0</v>
      </c>
      <c r="J2521">
        <v>0</v>
      </c>
      <c r="K2521">
        <v>0</v>
      </c>
    </row>
    <row r="2522" spans="1:11" x14ac:dyDescent="0.2">
      <c r="A2522" t="s">
        <v>16</v>
      </c>
      <c r="B2522" t="s">
        <v>858</v>
      </c>
      <c r="C2522">
        <v>195</v>
      </c>
      <c r="D2522" t="s">
        <v>7005</v>
      </c>
      <c r="E2522" t="s">
        <v>49</v>
      </c>
      <c r="F2522">
        <v>3</v>
      </c>
      <c r="G2522">
        <v>0.38357601069161384</v>
      </c>
      <c r="H2522" t="s">
        <v>95</v>
      </c>
      <c r="I2522">
        <v>0</v>
      </c>
      <c r="J2522">
        <v>0</v>
      </c>
      <c r="K2522">
        <v>0</v>
      </c>
    </row>
    <row r="2523" spans="1:11" x14ac:dyDescent="0.2">
      <c r="A2523" t="s">
        <v>16</v>
      </c>
      <c r="B2523" t="s">
        <v>858</v>
      </c>
      <c r="C2523">
        <v>195</v>
      </c>
      <c r="D2523" t="s">
        <v>7004</v>
      </c>
      <c r="E2523" t="s">
        <v>49</v>
      </c>
      <c r="F2523">
        <v>3</v>
      </c>
      <c r="G2523">
        <v>0.38357601069161384</v>
      </c>
      <c r="H2523" t="s">
        <v>96</v>
      </c>
      <c r="I2523">
        <v>0</v>
      </c>
      <c r="J2523">
        <v>0</v>
      </c>
      <c r="K2523">
        <v>0</v>
      </c>
    </row>
    <row r="2524" spans="1:11" x14ac:dyDescent="0.2">
      <c r="A2524" t="s">
        <v>16</v>
      </c>
      <c r="B2524" t="s">
        <v>858</v>
      </c>
      <c r="C2524">
        <v>195</v>
      </c>
      <c r="D2524" t="s">
        <v>7008</v>
      </c>
      <c r="E2524" t="s">
        <v>49</v>
      </c>
      <c r="F2524">
        <v>3</v>
      </c>
      <c r="G2524">
        <v>0.38357601069161384</v>
      </c>
      <c r="H2524" t="s">
        <v>101</v>
      </c>
      <c r="I2524">
        <v>0</v>
      </c>
      <c r="J2524">
        <v>0</v>
      </c>
      <c r="K2524">
        <v>0</v>
      </c>
    </row>
    <row r="2525" spans="1:11" x14ac:dyDescent="0.2">
      <c r="A2525" t="s">
        <v>16</v>
      </c>
      <c r="B2525" t="s">
        <v>858</v>
      </c>
      <c r="C2525">
        <v>195</v>
      </c>
      <c r="D2525" t="s">
        <v>7010</v>
      </c>
      <c r="E2525" t="s">
        <v>49</v>
      </c>
      <c r="F2525">
        <v>3</v>
      </c>
      <c r="G2525">
        <v>0.38357601069161384</v>
      </c>
      <c r="H2525" t="s">
        <v>95</v>
      </c>
      <c r="I2525">
        <v>0</v>
      </c>
      <c r="J2525">
        <v>0</v>
      </c>
      <c r="K2525">
        <v>0</v>
      </c>
    </row>
    <row r="2526" spans="1:11" x14ac:dyDescent="0.2">
      <c r="A2526" t="s">
        <v>16</v>
      </c>
      <c r="B2526" t="s">
        <v>858</v>
      </c>
      <c r="C2526">
        <v>195</v>
      </c>
      <c r="D2526" t="s">
        <v>6998</v>
      </c>
      <c r="E2526" t="s">
        <v>49</v>
      </c>
      <c r="F2526">
        <v>3</v>
      </c>
      <c r="G2526">
        <v>0.38357601069161384</v>
      </c>
      <c r="H2526" t="s">
        <v>96</v>
      </c>
      <c r="I2526">
        <v>0</v>
      </c>
      <c r="J2526">
        <v>0</v>
      </c>
      <c r="K2526">
        <v>0</v>
      </c>
    </row>
    <row r="2527" spans="1:11" x14ac:dyDescent="0.2">
      <c r="A2527" t="s">
        <v>16</v>
      </c>
      <c r="B2527" t="s">
        <v>858</v>
      </c>
      <c r="C2527">
        <v>195</v>
      </c>
      <c r="D2527" t="s">
        <v>6997</v>
      </c>
      <c r="E2527" t="s">
        <v>49</v>
      </c>
      <c r="F2527">
        <v>3</v>
      </c>
      <c r="G2527">
        <v>0.38357601069161384</v>
      </c>
      <c r="H2527" t="s">
        <v>101</v>
      </c>
      <c r="I2527">
        <v>0</v>
      </c>
      <c r="J2527">
        <v>0</v>
      </c>
      <c r="K2527">
        <v>0</v>
      </c>
    </row>
    <row r="2528" spans="1:11" x14ac:dyDescent="0.2">
      <c r="A2528" t="s">
        <v>16</v>
      </c>
      <c r="B2528" t="s">
        <v>858</v>
      </c>
      <c r="C2528">
        <v>130</v>
      </c>
      <c r="D2528" t="s">
        <v>6987</v>
      </c>
      <c r="E2528" t="s">
        <v>49</v>
      </c>
      <c r="F2528">
        <v>3</v>
      </c>
      <c r="G2528">
        <v>0.25571734046107586</v>
      </c>
      <c r="H2528" t="s">
        <v>95</v>
      </c>
      <c r="I2528">
        <v>0</v>
      </c>
      <c r="J2528">
        <v>0</v>
      </c>
      <c r="K2528">
        <v>0</v>
      </c>
    </row>
    <row r="2529" spans="1:11" x14ac:dyDescent="0.2">
      <c r="A2529" t="s">
        <v>16</v>
      </c>
      <c r="B2529" t="s">
        <v>858</v>
      </c>
      <c r="C2529">
        <v>195</v>
      </c>
      <c r="D2529" t="s">
        <v>7003</v>
      </c>
      <c r="E2529" t="s">
        <v>49</v>
      </c>
      <c r="F2529">
        <v>3</v>
      </c>
      <c r="G2529">
        <v>0.38357601069161384</v>
      </c>
      <c r="H2529" t="s">
        <v>96</v>
      </c>
      <c r="I2529">
        <v>0</v>
      </c>
      <c r="J2529">
        <v>0</v>
      </c>
      <c r="K2529">
        <v>0</v>
      </c>
    </row>
    <row r="2530" spans="1:11" x14ac:dyDescent="0.2">
      <c r="A2530" t="s">
        <v>16</v>
      </c>
      <c r="B2530" t="s">
        <v>858</v>
      </c>
      <c r="C2530">
        <v>130</v>
      </c>
      <c r="D2530" t="s">
        <v>6994</v>
      </c>
      <c r="E2530" t="s">
        <v>49</v>
      </c>
      <c r="F2530">
        <v>3</v>
      </c>
      <c r="G2530">
        <v>0.25571734046107586</v>
      </c>
      <c r="H2530" t="s">
        <v>101</v>
      </c>
      <c r="I2530">
        <v>0</v>
      </c>
      <c r="J2530">
        <v>0</v>
      </c>
      <c r="K2530">
        <v>0</v>
      </c>
    </row>
    <row r="2531" spans="1:11" x14ac:dyDescent="0.2">
      <c r="A2531" t="s">
        <v>16</v>
      </c>
      <c r="B2531" t="s">
        <v>858</v>
      </c>
      <c r="C2531">
        <v>195</v>
      </c>
      <c r="D2531" t="s">
        <v>6992</v>
      </c>
      <c r="E2531" t="s">
        <v>49</v>
      </c>
      <c r="F2531">
        <v>3</v>
      </c>
      <c r="G2531">
        <v>0.38357601069161384</v>
      </c>
      <c r="H2531" t="s">
        <v>95</v>
      </c>
      <c r="I2531">
        <v>0</v>
      </c>
      <c r="J2531">
        <v>0</v>
      </c>
      <c r="K2531">
        <v>0</v>
      </c>
    </row>
    <row r="2532" spans="1:11" x14ac:dyDescent="0.2">
      <c r="A2532" t="s">
        <v>16</v>
      </c>
      <c r="B2532" t="s">
        <v>858</v>
      </c>
      <c r="C2532">
        <v>195</v>
      </c>
      <c r="D2532" t="s">
        <v>7011</v>
      </c>
      <c r="E2532" t="s">
        <v>49</v>
      </c>
      <c r="F2532">
        <v>3</v>
      </c>
      <c r="G2532">
        <v>0.38357601069161384</v>
      </c>
      <c r="H2532" t="s">
        <v>101</v>
      </c>
      <c r="I2532">
        <v>0</v>
      </c>
      <c r="J2532">
        <v>0</v>
      </c>
      <c r="K2532">
        <v>0</v>
      </c>
    </row>
    <row r="2533" spans="1:11" x14ac:dyDescent="0.2">
      <c r="A2533" t="s">
        <v>16</v>
      </c>
      <c r="B2533" t="s">
        <v>858</v>
      </c>
      <c r="C2533">
        <v>195</v>
      </c>
      <c r="D2533" t="s">
        <v>6995</v>
      </c>
      <c r="E2533" t="s">
        <v>49</v>
      </c>
      <c r="F2533">
        <v>3</v>
      </c>
      <c r="G2533">
        <v>0.38357601069161384</v>
      </c>
      <c r="H2533" t="s">
        <v>96</v>
      </c>
      <c r="I2533">
        <v>0</v>
      </c>
      <c r="J2533">
        <v>0</v>
      </c>
      <c r="K2533">
        <v>0</v>
      </c>
    </row>
    <row r="2534" spans="1:11" x14ac:dyDescent="0.2">
      <c r="A2534" t="s">
        <v>16</v>
      </c>
      <c r="B2534" t="s">
        <v>3429</v>
      </c>
      <c r="C2534">
        <v>255</v>
      </c>
      <c r="D2534" t="s">
        <v>7015</v>
      </c>
      <c r="E2534" t="s">
        <v>49</v>
      </c>
      <c r="F2534">
        <v>3</v>
      </c>
      <c r="G2534">
        <v>0.31623431375456651</v>
      </c>
      <c r="H2534" t="s">
        <v>84</v>
      </c>
      <c r="I2534">
        <v>0</v>
      </c>
      <c r="J2534">
        <v>0</v>
      </c>
      <c r="K2534">
        <v>0</v>
      </c>
    </row>
    <row r="2535" spans="1:11" x14ac:dyDescent="0.2">
      <c r="A2535" t="s">
        <v>16</v>
      </c>
      <c r="B2535" t="s">
        <v>3429</v>
      </c>
      <c r="C2535">
        <v>255</v>
      </c>
      <c r="D2535" t="s">
        <v>7017</v>
      </c>
      <c r="E2535" t="s">
        <v>49</v>
      </c>
      <c r="F2535">
        <v>3</v>
      </c>
      <c r="G2535">
        <v>0.31623431375456651</v>
      </c>
      <c r="H2535" t="s">
        <v>87</v>
      </c>
      <c r="I2535">
        <v>0</v>
      </c>
      <c r="J2535">
        <v>0</v>
      </c>
      <c r="K2535">
        <v>0</v>
      </c>
    </row>
    <row r="2536" spans="1:11" x14ac:dyDescent="0.2">
      <c r="A2536" t="s">
        <v>16</v>
      </c>
      <c r="B2536" t="s">
        <v>3429</v>
      </c>
      <c r="C2536">
        <v>255</v>
      </c>
      <c r="D2536" t="s">
        <v>7016</v>
      </c>
      <c r="E2536" t="s">
        <v>49</v>
      </c>
      <c r="F2536">
        <v>3</v>
      </c>
      <c r="G2536">
        <v>0.31623431375456651</v>
      </c>
      <c r="H2536" t="s">
        <v>98</v>
      </c>
      <c r="I2536">
        <v>0</v>
      </c>
      <c r="J2536">
        <v>0</v>
      </c>
      <c r="K2536">
        <v>0</v>
      </c>
    </row>
    <row r="2537" spans="1:11" x14ac:dyDescent="0.2">
      <c r="A2537" t="s">
        <v>16</v>
      </c>
      <c r="B2537" t="s">
        <v>3429</v>
      </c>
      <c r="C2537">
        <v>170</v>
      </c>
      <c r="D2537" t="s">
        <v>7014</v>
      </c>
      <c r="E2537" t="s">
        <v>49</v>
      </c>
      <c r="F2537">
        <v>3</v>
      </c>
      <c r="G2537">
        <v>0.21082287583637765</v>
      </c>
      <c r="H2537" t="s">
        <v>84</v>
      </c>
      <c r="I2537">
        <v>0</v>
      </c>
      <c r="J2537">
        <v>0</v>
      </c>
      <c r="K2537">
        <v>0</v>
      </c>
    </row>
    <row r="2538" spans="1:11" x14ac:dyDescent="0.2">
      <c r="A2538" t="s">
        <v>16</v>
      </c>
      <c r="B2538" t="s">
        <v>812</v>
      </c>
      <c r="C2538">
        <v>435</v>
      </c>
      <c r="D2538" t="s">
        <v>7020</v>
      </c>
      <c r="E2538" t="s">
        <v>49</v>
      </c>
      <c r="F2538">
        <v>7</v>
      </c>
      <c r="G2538">
        <v>0.24380650998531281</v>
      </c>
      <c r="H2538" t="s">
        <v>88</v>
      </c>
      <c r="I2538">
        <v>0</v>
      </c>
      <c r="J2538">
        <v>0</v>
      </c>
      <c r="K2538">
        <v>0</v>
      </c>
    </row>
    <row r="2539" spans="1:11" x14ac:dyDescent="0.2">
      <c r="A2539" t="s">
        <v>16</v>
      </c>
      <c r="B2539" t="s">
        <v>812</v>
      </c>
      <c r="C2539">
        <v>1305</v>
      </c>
      <c r="D2539" t="s">
        <v>7021</v>
      </c>
      <c r="E2539" t="s">
        <v>49</v>
      </c>
      <c r="F2539">
        <v>7</v>
      </c>
      <c r="G2539">
        <v>0.7314195299559384</v>
      </c>
      <c r="H2539" t="s">
        <v>97</v>
      </c>
      <c r="I2539">
        <v>0</v>
      </c>
      <c r="J2539">
        <v>0</v>
      </c>
      <c r="K2539">
        <v>0</v>
      </c>
    </row>
    <row r="2540" spans="1:11" x14ac:dyDescent="0.2">
      <c r="A2540" t="s">
        <v>16</v>
      </c>
      <c r="B2540" t="s">
        <v>812</v>
      </c>
      <c r="C2540">
        <v>1305</v>
      </c>
      <c r="D2540" t="s">
        <v>7018</v>
      </c>
      <c r="E2540" t="s">
        <v>49</v>
      </c>
      <c r="F2540">
        <v>7</v>
      </c>
      <c r="G2540">
        <v>0.7314195299559384</v>
      </c>
      <c r="H2540" t="s">
        <v>88</v>
      </c>
      <c r="I2540">
        <v>0</v>
      </c>
      <c r="J2540">
        <v>0</v>
      </c>
      <c r="K2540">
        <v>0</v>
      </c>
    </row>
    <row r="2541" spans="1:11" x14ac:dyDescent="0.2">
      <c r="A2541" t="s">
        <v>16</v>
      </c>
      <c r="B2541" t="s">
        <v>812</v>
      </c>
      <c r="C2541">
        <v>870</v>
      </c>
      <c r="D2541" t="s">
        <v>7022</v>
      </c>
      <c r="E2541" t="s">
        <v>49</v>
      </c>
      <c r="F2541">
        <v>7</v>
      </c>
      <c r="G2541">
        <v>0.48761301997062562</v>
      </c>
      <c r="H2541" t="s">
        <v>87</v>
      </c>
      <c r="I2541">
        <v>0</v>
      </c>
      <c r="J2541">
        <v>0</v>
      </c>
      <c r="K2541">
        <v>0</v>
      </c>
    </row>
    <row r="2542" spans="1:11" x14ac:dyDescent="0.2">
      <c r="A2542" t="s">
        <v>16</v>
      </c>
      <c r="B2542" t="s">
        <v>812</v>
      </c>
      <c r="C2542">
        <v>1305</v>
      </c>
      <c r="D2542" t="s">
        <v>7019</v>
      </c>
      <c r="E2542" t="s">
        <v>49</v>
      </c>
      <c r="F2542">
        <v>7</v>
      </c>
      <c r="G2542">
        <v>0.7314195299559384</v>
      </c>
      <c r="H2542" t="s">
        <v>98</v>
      </c>
      <c r="I2542">
        <v>0</v>
      </c>
      <c r="J2542">
        <v>0</v>
      </c>
      <c r="K2542">
        <v>0</v>
      </c>
    </row>
    <row r="2543" spans="1:11" x14ac:dyDescent="0.2">
      <c r="A2543" t="s">
        <v>16</v>
      </c>
      <c r="B2543" t="s">
        <v>800</v>
      </c>
      <c r="C2543">
        <v>800</v>
      </c>
      <c r="D2543" t="s">
        <v>7025</v>
      </c>
      <c r="E2543" t="s">
        <v>49</v>
      </c>
      <c r="F2543">
        <v>8</v>
      </c>
      <c r="G2543">
        <v>0.21930923849649192</v>
      </c>
      <c r="H2543" t="s">
        <v>84</v>
      </c>
      <c r="I2543">
        <v>0</v>
      </c>
      <c r="J2543">
        <v>0</v>
      </c>
      <c r="K2543">
        <v>0</v>
      </c>
    </row>
    <row r="2544" spans="1:11" x14ac:dyDescent="0.2">
      <c r="A2544" t="s">
        <v>16</v>
      </c>
      <c r="B2544" t="s">
        <v>800</v>
      </c>
      <c r="C2544">
        <v>1600</v>
      </c>
      <c r="D2544" t="s">
        <v>7023</v>
      </c>
      <c r="E2544" t="s">
        <v>49</v>
      </c>
      <c r="F2544">
        <v>8</v>
      </c>
      <c r="G2544">
        <v>0.43861847699298384</v>
      </c>
      <c r="H2544" t="s">
        <v>84</v>
      </c>
      <c r="I2544">
        <v>0</v>
      </c>
      <c r="J2544">
        <v>0</v>
      </c>
      <c r="K2544">
        <v>0</v>
      </c>
    </row>
    <row r="2545" spans="1:11" x14ac:dyDescent="0.2">
      <c r="A2545" t="s">
        <v>16</v>
      </c>
      <c r="B2545" t="s">
        <v>800</v>
      </c>
      <c r="C2545">
        <v>2400</v>
      </c>
      <c r="D2545" t="s">
        <v>7024</v>
      </c>
      <c r="E2545" t="s">
        <v>49</v>
      </c>
      <c r="F2545">
        <v>8</v>
      </c>
      <c r="G2545">
        <v>0.65792771548947571</v>
      </c>
      <c r="H2545" t="s">
        <v>87</v>
      </c>
      <c r="I2545">
        <v>0</v>
      </c>
      <c r="J2545">
        <v>0</v>
      </c>
      <c r="K2545">
        <v>0</v>
      </c>
    </row>
    <row r="2546" spans="1:11" x14ac:dyDescent="0.2">
      <c r="A2546" t="s">
        <v>16</v>
      </c>
      <c r="B2546" t="s">
        <v>3506</v>
      </c>
      <c r="C2546">
        <v>300</v>
      </c>
      <c r="D2546" t="s">
        <v>7033</v>
      </c>
      <c r="E2546" t="s">
        <v>49</v>
      </c>
      <c r="F2546">
        <v>12</v>
      </c>
      <c r="G2546">
        <v>0.37825982648288398</v>
      </c>
      <c r="H2546" t="s">
        <v>97</v>
      </c>
      <c r="I2546">
        <v>0</v>
      </c>
      <c r="J2546">
        <v>0</v>
      </c>
      <c r="K2546">
        <v>0</v>
      </c>
    </row>
    <row r="2547" spans="1:11" x14ac:dyDescent="0.2">
      <c r="A2547" t="s">
        <v>16</v>
      </c>
      <c r="B2547" t="s">
        <v>3506</v>
      </c>
      <c r="C2547">
        <v>200</v>
      </c>
      <c r="D2547" t="s">
        <v>7028</v>
      </c>
      <c r="E2547" t="s">
        <v>49</v>
      </c>
      <c r="F2547">
        <v>12</v>
      </c>
      <c r="G2547">
        <v>0.25217321765525602</v>
      </c>
      <c r="H2547" t="s">
        <v>88</v>
      </c>
      <c r="I2547">
        <v>0</v>
      </c>
      <c r="J2547">
        <v>0</v>
      </c>
      <c r="K2547">
        <v>0</v>
      </c>
    </row>
    <row r="2548" spans="1:11" x14ac:dyDescent="0.2">
      <c r="A2548" t="s">
        <v>16</v>
      </c>
      <c r="B2548" t="s">
        <v>3506</v>
      </c>
      <c r="C2548">
        <v>300</v>
      </c>
      <c r="D2548" t="s">
        <v>7038</v>
      </c>
      <c r="E2548" t="s">
        <v>49</v>
      </c>
      <c r="F2548">
        <v>12</v>
      </c>
      <c r="G2548">
        <v>0.37825982648288398</v>
      </c>
      <c r="H2548" t="s">
        <v>98</v>
      </c>
      <c r="I2548">
        <v>0</v>
      </c>
      <c r="J2548">
        <v>0</v>
      </c>
      <c r="K2548">
        <v>0</v>
      </c>
    </row>
    <row r="2549" spans="1:11" x14ac:dyDescent="0.2">
      <c r="A2549" t="s">
        <v>16</v>
      </c>
      <c r="B2549" t="s">
        <v>3506</v>
      </c>
      <c r="C2549">
        <v>300</v>
      </c>
      <c r="D2549" t="s">
        <v>7032</v>
      </c>
      <c r="E2549" t="s">
        <v>49</v>
      </c>
      <c r="F2549">
        <v>12</v>
      </c>
      <c r="G2549">
        <v>0.37825982648288398</v>
      </c>
      <c r="H2549" t="s">
        <v>84</v>
      </c>
      <c r="I2549">
        <v>0</v>
      </c>
      <c r="J2549">
        <v>0</v>
      </c>
      <c r="K2549">
        <v>0</v>
      </c>
    </row>
    <row r="2550" spans="1:11" x14ac:dyDescent="0.2">
      <c r="A2550" t="s">
        <v>16</v>
      </c>
      <c r="B2550" t="s">
        <v>3506</v>
      </c>
      <c r="C2550">
        <v>300</v>
      </c>
      <c r="D2550" t="s">
        <v>7029</v>
      </c>
      <c r="E2550" t="s">
        <v>49</v>
      </c>
      <c r="F2550">
        <v>12</v>
      </c>
      <c r="G2550">
        <v>0.37825982648288398</v>
      </c>
      <c r="H2550" t="s">
        <v>88</v>
      </c>
      <c r="I2550">
        <v>0</v>
      </c>
      <c r="J2550">
        <v>0</v>
      </c>
      <c r="K2550">
        <v>0</v>
      </c>
    </row>
    <row r="2551" spans="1:11" x14ac:dyDescent="0.2">
      <c r="A2551" t="s">
        <v>16</v>
      </c>
      <c r="B2551" t="s">
        <v>3506</v>
      </c>
      <c r="C2551">
        <v>100</v>
      </c>
      <c r="D2551" t="s">
        <v>7037</v>
      </c>
      <c r="E2551" t="s">
        <v>49</v>
      </c>
      <c r="F2551">
        <v>12</v>
      </c>
      <c r="G2551">
        <v>0.12608660882762801</v>
      </c>
      <c r="H2551" t="s">
        <v>97</v>
      </c>
      <c r="I2551">
        <v>0</v>
      </c>
      <c r="J2551">
        <v>0</v>
      </c>
      <c r="K2551">
        <v>0</v>
      </c>
    </row>
    <row r="2552" spans="1:11" x14ac:dyDescent="0.2">
      <c r="A2552" t="s">
        <v>16</v>
      </c>
      <c r="B2552" t="s">
        <v>3506</v>
      </c>
      <c r="C2552">
        <v>100</v>
      </c>
      <c r="D2552" t="s">
        <v>7039</v>
      </c>
      <c r="E2552" t="s">
        <v>49</v>
      </c>
      <c r="F2552">
        <v>12</v>
      </c>
      <c r="G2552">
        <v>0.12608660882762801</v>
      </c>
      <c r="H2552" t="s">
        <v>98</v>
      </c>
      <c r="I2552">
        <v>0</v>
      </c>
      <c r="J2552">
        <v>0</v>
      </c>
      <c r="K2552">
        <v>0</v>
      </c>
    </row>
    <row r="2553" spans="1:11" x14ac:dyDescent="0.2">
      <c r="A2553" t="s">
        <v>16</v>
      </c>
      <c r="B2553" t="s">
        <v>3506</v>
      </c>
      <c r="C2553">
        <v>300</v>
      </c>
      <c r="D2553" t="s">
        <v>7027</v>
      </c>
      <c r="E2553" t="s">
        <v>49</v>
      </c>
      <c r="F2553">
        <v>12</v>
      </c>
      <c r="G2553">
        <v>0.37825982648288398</v>
      </c>
      <c r="H2553" t="s">
        <v>87</v>
      </c>
      <c r="I2553">
        <v>0</v>
      </c>
      <c r="J2553">
        <v>0</v>
      </c>
      <c r="K2553">
        <v>0</v>
      </c>
    </row>
    <row r="2554" spans="1:11" x14ac:dyDescent="0.2">
      <c r="A2554" t="s">
        <v>16</v>
      </c>
      <c r="B2554" t="s">
        <v>3506</v>
      </c>
      <c r="C2554">
        <v>300</v>
      </c>
      <c r="D2554" t="s">
        <v>7035</v>
      </c>
      <c r="E2554" t="s">
        <v>49</v>
      </c>
      <c r="F2554">
        <v>12</v>
      </c>
      <c r="G2554">
        <v>0.37825982648288398</v>
      </c>
      <c r="H2554" t="s">
        <v>97</v>
      </c>
      <c r="I2554">
        <v>0</v>
      </c>
      <c r="J2554">
        <v>0</v>
      </c>
      <c r="K2554">
        <v>0</v>
      </c>
    </row>
    <row r="2555" spans="1:11" x14ac:dyDescent="0.2">
      <c r="A2555" t="s">
        <v>16</v>
      </c>
      <c r="B2555" t="s">
        <v>3506</v>
      </c>
      <c r="C2555">
        <v>300</v>
      </c>
      <c r="D2555" t="s">
        <v>7036</v>
      </c>
      <c r="E2555" t="s">
        <v>49</v>
      </c>
      <c r="F2555">
        <v>12</v>
      </c>
      <c r="G2555">
        <v>0.37825982648288398</v>
      </c>
      <c r="H2555" t="s">
        <v>84</v>
      </c>
      <c r="I2555">
        <v>0</v>
      </c>
      <c r="J2555">
        <v>0</v>
      </c>
      <c r="K2555">
        <v>0</v>
      </c>
    </row>
    <row r="2556" spans="1:11" x14ac:dyDescent="0.2">
      <c r="A2556" t="s">
        <v>16</v>
      </c>
      <c r="B2556" t="s">
        <v>3506</v>
      </c>
      <c r="C2556">
        <v>300</v>
      </c>
      <c r="D2556" t="s">
        <v>7031</v>
      </c>
      <c r="E2556" t="s">
        <v>49</v>
      </c>
      <c r="F2556">
        <v>12</v>
      </c>
      <c r="G2556">
        <v>0.37825982648288398</v>
      </c>
      <c r="H2556" t="s">
        <v>98</v>
      </c>
      <c r="I2556">
        <v>0</v>
      </c>
      <c r="J2556">
        <v>0</v>
      </c>
      <c r="K2556">
        <v>0</v>
      </c>
    </row>
    <row r="2557" spans="1:11" x14ac:dyDescent="0.2">
      <c r="A2557" t="s">
        <v>16</v>
      </c>
      <c r="B2557" t="s">
        <v>3506</v>
      </c>
      <c r="C2557">
        <v>300</v>
      </c>
      <c r="D2557" t="s">
        <v>7026</v>
      </c>
      <c r="E2557" t="s">
        <v>49</v>
      </c>
      <c r="F2557">
        <v>12</v>
      </c>
      <c r="G2557">
        <v>0.37825982648288398</v>
      </c>
      <c r="H2557" t="s">
        <v>88</v>
      </c>
      <c r="I2557">
        <v>0</v>
      </c>
      <c r="J2557">
        <v>0</v>
      </c>
      <c r="K2557">
        <v>0</v>
      </c>
    </row>
    <row r="2558" spans="1:11" x14ac:dyDescent="0.2">
      <c r="A2558" t="s">
        <v>16</v>
      </c>
      <c r="B2558" t="s">
        <v>3506</v>
      </c>
      <c r="C2558">
        <v>300</v>
      </c>
      <c r="D2558" t="s">
        <v>7030</v>
      </c>
      <c r="E2558" t="s">
        <v>49</v>
      </c>
      <c r="F2558">
        <v>12</v>
      </c>
      <c r="G2558">
        <v>0.37825982648288398</v>
      </c>
      <c r="H2558" t="s">
        <v>87</v>
      </c>
      <c r="I2558">
        <v>0</v>
      </c>
      <c r="J2558">
        <v>0</v>
      </c>
      <c r="K2558">
        <v>0</v>
      </c>
    </row>
    <row r="2559" spans="1:11" x14ac:dyDescent="0.2">
      <c r="A2559" t="s">
        <v>16</v>
      </c>
      <c r="B2559" t="s">
        <v>3506</v>
      </c>
      <c r="C2559">
        <v>200</v>
      </c>
      <c r="D2559" t="s">
        <v>7034</v>
      </c>
      <c r="E2559" t="s">
        <v>49</v>
      </c>
      <c r="F2559">
        <v>12</v>
      </c>
      <c r="G2559">
        <v>0.25217321765525602</v>
      </c>
      <c r="H2559" t="s">
        <v>97</v>
      </c>
      <c r="I2559">
        <v>0</v>
      </c>
      <c r="J2559">
        <v>0</v>
      </c>
      <c r="K2559">
        <v>0</v>
      </c>
    </row>
    <row r="2560" spans="1:11" x14ac:dyDescent="0.2">
      <c r="A2560" t="s">
        <v>16</v>
      </c>
      <c r="B2560" t="s">
        <v>3508</v>
      </c>
      <c r="C2560">
        <v>300</v>
      </c>
      <c r="D2560" t="s">
        <v>7045</v>
      </c>
      <c r="E2560" t="s">
        <v>49</v>
      </c>
      <c r="F2560">
        <v>4</v>
      </c>
      <c r="G2560">
        <v>0.38160962480501243</v>
      </c>
      <c r="H2560" t="s">
        <v>84</v>
      </c>
      <c r="I2560">
        <v>0</v>
      </c>
      <c r="J2560">
        <v>0</v>
      </c>
      <c r="K2560">
        <v>0</v>
      </c>
    </row>
    <row r="2561" spans="1:11" x14ac:dyDescent="0.2">
      <c r="A2561" t="s">
        <v>16</v>
      </c>
      <c r="B2561" t="s">
        <v>3508</v>
      </c>
      <c r="C2561">
        <v>300</v>
      </c>
      <c r="D2561" t="s">
        <v>7041</v>
      </c>
      <c r="E2561" t="s">
        <v>49</v>
      </c>
      <c r="F2561">
        <v>4</v>
      </c>
      <c r="G2561">
        <v>0.38160962480501243</v>
      </c>
      <c r="H2561" t="s">
        <v>98</v>
      </c>
      <c r="I2561">
        <v>0</v>
      </c>
      <c r="J2561">
        <v>0</v>
      </c>
      <c r="K2561">
        <v>0</v>
      </c>
    </row>
    <row r="2562" spans="1:11" x14ac:dyDescent="0.2">
      <c r="A2562" t="s">
        <v>16</v>
      </c>
      <c r="B2562" t="s">
        <v>3508</v>
      </c>
      <c r="C2562">
        <v>300</v>
      </c>
      <c r="D2562" t="s">
        <v>7044</v>
      </c>
      <c r="E2562" t="s">
        <v>49</v>
      </c>
      <c r="F2562">
        <v>4</v>
      </c>
      <c r="G2562">
        <v>0.38160962480501243</v>
      </c>
      <c r="H2562" t="s">
        <v>88</v>
      </c>
      <c r="I2562">
        <v>0</v>
      </c>
      <c r="J2562">
        <v>0</v>
      </c>
      <c r="K2562">
        <v>0</v>
      </c>
    </row>
    <row r="2563" spans="1:11" x14ac:dyDescent="0.2">
      <c r="A2563" t="s">
        <v>16</v>
      </c>
      <c r="B2563" t="s">
        <v>3508</v>
      </c>
      <c r="C2563">
        <v>200</v>
      </c>
      <c r="D2563" t="s">
        <v>7050</v>
      </c>
      <c r="E2563" t="s">
        <v>49</v>
      </c>
      <c r="F2563">
        <v>4</v>
      </c>
      <c r="G2563">
        <v>0.25440641653667495</v>
      </c>
      <c r="H2563" t="s">
        <v>97</v>
      </c>
      <c r="I2563">
        <v>0</v>
      </c>
      <c r="J2563">
        <v>0</v>
      </c>
      <c r="K2563">
        <v>0</v>
      </c>
    </row>
    <row r="2564" spans="1:11" x14ac:dyDescent="0.2">
      <c r="A2564" t="s">
        <v>16</v>
      </c>
      <c r="B2564" t="s">
        <v>3508</v>
      </c>
      <c r="C2564">
        <v>300</v>
      </c>
      <c r="D2564" t="s">
        <v>7040</v>
      </c>
      <c r="E2564" t="s">
        <v>49</v>
      </c>
      <c r="F2564">
        <v>4</v>
      </c>
      <c r="G2564">
        <v>0.38160962480501243</v>
      </c>
      <c r="H2564" t="s">
        <v>84</v>
      </c>
      <c r="I2564">
        <v>0</v>
      </c>
      <c r="J2564">
        <v>0</v>
      </c>
      <c r="K2564">
        <v>0</v>
      </c>
    </row>
    <row r="2565" spans="1:11" x14ac:dyDescent="0.2">
      <c r="A2565" t="s">
        <v>16</v>
      </c>
      <c r="B2565" t="s">
        <v>3508</v>
      </c>
      <c r="C2565">
        <v>300</v>
      </c>
      <c r="D2565" t="s">
        <v>7048</v>
      </c>
      <c r="E2565" t="s">
        <v>49</v>
      </c>
      <c r="F2565">
        <v>4</v>
      </c>
      <c r="G2565">
        <v>0.38160962480501243</v>
      </c>
      <c r="H2565" t="s">
        <v>98</v>
      </c>
      <c r="I2565">
        <v>0</v>
      </c>
      <c r="J2565">
        <v>0</v>
      </c>
      <c r="K2565">
        <v>0</v>
      </c>
    </row>
    <row r="2566" spans="1:11" x14ac:dyDescent="0.2">
      <c r="A2566" t="s">
        <v>16</v>
      </c>
      <c r="B2566" t="s">
        <v>3508</v>
      </c>
      <c r="C2566">
        <v>300</v>
      </c>
      <c r="D2566" t="s">
        <v>7042</v>
      </c>
      <c r="E2566" t="s">
        <v>49</v>
      </c>
      <c r="F2566">
        <v>4</v>
      </c>
      <c r="G2566">
        <v>0.38160962480501243</v>
      </c>
      <c r="H2566" t="s">
        <v>97</v>
      </c>
      <c r="I2566">
        <v>0</v>
      </c>
      <c r="J2566">
        <v>0</v>
      </c>
      <c r="K2566">
        <v>0</v>
      </c>
    </row>
    <row r="2567" spans="1:11" x14ac:dyDescent="0.2">
      <c r="A2567" t="s">
        <v>16</v>
      </c>
      <c r="B2567" t="s">
        <v>3508</v>
      </c>
      <c r="C2567">
        <v>300</v>
      </c>
      <c r="D2567" t="s">
        <v>7051</v>
      </c>
      <c r="E2567" t="s">
        <v>49</v>
      </c>
      <c r="F2567">
        <v>4</v>
      </c>
      <c r="G2567">
        <v>0.38160962480501243</v>
      </c>
      <c r="H2567" t="s">
        <v>88</v>
      </c>
      <c r="I2567">
        <v>0</v>
      </c>
      <c r="J2567">
        <v>0</v>
      </c>
      <c r="K2567">
        <v>0</v>
      </c>
    </row>
    <row r="2568" spans="1:11" x14ac:dyDescent="0.2">
      <c r="A2568" t="s">
        <v>16</v>
      </c>
      <c r="B2568" t="s">
        <v>3508</v>
      </c>
      <c r="C2568">
        <v>300</v>
      </c>
      <c r="D2568" t="s">
        <v>7052</v>
      </c>
      <c r="E2568" t="s">
        <v>49</v>
      </c>
      <c r="F2568">
        <v>4</v>
      </c>
      <c r="G2568">
        <v>0.38160962480501243</v>
      </c>
      <c r="H2568" t="s">
        <v>84</v>
      </c>
      <c r="I2568">
        <v>0</v>
      </c>
      <c r="J2568">
        <v>0</v>
      </c>
      <c r="K2568">
        <v>0</v>
      </c>
    </row>
    <row r="2569" spans="1:11" x14ac:dyDescent="0.2">
      <c r="A2569" t="s">
        <v>16</v>
      </c>
      <c r="B2569" t="s">
        <v>3508</v>
      </c>
      <c r="C2569">
        <v>200</v>
      </c>
      <c r="D2569" t="s">
        <v>7043</v>
      </c>
      <c r="E2569" t="s">
        <v>49</v>
      </c>
      <c r="F2569">
        <v>4</v>
      </c>
      <c r="G2569">
        <v>0.25440641653667495</v>
      </c>
      <c r="H2569" t="s">
        <v>98</v>
      </c>
      <c r="I2569">
        <v>0</v>
      </c>
      <c r="J2569">
        <v>0</v>
      </c>
      <c r="K2569">
        <v>0</v>
      </c>
    </row>
    <row r="2570" spans="1:11" x14ac:dyDescent="0.2">
      <c r="A2570" t="s">
        <v>16</v>
      </c>
      <c r="B2570" t="s">
        <v>3508</v>
      </c>
      <c r="C2570">
        <v>300</v>
      </c>
      <c r="D2570" t="s">
        <v>7049</v>
      </c>
      <c r="E2570" t="s">
        <v>49</v>
      </c>
      <c r="F2570">
        <v>4</v>
      </c>
      <c r="G2570">
        <v>0.38160962480501243</v>
      </c>
      <c r="H2570" t="s">
        <v>97</v>
      </c>
      <c r="I2570">
        <v>0</v>
      </c>
      <c r="J2570">
        <v>0</v>
      </c>
      <c r="K2570">
        <v>0</v>
      </c>
    </row>
    <row r="2571" spans="1:11" x14ac:dyDescent="0.2">
      <c r="A2571" t="s">
        <v>16</v>
      </c>
      <c r="B2571" t="s">
        <v>3508</v>
      </c>
      <c r="C2571">
        <v>200</v>
      </c>
      <c r="D2571" t="s">
        <v>7047</v>
      </c>
      <c r="E2571" t="s">
        <v>49</v>
      </c>
      <c r="F2571">
        <v>4</v>
      </c>
      <c r="G2571">
        <v>0.25440641653667495</v>
      </c>
      <c r="H2571" t="s">
        <v>88</v>
      </c>
      <c r="I2571">
        <v>0</v>
      </c>
      <c r="J2571">
        <v>0</v>
      </c>
      <c r="K2571">
        <v>0</v>
      </c>
    </row>
    <row r="2572" spans="1:11" x14ac:dyDescent="0.2">
      <c r="A2572" t="s">
        <v>16</v>
      </c>
      <c r="B2572" t="s">
        <v>3508</v>
      </c>
      <c r="C2572">
        <v>300</v>
      </c>
      <c r="D2572" t="s">
        <v>7046</v>
      </c>
      <c r="E2572" t="s">
        <v>49</v>
      </c>
      <c r="F2572">
        <v>4</v>
      </c>
      <c r="G2572">
        <v>0.38160962480501243</v>
      </c>
      <c r="H2572" t="s">
        <v>98</v>
      </c>
      <c r="I2572">
        <v>0</v>
      </c>
      <c r="J2572">
        <v>0</v>
      </c>
      <c r="K2572">
        <v>0</v>
      </c>
    </row>
    <row r="2573" spans="1:11" x14ac:dyDescent="0.2">
      <c r="A2573" t="s">
        <v>16</v>
      </c>
      <c r="B2573" t="s">
        <v>3514</v>
      </c>
      <c r="C2573">
        <v>165</v>
      </c>
      <c r="D2573" t="s">
        <v>7067</v>
      </c>
      <c r="E2573" t="s">
        <v>49</v>
      </c>
      <c r="F2573">
        <v>7</v>
      </c>
      <c r="G2573">
        <v>0.27542019899487286</v>
      </c>
      <c r="H2573" t="s">
        <v>87</v>
      </c>
      <c r="I2573">
        <v>0</v>
      </c>
      <c r="J2573">
        <v>0</v>
      </c>
      <c r="K2573">
        <v>0</v>
      </c>
    </row>
    <row r="2574" spans="1:11" x14ac:dyDescent="0.2">
      <c r="A2574" t="s">
        <v>16</v>
      </c>
      <c r="B2574" t="s">
        <v>3514</v>
      </c>
      <c r="C2574">
        <v>165</v>
      </c>
      <c r="D2574" t="s">
        <v>7066</v>
      </c>
      <c r="E2574" t="s">
        <v>49</v>
      </c>
      <c r="F2574">
        <v>7</v>
      </c>
      <c r="G2574">
        <v>0.27542019899487286</v>
      </c>
      <c r="H2574" t="s">
        <v>104</v>
      </c>
      <c r="I2574">
        <v>0</v>
      </c>
      <c r="J2574">
        <v>0</v>
      </c>
      <c r="K2574">
        <v>0</v>
      </c>
    </row>
    <row r="2575" spans="1:11" x14ac:dyDescent="0.2">
      <c r="A2575" t="s">
        <v>16</v>
      </c>
      <c r="B2575" t="s">
        <v>3514</v>
      </c>
      <c r="C2575">
        <v>165</v>
      </c>
      <c r="D2575" t="s">
        <v>7062</v>
      </c>
      <c r="E2575" t="s">
        <v>49</v>
      </c>
      <c r="F2575">
        <v>7</v>
      </c>
      <c r="G2575">
        <v>0.27542019899487286</v>
      </c>
      <c r="H2575" t="s">
        <v>103</v>
      </c>
      <c r="I2575">
        <v>0</v>
      </c>
      <c r="J2575">
        <v>0</v>
      </c>
      <c r="K2575">
        <v>0</v>
      </c>
    </row>
    <row r="2576" spans="1:11" x14ac:dyDescent="0.2">
      <c r="A2576" t="s">
        <v>16</v>
      </c>
      <c r="B2576" t="s">
        <v>3514</v>
      </c>
      <c r="C2576">
        <v>165</v>
      </c>
      <c r="D2576" t="s">
        <v>7057</v>
      </c>
      <c r="E2576" t="s">
        <v>49</v>
      </c>
      <c r="F2576">
        <v>7</v>
      </c>
      <c r="G2576">
        <v>0.27542019899487286</v>
      </c>
      <c r="H2576" t="s">
        <v>87</v>
      </c>
      <c r="I2576">
        <v>0</v>
      </c>
      <c r="J2576">
        <v>0</v>
      </c>
      <c r="K2576">
        <v>0</v>
      </c>
    </row>
    <row r="2577" spans="1:11" x14ac:dyDescent="0.2">
      <c r="A2577" t="s">
        <v>16</v>
      </c>
      <c r="B2577" t="s">
        <v>3514</v>
      </c>
      <c r="C2577">
        <v>165</v>
      </c>
      <c r="D2577" t="s">
        <v>7071</v>
      </c>
      <c r="E2577" t="s">
        <v>49</v>
      </c>
      <c r="F2577">
        <v>7</v>
      </c>
      <c r="G2577">
        <v>0.27542019899487286</v>
      </c>
      <c r="H2577" t="s">
        <v>99</v>
      </c>
      <c r="I2577">
        <v>0</v>
      </c>
      <c r="J2577">
        <v>0</v>
      </c>
      <c r="K2577">
        <v>0</v>
      </c>
    </row>
    <row r="2578" spans="1:11" x14ac:dyDescent="0.2">
      <c r="A2578" t="s">
        <v>16</v>
      </c>
      <c r="B2578" t="s">
        <v>3514</v>
      </c>
      <c r="C2578">
        <v>165</v>
      </c>
      <c r="D2578" t="s">
        <v>7072</v>
      </c>
      <c r="E2578" t="s">
        <v>49</v>
      </c>
      <c r="F2578">
        <v>7</v>
      </c>
      <c r="G2578">
        <v>0.27542019899487286</v>
      </c>
      <c r="H2578" t="s">
        <v>104</v>
      </c>
      <c r="I2578">
        <v>0</v>
      </c>
      <c r="J2578">
        <v>0</v>
      </c>
      <c r="K2578">
        <v>0</v>
      </c>
    </row>
    <row r="2579" spans="1:11" x14ac:dyDescent="0.2">
      <c r="A2579" t="s">
        <v>16</v>
      </c>
      <c r="B2579" t="s">
        <v>3514</v>
      </c>
      <c r="C2579">
        <v>165</v>
      </c>
      <c r="D2579" t="s">
        <v>7056</v>
      </c>
      <c r="E2579" t="s">
        <v>49</v>
      </c>
      <c r="F2579">
        <v>7</v>
      </c>
      <c r="G2579">
        <v>0.27542019899487286</v>
      </c>
      <c r="H2579" t="s">
        <v>103</v>
      </c>
      <c r="I2579">
        <v>0</v>
      </c>
      <c r="J2579">
        <v>0</v>
      </c>
      <c r="K2579">
        <v>0</v>
      </c>
    </row>
    <row r="2580" spans="1:11" x14ac:dyDescent="0.2">
      <c r="A2580" t="s">
        <v>16</v>
      </c>
      <c r="B2580" t="s">
        <v>3514</v>
      </c>
      <c r="C2580">
        <v>165</v>
      </c>
      <c r="D2580" t="s">
        <v>7054</v>
      </c>
      <c r="E2580" t="s">
        <v>49</v>
      </c>
      <c r="F2580">
        <v>7</v>
      </c>
      <c r="G2580">
        <v>0.27542019899487286</v>
      </c>
      <c r="H2580" t="s">
        <v>105</v>
      </c>
      <c r="I2580">
        <v>0</v>
      </c>
      <c r="J2580">
        <v>0</v>
      </c>
      <c r="K2580">
        <v>0</v>
      </c>
    </row>
    <row r="2581" spans="1:11" x14ac:dyDescent="0.2">
      <c r="A2581" t="s">
        <v>16</v>
      </c>
      <c r="B2581" t="s">
        <v>3514</v>
      </c>
      <c r="C2581">
        <v>165</v>
      </c>
      <c r="D2581" t="s">
        <v>7069</v>
      </c>
      <c r="E2581" t="s">
        <v>49</v>
      </c>
      <c r="F2581">
        <v>7</v>
      </c>
      <c r="G2581">
        <v>0.27542019899487286</v>
      </c>
      <c r="H2581" t="s">
        <v>87</v>
      </c>
      <c r="I2581">
        <v>0</v>
      </c>
      <c r="J2581">
        <v>0</v>
      </c>
      <c r="K2581">
        <v>0</v>
      </c>
    </row>
    <row r="2582" spans="1:11" x14ac:dyDescent="0.2">
      <c r="A2582" t="s">
        <v>16</v>
      </c>
      <c r="B2582" t="s">
        <v>3514</v>
      </c>
      <c r="C2582">
        <v>165</v>
      </c>
      <c r="D2582" t="s">
        <v>7068</v>
      </c>
      <c r="E2582" t="s">
        <v>49</v>
      </c>
      <c r="F2582">
        <v>7</v>
      </c>
      <c r="G2582">
        <v>0.27542019899487286</v>
      </c>
      <c r="H2582" t="s">
        <v>89</v>
      </c>
      <c r="I2582">
        <v>0</v>
      </c>
      <c r="J2582">
        <v>0</v>
      </c>
      <c r="K2582">
        <v>0</v>
      </c>
    </row>
    <row r="2583" spans="1:11" x14ac:dyDescent="0.2">
      <c r="A2583" t="s">
        <v>16</v>
      </c>
      <c r="B2583" t="s">
        <v>3514</v>
      </c>
      <c r="C2583">
        <v>165</v>
      </c>
      <c r="D2583" t="s">
        <v>7073</v>
      </c>
      <c r="E2583" t="s">
        <v>49</v>
      </c>
      <c r="F2583">
        <v>7</v>
      </c>
      <c r="G2583">
        <v>0.27542019899487286</v>
      </c>
      <c r="H2583" t="s">
        <v>99</v>
      </c>
      <c r="I2583">
        <v>0</v>
      </c>
      <c r="J2583">
        <v>0</v>
      </c>
      <c r="K2583">
        <v>0</v>
      </c>
    </row>
    <row r="2584" spans="1:11" x14ac:dyDescent="0.2">
      <c r="A2584" t="s">
        <v>16</v>
      </c>
      <c r="B2584" t="s">
        <v>3514</v>
      </c>
      <c r="C2584">
        <v>55</v>
      </c>
      <c r="D2584" t="s">
        <v>7082</v>
      </c>
      <c r="E2584" t="s">
        <v>49</v>
      </c>
      <c r="F2584">
        <v>7</v>
      </c>
      <c r="G2584">
        <v>9.1806732998290952E-2</v>
      </c>
      <c r="H2584" t="s">
        <v>90</v>
      </c>
      <c r="I2584">
        <v>0</v>
      </c>
      <c r="J2584">
        <v>0</v>
      </c>
      <c r="K2584">
        <v>0</v>
      </c>
    </row>
    <row r="2585" spans="1:11" x14ac:dyDescent="0.2">
      <c r="A2585" t="s">
        <v>16</v>
      </c>
      <c r="B2585" t="s">
        <v>3514</v>
      </c>
      <c r="C2585">
        <v>165</v>
      </c>
      <c r="D2585" t="s">
        <v>7064</v>
      </c>
      <c r="E2585" t="s">
        <v>49</v>
      </c>
      <c r="F2585">
        <v>7</v>
      </c>
      <c r="G2585">
        <v>0.27542019899487286</v>
      </c>
      <c r="H2585" t="s">
        <v>104</v>
      </c>
      <c r="I2585">
        <v>0</v>
      </c>
      <c r="J2585">
        <v>0</v>
      </c>
      <c r="K2585">
        <v>0</v>
      </c>
    </row>
    <row r="2586" spans="1:11" x14ac:dyDescent="0.2">
      <c r="A2586" t="s">
        <v>16</v>
      </c>
      <c r="B2586" t="s">
        <v>3514</v>
      </c>
      <c r="C2586">
        <v>165</v>
      </c>
      <c r="D2586" t="s">
        <v>7053</v>
      </c>
      <c r="E2586" t="s">
        <v>49</v>
      </c>
      <c r="F2586">
        <v>7</v>
      </c>
      <c r="G2586">
        <v>0.27542019899487286</v>
      </c>
      <c r="H2586" t="s">
        <v>103</v>
      </c>
      <c r="I2586">
        <v>0</v>
      </c>
      <c r="J2586">
        <v>0</v>
      </c>
      <c r="K2586">
        <v>0</v>
      </c>
    </row>
    <row r="2587" spans="1:11" x14ac:dyDescent="0.2">
      <c r="A2587" t="s">
        <v>16</v>
      </c>
      <c r="B2587" t="s">
        <v>3514</v>
      </c>
      <c r="C2587">
        <v>165</v>
      </c>
      <c r="D2587" t="s">
        <v>7065</v>
      </c>
      <c r="E2587" t="s">
        <v>49</v>
      </c>
      <c r="F2587">
        <v>7</v>
      </c>
      <c r="G2587">
        <v>0.27542019899487286</v>
      </c>
      <c r="H2587" t="s">
        <v>90</v>
      </c>
      <c r="I2587">
        <v>0</v>
      </c>
      <c r="J2587">
        <v>0</v>
      </c>
      <c r="K2587">
        <v>0</v>
      </c>
    </row>
    <row r="2588" spans="1:11" x14ac:dyDescent="0.2">
      <c r="A2588" t="s">
        <v>16</v>
      </c>
      <c r="B2588" t="s">
        <v>3514</v>
      </c>
      <c r="C2588">
        <v>165</v>
      </c>
      <c r="D2588" t="s">
        <v>7077</v>
      </c>
      <c r="E2588" t="s">
        <v>49</v>
      </c>
      <c r="F2588">
        <v>7</v>
      </c>
      <c r="G2588">
        <v>0.27542019899487286</v>
      </c>
      <c r="H2588" t="s">
        <v>105</v>
      </c>
      <c r="I2588">
        <v>0</v>
      </c>
      <c r="J2588">
        <v>0</v>
      </c>
      <c r="K2588">
        <v>0</v>
      </c>
    </row>
    <row r="2589" spans="1:11" x14ac:dyDescent="0.2">
      <c r="A2589" t="s">
        <v>16</v>
      </c>
      <c r="B2589" t="s">
        <v>3514</v>
      </c>
      <c r="C2589">
        <v>165</v>
      </c>
      <c r="D2589" t="s">
        <v>7080</v>
      </c>
      <c r="E2589" t="s">
        <v>49</v>
      </c>
      <c r="F2589">
        <v>7</v>
      </c>
      <c r="G2589">
        <v>0.27542019899487286</v>
      </c>
      <c r="H2589" t="s">
        <v>87</v>
      </c>
      <c r="I2589">
        <v>0</v>
      </c>
      <c r="J2589">
        <v>0</v>
      </c>
      <c r="K2589">
        <v>0</v>
      </c>
    </row>
    <row r="2590" spans="1:11" x14ac:dyDescent="0.2">
      <c r="A2590" t="s">
        <v>16</v>
      </c>
      <c r="B2590" t="s">
        <v>3514</v>
      </c>
      <c r="C2590">
        <v>165</v>
      </c>
      <c r="D2590" t="s">
        <v>7078</v>
      </c>
      <c r="E2590" t="s">
        <v>49</v>
      </c>
      <c r="F2590">
        <v>7</v>
      </c>
      <c r="G2590">
        <v>0.27542019899487286</v>
      </c>
      <c r="H2590" t="s">
        <v>89</v>
      </c>
      <c r="I2590">
        <v>0</v>
      </c>
      <c r="J2590">
        <v>0</v>
      </c>
      <c r="K2590">
        <v>0</v>
      </c>
    </row>
    <row r="2591" spans="1:11" x14ac:dyDescent="0.2">
      <c r="A2591" t="s">
        <v>16</v>
      </c>
      <c r="B2591" t="s">
        <v>3514</v>
      </c>
      <c r="C2591">
        <v>110</v>
      </c>
      <c r="D2591" t="s">
        <v>7070</v>
      </c>
      <c r="E2591" t="s">
        <v>49</v>
      </c>
      <c r="F2591">
        <v>7</v>
      </c>
      <c r="G2591">
        <v>0.1836134659965819</v>
      </c>
      <c r="H2591" t="s">
        <v>99</v>
      </c>
      <c r="I2591">
        <v>0</v>
      </c>
      <c r="J2591">
        <v>0</v>
      </c>
      <c r="K2591">
        <v>0</v>
      </c>
    </row>
    <row r="2592" spans="1:11" x14ac:dyDescent="0.2">
      <c r="A2592" t="s">
        <v>16</v>
      </c>
      <c r="B2592" t="s">
        <v>3514</v>
      </c>
      <c r="C2592">
        <v>165</v>
      </c>
      <c r="D2592" t="s">
        <v>7076</v>
      </c>
      <c r="E2592" t="s">
        <v>49</v>
      </c>
      <c r="F2592">
        <v>7</v>
      </c>
      <c r="G2592">
        <v>0.27542019899487286</v>
      </c>
      <c r="H2592" t="s">
        <v>104</v>
      </c>
      <c r="I2592">
        <v>0</v>
      </c>
      <c r="J2592">
        <v>0</v>
      </c>
      <c r="K2592">
        <v>0</v>
      </c>
    </row>
    <row r="2593" spans="1:11" x14ac:dyDescent="0.2">
      <c r="A2593" t="s">
        <v>16</v>
      </c>
      <c r="B2593" t="s">
        <v>3514</v>
      </c>
      <c r="C2593">
        <v>165</v>
      </c>
      <c r="D2593" t="s">
        <v>7075</v>
      </c>
      <c r="E2593" t="s">
        <v>49</v>
      </c>
      <c r="F2593">
        <v>7</v>
      </c>
      <c r="G2593">
        <v>0.27542019899487286</v>
      </c>
      <c r="H2593" t="s">
        <v>103</v>
      </c>
      <c r="I2593">
        <v>0</v>
      </c>
      <c r="J2593">
        <v>0</v>
      </c>
      <c r="K2593">
        <v>0</v>
      </c>
    </row>
    <row r="2594" spans="1:11" x14ac:dyDescent="0.2">
      <c r="A2594" t="s">
        <v>16</v>
      </c>
      <c r="B2594" t="s">
        <v>3514</v>
      </c>
      <c r="C2594">
        <v>165</v>
      </c>
      <c r="D2594" t="s">
        <v>7081</v>
      </c>
      <c r="E2594" t="s">
        <v>49</v>
      </c>
      <c r="F2594">
        <v>7</v>
      </c>
      <c r="G2594">
        <v>0.27542019899487286</v>
      </c>
      <c r="H2594" t="s">
        <v>90</v>
      </c>
      <c r="I2594">
        <v>0</v>
      </c>
      <c r="J2594">
        <v>0</v>
      </c>
      <c r="K2594">
        <v>0</v>
      </c>
    </row>
    <row r="2595" spans="1:11" x14ac:dyDescent="0.2">
      <c r="A2595" t="s">
        <v>16</v>
      </c>
      <c r="B2595" t="s">
        <v>3514</v>
      </c>
      <c r="C2595">
        <v>165</v>
      </c>
      <c r="D2595" t="s">
        <v>7079</v>
      </c>
      <c r="E2595" t="s">
        <v>49</v>
      </c>
      <c r="F2595">
        <v>7</v>
      </c>
      <c r="G2595">
        <v>0.27542019899487286</v>
      </c>
      <c r="H2595" t="s">
        <v>99</v>
      </c>
      <c r="I2595">
        <v>0</v>
      </c>
      <c r="J2595">
        <v>0</v>
      </c>
      <c r="K2595">
        <v>0</v>
      </c>
    </row>
    <row r="2596" spans="1:11" x14ac:dyDescent="0.2">
      <c r="A2596" t="s">
        <v>16</v>
      </c>
      <c r="B2596" t="s">
        <v>3514</v>
      </c>
      <c r="C2596">
        <v>165</v>
      </c>
      <c r="D2596" t="s">
        <v>7074</v>
      </c>
      <c r="E2596" t="s">
        <v>49</v>
      </c>
      <c r="F2596">
        <v>7</v>
      </c>
      <c r="G2596">
        <v>0.27542019899487286</v>
      </c>
      <c r="H2596" t="s">
        <v>105</v>
      </c>
      <c r="I2596">
        <v>0</v>
      </c>
      <c r="J2596">
        <v>0</v>
      </c>
      <c r="K2596">
        <v>0</v>
      </c>
    </row>
    <row r="2597" spans="1:11" x14ac:dyDescent="0.2">
      <c r="A2597" t="s">
        <v>16</v>
      </c>
      <c r="B2597" t="s">
        <v>3514</v>
      </c>
      <c r="C2597">
        <v>165</v>
      </c>
      <c r="D2597" t="s">
        <v>7063</v>
      </c>
      <c r="E2597" t="s">
        <v>49</v>
      </c>
      <c r="F2597">
        <v>7</v>
      </c>
      <c r="G2597">
        <v>0.27542019899487286</v>
      </c>
      <c r="H2597" t="s">
        <v>87</v>
      </c>
      <c r="I2597">
        <v>0</v>
      </c>
      <c r="J2597">
        <v>0</v>
      </c>
      <c r="K2597">
        <v>0</v>
      </c>
    </row>
    <row r="2598" spans="1:11" x14ac:dyDescent="0.2">
      <c r="A2598" t="s">
        <v>16</v>
      </c>
      <c r="B2598" t="s">
        <v>3514</v>
      </c>
      <c r="C2598">
        <v>165</v>
      </c>
      <c r="D2598" t="s">
        <v>7055</v>
      </c>
      <c r="E2598" t="s">
        <v>49</v>
      </c>
      <c r="F2598">
        <v>7</v>
      </c>
      <c r="G2598">
        <v>0.27542019899487286</v>
      </c>
      <c r="H2598" t="s">
        <v>89</v>
      </c>
      <c r="I2598">
        <v>0</v>
      </c>
      <c r="J2598">
        <v>0</v>
      </c>
      <c r="K2598">
        <v>0</v>
      </c>
    </row>
    <row r="2599" spans="1:11" x14ac:dyDescent="0.2">
      <c r="A2599" t="s">
        <v>16</v>
      </c>
      <c r="B2599" t="s">
        <v>3514</v>
      </c>
      <c r="C2599">
        <v>165</v>
      </c>
      <c r="D2599" t="s">
        <v>7083</v>
      </c>
      <c r="E2599" t="s">
        <v>49</v>
      </c>
      <c r="F2599">
        <v>7</v>
      </c>
      <c r="G2599">
        <v>0.27542019899487286</v>
      </c>
      <c r="H2599" t="s">
        <v>104</v>
      </c>
      <c r="I2599">
        <v>0</v>
      </c>
      <c r="J2599">
        <v>0</v>
      </c>
      <c r="K2599">
        <v>0</v>
      </c>
    </row>
    <row r="2600" spans="1:11" x14ac:dyDescent="0.2">
      <c r="A2600" t="s">
        <v>16</v>
      </c>
      <c r="B2600" t="s">
        <v>3514</v>
      </c>
      <c r="C2600">
        <v>165</v>
      </c>
      <c r="D2600" t="s">
        <v>7059</v>
      </c>
      <c r="E2600" t="s">
        <v>49</v>
      </c>
      <c r="F2600">
        <v>7</v>
      </c>
      <c r="G2600">
        <v>0.27542019899487286</v>
      </c>
      <c r="H2600" t="s">
        <v>103</v>
      </c>
      <c r="I2600">
        <v>0</v>
      </c>
      <c r="J2600">
        <v>0</v>
      </c>
      <c r="K2600">
        <v>0</v>
      </c>
    </row>
    <row r="2601" spans="1:11" x14ac:dyDescent="0.2">
      <c r="A2601" t="s">
        <v>16</v>
      </c>
      <c r="B2601" t="s">
        <v>3514</v>
      </c>
      <c r="C2601">
        <v>165</v>
      </c>
      <c r="D2601" t="s">
        <v>7058</v>
      </c>
      <c r="E2601" t="s">
        <v>49</v>
      </c>
      <c r="F2601">
        <v>7</v>
      </c>
      <c r="G2601">
        <v>0.27542019899487286</v>
      </c>
      <c r="H2601" t="s">
        <v>90</v>
      </c>
      <c r="I2601">
        <v>0</v>
      </c>
      <c r="J2601">
        <v>0</v>
      </c>
      <c r="K2601">
        <v>0</v>
      </c>
    </row>
    <row r="2602" spans="1:11" x14ac:dyDescent="0.2">
      <c r="A2602" t="s">
        <v>16</v>
      </c>
      <c r="B2602" t="s">
        <v>3514</v>
      </c>
      <c r="C2602">
        <v>165</v>
      </c>
      <c r="D2602" t="s">
        <v>7060</v>
      </c>
      <c r="E2602" t="s">
        <v>49</v>
      </c>
      <c r="F2602">
        <v>7</v>
      </c>
      <c r="G2602">
        <v>0.27542019899487286</v>
      </c>
      <c r="H2602" t="s">
        <v>99</v>
      </c>
      <c r="I2602">
        <v>0</v>
      </c>
      <c r="J2602">
        <v>0</v>
      </c>
      <c r="K2602">
        <v>0</v>
      </c>
    </row>
    <row r="2603" spans="1:11" x14ac:dyDescent="0.2">
      <c r="A2603" t="s">
        <v>16</v>
      </c>
      <c r="B2603" t="s">
        <v>3514</v>
      </c>
      <c r="C2603">
        <v>165</v>
      </c>
      <c r="D2603" t="s">
        <v>7061</v>
      </c>
      <c r="E2603" t="s">
        <v>49</v>
      </c>
      <c r="F2603">
        <v>7</v>
      </c>
      <c r="G2603">
        <v>0.27542019899487286</v>
      </c>
      <c r="H2603" t="s">
        <v>105</v>
      </c>
      <c r="I2603">
        <v>0</v>
      </c>
      <c r="J2603">
        <v>0</v>
      </c>
      <c r="K2603">
        <v>0</v>
      </c>
    </row>
    <row r="2604" spans="1:11" x14ac:dyDescent="0.2">
      <c r="A2604" t="s">
        <v>16</v>
      </c>
      <c r="B2604" t="s">
        <v>458</v>
      </c>
      <c r="C2604">
        <v>210</v>
      </c>
      <c r="D2604" t="s">
        <v>7086</v>
      </c>
      <c r="E2604" t="s">
        <v>49</v>
      </c>
      <c r="F2604">
        <v>6</v>
      </c>
      <c r="G2604">
        <v>0.57943439806208097</v>
      </c>
      <c r="H2604" t="s">
        <v>88</v>
      </c>
      <c r="I2604">
        <v>0</v>
      </c>
      <c r="J2604">
        <v>0</v>
      </c>
      <c r="K2604">
        <v>0</v>
      </c>
    </row>
    <row r="2605" spans="1:11" x14ac:dyDescent="0.2">
      <c r="A2605" t="s">
        <v>16</v>
      </c>
      <c r="B2605" t="s">
        <v>458</v>
      </c>
      <c r="C2605">
        <v>210</v>
      </c>
      <c r="D2605" t="s">
        <v>7085</v>
      </c>
      <c r="E2605" t="s">
        <v>49</v>
      </c>
      <c r="F2605">
        <v>6</v>
      </c>
      <c r="G2605">
        <v>0.57943439806208097</v>
      </c>
      <c r="H2605" t="s">
        <v>84</v>
      </c>
      <c r="I2605">
        <v>0</v>
      </c>
      <c r="J2605">
        <v>0</v>
      </c>
      <c r="K2605">
        <v>0</v>
      </c>
    </row>
    <row r="2606" spans="1:11" x14ac:dyDescent="0.2">
      <c r="A2606" t="s">
        <v>16</v>
      </c>
      <c r="B2606" t="s">
        <v>458</v>
      </c>
      <c r="C2606">
        <v>140</v>
      </c>
      <c r="D2606" t="s">
        <v>7084</v>
      </c>
      <c r="E2606" t="s">
        <v>49</v>
      </c>
      <c r="F2606">
        <v>6</v>
      </c>
      <c r="G2606">
        <v>0.38628959870805396</v>
      </c>
      <c r="H2606" t="s">
        <v>91</v>
      </c>
      <c r="I2606">
        <v>0</v>
      </c>
      <c r="J2606">
        <v>0</v>
      </c>
      <c r="K2606">
        <v>0</v>
      </c>
    </row>
    <row r="2607" spans="1:11" x14ac:dyDescent="0.2">
      <c r="A2607" t="s">
        <v>16</v>
      </c>
      <c r="B2607" t="s">
        <v>888</v>
      </c>
      <c r="C2607">
        <v>150</v>
      </c>
      <c r="D2607" t="s">
        <v>7129</v>
      </c>
      <c r="E2607" t="s">
        <v>49</v>
      </c>
      <c r="F2607">
        <v>1</v>
      </c>
      <c r="G2607">
        <v>0.15908897550808279</v>
      </c>
      <c r="H2607" t="s">
        <v>95</v>
      </c>
      <c r="I2607">
        <v>0</v>
      </c>
      <c r="J2607">
        <v>0</v>
      </c>
      <c r="K2607">
        <v>0</v>
      </c>
    </row>
    <row r="2608" spans="1:11" x14ac:dyDescent="0.2">
      <c r="A2608" t="s">
        <v>16</v>
      </c>
      <c r="B2608" t="s">
        <v>888</v>
      </c>
      <c r="C2608">
        <v>150</v>
      </c>
      <c r="D2608" t="s">
        <v>7130</v>
      </c>
      <c r="E2608" t="s">
        <v>49</v>
      </c>
      <c r="F2608">
        <v>1</v>
      </c>
      <c r="G2608">
        <v>0.15908897550808279</v>
      </c>
      <c r="H2608" t="s">
        <v>95</v>
      </c>
      <c r="I2608">
        <v>0</v>
      </c>
      <c r="J2608">
        <v>0</v>
      </c>
      <c r="K2608">
        <v>0</v>
      </c>
    </row>
    <row r="2609" spans="1:11" x14ac:dyDescent="0.2">
      <c r="A2609" t="s">
        <v>16</v>
      </c>
      <c r="B2609" t="s">
        <v>888</v>
      </c>
      <c r="C2609">
        <v>150</v>
      </c>
      <c r="D2609" t="s">
        <v>7139</v>
      </c>
      <c r="E2609" t="s">
        <v>49</v>
      </c>
      <c r="F2609">
        <v>1</v>
      </c>
      <c r="G2609">
        <v>0.15908897550808279</v>
      </c>
      <c r="H2609" t="s">
        <v>95</v>
      </c>
      <c r="I2609">
        <v>0</v>
      </c>
      <c r="J2609">
        <v>0</v>
      </c>
      <c r="K2609">
        <v>0</v>
      </c>
    </row>
    <row r="2610" spans="1:11" x14ac:dyDescent="0.2">
      <c r="A2610" t="s">
        <v>16</v>
      </c>
      <c r="B2610" t="s">
        <v>888</v>
      </c>
      <c r="C2610">
        <v>150</v>
      </c>
      <c r="D2610" t="s">
        <v>7148</v>
      </c>
      <c r="E2610" t="s">
        <v>49</v>
      </c>
      <c r="F2610">
        <v>1</v>
      </c>
      <c r="G2610">
        <v>0.15908897550808279</v>
      </c>
      <c r="H2610" t="s">
        <v>95</v>
      </c>
      <c r="I2610">
        <v>0</v>
      </c>
      <c r="J2610">
        <v>0</v>
      </c>
      <c r="K2610">
        <v>0</v>
      </c>
    </row>
    <row r="2611" spans="1:11" x14ac:dyDescent="0.2">
      <c r="A2611" t="s">
        <v>16</v>
      </c>
      <c r="B2611" t="s">
        <v>888</v>
      </c>
      <c r="C2611">
        <v>150</v>
      </c>
      <c r="D2611" t="s">
        <v>7104</v>
      </c>
      <c r="E2611" t="s">
        <v>49</v>
      </c>
      <c r="F2611">
        <v>1</v>
      </c>
      <c r="G2611">
        <v>0.15908897550808279</v>
      </c>
      <c r="H2611" t="s">
        <v>95</v>
      </c>
      <c r="I2611">
        <v>0</v>
      </c>
      <c r="J2611">
        <v>0</v>
      </c>
      <c r="K2611">
        <v>0</v>
      </c>
    </row>
    <row r="2612" spans="1:11" x14ac:dyDescent="0.2">
      <c r="A2612" t="s">
        <v>16</v>
      </c>
      <c r="B2612" t="s">
        <v>888</v>
      </c>
      <c r="C2612">
        <v>150</v>
      </c>
      <c r="D2612" t="s">
        <v>7088</v>
      </c>
      <c r="E2612" t="s">
        <v>49</v>
      </c>
      <c r="F2612">
        <v>1</v>
      </c>
      <c r="G2612">
        <v>0.15908897550808279</v>
      </c>
      <c r="H2612" t="s">
        <v>95</v>
      </c>
      <c r="I2612">
        <v>0</v>
      </c>
      <c r="J2612">
        <v>0</v>
      </c>
      <c r="K2612">
        <v>0</v>
      </c>
    </row>
    <row r="2613" spans="1:11" x14ac:dyDescent="0.2">
      <c r="A2613" t="s">
        <v>16</v>
      </c>
      <c r="B2613" t="s">
        <v>888</v>
      </c>
      <c r="C2613">
        <v>150</v>
      </c>
      <c r="D2613" t="s">
        <v>7161</v>
      </c>
      <c r="E2613" t="s">
        <v>49</v>
      </c>
      <c r="F2613">
        <v>1</v>
      </c>
      <c r="G2613">
        <v>0.15908897550808279</v>
      </c>
      <c r="H2613" t="s">
        <v>95</v>
      </c>
      <c r="I2613">
        <v>0</v>
      </c>
      <c r="J2613">
        <v>0</v>
      </c>
      <c r="K2613">
        <v>0</v>
      </c>
    </row>
    <row r="2614" spans="1:11" x14ac:dyDescent="0.2">
      <c r="A2614" t="s">
        <v>16</v>
      </c>
      <c r="B2614" t="s">
        <v>888</v>
      </c>
      <c r="C2614">
        <v>150</v>
      </c>
      <c r="D2614" t="s">
        <v>7157</v>
      </c>
      <c r="E2614" t="s">
        <v>49</v>
      </c>
      <c r="F2614">
        <v>1</v>
      </c>
      <c r="G2614">
        <v>0.15908897550808279</v>
      </c>
      <c r="H2614" t="s">
        <v>95</v>
      </c>
      <c r="I2614">
        <v>0</v>
      </c>
      <c r="J2614">
        <v>0</v>
      </c>
      <c r="K2614">
        <v>0</v>
      </c>
    </row>
    <row r="2615" spans="1:11" x14ac:dyDescent="0.2">
      <c r="A2615" t="s">
        <v>16</v>
      </c>
      <c r="B2615" t="s">
        <v>888</v>
      </c>
      <c r="C2615">
        <v>150</v>
      </c>
      <c r="D2615" t="s">
        <v>7124</v>
      </c>
      <c r="E2615" t="s">
        <v>49</v>
      </c>
      <c r="F2615">
        <v>1</v>
      </c>
      <c r="G2615">
        <v>0.15908897550808279</v>
      </c>
      <c r="H2615" t="s">
        <v>95</v>
      </c>
      <c r="I2615">
        <v>0</v>
      </c>
      <c r="J2615">
        <v>0</v>
      </c>
      <c r="K2615">
        <v>0</v>
      </c>
    </row>
    <row r="2616" spans="1:11" x14ac:dyDescent="0.2">
      <c r="A2616" t="s">
        <v>16</v>
      </c>
      <c r="B2616" t="s">
        <v>888</v>
      </c>
      <c r="C2616">
        <v>150</v>
      </c>
      <c r="D2616" t="s">
        <v>7098</v>
      </c>
      <c r="E2616" t="s">
        <v>49</v>
      </c>
      <c r="F2616">
        <v>1</v>
      </c>
      <c r="G2616">
        <v>0.15908897550808279</v>
      </c>
      <c r="H2616" t="s">
        <v>95</v>
      </c>
      <c r="I2616">
        <v>0</v>
      </c>
      <c r="J2616">
        <v>0</v>
      </c>
      <c r="K2616">
        <v>0</v>
      </c>
    </row>
    <row r="2617" spans="1:11" x14ac:dyDescent="0.2">
      <c r="A2617" t="s">
        <v>16</v>
      </c>
      <c r="B2617" t="s">
        <v>888</v>
      </c>
      <c r="C2617">
        <v>150</v>
      </c>
      <c r="D2617" t="s">
        <v>7164</v>
      </c>
      <c r="E2617" t="s">
        <v>49</v>
      </c>
      <c r="F2617">
        <v>1</v>
      </c>
      <c r="G2617">
        <v>0.15908897550808279</v>
      </c>
      <c r="H2617" t="s">
        <v>95</v>
      </c>
      <c r="I2617">
        <v>0</v>
      </c>
      <c r="J2617">
        <v>0</v>
      </c>
      <c r="K2617">
        <v>0</v>
      </c>
    </row>
    <row r="2618" spans="1:11" x14ac:dyDescent="0.2">
      <c r="A2618" t="s">
        <v>16</v>
      </c>
      <c r="B2618" t="s">
        <v>888</v>
      </c>
      <c r="C2618">
        <v>150</v>
      </c>
      <c r="D2618" t="s">
        <v>7115</v>
      </c>
      <c r="E2618" t="s">
        <v>49</v>
      </c>
      <c r="F2618">
        <v>1</v>
      </c>
      <c r="G2618">
        <v>0.15908897550808279</v>
      </c>
      <c r="H2618" t="s">
        <v>95</v>
      </c>
      <c r="I2618">
        <v>0</v>
      </c>
      <c r="J2618">
        <v>0</v>
      </c>
      <c r="K2618">
        <v>0</v>
      </c>
    </row>
    <row r="2619" spans="1:11" x14ac:dyDescent="0.2">
      <c r="A2619" t="s">
        <v>16</v>
      </c>
      <c r="B2619" t="s">
        <v>888</v>
      </c>
      <c r="C2619">
        <v>150</v>
      </c>
      <c r="D2619" t="s">
        <v>7102</v>
      </c>
      <c r="E2619" t="s">
        <v>49</v>
      </c>
      <c r="F2619">
        <v>1</v>
      </c>
      <c r="G2619">
        <v>0.15908897550808279</v>
      </c>
      <c r="H2619" t="s">
        <v>95</v>
      </c>
      <c r="I2619">
        <v>0</v>
      </c>
      <c r="J2619">
        <v>0</v>
      </c>
      <c r="K2619">
        <v>0</v>
      </c>
    </row>
    <row r="2620" spans="1:11" x14ac:dyDescent="0.2">
      <c r="A2620" t="s">
        <v>16</v>
      </c>
      <c r="B2620" t="s">
        <v>888</v>
      </c>
      <c r="C2620">
        <v>150</v>
      </c>
      <c r="D2620" t="s">
        <v>7112</v>
      </c>
      <c r="E2620" t="s">
        <v>49</v>
      </c>
      <c r="F2620">
        <v>1</v>
      </c>
      <c r="G2620">
        <v>0.15908897550808279</v>
      </c>
      <c r="H2620" t="s">
        <v>95</v>
      </c>
      <c r="I2620">
        <v>0</v>
      </c>
      <c r="J2620">
        <v>0</v>
      </c>
      <c r="K2620">
        <v>0</v>
      </c>
    </row>
    <row r="2621" spans="1:11" x14ac:dyDescent="0.2">
      <c r="A2621" t="s">
        <v>16</v>
      </c>
      <c r="B2621" t="s">
        <v>888</v>
      </c>
      <c r="C2621">
        <v>150</v>
      </c>
      <c r="D2621" t="s">
        <v>7094</v>
      </c>
      <c r="E2621" t="s">
        <v>49</v>
      </c>
      <c r="F2621">
        <v>1</v>
      </c>
      <c r="G2621">
        <v>0.15908897550808279</v>
      </c>
      <c r="H2621" t="s">
        <v>95</v>
      </c>
      <c r="I2621">
        <v>0</v>
      </c>
      <c r="J2621">
        <v>0</v>
      </c>
      <c r="K2621">
        <v>0</v>
      </c>
    </row>
    <row r="2622" spans="1:11" x14ac:dyDescent="0.2">
      <c r="A2622" t="s">
        <v>16</v>
      </c>
      <c r="B2622" t="s">
        <v>888</v>
      </c>
      <c r="C2622">
        <v>150</v>
      </c>
      <c r="D2622" t="s">
        <v>7111</v>
      </c>
      <c r="E2622" t="s">
        <v>49</v>
      </c>
      <c r="F2622">
        <v>1</v>
      </c>
      <c r="G2622">
        <v>0.15908897550808279</v>
      </c>
      <c r="H2622" t="s">
        <v>95</v>
      </c>
      <c r="I2622">
        <v>0</v>
      </c>
      <c r="J2622">
        <v>0</v>
      </c>
      <c r="K2622">
        <v>0</v>
      </c>
    </row>
    <row r="2623" spans="1:11" x14ac:dyDescent="0.2">
      <c r="A2623" t="s">
        <v>16</v>
      </c>
      <c r="B2623" t="s">
        <v>888</v>
      </c>
      <c r="C2623">
        <v>150</v>
      </c>
      <c r="D2623" t="s">
        <v>7107</v>
      </c>
      <c r="E2623" t="s">
        <v>49</v>
      </c>
      <c r="F2623">
        <v>1</v>
      </c>
      <c r="G2623">
        <v>0.15908897550808279</v>
      </c>
      <c r="H2623" t="s">
        <v>95</v>
      </c>
      <c r="I2623">
        <v>0</v>
      </c>
      <c r="J2623">
        <v>0</v>
      </c>
      <c r="K2623">
        <v>0</v>
      </c>
    </row>
    <row r="2624" spans="1:11" x14ac:dyDescent="0.2">
      <c r="A2624" t="s">
        <v>16</v>
      </c>
      <c r="B2624" t="s">
        <v>888</v>
      </c>
      <c r="C2624">
        <v>150</v>
      </c>
      <c r="D2624" t="s">
        <v>7132</v>
      </c>
      <c r="E2624" t="s">
        <v>49</v>
      </c>
      <c r="F2624">
        <v>1</v>
      </c>
      <c r="G2624">
        <v>0.15908897550808279</v>
      </c>
      <c r="H2624" t="s">
        <v>95</v>
      </c>
      <c r="I2624">
        <v>0</v>
      </c>
      <c r="J2624">
        <v>0</v>
      </c>
      <c r="K2624">
        <v>0</v>
      </c>
    </row>
    <row r="2625" spans="1:11" x14ac:dyDescent="0.2">
      <c r="A2625" t="s">
        <v>16</v>
      </c>
      <c r="B2625" t="s">
        <v>888</v>
      </c>
      <c r="C2625">
        <v>150</v>
      </c>
      <c r="D2625" t="s">
        <v>7138</v>
      </c>
      <c r="E2625" t="s">
        <v>49</v>
      </c>
      <c r="F2625">
        <v>1</v>
      </c>
      <c r="G2625">
        <v>0.15908897550808279</v>
      </c>
      <c r="H2625" t="s">
        <v>95</v>
      </c>
      <c r="I2625">
        <v>0</v>
      </c>
      <c r="J2625">
        <v>0</v>
      </c>
      <c r="K2625">
        <v>0</v>
      </c>
    </row>
    <row r="2626" spans="1:11" x14ac:dyDescent="0.2">
      <c r="A2626" t="s">
        <v>16</v>
      </c>
      <c r="B2626" t="s">
        <v>888</v>
      </c>
      <c r="C2626">
        <v>150</v>
      </c>
      <c r="D2626" t="s">
        <v>7127</v>
      </c>
      <c r="E2626" t="s">
        <v>49</v>
      </c>
      <c r="F2626">
        <v>1</v>
      </c>
      <c r="G2626">
        <v>0.15908897550808279</v>
      </c>
      <c r="H2626" t="s">
        <v>95</v>
      </c>
      <c r="I2626">
        <v>0</v>
      </c>
      <c r="J2626">
        <v>0</v>
      </c>
      <c r="K2626">
        <v>0</v>
      </c>
    </row>
    <row r="2627" spans="1:11" x14ac:dyDescent="0.2">
      <c r="A2627" t="s">
        <v>16</v>
      </c>
      <c r="B2627" t="s">
        <v>888</v>
      </c>
      <c r="C2627">
        <v>150</v>
      </c>
      <c r="D2627" t="s">
        <v>7125</v>
      </c>
      <c r="E2627" t="s">
        <v>49</v>
      </c>
      <c r="F2627">
        <v>1</v>
      </c>
      <c r="G2627">
        <v>0.15908897550808279</v>
      </c>
      <c r="H2627" t="s">
        <v>95</v>
      </c>
      <c r="I2627">
        <v>0</v>
      </c>
      <c r="J2627">
        <v>0</v>
      </c>
      <c r="K2627">
        <v>0</v>
      </c>
    </row>
    <row r="2628" spans="1:11" x14ac:dyDescent="0.2">
      <c r="A2628" t="s">
        <v>16</v>
      </c>
      <c r="B2628" t="s">
        <v>888</v>
      </c>
      <c r="C2628">
        <v>150</v>
      </c>
      <c r="D2628" t="s">
        <v>7126</v>
      </c>
      <c r="E2628" t="s">
        <v>49</v>
      </c>
      <c r="F2628">
        <v>1</v>
      </c>
      <c r="G2628">
        <v>0.15908897550808279</v>
      </c>
      <c r="H2628" t="s">
        <v>95</v>
      </c>
      <c r="I2628">
        <v>0</v>
      </c>
      <c r="J2628">
        <v>0</v>
      </c>
      <c r="K2628">
        <v>0</v>
      </c>
    </row>
    <row r="2629" spans="1:11" x14ac:dyDescent="0.2">
      <c r="A2629" t="s">
        <v>16</v>
      </c>
      <c r="B2629" t="s">
        <v>888</v>
      </c>
      <c r="C2629">
        <v>150</v>
      </c>
      <c r="D2629" t="s">
        <v>7155</v>
      </c>
      <c r="E2629" t="s">
        <v>49</v>
      </c>
      <c r="F2629">
        <v>1</v>
      </c>
      <c r="G2629">
        <v>0.15908897550808279</v>
      </c>
      <c r="H2629" t="s">
        <v>95</v>
      </c>
      <c r="I2629">
        <v>0</v>
      </c>
      <c r="J2629">
        <v>0</v>
      </c>
      <c r="K2629">
        <v>0</v>
      </c>
    </row>
    <row r="2630" spans="1:11" x14ac:dyDescent="0.2">
      <c r="A2630" t="s">
        <v>16</v>
      </c>
      <c r="B2630" t="s">
        <v>888</v>
      </c>
      <c r="C2630">
        <v>150</v>
      </c>
      <c r="D2630" t="s">
        <v>7119</v>
      </c>
      <c r="E2630" t="s">
        <v>49</v>
      </c>
      <c r="F2630">
        <v>1</v>
      </c>
      <c r="G2630">
        <v>0.15908897550808279</v>
      </c>
      <c r="H2630" t="s">
        <v>95</v>
      </c>
      <c r="I2630">
        <v>0</v>
      </c>
      <c r="J2630">
        <v>0</v>
      </c>
      <c r="K2630">
        <v>0</v>
      </c>
    </row>
    <row r="2631" spans="1:11" x14ac:dyDescent="0.2">
      <c r="A2631" t="s">
        <v>16</v>
      </c>
      <c r="B2631" t="s">
        <v>888</v>
      </c>
      <c r="C2631">
        <v>150</v>
      </c>
      <c r="D2631" t="s">
        <v>7100</v>
      </c>
      <c r="E2631" t="s">
        <v>49</v>
      </c>
      <c r="F2631">
        <v>1</v>
      </c>
      <c r="G2631">
        <v>0.15908897550808279</v>
      </c>
      <c r="H2631" t="s">
        <v>95</v>
      </c>
      <c r="I2631">
        <v>0</v>
      </c>
      <c r="J2631">
        <v>0</v>
      </c>
      <c r="K2631">
        <v>0</v>
      </c>
    </row>
    <row r="2632" spans="1:11" x14ac:dyDescent="0.2">
      <c r="A2632" t="s">
        <v>16</v>
      </c>
      <c r="B2632" t="s">
        <v>888</v>
      </c>
      <c r="C2632">
        <v>150</v>
      </c>
      <c r="D2632" t="s">
        <v>7103</v>
      </c>
      <c r="E2632" t="s">
        <v>49</v>
      </c>
      <c r="F2632">
        <v>1</v>
      </c>
      <c r="G2632">
        <v>0.15908897550808279</v>
      </c>
      <c r="H2632" t="s">
        <v>95</v>
      </c>
      <c r="I2632">
        <v>0</v>
      </c>
      <c r="J2632">
        <v>0</v>
      </c>
      <c r="K2632">
        <v>0</v>
      </c>
    </row>
    <row r="2633" spans="1:11" x14ac:dyDescent="0.2">
      <c r="A2633" t="s">
        <v>16</v>
      </c>
      <c r="B2633" t="s">
        <v>888</v>
      </c>
      <c r="C2633">
        <v>150</v>
      </c>
      <c r="D2633" t="s">
        <v>7114</v>
      </c>
      <c r="E2633" t="s">
        <v>49</v>
      </c>
      <c r="F2633">
        <v>1</v>
      </c>
      <c r="G2633">
        <v>0.15908897550808279</v>
      </c>
      <c r="H2633" t="s">
        <v>95</v>
      </c>
      <c r="I2633">
        <v>0</v>
      </c>
      <c r="J2633">
        <v>0</v>
      </c>
      <c r="K2633">
        <v>0</v>
      </c>
    </row>
    <row r="2634" spans="1:11" x14ac:dyDescent="0.2">
      <c r="A2634" t="s">
        <v>16</v>
      </c>
      <c r="B2634" t="s">
        <v>888</v>
      </c>
      <c r="C2634">
        <v>150</v>
      </c>
      <c r="D2634" t="s">
        <v>7134</v>
      </c>
      <c r="E2634" t="s">
        <v>49</v>
      </c>
      <c r="F2634">
        <v>1</v>
      </c>
      <c r="G2634">
        <v>0.15908897550808279</v>
      </c>
      <c r="H2634" t="s">
        <v>95</v>
      </c>
      <c r="I2634">
        <v>0</v>
      </c>
      <c r="J2634">
        <v>0</v>
      </c>
      <c r="K2634">
        <v>0</v>
      </c>
    </row>
    <row r="2635" spans="1:11" x14ac:dyDescent="0.2">
      <c r="A2635" t="s">
        <v>16</v>
      </c>
      <c r="B2635" t="s">
        <v>888</v>
      </c>
      <c r="C2635">
        <v>150</v>
      </c>
      <c r="D2635" t="s">
        <v>7173</v>
      </c>
      <c r="E2635" t="s">
        <v>49</v>
      </c>
      <c r="F2635">
        <v>1</v>
      </c>
      <c r="G2635">
        <v>0.15908897550808279</v>
      </c>
      <c r="H2635" t="s">
        <v>95</v>
      </c>
      <c r="I2635">
        <v>0</v>
      </c>
      <c r="J2635">
        <v>0</v>
      </c>
      <c r="K2635">
        <v>0</v>
      </c>
    </row>
    <row r="2636" spans="1:11" x14ac:dyDescent="0.2">
      <c r="A2636" t="s">
        <v>16</v>
      </c>
      <c r="B2636" t="s">
        <v>888</v>
      </c>
      <c r="C2636">
        <v>150</v>
      </c>
      <c r="D2636" t="s">
        <v>7162</v>
      </c>
      <c r="E2636" t="s">
        <v>49</v>
      </c>
      <c r="F2636">
        <v>1</v>
      </c>
      <c r="G2636">
        <v>0.15908897550808279</v>
      </c>
      <c r="H2636" t="s">
        <v>95</v>
      </c>
      <c r="I2636">
        <v>0</v>
      </c>
      <c r="J2636">
        <v>0</v>
      </c>
      <c r="K2636">
        <v>0</v>
      </c>
    </row>
    <row r="2637" spans="1:11" x14ac:dyDescent="0.2">
      <c r="A2637" t="s">
        <v>16</v>
      </c>
      <c r="B2637" t="s">
        <v>888</v>
      </c>
      <c r="C2637">
        <v>150</v>
      </c>
      <c r="D2637" t="s">
        <v>7087</v>
      </c>
      <c r="E2637" t="s">
        <v>49</v>
      </c>
      <c r="F2637">
        <v>1</v>
      </c>
      <c r="G2637">
        <v>0.15908897550808279</v>
      </c>
      <c r="H2637" t="s">
        <v>95</v>
      </c>
      <c r="I2637">
        <v>0</v>
      </c>
      <c r="J2637">
        <v>0</v>
      </c>
      <c r="K2637">
        <v>0</v>
      </c>
    </row>
    <row r="2638" spans="1:11" x14ac:dyDescent="0.2">
      <c r="A2638" t="s">
        <v>16</v>
      </c>
      <c r="B2638" t="s">
        <v>888</v>
      </c>
      <c r="C2638">
        <v>150</v>
      </c>
      <c r="D2638" t="s">
        <v>7089</v>
      </c>
      <c r="E2638" t="s">
        <v>49</v>
      </c>
      <c r="F2638">
        <v>1</v>
      </c>
      <c r="G2638">
        <v>0.15908897550808279</v>
      </c>
      <c r="H2638" t="s">
        <v>95</v>
      </c>
      <c r="I2638">
        <v>0</v>
      </c>
      <c r="J2638">
        <v>0</v>
      </c>
      <c r="K2638">
        <v>0</v>
      </c>
    </row>
    <row r="2639" spans="1:11" x14ac:dyDescent="0.2">
      <c r="A2639" t="s">
        <v>16</v>
      </c>
      <c r="B2639" t="s">
        <v>888</v>
      </c>
      <c r="C2639">
        <v>150</v>
      </c>
      <c r="D2639" t="s">
        <v>7113</v>
      </c>
      <c r="E2639" t="s">
        <v>49</v>
      </c>
      <c r="F2639">
        <v>1</v>
      </c>
      <c r="G2639">
        <v>0.15908897550808279</v>
      </c>
      <c r="H2639" t="s">
        <v>95</v>
      </c>
      <c r="I2639">
        <v>0</v>
      </c>
      <c r="J2639">
        <v>0</v>
      </c>
      <c r="K2639">
        <v>0</v>
      </c>
    </row>
    <row r="2640" spans="1:11" x14ac:dyDescent="0.2">
      <c r="A2640" t="s">
        <v>16</v>
      </c>
      <c r="B2640" t="s">
        <v>888</v>
      </c>
      <c r="C2640">
        <v>150</v>
      </c>
      <c r="D2640" t="s">
        <v>7151</v>
      </c>
      <c r="E2640" t="s">
        <v>49</v>
      </c>
      <c r="F2640">
        <v>1</v>
      </c>
      <c r="G2640">
        <v>0.15908897550808279</v>
      </c>
      <c r="H2640" t="s">
        <v>95</v>
      </c>
      <c r="I2640">
        <v>0</v>
      </c>
      <c r="J2640">
        <v>0</v>
      </c>
      <c r="K2640">
        <v>0</v>
      </c>
    </row>
    <row r="2641" spans="1:11" x14ac:dyDescent="0.2">
      <c r="A2641" t="s">
        <v>16</v>
      </c>
      <c r="B2641" t="s">
        <v>888</v>
      </c>
      <c r="C2641">
        <v>150</v>
      </c>
      <c r="D2641" t="s">
        <v>7099</v>
      </c>
      <c r="E2641" t="s">
        <v>49</v>
      </c>
      <c r="F2641">
        <v>1</v>
      </c>
      <c r="G2641">
        <v>0.15908897550808279</v>
      </c>
      <c r="H2641" t="s">
        <v>95</v>
      </c>
      <c r="I2641">
        <v>0</v>
      </c>
      <c r="J2641">
        <v>0</v>
      </c>
      <c r="K2641">
        <v>0</v>
      </c>
    </row>
    <row r="2642" spans="1:11" x14ac:dyDescent="0.2">
      <c r="A2642" t="s">
        <v>16</v>
      </c>
      <c r="B2642" t="s">
        <v>888</v>
      </c>
      <c r="C2642">
        <v>150</v>
      </c>
      <c r="D2642" t="s">
        <v>7091</v>
      </c>
      <c r="E2642" t="s">
        <v>49</v>
      </c>
      <c r="F2642">
        <v>1</v>
      </c>
      <c r="G2642">
        <v>0.15908897550808279</v>
      </c>
      <c r="H2642" t="s">
        <v>95</v>
      </c>
      <c r="I2642">
        <v>0</v>
      </c>
      <c r="J2642">
        <v>0</v>
      </c>
      <c r="K2642">
        <v>0</v>
      </c>
    </row>
    <row r="2643" spans="1:11" x14ac:dyDescent="0.2">
      <c r="A2643" t="s">
        <v>16</v>
      </c>
      <c r="B2643" t="s">
        <v>888</v>
      </c>
      <c r="C2643">
        <v>150</v>
      </c>
      <c r="D2643" t="s">
        <v>7149</v>
      </c>
      <c r="E2643" t="s">
        <v>49</v>
      </c>
      <c r="F2643">
        <v>1</v>
      </c>
      <c r="G2643">
        <v>0.15908897550808279</v>
      </c>
      <c r="H2643" t="s">
        <v>95</v>
      </c>
      <c r="I2643">
        <v>0</v>
      </c>
      <c r="J2643">
        <v>0</v>
      </c>
      <c r="K2643">
        <v>0</v>
      </c>
    </row>
    <row r="2644" spans="1:11" x14ac:dyDescent="0.2">
      <c r="A2644" t="s">
        <v>16</v>
      </c>
      <c r="B2644" t="s">
        <v>888</v>
      </c>
      <c r="C2644">
        <v>150</v>
      </c>
      <c r="D2644" t="s">
        <v>7158</v>
      </c>
      <c r="E2644" t="s">
        <v>49</v>
      </c>
      <c r="F2644">
        <v>1</v>
      </c>
      <c r="G2644">
        <v>0.15908897550808279</v>
      </c>
      <c r="H2644" t="s">
        <v>95</v>
      </c>
      <c r="I2644">
        <v>0</v>
      </c>
      <c r="J2644">
        <v>0</v>
      </c>
      <c r="K2644">
        <v>0</v>
      </c>
    </row>
    <row r="2645" spans="1:11" x14ac:dyDescent="0.2">
      <c r="A2645" t="s">
        <v>16</v>
      </c>
      <c r="B2645" t="s">
        <v>888</v>
      </c>
      <c r="C2645">
        <v>150</v>
      </c>
      <c r="D2645" t="s">
        <v>7160</v>
      </c>
      <c r="E2645" t="s">
        <v>49</v>
      </c>
      <c r="F2645">
        <v>1</v>
      </c>
      <c r="G2645">
        <v>0.15908897550808279</v>
      </c>
      <c r="H2645" t="s">
        <v>95</v>
      </c>
      <c r="I2645">
        <v>0</v>
      </c>
      <c r="J2645">
        <v>0</v>
      </c>
      <c r="K2645">
        <v>0</v>
      </c>
    </row>
    <row r="2646" spans="1:11" x14ac:dyDescent="0.2">
      <c r="A2646" t="s">
        <v>16</v>
      </c>
      <c r="B2646" t="s">
        <v>888</v>
      </c>
      <c r="C2646">
        <v>150</v>
      </c>
      <c r="D2646" t="s">
        <v>7116</v>
      </c>
      <c r="E2646" t="s">
        <v>49</v>
      </c>
      <c r="F2646">
        <v>1</v>
      </c>
      <c r="G2646">
        <v>0.15908897550808279</v>
      </c>
      <c r="H2646" t="s">
        <v>95</v>
      </c>
      <c r="I2646">
        <v>0</v>
      </c>
      <c r="J2646">
        <v>0</v>
      </c>
      <c r="K2646">
        <v>0</v>
      </c>
    </row>
    <row r="2647" spans="1:11" x14ac:dyDescent="0.2">
      <c r="A2647" t="s">
        <v>16</v>
      </c>
      <c r="B2647" t="s">
        <v>888</v>
      </c>
      <c r="C2647">
        <v>150</v>
      </c>
      <c r="D2647" t="s">
        <v>7108</v>
      </c>
      <c r="E2647" t="s">
        <v>49</v>
      </c>
      <c r="F2647">
        <v>1</v>
      </c>
      <c r="G2647">
        <v>0.15908897550808279</v>
      </c>
      <c r="H2647" t="s">
        <v>95</v>
      </c>
      <c r="I2647">
        <v>0</v>
      </c>
      <c r="J2647">
        <v>0</v>
      </c>
      <c r="K2647">
        <v>0</v>
      </c>
    </row>
    <row r="2648" spans="1:11" x14ac:dyDescent="0.2">
      <c r="A2648" t="s">
        <v>16</v>
      </c>
      <c r="B2648" t="s">
        <v>888</v>
      </c>
      <c r="C2648">
        <v>150</v>
      </c>
      <c r="D2648" t="s">
        <v>7101</v>
      </c>
      <c r="E2648" t="s">
        <v>49</v>
      </c>
      <c r="F2648">
        <v>1</v>
      </c>
      <c r="G2648">
        <v>0.15908897550808279</v>
      </c>
      <c r="H2648" t="s">
        <v>95</v>
      </c>
      <c r="I2648">
        <v>0</v>
      </c>
      <c r="J2648">
        <v>0</v>
      </c>
      <c r="K2648">
        <v>0</v>
      </c>
    </row>
    <row r="2649" spans="1:11" x14ac:dyDescent="0.2">
      <c r="A2649" t="s">
        <v>16</v>
      </c>
      <c r="B2649" t="s">
        <v>888</v>
      </c>
      <c r="C2649">
        <v>150</v>
      </c>
      <c r="D2649" t="s">
        <v>7171</v>
      </c>
      <c r="E2649" t="s">
        <v>49</v>
      </c>
      <c r="F2649">
        <v>1</v>
      </c>
      <c r="G2649">
        <v>0.15908897550808279</v>
      </c>
      <c r="H2649" t="s">
        <v>95</v>
      </c>
      <c r="I2649">
        <v>0</v>
      </c>
      <c r="J2649">
        <v>0</v>
      </c>
      <c r="K2649">
        <v>0</v>
      </c>
    </row>
    <row r="2650" spans="1:11" x14ac:dyDescent="0.2">
      <c r="A2650" t="s">
        <v>16</v>
      </c>
      <c r="B2650" t="s">
        <v>888</v>
      </c>
      <c r="C2650">
        <v>150</v>
      </c>
      <c r="D2650" t="s">
        <v>7090</v>
      </c>
      <c r="E2650" t="s">
        <v>49</v>
      </c>
      <c r="F2650">
        <v>1</v>
      </c>
      <c r="G2650">
        <v>0.15908897550808279</v>
      </c>
      <c r="H2650" t="s">
        <v>95</v>
      </c>
      <c r="I2650">
        <v>0</v>
      </c>
      <c r="J2650">
        <v>0</v>
      </c>
      <c r="K2650">
        <v>0</v>
      </c>
    </row>
    <row r="2651" spans="1:11" x14ac:dyDescent="0.2">
      <c r="A2651" t="s">
        <v>16</v>
      </c>
      <c r="B2651" t="s">
        <v>888</v>
      </c>
      <c r="C2651">
        <v>150</v>
      </c>
      <c r="D2651" t="s">
        <v>7110</v>
      </c>
      <c r="E2651" t="s">
        <v>49</v>
      </c>
      <c r="F2651">
        <v>1</v>
      </c>
      <c r="G2651">
        <v>0.15908897550808279</v>
      </c>
      <c r="H2651" t="s">
        <v>95</v>
      </c>
      <c r="I2651">
        <v>0</v>
      </c>
      <c r="J2651">
        <v>0</v>
      </c>
      <c r="K2651">
        <v>0</v>
      </c>
    </row>
    <row r="2652" spans="1:11" x14ac:dyDescent="0.2">
      <c r="A2652" t="s">
        <v>16</v>
      </c>
      <c r="B2652" t="s">
        <v>888</v>
      </c>
      <c r="C2652">
        <v>150</v>
      </c>
      <c r="D2652" t="s">
        <v>7150</v>
      </c>
      <c r="E2652" t="s">
        <v>49</v>
      </c>
      <c r="F2652">
        <v>1</v>
      </c>
      <c r="G2652">
        <v>0.15908897550808279</v>
      </c>
      <c r="H2652" t="s">
        <v>95</v>
      </c>
      <c r="I2652">
        <v>0</v>
      </c>
      <c r="J2652">
        <v>0</v>
      </c>
      <c r="K2652">
        <v>0</v>
      </c>
    </row>
    <row r="2653" spans="1:11" x14ac:dyDescent="0.2">
      <c r="A2653" t="s">
        <v>16</v>
      </c>
      <c r="B2653" t="s">
        <v>888</v>
      </c>
      <c r="C2653">
        <v>150</v>
      </c>
      <c r="D2653" t="s">
        <v>7166</v>
      </c>
      <c r="E2653" t="s">
        <v>49</v>
      </c>
      <c r="F2653">
        <v>1</v>
      </c>
      <c r="G2653">
        <v>0.15908897550808279</v>
      </c>
      <c r="H2653" t="s">
        <v>95</v>
      </c>
      <c r="I2653">
        <v>0</v>
      </c>
      <c r="J2653">
        <v>0</v>
      </c>
      <c r="K2653">
        <v>0</v>
      </c>
    </row>
    <row r="2654" spans="1:11" x14ac:dyDescent="0.2">
      <c r="A2654" t="s">
        <v>16</v>
      </c>
      <c r="B2654" t="s">
        <v>888</v>
      </c>
      <c r="C2654">
        <v>150</v>
      </c>
      <c r="D2654" t="s">
        <v>7170</v>
      </c>
      <c r="E2654" t="s">
        <v>49</v>
      </c>
      <c r="F2654">
        <v>1</v>
      </c>
      <c r="G2654">
        <v>0.15908897550808279</v>
      </c>
      <c r="H2654" t="s">
        <v>95</v>
      </c>
      <c r="I2654">
        <v>0</v>
      </c>
      <c r="J2654">
        <v>0</v>
      </c>
      <c r="K2654">
        <v>0</v>
      </c>
    </row>
    <row r="2655" spans="1:11" x14ac:dyDescent="0.2">
      <c r="A2655" t="s">
        <v>16</v>
      </c>
      <c r="B2655" t="s">
        <v>888</v>
      </c>
      <c r="C2655">
        <v>150</v>
      </c>
      <c r="D2655" t="s">
        <v>7163</v>
      </c>
      <c r="E2655" t="s">
        <v>49</v>
      </c>
      <c r="F2655">
        <v>1</v>
      </c>
      <c r="G2655">
        <v>0.15908897550808279</v>
      </c>
      <c r="H2655" t="s">
        <v>95</v>
      </c>
      <c r="I2655">
        <v>0</v>
      </c>
      <c r="J2655">
        <v>0</v>
      </c>
      <c r="K2655">
        <v>0</v>
      </c>
    </row>
    <row r="2656" spans="1:11" x14ac:dyDescent="0.2">
      <c r="A2656" t="s">
        <v>16</v>
      </c>
      <c r="B2656" t="s">
        <v>888</v>
      </c>
      <c r="C2656">
        <v>150</v>
      </c>
      <c r="D2656" t="s">
        <v>7174</v>
      </c>
      <c r="E2656" t="s">
        <v>49</v>
      </c>
      <c r="F2656">
        <v>1</v>
      </c>
      <c r="G2656">
        <v>0.15908897550808279</v>
      </c>
      <c r="H2656" t="s">
        <v>95</v>
      </c>
      <c r="I2656">
        <v>0</v>
      </c>
      <c r="J2656">
        <v>0</v>
      </c>
      <c r="K2656">
        <v>0</v>
      </c>
    </row>
    <row r="2657" spans="1:11" x14ac:dyDescent="0.2">
      <c r="A2657" t="s">
        <v>16</v>
      </c>
      <c r="B2657" t="s">
        <v>888</v>
      </c>
      <c r="C2657">
        <v>150</v>
      </c>
      <c r="D2657" t="s">
        <v>7152</v>
      </c>
      <c r="E2657" t="s">
        <v>49</v>
      </c>
      <c r="F2657">
        <v>1</v>
      </c>
      <c r="G2657">
        <v>0.15908897550808279</v>
      </c>
      <c r="H2657" t="s">
        <v>95</v>
      </c>
      <c r="I2657">
        <v>0</v>
      </c>
      <c r="J2657">
        <v>0</v>
      </c>
      <c r="K2657">
        <v>0</v>
      </c>
    </row>
    <row r="2658" spans="1:11" x14ac:dyDescent="0.2">
      <c r="A2658" t="s">
        <v>16</v>
      </c>
      <c r="B2658" t="s">
        <v>888</v>
      </c>
      <c r="C2658">
        <v>150</v>
      </c>
      <c r="D2658" t="s">
        <v>7169</v>
      </c>
      <c r="E2658" t="s">
        <v>49</v>
      </c>
      <c r="F2658">
        <v>1</v>
      </c>
      <c r="G2658">
        <v>0.15908897550808279</v>
      </c>
      <c r="H2658" t="s">
        <v>95</v>
      </c>
      <c r="I2658">
        <v>0</v>
      </c>
      <c r="J2658">
        <v>0</v>
      </c>
      <c r="K2658">
        <v>0</v>
      </c>
    </row>
    <row r="2659" spans="1:11" x14ac:dyDescent="0.2">
      <c r="A2659" t="s">
        <v>16</v>
      </c>
      <c r="B2659" t="s">
        <v>888</v>
      </c>
      <c r="C2659">
        <v>150</v>
      </c>
      <c r="D2659" t="s">
        <v>7159</v>
      </c>
      <c r="E2659" t="s">
        <v>49</v>
      </c>
      <c r="F2659">
        <v>1</v>
      </c>
      <c r="G2659">
        <v>0.15908897550808279</v>
      </c>
      <c r="H2659" t="s">
        <v>95</v>
      </c>
      <c r="I2659">
        <v>0</v>
      </c>
      <c r="J2659">
        <v>0</v>
      </c>
      <c r="K2659">
        <v>0</v>
      </c>
    </row>
    <row r="2660" spans="1:11" x14ac:dyDescent="0.2">
      <c r="A2660" t="s">
        <v>16</v>
      </c>
      <c r="B2660" t="s">
        <v>888</v>
      </c>
      <c r="C2660">
        <v>150</v>
      </c>
      <c r="D2660" t="s">
        <v>7165</v>
      </c>
      <c r="E2660" t="s">
        <v>49</v>
      </c>
      <c r="F2660">
        <v>1</v>
      </c>
      <c r="G2660">
        <v>0.15908897550808279</v>
      </c>
      <c r="H2660" t="s">
        <v>95</v>
      </c>
      <c r="I2660">
        <v>0</v>
      </c>
      <c r="J2660">
        <v>0</v>
      </c>
      <c r="K2660">
        <v>0</v>
      </c>
    </row>
    <row r="2661" spans="1:11" x14ac:dyDescent="0.2">
      <c r="A2661" t="s">
        <v>16</v>
      </c>
      <c r="B2661" t="s">
        <v>888</v>
      </c>
      <c r="C2661">
        <v>150</v>
      </c>
      <c r="D2661" t="s">
        <v>7154</v>
      </c>
      <c r="E2661" t="s">
        <v>49</v>
      </c>
      <c r="F2661">
        <v>1</v>
      </c>
      <c r="G2661">
        <v>0.15908897550808279</v>
      </c>
      <c r="H2661" t="s">
        <v>95</v>
      </c>
      <c r="I2661">
        <v>0</v>
      </c>
      <c r="J2661">
        <v>0</v>
      </c>
      <c r="K2661">
        <v>0</v>
      </c>
    </row>
    <row r="2662" spans="1:11" x14ac:dyDescent="0.2">
      <c r="A2662" t="s">
        <v>16</v>
      </c>
      <c r="B2662" t="s">
        <v>888</v>
      </c>
      <c r="C2662">
        <v>150</v>
      </c>
      <c r="D2662" t="s">
        <v>7092</v>
      </c>
      <c r="E2662" t="s">
        <v>49</v>
      </c>
      <c r="F2662">
        <v>1</v>
      </c>
      <c r="G2662">
        <v>0.15908897550808279</v>
      </c>
      <c r="H2662" t="s">
        <v>95</v>
      </c>
      <c r="I2662">
        <v>0</v>
      </c>
      <c r="J2662">
        <v>0</v>
      </c>
      <c r="K2662">
        <v>0</v>
      </c>
    </row>
    <row r="2663" spans="1:11" x14ac:dyDescent="0.2">
      <c r="A2663" t="s">
        <v>16</v>
      </c>
      <c r="B2663" t="s">
        <v>888</v>
      </c>
      <c r="C2663">
        <v>150</v>
      </c>
      <c r="D2663" t="s">
        <v>7131</v>
      </c>
      <c r="E2663" t="s">
        <v>49</v>
      </c>
      <c r="F2663">
        <v>1</v>
      </c>
      <c r="G2663">
        <v>0.15908897550808279</v>
      </c>
      <c r="H2663" t="s">
        <v>95</v>
      </c>
      <c r="I2663">
        <v>0</v>
      </c>
      <c r="J2663">
        <v>0</v>
      </c>
      <c r="K2663">
        <v>0</v>
      </c>
    </row>
    <row r="2664" spans="1:11" x14ac:dyDescent="0.2">
      <c r="A2664" t="s">
        <v>16</v>
      </c>
      <c r="B2664" t="s">
        <v>888</v>
      </c>
      <c r="C2664">
        <v>150</v>
      </c>
      <c r="D2664" t="s">
        <v>7147</v>
      </c>
      <c r="E2664" t="s">
        <v>49</v>
      </c>
      <c r="F2664">
        <v>1</v>
      </c>
      <c r="G2664">
        <v>0.15908897550808279</v>
      </c>
      <c r="H2664" t="s">
        <v>95</v>
      </c>
      <c r="I2664">
        <v>0</v>
      </c>
      <c r="J2664">
        <v>0</v>
      </c>
      <c r="K2664">
        <v>0</v>
      </c>
    </row>
    <row r="2665" spans="1:11" x14ac:dyDescent="0.2">
      <c r="A2665" t="s">
        <v>16</v>
      </c>
      <c r="B2665" t="s">
        <v>888</v>
      </c>
      <c r="C2665">
        <v>150</v>
      </c>
      <c r="D2665" t="s">
        <v>7144</v>
      </c>
      <c r="E2665" t="s">
        <v>49</v>
      </c>
      <c r="F2665">
        <v>1</v>
      </c>
      <c r="G2665">
        <v>0.15908897550808279</v>
      </c>
      <c r="H2665" t="s">
        <v>95</v>
      </c>
      <c r="I2665">
        <v>0</v>
      </c>
      <c r="J2665">
        <v>0</v>
      </c>
      <c r="K2665">
        <v>0</v>
      </c>
    </row>
    <row r="2666" spans="1:11" x14ac:dyDescent="0.2">
      <c r="A2666" t="s">
        <v>16</v>
      </c>
      <c r="B2666" t="s">
        <v>888</v>
      </c>
      <c r="C2666">
        <v>150</v>
      </c>
      <c r="D2666" t="s">
        <v>7135</v>
      </c>
      <c r="E2666" t="s">
        <v>49</v>
      </c>
      <c r="F2666">
        <v>1</v>
      </c>
      <c r="G2666">
        <v>0.15908897550808279</v>
      </c>
      <c r="H2666" t="s">
        <v>95</v>
      </c>
      <c r="I2666">
        <v>0</v>
      </c>
      <c r="J2666">
        <v>0</v>
      </c>
      <c r="K2666">
        <v>0</v>
      </c>
    </row>
    <row r="2667" spans="1:11" x14ac:dyDescent="0.2">
      <c r="A2667" t="s">
        <v>16</v>
      </c>
      <c r="B2667" t="s">
        <v>888</v>
      </c>
      <c r="C2667">
        <v>150</v>
      </c>
      <c r="D2667" t="s">
        <v>7133</v>
      </c>
      <c r="E2667" t="s">
        <v>49</v>
      </c>
      <c r="F2667">
        <v>1</v>
      </c>
      <c r="G2667">
        <v>0.15908897550808279</v>
      </c>
      <c r="H2667" t="s">
        <v>95</v>
      </c>
      <c r="I2667">
        <v>0</v>
      </c>
      <c r="J2667">
        <v>0</v>
      </c>
      <c r="K2667">
        <v>0</v>
      </c>
    </row>
    <row r="2668" spans="1:11" x14ac:dyDescent="0.2">
      <c r="A2668" t="s">
        <v>16</v>
      </c>
      <c r="B2668" t="s">
        <v>888</v>
      </c>
      <c r="C2668">
        <v>150</v>
      </c>
      <c r="D2668" t="s">
        <v>7123</v>
      </c>
      <c r="E2668" t="s">
        <v>49</v>
      </c>
      <c r="F2668">
        <v>1</v>
      </c>
      <c r="G2668">
        <v>0.15908897550808279</v>
      </c>
      <c r="H2668" t="s">
        <v>95</v>
      </c>
      <c r="I2668">
        <v>0</v>
      </c>
      <c r="J2668">
        <v>0</v>
      </c>
      <c r="K2668">
        <v>0</v>
      </c>
    </row>
    <row r="2669" spans="1:11" x14ac:dyDescent="0.2">
      <c r="A2669" t="s">
        <v>16</v>
      </c>
      <c r="B2669" t="s">
        <v>888</v>
      </c>
      <c r="C2669">
        <v>150</v>
      </c>
      <c r="D2669" t="s">
        <v>7095</v>
      </c>
      <c r="E2669" t="s">
        <v>49</v>
      </c>
      <c r="F2669">
        <v>1</v>
      </c>
      <c r="G2669">
        <v>0.15908897550808279</v>
      </c>
      <c r="H2669" t="s">
        <v>95</v>
      </c>
      <c r="I2669">
        <v>0</v>
      </c>
      <c r="J2669">
        <v>0</v>
      </c>
      <c r="K2669">
        <v>0</v>
      </c>
    </row>
    <row r="2670" spans="1:11" x14ac:dyDescent="0.2">
      <c r="A2670" t="s">
        <v>16</v>
      </c>
      <c r="B2670" t="s">
        <v>888</v>
      </c>
      <c r="C2670">
        <v>150</v>
      </c>
      <c r="D2670" t="s">
        <v>7109</v>
      </c>
      <c r="E2670" t="s">
        <v>49</v>
      </c>
      <c r="F2670">
        <v>1</v>
      </c>
      <c r="G2670">
        <v>0.15908897550808279</v>
      </c>
      <c r="H2670" t="s">
        <v>95</v>
      </c>
      <c r="I2670">
        <v>0</v>
      </c>
      <c r="J2670">
        <v>0</v>
      </c>
      <c r="K2670">
        <v>0</v>
      </c>
    </row>
    <row r="2671" spans="1:11" x14ac:dyDescent="0.2">
      <c r="A2671" t="s">
        <v>16</v>
      </c>
      <c r="B2671" t="s">
        <v>888</v>
      </c>
      <c r="C2671">
        <v>150</v>
      </c>
      <c r="D2671" t="s">
        <v>7145</v>
      </c>
      <c r="E2671" t="s">
        <v>49</v>
      </c>
      <c r="F2671">
        <v>1</v>
      </c>
      <c r="G2671">
        <v>0.15908897550808279</v>
      </c>
      <c r="H2671" t="s">
        <v>95</v>
      </c>
      <c r="I2671">
        <v>0</v>
      </c>
      <c r="J2671">
        <v>0</v>
      </c>
      <c r="K2671">
        <v>0</v>
      </c>
    </row>
    <row r="2672" spans="1:11" x14ac:dyDescent="0.2">
      <c r="A2672" t="s">
        <v>16</v>
      </c>
      <c r="B2672" t="s">
        <v>888</v>
      </c>
      <c r="C2672">
        <v>150</v>
      </c>
      <c r="D2672" t="s">
        <v>7128</v>
      </c>
      <c r="E2672" t="s">
        <v>49</v>
      </c>
      <c r="F2672">
        <v>1</v>
      </c>
      <c r="G2672">
        <v>0.15908897550808279</v>
      </c>
      <c r="H2672" t="s">
        <v>95</v>
      </c>
      <c r="I2672">
        <v>0</v>
      </c>
      <c r="J2672">
        <v>0</v>
      </c>
      <c r="K2672">
        <v>0</v>
      </c>
    </row>
    <row r="2673" spans="1:11" x14ac:dyDescent="0.2">
      <c r="A2673" t="s">
        <v>16</v>
      </c>
      <c r="B2673" t="s">
        <v>888</v>
      </c>
      <c r="C2673">
        <v>150</v>
      </c>
      <c r="D2673" t="s">
        <v>7136</v>
      </c>
      <c r="E2673" t="s">
        <v>49</v>
      </c>
      <c r="F2673">
        <v>1</v>
      </c>
      <c r="G2673">
        <v>0.15908897550808279</v>
      </c>
      <c r="H2673" t="s">
        <v>95</v>
      </c>
      <c r="I2673">
        <v>0</v>
      </c>
      <c r="J2673">
        <v>0</v>
      </c>
      <c r="K2673">
        <v>0</v>
      </c>
    </row>
    <row r="2674" spans="1:11" x14ac:dyDescent="0.2">
      <c r="A2674" t="s">
        <v>16</v>
      </c>
      <c r="B2674" t="s">
        <v>888</v>
      </c>
      <c r="C2674">
        <v>150</v>
      </c>
      <c r="D2674" t="s">
        <v>7143</v>
      </c>
      <c r="E2674" t="s">
        <v>49</v>
      </c>
      <c r="F2674">
        <v>1</v>
      </c>
      <c r="G2674">
        <v>0.15908897550808279</v>
      </c>
      <c r="H2674" t="s">
        <v>95</v>
      </c>
      <c r="I2674">
        <v>0</v>
      </c>
      <c r="J2674">
        <v>0</v>
      </c>
      <c r="K2674">
        <v>0</v>
      </c>
    </row>
    <row r="2675" spans="1:11" x14ac:dyDescent="0.2">
      <c r="A2675" t="s">
        <v>16</v>
      </c>
      <c r="B2675" t="s">
        <v>888</v>
      </c>
      <c r="C2675">
        <v>150</v>
      </c>
      <c r="D2675" t="s">
        <v>7140</v>
      </c>
      <c r="E2675" t="s">
        <v>49</v>
      </c>
      <c r="F2675">
        <v>1</v>
      </c>
      <c r="G2675">
        <v>0.15908897550808279</v>
      </c>
      <c r="H2675" t="s">
        <v>95</v>
      </c>
      <c r="I2675">
        <v>0</v>
      </c>
      <c r="J2675">
        <v>0</v>
      </c>
      <c r="K2675">
        <v>0</v>
      </c>
    </row>
    <row r="2676" spans="1:11" x14ac:dyDescent="0.2">
      <c r="A2676" t="s">
        <v>16</v>
      </c>
      <c r="B2676" t="s">
        <v>888</v>
      </c>
      <c r="C2676">
        <v>150</v>
      </c>
      <c r="D2676" t="s">
        <v>7120</v>
      </c>
      <c r="E2676" t="s">
        <v>49</v>
      </c>
      <c r="F2676">
        <v>1</v>
      </c>
      <c r="G2676">
        <v>0.15908897550808279</v>
      </c>
      <c r="H2676" t="s">
        <v>95</v>
      </c>
      <c r="I2676">
        <v>0</v>
      </c>
      <c r="J2676">
        <v>0</v>
      </c>
      <c r="K2676">
        <v>0</v>
      </c>
    </row>
    <row r="2677" spans="1:11" x14ac:dyDescent="0.2">
      <c r="A2677" t="s">
        <v>16</v>
      </c>
      <c r="B2677" t="s">
        <v>888</v>
      </c>
      <c r="C2677">
        <v>150</v>
      </c>
      <c r="D2677" t="s">
        <v>7146</v>
      </c>
      <c r="E2677" t="s">
        <v>49</v>
      </c>
      <c r="F2677">
        <v>1</v>
      </c>
      <c r="G2677">
        <v>0.15908897550808279</v>
      </c>
      <c r="H2677" t="s">
        <v>95</v>
      </c>
      <c r="I2677">
        <v>0</v>
      </c>
      <c r="J2677">
        <v>0</v>
      </c>
      <c r="K2677">
        <v>0</v>
      </c>
    </row>
    <row r="2678" spans="1:11" x14ac:dyDescent="0.2">
      <c r="A2678" t="s">
        <v>16</v>
      </c>
      <c r="B2678" t="s">
        <v>888</v>
      </c>
      <c r="C2678">
        <v>150</v>
      </c>
      <c r="D2678" t="s">
        <v>7118</v>
      </c>
      <c r="E2678" t="s">
        <v>49</v>
      </c>
      <c r="F2678">
        <v>1</v>
      </c>
      <c r="G2678">
        <v>0.15908897550808279</v>
      </c>
      <c r="H2678" t="s">
        <v>95</v>
      </c>
      <c r="I2678">
        <v>0</v>
      </c>
      <c r="J2678">
        <v>0</v>
      </c>
      <c r="K2678">
        <v>0</v>
      </c>
    </row>
    <row r="2679" spans="1:11" x14ac:dyDescent="0.2">
      <c r="A2679" t="s">
        <v>16</v>
      </c>
      <c r="B2679" t="s">
        <v>888</v>
      </c>
      <c r="C2679">
        <v>150</v>
      </c>
      <c r="D2679" t="s">
        <v>7122</v>
      </c>
      <c r="E2679" t="s">
        <v>49</v>
      </c>
      <c r="F2679">
        <v>1</v>
      </c>
      <c r="G2679">
        <v>0.15908897550808279</v>
      </c>
      <c r="H2679" t="s">
        <v>95</v>
      </c>
      <c r="I2679">
        <v>0</v>
      </c>
      <c r="J2679">
        <v>0</v>
      </c>
      <c r="K2679">
        <v>0</v>
      </c>
    </row>
    <row r="2680" spans="1:11" x14ac:dyDescent="0.2">
      <c r="A2680" t="s">
        <v>16</v>
      </c>
      <c r="B2680" t="s">
        <v>888</v>
      </c>
      <c r="C2680">
        <v>150</v>
      </c>
      <c r="D2680" t="s">
        <v>7105</v>
      </c>
      <c r="E2680" t="s">
        <v>49</v>
      </c>
      <c r="F2680">
        <v>1</v>
      </c>
      <c r="G2680">
        <v>0.15908897550808279</v>
      </c>
      <c r="H2680" t="s">
        <v>95</v>
      </c>
      <c r="I2680">
        <v>0</v>
      </c>
      <c r="J2680">
        <v>0</v>
      </c>
      <c r="K2680">
        <v>0</v>
      </c>
    </row>
    <row r="2681" spans="1:11" x14ac:dyDescent="0.2">
      <c r="A2681" t="s">
        <v>16</v>
      </c>
      <c r="B2681" t="s">
        <v>888</v>
      </c>
      <c r="C2681">
        <v>150</v>
      </c>
      <c r="D2681" t="s">
        <v>7106</v>
      </c>
      <c r="E2681" t="s">
        <v>49</v>
      </c>
      <c r="F2681">
        <v>1</v>
      </c>
      <c r="G2681">
        <v>0.15908897550808279</v>
      </c>
      <c r="H2681" t="s">
        <v>95</v>
      </c>
      <c r="I2681">
        <v>0</v>
      </c>
      <c r="J2681">
        <v>0</v>
      </c>
      <c r="K2681">
        <v>0</v>
      </c>
    </row>
    <row r="2682" spans="1:11" x14ac:dyDescent="0.2">
      <c r="A2682" t="s">
        <v>16</v>
      </c>
      <c r="B2682" t="s">
        <v>888</v>
      </c>
      <c r="C2682">
        <v>150</v>
      </c>
      <c r="D2682" t="s">
        <v>7096</v>
      </c>
      <c r="E2682" t="s">
        <v>49</v>
      </c>
      <c r="F2682">
        <v>1</v>
      </c>
      <c r="G2682">
        <v>0.15908897550808279</v>
      </c>
      <c r="H2682" t="s">
        <v>95</v>
      </c>
      <c r="I2682">
        <v>0</v>
      </c>
      <c r="J2682">
        <v>0</v>
      </c>
      <c r="K2682">
        <v>0</v>
      </c>
    </row>
    <row r="2683" spans="1:11" x14ac:dyDescent="0.2">
      <c r="A2683" t="s">
        <v>16</v>
      </c>
      <c r="B2683" t="s">
        <v>888</v>
      </c>
      <c r="C2683">
        <v>150</v>
      </c>
      <c r="D2683" t="s">
        <v>7153</v>
      </c>
      <c r="E2683" t="s">
        <v>49</v>
      </c>
      <c r="F2683">
        <v>1</v>
      </c>
      <c r="G2683">
        <v>0.15908897550808279</v>
      </c>
      <c r="H2683" t="s">
        <v>95</v>
      </c>
      <c r="I2683">
        <v>0</v>
      </c>
      <c r="J2683">
        <v>0</v>
      </c>
      <c r="K2683">
        <v>0</v>
      </c>
    </row>
    <row r="2684" spans="1:11" x14ac:dyDescent="0.2">
      <c r="A2684" t="s">
        <v>16</v>
      </c>
      <c r="B2684" t="s">
        <v>888</v>
      </c>
      <c r="C2684">
        <v>150</v>
      </c>
      <c r="D2684" t="s">
        <v>7142</v>
      </c>
      <c r="E2684" t="s">
        <v>49</v>
      </c>
      <c r="F2684">
        <v>1</v>
      </c>
      <c r="G2684">
        <v>0.15908897550808279</v>
      </c>
      <c r="H2684" t="s">
        <v>95</v>
      </c>
      <c r="I2684">
        <v>0</v>
      </c>
      <c r="J2684">
        <v>0</v>
      </c>
      <c r="K2684">
        <v>0</v>
      </c>
    </row>
    <row r="2685" spans="1:11" x14ac:dyDescent="0.2">
      <c r="A2685" t="s">
        <v>16</v>
      </c>
      <c r="B2685" t="s">
        <v>888</v>
      </c>
      <c r="C2685">
        <v>50</v>
      </c>
      <c r="D2685" t="s">
        <v>7156</v>
      </c>
      <c r="E2685" t="s">
        <v>49</v>
      </c>
      <c r="F2685">
        <v>1</v>
      </c>
      <c r="G2685">
        <v>5.3029658502694269E-2</v>
      </c>
      <c r="H2685" t="s">
        <v>95</v>
      </c>
      <c r="I2685">
        <v>0</v>
      </c>
      <c r="J2685">
        <v>0</v>
      </c>
      <c r="K2685">
        <v>0</v>
      </c>
    </row>
    <row r="2686" spans="1:11" x14ac:dyDescent="0.2">
      <c r="A2686" t="s">
        <v>16</v>
      </c>
      <c r="B2686" t="s">
        <v>888</v>
      </c>
      <c r="C2686">
        <v>150</v>
      </c>
      <c r="D2686" t="s">
        <v>7093</v>
      </c>
      <c r="E2686" t="s">
        <v>49</v>
      </c>
      <c r="F2686">
        <v>1</v>
      </c>
      <c r="G2686">
        <v>0.15908897550808279</v>
      </c>
      <c r="H2686" t="s">
        <v>95</v>
      </c>
      <c r="I2686">
        <v>0</v>
      </c>
      <c r="J2686">
        <v>0</v>
      </c>
      <c r="K2686">
        <v>0</v>
      </c>
    </row>
    <row r="2687" spans="1:11" x14ac:dyDescent="0.2">
      <c r="A2687" t="s">
        <v>16</v>
      </c>
      <c r="B2687" t="s">
        <v>888</v>
      </c>
      <c r="C2687">
        <v>150</v>
      </c>
      <c r="D2687" t="s">
        <v>7121</v>
      </c>
      <c r="E2687" t="s">
        <v>49</v>
      </c>
      <c r="F2687">
        <v>1</v>
      </c>
      <c r="G2687">
        <v>0.15908897550808279</v>
      </c>
      <c r="H2687" t="s">
        <v>95</v>
      </c>
      <c r="I2687">
        <v>0</v>
      </c>
      <c r="J2687">
        <v>0</v>
      </c>
      <c r="K2687">
        <v>0</v>
      </c>
    </row>
    <row r="2688" spans="1:11" x14ac:dyDescent="0.2">
      <c r="A2688" t="s">
        <v>16</v>
      </c>
      <c r="B2688" t="s">
        <v>888</v>
      </c>
      <c r="C2688">
        <v>150</v>
      </c>
      <c r="D2688" t="s">
        <v>7117</v>
      </c>
      <c r="E2688" t="s">
        <v>49</v>
      </c>
      <c r="F2688">
        <v>1</v>
      </c>
      <c r="G2688">
        <v>0.15908897550808279</v>
      </c>
      <c r="H2688" t="s">
        <v>95</v>
      </c>
      <c r="I2688">
        <v>0</v>
      </c>
      <c r="J2688">
        <v>0</v>
      </c>
      <c r="K2688">
        <v>0</v>
      </c>
    </row>
    <row r="2689" spans="1:11" x14ac:dyDescent="0.2">
      <c r="A2689" t="s">
        <v>16</v>
      </c>
      <c r="B2689" t="s">
        <v>888</v>
      </c>
      <c r="C2689">
        <v>150</v>
      </c>
      <c r="D2689" t="s">
        <v>7175</v>
      </c>
      <c r="E2689" t="s">
        <v>49</v>
      </c>
      <c r="F2689">
        <v>1</v>
      </c>
      <c r="G2689">
        <v>0.15908897550808279</v>
      </c>
      <c r="H2689" t="s">
        <v>95</v>
      </c>
      <c r="I2689">
        <v>0</v>
      </c>
      <c r="J2689">
        <v>0</v>
      </c>
      <c r="K2689">
        <v>0</v>
      </c>
    </row>
    <row r="2690" spans="1:11" x14ac:dyDescent="0.2">
      <c r="A2690" t="s">
        <v>16</v>
      </c>
      <c r="B2690" t="s">
        <v>888</v>
      </c>
      <c r="C2690">
        <v>150</v>
      </c>
      <c r="D2690" t="s">
        <v>7097</v>
      </c>
      <c r="E2690" t="s">
        <v>49</v>
      </c>
      <c r="F2690">
        <v>1</v>
      </c>
      <c r="G2690">
        <v>0.15908897550808279</v>
      </c>
      <c r="H2690" t="s">
        <v>95</v>
      </c>
      <c r="I2690">
        <v>0</v>
      </c>
      <c r="J2690">
        <v>0</v>
      </c>
      <c r="K2690">
        <v>0</v>
      </c>
    </row>
    <row r="2691" spans="1:11" x14ac:dyDescent="0.2">
      <c r="A2691" t="s">
        <v>16</v>
      </c>
      <c r="B2691" t="s">
        <v>888</v>
      </c>
      <c r="C2691">
        <v>150</v>
      </c>
      <c r="D2691" t="s">
        <v>7137</v>
      </c>
      <c r="E2691" t="s">
        <v>49</v>
      </c>
      <c r="F2691">
        <v>1</v>
      </c>
      <c r="G2691">
        <v>0.15908897550808279</v>
      </c>
      <c r="H2691" t="s">
        <v>95</v>
      </c>
      <c r="I2691">
        <v>0</v>
      </c>
      <c r="J2691">
        <v>0</v>
      </c>
      <c r="K2691">
        <v>0</v>
      </c>
    </row>
    <row r="2692" spans="1:11" x14ac:dyDescent="0.2">
      <c r="A2692" t="s">
        <v>16</v>
      </c>
      <c r="B2692" t="s">
        <v>888</v>
      </c>
      <c r="C2692">
        <v>150</v>
      </c>
      <c r="D2692" t="s">
        <v>7167</v>
      </c>
      <c r="E2692" t="s">
        <v>49</v>
      </c>
      <c r="F2692">
        <v>1</v>
      </c>
      <c r="G2692">
        <v>0.15908897550808279</v>
      </c>
      <c r="H2692" t="s">
        <v>95</v>
      </c>
      <c r="I2692">
        <v>0</v>
      </c>
      <c r="J2692">
        <v>0</v>
      </c>
      <c r="K2692">
        <v>0</v>
      </c>
    </row>
    <row r="2693" spans="1:11" x14ac:dyDescent="0.2">
      <c r="A2693" t="s">
        <v>16</v>
      </c>
      <c r="B2693" t="s">
        <v>888</v>
      </c>
      <c r="C2693">
        <v>150</v>
      </c>
      <c r="D2693" t="s">
        <v>7168</v>
      </c>
      <c r="E2693" t="s">
        <v>49</v>
      </c>
      <c r="F2693">
        <v>1</v>
      </c>
      <c r="G2693">
        <v>0.15908897550808279</v>
      </c>
      <c r="H2693" t="s">
        <v>95</v>
      </c>
      <c r="I2693">
        <v>0</v>
      </c>
      <c r="J2693">
        <v>0</v>
      </c>
      <c r="K2693">
        <v>0</v>
      </c>
    </row>
    <row r="2694" spans="1:11" x14ac:dyDescent="0.2">
      <c r="A2694" t="s">
        <v>16</v>
      </c>
      <c r="B2694" t="s">
        <v>888</v>
      </c>
      <c r="C2694">
        <v>150</v>
      </c>
      <c r="D2694" t="s">
        <v>7172</v>
      </c>
      <c r="E2694" t="s">
        <v>49</v>
      </c>
      <c r="F2694">
        <v>1</v>
      </c>
      <c r="G2694">
        <v>0.15908897550808279</v>
      </c>
      <c r="H2694" t="s">
        <v>95</v>
      </c>
      <c r="I2694">
        <v>0</v>
      </c>
      <c r="J2694">
        <v>0</v>
      </c>
      <c r="K2694">
        <v>0</v>
      </c>
    </row>
    <row r="2695" spans="1:11" x14ac:dyDescent="0.2">
      <c r="A2695" t="s">
        <v>16</v>
      </c>
      <c r="B2695" t="s">
        <v>888</v>
      </c>
      <c r="C2695">
        <v>150</v>
      </c>
      <c r="D2695" t="s">
        <v>7141</v>
      </c>
      <c r="E2695" t="s">
        <v>49</v>
      </c>
      <c r="F2695">
        <v>1</v>
      </c>
      <c r="G2695">
        <v>0.15908897550808279</v>
      </c>
      <c r="H2695" t="s">
        <v>95</v>
      </c>
      <c r="I2695">
        <v>0</v>
      </c>
      <c r="J2695">
        <v>0</v>
      </c>
      <c r="K2695">
        <v>0</v>
      </c>
    </row>
    <row r="2696" spans="1:11" x14ac:dyDescent="0.2">
      <c r="A2696" t="s">
        <v>16</v>
      </c>
      <c r="B2696" t="s">
        <v>882</v>
      </c>
      <c r="C2696">
        <v>150</v>
      </c>
      <c r="D2696" t="s">
        <v>7184</v>
      </c>
      <c r="E2696" t="s">
        <v>49</v>
      </c>
      <c r="F2696">
        <v>2</v>
      </c>
      <c r="G2696">
        <v>0.21321442417011729</v>
      </c>
      <c r="H2696" t="s">
        <v>97</v>
      </c>
      <c r="I2696">
        <v>0</v>
      </c>
      <c r="J2696">
        <v>0</v>
      </c>
      <c r="K2696">
        <v>0</v>
      </c>
    </row>
    <row r="2697" spans="1:11" x14ac:dyDescent="0.2">
      <c r="A2697" t="s">
        <v>16</v>
      </c>
      <c r="B2697" t="s">
        <v>882</v>
      </c>
      <c r="C2697">
        <v>150</v>
      </c>
      <c r="D2697" t="s">
        <v>7232</v>
      </c>
      <c r="E2697" t="s">
        <v>49</v>
      </c>
      <c r="F2697">
        <v>2</v>
      </c>
      <c r="G2697">
        <v>0.21321442417011729</v>
      </c>
      <c r="H2697" t="s">
        <v>101</v>
      </c>
      <c r="I2697">
        <v>0</v>
      </c>
      <c r="J2697">
        <v>0</v>
      </c>
      <c r="K2697">
        <v>0</v>
      </c>
    </row>
    <row r="2698" spans="1:11" x14ac:dyDescent="0.2">
      <c r="A2698" t="s">
        <v>16</v>
      </c>
      <c r="B2698" t="s">
        <v>882</v>
      </c>
      <c r="C2698">
        <v>150</v>
      </c>
      <c r="D2698" t="s">
        <v>7240</v>
      </c>
      <c r="E2698" t="s">
        <v>49</v>
      </c>
      <c r="F2698">
        <v>2</v>
      </c>
      <c r="G2698">
        <v>0.21321442417011729</v>
      </c>
      <c r="H2698" t="s">
        <v>97</v>
      </c>
      <c r="I2698">
        <v>0</v>
      </c>
      <c r="J2698">
        <v>0</v>
      </c>
      <c r="K2698">
        <v>0</v>
      </c>
    </row>
    <row r="2699" spans="1:11" x14ac:dyDescent="0.2">
      <c r="A2699" t="s">
        <v>16</v>
      </c>
      <c r="B2699" t="s">
        <v>882</v>
      </c>
      <c r="C2699">
        <v>150</v>
      </c>
      <c r="D2699" t="s">
        <v>7228</v>
      </c>
      <c r="E2699" t="s">
        <v>49</v>
      </c>
      <c r="F2699">
        <v>2</v>
      </c>
      <c r="G2699">
        <v>0.21321442417011729</v>
      </c>
      <c r="H2699" t="s">
        <v>101</v>
      </c>
      <c r="I2699">
        <v>0</v>
      </c>
      <c r="J2699">
        <v>0</v>
      </c>
      <c r="K2699">
        <v>0</v>
      </c>
    </row>
    <row r="2700" spans="1:11" x14ac:dyDescent="0.2">
      <c r="A2700" t="s">
        <v>16</v>
      </c>
      <c r="B2700" t="s">
        <v>882</v>
      </c>
      <c r="C2700">
        <v>150</v>
      </c>
      <c r="D2700" t="s">
        <v>7183</v>
      </c>
      <c r="E2700" t="s">
        <v>49</v>
      </c>
      <c r="F2700">
        <v>2</v>
      </c>
      <c r="G2700">
        <v>0.21321442417011729</v>
      </c>
      <c r="H2700" t="s">
        <v>97</v>
      </c>
      <c r="I2700">
        <v>0</v>
      </c>
      <c r="J2700">
        <v>0</v>
      </c>
      <c r="K2700">
        <v>0</v>
      </c>
    </row>
    <row r="2701" spans="1:11" x14ac:dyDescent="0.2">
      <c r="A2701" t="s">
        <v>16</v>
      </c>
      <c r="B2701" t="s">
        <v>882</v>
      </c>
      <c r="C2701">
        <v>150</v>
      </c>
      <c r="D2701" t="s">
        <v>7236</v>
      </c>
      <c r="E2701" t="s">
        <v>49</v>
      </c>
      <c r="F2701">
        <v>2</v>
      </c>
      <c r="G2701">
        <v>0.21321442417011729</v>
      </c>
      <c r="H2701" t="s">
        <v>101</v>
      </c>
      <c r="I2701">
        <v>0</v>
      </c>
      <c r="J2701">
        <v>0</v>
      </c>
      <c r="K2701">
        <v>0</v>
      </c>
    </row>
    <row r="2702" spans="1:11" x14ac:dyDescent="0.2">
      <c r="A2702" t="s">
        <v>16</v>
      </c>
      <c r="B2702" t="s">
        <v>882</v>
      </c>
      <c r="C2702">
        <v>150</v>
      </c>
      <c r="D2702" t="s">
        <v>7239</v>
      </c>
      <c r="E2702" t="s">
        <v>49</v>
      </c>
      <c r="F2702">
        <v>2</v>
      </c>
      <c r="G2702">
        <v>0.21321442417011729</v>
      </c>
      <c r="H2702" t="s">
        <v>97</v>
      </c>
      <c r="I2702">
        <v>0</v>
      </c>
      <c r="J2702">
        <v>0</v>
      </c>
      <c r="K2702">
        <v>0</v>
      </c>
    </row>
    <row r="2703" spans="1:11" x14ac:dyDescent="0.2">
      <c r="A2703" t="s">
        <v>16</v>
      </c>
      <c r="B2703" t="s">
        <v>882</v>
      </c>
      <c r="C2703">
        <v>150</v>
      </c>
      <c r="D2703" t="s">
        <v>7242</v>
      </c>
      <c r="E2703" t="s">
        <v>49</v>
      </c>
      <c r="F2703">
        <v>2</v>
      </c>
      <c r="G2703">
        <v>0.21321442417011729</v>
      </c>
      <c r="H2703" t="s">
        <v>101</v>
      </c>
      <c r="I2703">
        <v>0</v>
      </c>
      <c r="J2703">
        <v>0</v>
      </c>
      <c r="K2703">
        <v>0</v>
      </c>
    </row>
    <row r="2704" spans="1:11" x14ac:dyDescent="0.2">
      <c r="A2704" t="s">
        <v>16</v>
      </c>
      <c r="B2704" t="s">
        <v>882</v>
      </c>
      <c r="C2704">
        <v>150</v>
      </c>
      <c r="D2704" t="s">
        <v>7207</v>
      </c>
      <c r="E2704" t="s">
        <v>49</v>
      </c>
      <c r="F2704">
        <v>2</v>
      </c>
      <c r="G2704">
        <v>0.21321442417011729</v>
      </c>
      <c r="H2704" t="s">
        <v>97</v>
      </c>
      <c r="I2704">
        <v>0</v>
      </c>
      <c r="J2704">
        <v>0</v>
      </c>
      <c r="K2704">
        <v>0</v>
      </c>
    </row>
    <row r="2705" spans="1:11" x14ac:dyDescent="0.2">
      <c r="A2705" t="s">
        <v>16</v>
      </c>
      <c r="B2705" t="s">
        <v>882</v>
      </c>
      <c r="C2705">
        <v>150</v>
      </c>
      <c r="D2705" t="s">
        <v>7224</v>
      </c>
      <c r="E2705" t="s">
        <v>49</v>
      </c>
      <c r="F2705">
        <v>2</v>
      </c>
      <c r="G2705">
        <v>0.21321442417011729</v>
      </c>
      <c r="H2705" t="s">
        <v>101</v>
      </c>
      <c r="I2705">
        <v>0</v>
      </c>
      <c r="J2705">
        <v>0</v>
      </c>
      <c r="K2705">
        <v>0</v>
      </c>
    </row>
    <row r="2706" spans="1:11" x14ac:dyDescent="0.2">
      <c r="A2706" t="s">
        <v>16</v>
      </c>
      <c r="B2706" t="s">
        <v>882</v>
      </c>
      <c r="C2706">
        <v>150</v>
      </c>
      <c r="D2706" t="s">
        <v>7237</v>
      </c>
      <c r="E2706" t="s">
        <v>49</v>
      </c>
      <c r="F2706">
        <v>2</v>
      </c>
      <c r="G2706">
        <v>0.21321442417011729</v>
      </c>
      <c r="H2706" t="s">
        <v>97</v>
      </c>
      <c r="I2706">
        <v>0</v>
      </c>
      <c r="J2706">
        <v>0</v>
      </c>
      <c r="K2706">
        <v>0</v>
      </c>
    </row>
    <row r="2707" spans="1:11" x14ac:dyDescent="0.2">
      <c r="A2707" t="s">
        <v>16</v>
      </c>
      <c r="B2707" t="s">
        <v>882</v>
      </c>
      <c r="C2707">
        <v>150</v>
      </c>
      <c r="D2707" t="s">
        <v>7257</v>
      </c>
      <c r="E2707" t="s">
        <v>49</v>
      </c>
      <c r="F2707">
        <v>2</v>
      </c>
      <c r="G2707">
        <v>0.21321442417011729</v>
      </c>
      <c r="H2707" t="s">
        <v>101</v>
      </c>
      <c r="I2707">
        <v>0</v>
      </c>
      <c r="J2707">
        <v>0</v>
      </c>
      <c r="K2707">
        <v>0</v>
      </c>
    </row>
    <row r="2708" spans="1:11" x14ac:dyDescent="0.2">
      <c r="A2708" t="s">
        <v>16</v>
      </c>
      <c r="B2708" t="s">
        <v>882</v>
      </c>
      <c r="C2708">
        <v>150</v>
      </c>
      <c r="D2708" t="s">
        <v>7231</v>
      </c>
      <c r="E2708" t="s">
        <v>49</v>
      </c>
      <c r="F2708">
        <v>2</v>
      </c>
      <c r="G2708">
        <v>0.21321442417011729</v>
      </c>
      <c r="H2708" t="s">
        <v>97</v>
      </c>
      <c r="I2708">
        <v>0</v>
      </c>
      <c r="J2708">
        <v>0</v>
      </c>
      <c r="K2708">
        <v>0</v>
      </c>
    </row>
    <row r="2709" spans="1:11" x14ac:dyDescent="0.2">
      <c r="A2709" t="s">
        <v>16</v>
      </c>
      <c r="B2709" t="s">
        <v>882</v>
      </c>
      <c r="C2709">
        <v>150</v>
      </c>
      <c r="D2709" t="s">
        <v>7188</v>
      </c>
      <c r="E2709" t="s">
        <v>49</v>
      </c>
      <c r="F2709">
        <v>2</v>
      </c>
      <c r="G2709">
        <v>0.21321442417011729</v>
      </c>
      <c r="H2709" t="s">
        <v>101</v>
      </c>
      <c r="I2709">
        <v>0</v>
      </c>
      <c r="J2709">
        <v>0</v>
      </c>
      <c r="K2709">
        <v>0</v>
      </c>
    </row>
    <row r="2710" spans="1:11" x14ac:dyDescent="0.2">
      <c r="A2710" t="s">
        <v>16</v>
      </c>
      <c r="B2710" t="s">
        <v>882</v>
      </c>
      <c r="C2710">
        <v>150</v>
      </c>
      <c r="D2710" t="s">
        <v>7247</v>
      </c>
      <c r="E2710" t="s">
        <v>49</v>
      </c>
      <c r="F2710">
        <v>2</v>
      </c>
      <c r="G2710">
        <v>0.21321442417011729</v>
      </c>
      <c r="H2710" t="s">
        <v>97</v>
      </c>
      <c r="I2710">
        <v>0</v>
      </c>
      <c r="J2710">
        <v>0</v>
      </c>
      <c r="K2710">
        <v>0</v>
      </c>
    </row>
    <row r="2711" spans="1:11" x14ac:dyDescent="0.2">
      <c r="A2711" t="s">
        <v>16</v>
      </c>
      <c r="B2711" t="s">
        <v>882</v>
      </c>
      <c r="C2711">
        <v>150</v>
      </c>
      <c r="D2711" t="s">
        <v>7195</v>
      </c>
      <c r="E2711" t="s">
        <v>49</v>
      </c>
      <c r="F2711">
        <v>2</v>
      </c>
      <c r="G2711">
        <v>0.21321442417011729</v>
      </c>
      <c r="H2711" t="s">
        <v>101</v>
      </c>
      <c r="I2711">
        <v>0</v>
      </c>
      <c r="J2711">
        <v>0</v>
      </c>
      <c r="K2711">
        <v>0</v>
      </c>
    </row>
    <row r="2712" spans="1:11" x14ac:dyDescent="0.2">
      <c r="A2712" t="s">
        <v>16</v>
      </c>
      <c r="B2712" t="s">
        <v>882</v>
      </c>
      <c r="C2712">
        <v>150</v>
      </c>
      <c r="D2712" t="s">
        <v>7193</v>
      </c>
      <c r="E2712" t="s">
        <v>49</v>
      </c>
      <c r="F2712">
        <v>2</v>
      </c>
      <c r="G2712">
        <v>0.21321442417011729</v>
      </c>
      <c r="H2712" t="s">
        <v>97</v>
      </c>
      <c r="I2712">
        <v>0</v>
      </c>
      <c r="J2712">
        <v>0</v>
      </c>
      <c r="K2712">
        <v>0</v>
      </c>
    </row>
    <row r="2713" spans="1:11" x14ac:dyDescent="0.2">
      <c r="A2713" t="s">
        <v>16</v>
      </c>
      <c r="B2713" t="s">
        <v>882</v>
      </c>
      <c r="C2713">
        <v>150</v>
      </c>
      <c r="D2713" t="s">
        <v>7222</v>
      </c>
      <c r="E2713" t="s">
        <v>49</v>
      </c>
      <c r="F2713">
        <v>2</v>
      </c>
      <c r="G2713">
        <v>0.21321442417011729</v>
      </c>
      <c r="H2713" t="s">
        <v>101</v>
      </c>
      <c r="I2713">
        <v>0</v>
      </c>
      <c r="J2713">
        <v>0</v>
      </c>
      <c r="K2713">
        <v>0</v>
      </c>
    </row>
    <row r="2714" spans="1:11" x14ac:dyDescent="0.2">
      <c r="A2714" t="s">
        <v>16</v>
      </c>
      <c r="B2714" t="s">
        <v>882</v>
      </c>
      <c r="C2714">
        <v>150</v>
      </c>
      <c r="D2714" t="s">
        <v>7226</v>
      </c>
      <c r="E2714" t="s">
        <v>49</v>
      </c>
      <c r="F2714">
        <v>2</v>
      </c>
      <c r="G2714">
        <v>0.21321442417011729</v>
      </c>
      <c r="H2714" t="s">
        <v>97</v>
      </c>
      <c r="I2714">
        <v>0</v>
      </c>
      <c r="J2714">
        <v>0</v>
      </c>
      <c r="K2714">
        <v>0</v>
      </c>
    </row>
    <row r="2715" spans="1:11" x14ac:dyDescent="0.2">
      <c r="A2715" t="s">
        <v>16</v>
      </c>
      <c r="B2715" t="s">
        <v>882</v>
      </c>
      <c r="C2715">
        <v>150</v>
      </c>
      <c r="D2715" t="s">
        <v>7211</v>
      </c>
      <c r="E2715" t="s">
        <v>49</v>
      </c>
      <c r="F2715">
        <v>2</v>
      </c>
      <c r="G2715">
        <v>0.21321442417011729</v>
      </c>
      <c r="H2715" t="s">
        <v>101</v>
      </c>
      <c r="I2715">
        <v>0</v>
      </c>
      <c r="J2715">
        <v>0</v>
      </c>
      <c r="K2715">
        <v>0</v>
      </c>
    </row>
    <row r="2716" spans="1:11" x14ac:dyDescent="0.2">
      <c r="A2716" t="s">
        <v>16</v>
      </c>
      <c r="B2716" t="s">
        <v>882</v>
      </c>
      <c r="C2716">
        <v>150</v>
      </c>
      <c r="D2716" t="s">
        <v>7200</v>
      </c>
      <c r="E2716" t="s">
        <v>49</v>
      </c>
      <c r="F2716">
        <v>2</v>
      </c>
      <c r="G2716">
        <v>0.21321442417011729</v>
      </c>
      <c r="H2716" t="s">
        <v>97</v>
      </c>
      <c r="I2716">
        <v>0</v>
      </c>
      <c r="J2716">
        <v>0</v>
      </c>
      <c r="K2716">
        <v>0</v>
      </c>
    </row>
    <row r="2717" spans="1:11" x14ac:dyDescent="0.2">
      <c r="A2717" t="s">
        <v>16</v>
      </c>
      <c r="B2717" t="s">
        <v>882</v>
      </c>
      <c r="C2717">
        <v>150</v>
      </c>
      <c r="D2717" t="s">
        <v>7178</v>
      </c>
      <c r="E2717" t="s">
        <v>49</v>
      </c>
      <c r="F2717">
        <v>2</v>
      </c>
      <c r="G2717">
        <v>0.21321442417011729</v>
      </c>
      <c r="H2717" t="s">
        <v>101</v>
      </c>
      <c r="I2717">
        <v>0</v>
      </c>
      <c r="J2717">
        <v>0</v>
      </c>
      <c r="K2717">
        <v>0</v>
      </c>
    </row>
    <row r="2718" spans="1:11" x14ac:dyDescent="0.2">
      <c r="A2718" t="s">
        <v>16</v>
      </c>
      <c r="B2718" t="s">
        <v>882</v>
      </c>
      <c r="C2718">
        <v>150</v>
      </c>
      <c r="D2718" t="s">
        <v>7264</v>
      </c>
      <c r="E2718" t="s">
        <v>49</v>
      </c>
      <c r="F2718">
        <v>2</v>
      </c>
      <c r="G2718">
        <v>0.21321442417011729</v>
      </c>
      <c r="H2718" t="s">
        <v>97</v>
      </c>
      <c r="I2718">
        <v>0</v>
      </c>
      <c r="J2718">
        <v>0</v>
      </c>
      <c r="K2718">
        <v>0</v>
      </c>
    </row>
    <row r="2719" spans="1:11" x14ac:dyDescent="0.2">
      <c r="A2719" t="s">
        <v>16</v>
      </c>
      <c r="B2719" t="s">
        <v>882</v>
      </c>
      <c r="C2719">
        <v>150</v>
      </c>
      <c r="D2719" t="s">
        <v>7189</v>
      </c>
      <c r="E2719" t="s">
        <v>49</v>
      </c>
      <c r="F2719">
        <v>2</v>
      </c>
      <c r="G2719">
        <v>0.21321442417011729</v>
      </c>
      <c r="H2719" t="s">
        <v>101</v>
      </c>
      <c r="I2719">
        <v>0</v>
      </c>
      <c r="J2719">
        <v>0</v>
      </c>
      <c r="K2719">
        <v>0</v>
      </c>
    </row>
    <row r="2720" spans="1:11" x14ac:dyDescent="0.2">
      <c r="A2720" t="s">
        <v>16</v>
      </c>
      <c r="B2720" t="s">
        <v>882</v>
      </c>
      <c r="C2720">
        <v>150</v>
      </c>
      <c r="D2720" t="s">
        <v>7244</v>
      </c>
      <c r="E2720" t="s">
        <v>49</v>
      </c>
      <c r="F2720">
        <v>2</v>
      </c>
      <c r="G2720">
        <v>0.21321442417011729</v>
      </c>
      <c r="H2720" t="s">
        <v>97</v>
      </c>
      <c r="I2720">
        <v>0</v>
      </c>
      <c r="J2720">
        <v>0</v>
      </c>
      <c r="K2720">
        <v>0</v>
      </c>
    </row>
    <row r="2721" spans="1:11" x14ac:dyDescent="0.2">
      <c r="A2721" t="s">
        <v>16</v>
      </c>
      <c r="B2721" t="s">
        <v>882</v>
      </c>
      <c r="C2721">
        <v>150</v>
      </c>
      <c r="D2721" t="s">
        <v>7196</v>
      </c>
      <c r="E2721" t="s">
        <v>49</v>
      </c>
      <c r="F2721">
        <v>2</v>
      </c>
      <c r="G2721">
        <v>0.21321442417011729</v>
      </c>
      <c r="H2721" t="s">
        <v>101</v>
      </c>
      <c r="I2721">
        <v>0</v>
      </c>
      <c r="J2721">
        <v>0</v>
      </c>
      <c r="K2721">
        <v>0</v>
      </c>
    </row>
    <row r="2722" spans="1:11" x14ac:dyDescent="0.2">
      <c r="A2722" t="s">
        <v>16</v>
      </c>
      <c r="B2722" t="s">
        <v>882</v>
      </c>
      <c r="C2722">
        <v>150</v>
      </c>
      <c r="D2722" t="s">
        <v>7177</v>
      </c>
      <c r="E2722" t="s">
        <v>49</v>
      </c>
      <c r="F2722">
        <v>2</v>
      </c>
      <c r="G2722">
        <v>0.21321442417011729</v>
      </c>
      <c r="H2722" t="s">
        <v>97</v>
      </c>
      <c r="I2722">
        <v>0</v>
      </c>
      <c r="J2722">
        <v>0</v>
      </c>
      <c r="K2722">
        <v>0</v>
      </c>
    </row>
    <row r="2723" spans="1:11" x14ac:dyDescent="0.2">
      <c r="A2723" t="s">
        <v>16</v>
      </c>
      <c r="B2723" t="s">
        <v>882</v>
      </c>
      <c r="C2723">
        <v>150</v>
      </c>
      <c r="D2723" t="s">
        <v>7190</v>
      </c>
      <c r="E2723" t="s">
        <v>49</v>
      </c>
      <c r="F2723">
        <v>2</v>
      </c>
      <c r="G2723">
        <v>0.21321442417011729</v>
      </c>
      <c r="H2723" t="s">
        <v>101</v>
      </c>
      <c r="I2723">
        <v>0</v>
      </c>
      <c r="J2723">
        <v>0</v>
      </c>
      <c r="K2723">
        <v>0</v>
      </c>
    </row>
    <row r="2724" spans="1:11" x14ac:dyDescent="0.2">
      <c r="A2724" t="s">
        <v>16</v>
      </c>
      <c r="B2724" t="s">
        <v>882</v>
      </c>
      <c r="C2724">
        <v>150</v>
      </c>
      <c r="D2724" t="s">
        <v>7261</v>
      </c>
      <c r="E2724" t="s">
        <v>49</v>
      </c>
      <c r="F2724">
        <v>2</v>
      </c>
      <c r="G2724">
        <v>0.21321442417011729</v>
      </c>
      <c r="H2724" t="s">
        <v>97</v>
      </c>
      <c r="I2724">
        <v>0</v>
      </c>
      <c r="J2724">
        <v>0</v>
      </c>
      <c r="K2724">
        <v>0</v>
      </c>
    </row>
    <row r="2725" spans="1:11" x14ac:dyDescent="0.2">
      <c r="A2725" t="s">
        <v>16</v>
      </c>
      <c r="B2725" t="s">
        <v>882</v>
      </c>
      <c r="C2725">
        <v>150</v>
      </c>
      <c r="D2725" t="s">
        <v>7198</v>
      </c>
      <c r="E2725" t="s">
        <v>49</v>
      </c>
      <c r="F2725">
        <v>2</v>
      </c>
      <c r="G2725">
        <v>0.21321442417011729</v>
      </c>
      <c r="H2725" t="s">
        <v>101</v>
      </c>
      <c r="I2725">
        <v>0</v>
      </c>
      <c r="J2725">
        <v>0</v>
      </c>
      <c r="K2725">
        <v>0</v>
      </c>
    </row>
    <row r="2726" spans="1:11" x14ac:dyDescent="0.2">
      <c r="A2726" t="s">
        <v>16</v>
      </c>
      <c r="B2726" t="s">
        <v>882</v>
      </c>
      <c r="C2726">
        <v>150</v>
      </c>
      <c r="D2726" t="s">
        <v>7187</v>
      </c>
      <c r="E2726" t="s">
        <v>49</v>
      </c>
      <c r="F2726">
        <v>2</v>
      </c>
      <c r="G2726">
        <v>0.21321442417011729</v>
      </c>
      <c r="H2726" t="s">
        <v>97</v>
      </c>
      <c r="I2726">
        <v>0</v>
      </c>
      <c r="J2726">
        <v>0</v>
      </c>
      <c r="K2726">
        <v>0</v>
      </c>
    </row>
    <row r="2727" spans="1:11" x14ac:dyDescent="0.2">
      <c r="A2727" t="s">
        <v>16</v>
      </c>
      <c r="B2727" t="s">
        <v>882</v>
      </c>
      <c r="C2727">
        <v>150</v>
      </c>
      <c r="D2727" t="s">
        <v>7263</v>
      </c>
      <c r="E2727" t="s">
        <v>49</v>
      </c>
      <c r="F2727">
        <v>2</v>
      </c>
      <c r="G2727">
        <v>0.21321442417011729</v>
      </c>
      <c r="H2727" t="s">
        <v>101</v>
      </c>
      <c r="I2727">
        <v>0</v>
      </c>
      <c r="J2727">
        <v>0</v>
      </c>
      <c r="K2727">
        <v>0</v>
      </c>
    </row>
    <row r="2728" spans="1:11" x14ac:dyDescent="0.2">
      <c r="A2728" t="s">
        <v>16</v>
      </c>
      <c r="B2728" t="s">
        <v>882</v>
      </c>
      <c r="C2728">
        <v>150</v>
      </c>
      <c r="D2728" t="s">
        <v>7176</v>
      </c>
      <c r="E2728" t="s">
        <v>49</v>
      </c>
      <c r="F2728">
        <v>2</v>
      </c>
      <c r="G2728">
        <v>0.21321442417011729</v>
      </c>
      <c r="H2728" t="s">
        <v>97</v>
      </c>
      <c r="I2728">
        <v>0</v>
      </c>
      <c r="J2728">
        <v>0</v>
      </c>
      <c r="K2728">
        <v>0</v>
      </c>
    </row>
    <row r="2729" spans="1:11" x14ac:dyDescent="0.2">
      <c r="A2729" t="s">
        <v>16</v>
      </c>
      <c r="B2729" t="s">
        <v>882</v>
      </c>
      <c r="C2729">
        <v>150</v>
      </c>
      <c r="D2729" t="s">
        <v>7212</v>
      </c>
      <c r="E2729" t="s">
        <v>49</v>
      </c>
      <c r="F2729">
        <v>2</v>
      </c>
      <c r="G2729">
        <v>0.21321442417011729</v>
      </c>
      <c r="H2729" t="s">
        <v>101</v>
      </c>
      <c r="I2729">
        <v>0</v>
      </c>
      <c r="J2729">
        <v>0</v>
      </c>
      <c r="K2729">
        <v>0</v>
      </c>
    </row>
    <row r="2730" spans="1:11" x14ac:dyDescent="0.2">
      <c r="A2730" t="s">
        <v>16</v>
      </c>
      <c r="B2730" t="s">
        <v>882</v>
      </c>
      <c r="C2730">
        <v>150</v>
      </c>
      <c r="D2730" t="s">
        <v>7221</v>
      </c>
      <c r="E2730" t="s">
        <v>49</v>
      </c>
      <c r="F2730">
        <v>2</v>
      </c>
      <c r="G2730">
        <v>0.21321442417011729</v>
      </c>
      <c r="H2730" t="s">
        <v>97</v>
      </c>
      <c r="I2730">
        <v>0</v>
      </c>
      <c r="J2730">
        <v>0</v>
      </c>
      <c r="K2730">
        <v>0</v>
      </c>
    </row>
    <row r="2731" spans="1:11" x14ac:dyDescent="0.2">
      <c r="A2731" t="s">
        <v>16</v>
      </c>
      <c r="B2731" t="s">
        <v>882</v>
      </c>
      <c r="C2731">
        <v>150</v>
      </c>
      <c r="D2731" t="s">
        <v>7185</v>
      </c>
      <c r="E2731" t="s">
        <v>49</v>
      </c>
      <c r="F2731">
        <v>2</v>
      </c>
      <c r="G2731">
        <v>0.21321442417011729</v>
      </c>
      <c r="H2731" t="s">
        <v>101</v>
      </c>
      <c r="I2731">
        <v>0</v>
      </c>
      <c r="J2731">
        <v>0</v>
      </c>
      <c r="K2731">
        <v>0</v>
      </c>
    </row>
    <row r="2732" spans="1:11" x14ac:dyDescent="0.2">
      <c r="A2732" t="s">
        <v>16</v>
      </c>
      <c r="B2732" t="s">
        <v>882</v>
      </c>
      <c r="C2732">
        <v>150</v>
      </c>
      <c r="D2732" t="s">
        <v>7225</v>
      </c>
      <c r="E2732" t="s">
        <v>49</v>
      </c>
      <c r="F2732">
        <v>2</v>
      </c>
      <c r="G2732">
        <v>0.21321442417011729</v>
      </c>
      <c r="H2732" t="s">
        <v>97</v>
      </c>
      <c r="I2732">
        <v>0</v>
      </c>
      <c r="J2732">
        <v>0</v>
      </c>
      <c r="K2732">
        <v>0</v>
      </c>
    </row>
    <row r="2733" spans="1:11" x14ac:dyDescent="0.2">
      <c r="A2733" t="s">
        <v>16</v>
      </c>
      <c r="B2733" t="s">
        <v>882</v>
      </c>
      <c r="C2733">
        <v>150</v>
      </c>
      <c r="D2733" t="s">
        <v>7210</v>
      </c>
      <c r="E2733" t="s">
        <v>49</v>
      </c>
      <c r="F2733">
        <v>2</v>
      </c>
      <c r="G2733">
        <v>0.21321442417011729</v>
      </c>
      <c r="H2733" t="s">
        <v>101</v>
      </c>
      <c r="I2733">
        <v>0</v>
      </c>
      <c r="J2733">
        <v>0</v>
      </c>
      <c r="K2733">
        <v>0</v>
      </c>
    </row>
    <row r="2734" spans="1:11" x14ac:dyDescent="0.2">
      <c r="A2734" t="s">
        <v>16</v>
      </c>
      <c r="B2734" t="s">
        <v>882</v>
      </c>
      <c r="C2734">
        <v>150</v>
      </c>
      <c r="D2734" t="s">
        <v>7219</v>
      </c>
      <c r="E2734" t="s">
        <v>49</v>
      </c>
      <c r="F2734">
        <v>2</v>
      </c>
      <c r="G2734">
        <v>0.21321442417011729</v>
      </c>
      <c r="H2734" t="s">
        <v>97</v>
      </c>
      <c r="I2734">
        <v>0</v>
      </c>
      <c r="J2734">
        <v>0</v>
      </c>
      <c r="K2734">
        <v>0</v>
      </c>
    </row>
    <row r="2735" spans="1:11" x14ac:dyDescent="0.2">
      <c r="A2735" t="s">
        <v>16</v>
      </c>
      <c r="B2735" t="s">
        <v>882</v>
      </c>
      <c r="C2735">
        <v>150</v>
      </c>
      <c r="D2735" t="s">
        <v>7213</v>
      </c>
      <c r="E2735" t="s">
        <v>49</v>
      </c>
      <c r="F2735">
        <v>2</v>
      </c>
      <c r="G2735">
        <v>0.21321442417011729</v>
      </c>
      <c r="H2735" t="s">
        <v>101</v>
      </c>
      <c r="I2735">
        <v>0</v>
      </c>
      <c r="J2735">
        <v>0</v>
      </c>
      <c r="K2735">
        <v>0</v>
      </c>
    </row>
    <row r="2736" spans="1:11" x14ac:dyDescent="0.2">
      <c r="A2736" t="s">
        <v>16</v>
      </c>
      <c r="B2736" t="s">
        <v>882</v>
      </c>
      <c r="C2736">
        <v>150</v>
      </c>
      <c r="D2736" t="s">
        <v>7199</v>
      </c>
      <c r="E2736" t="s">
        <v>49</v>
      </c>
      <c r="F2736">
        <v>2</v>
      </c>
      <c r="G2736">
        <v>0.21321442417011729</v>
      </c>
      <c r="H2736" t="s">
        <v>97</v>
      </c>
      <c r="I2736">
        <v>0</v>
      </c>
      <c r="J2736">
        <v>0</v>
      </c>
      <c r="K2736">
        <v>0</v>
      </c>
    </row>
    <row r="2737" spans="1:11" x14ac:dyDescent="0.2">
      <c r="A2737" t="s">
        <v>16</v>
      </c>
      <c r="B2737" t="s">
        <v>882</v>
      </c>
      <c r="C2737">
        <v>150</v>
      </c>
      <c r="D2737" t="s">
        <v>7204</v>
      </c>
      <c r="E2737" t="s">
        <v>49</v>
      </c>
      <c r="F2737">
        <v>2</v>
      </c>
      <c r="G2737">
        <v>0.21321442417011729</v>
      </c>
      <c r="H2737" t="s">
        <v>101</v>
      </c>
      <c r="I2737">
        <v>0</v>
      </c>
      <c r="J2737">
        <v>0</v>
      </c>
      <c r="K2737">
        <v>0</v>
      </c>
    </row>
    <row r="2738" spans="1:11" x14ac:dyDescent="0.2">
      <c r="A2738" t="s">
        <v>16</v>
      </c>
      <c r="B2738" t="s">
        <v>882</v>
      </c>
      <c r="C2738">
        <v>150</v>
      </c>
      <c r="D2738" t="s">
        <v>7182</v>
      </c>
      <c r="E2738" t="s">
        <v>49</v>
      </c>
      <c r="F2738">
        <v>2</v>
      </c>
      <c r="G2738">
        <v>0.21321442417011729</v>
      </c>
      <c r="H2738" t="s">
        <v>97</v>
      </c>
      <c r="I2738">
        <v>0</v>
      </c>
      <c r="J2738">
        <v>0</v>
      </c>
      <c r="K2738">
        <v>0</v>
      </c>
    </row>
    <row r="2739" spans="1:11" x14ac:dyDescent="0.2">
      <c r="A2739" t="s">
        <v>16</v>
      </c>
      <c r="B2739" t="s">
        <v>882</v>
      </c>
      <c r="C2739">
        <v>150</v>
      </c>
      <c r="D2739" t="s">
        <v>7215</v>
      </c>
      <c r="E2739" t="s">
        <v>49</v>
      </c>
      <c r="F2739">
        <v>2</v>
      </c>
      <c r="G2739">
        <v>0.21321442417011729</v>
      </c>
      <c r="H2739" t="s">
        <v>101</v>
      </c>
      <c r="I2739">
        <v>0</v>
      </c>
      <c r="J2739">
        <v>0</v>
      </c>
      <c r="K2739">
        <v>0</v>
      </c>
    </row>
    <row r="2740" spans="1:11" x14ac:dyDescent="0.2">
      <c r="A2740" t="s">
        <v>16</v>
      </c>
      <c r="B2740" t="s">
        <v>882</v>
      </c>
      <c r="C2740">
        <v>150</v>
      </c>
      <c r="D2740" t="s">
        <v>7186</v>
      </c>
      <c r="E2740" t="s">
        <v>49</v>
      </c>
      <c r="F2740">
        <v>2</v>
      </c>
      <c r="G2740">
        <v>0.21321442417011729</v>
      </c>
      <c r="H2740" t="s">
        <v>97</v>
      </c>
      <c r="I2740">
        <v>0</v>
      </c>
      <c r="J2740">
        <v>0</v>
      </c>
      <c r="K2740">
        <v>0</v>
      </c>
    </row>
    <row r="2741" spans="1:11" x14ac:dyDescent="0.2">
      <c r="A2741" t="s">
        <v>16</v>
      </c>
      <c r="B2741" t="s">
        <v>882</v>
      </c>
      <c r="C2741">
        <v>150</v>
      </c>
      <c r="D2741" t="s">
        <v>7214</v>
      </c>
      <c r="E2741" t="s">
        <v>49</v>
      </c>
      <c r="F2741">
        <v>2</v>
      </c>
      <c r="G2741">
        <v>0.21321442417011729</v>
      </c>
      <c r="H2741" t="s">
        <v>101</v>
      </c>
      <c r="I2741">
        <v>0</v>
      </c>
      <c r="J2741">
        <v>0</v>
      </c>
      <c r="K2741">
        <v>0</v>
      </c>
    </row>
    <row r="2742" spans="1:11" x14ac:dyDescent="0.2">
      <c r="A2742" t="s">
        <v>16</v>
      </c>
      <c r="B2742" t="s">
        <v>882</v>
      </c>
      <c r="C2742">
        <v>150</v>
      </c>
      <c r="D2742" t="s">
        <v>7220</v>
      </c>
      <c r="E2742" t="s">
        <v>49</v>
      </c>
      <c r="F2742">
        <v>2</v>
      </c>
      <c r="G2742">
        <v>0.21321442417011729</v>
      </c>
      <c r="H2742" t="s">
        <v>97</v>
      </c>
      <c r="I2742">
        <v>0</v>
      </c>
      <c r="J2742">
        <v>0</v>
      </c>
      <c r="K2742">
        <v>0</v>
      </c>
    </row>
    <row r="2743" spans="1:11" x14ac:dyDescent="0.2">
      <c r="A2743" t="s">
        <v>16</v>
      </c>
      <c r="B2743" t="s">
        <v>882</v>
      </c>
      <c r="C2743">
        <v>150</v>
      </c>
      <c r="D2743" t="s">
        <v>7218</v>
      </c>
      <c r="E2743" t="s">
        <v>49</v>
      </c>
      <c r="F2743">
        <v>2</v>
      </c>
      <c r="G2743">
        <v>0.21321442417011729</v>
      </c>
      <c r="H2743" t="s">
        <v>101</v>
      </c>
      <c r="I2743">
        <v>0</v>
      </c>
      <c r="J2743">
        <v>0</v>
      </c>
      <c r="K2743">
        <v>0</v>
      </c>
    </row>
    <row r="2744" spans="1:11" x14ac:dyDescent="0.2">
      <c r="A2744" t="s">
        <v>16</v>
      </c>
      <c r="B2744" t="s">
        <v>882</v>
      </c>
      <c r="C2744">
        <v>150</v>
      </c>
      <c r="D2744" t="s">
        <v>7259</v>
      </c>
      <c r="E2744" t="s">
        <v>49</v>
      </c>
      <c r="F2744">
        <v>2</v>
      </c>
      <c r="G2744">
        <v>0.21321442417011729</v>
      </c>
      <c r="H2744" t="s">
        <v>97</v>
      </c>
      <c r="I2744">
        <v>0</v>
      </c>
      <c r="J2744">
        <v>0</v>
      </c>
      <c r="K2744">
        <v>0</v>
      </c>
    </row>
    <row r="2745" spans="1:11" x14ac:dyDescent="0.2">
      <c r="A2745" t="s">
        <v>16</v>
      </c>
      <c r="B2745" t="s">
        <v>882</v>
      </c>
      <c r="C2745">
        <v>150</v>
      </c>
      <c r="D2745" t="s">
        <v>7243</v>
      </c>
      <c r="E2745" t="s">
        <v>49</v>
      </c>
      <c r="F2745">
        <v>2</v>
      </c>
      <c r="G2745">
        <v>0.21321442417011729</v>
      </c>
      <c r="H2745" t="s">
        <v>101</v>
      </c>
      <c r="I2745">
        <v>0</v>
      </c>
      <c r="J2745">
        <v>0</v>
      </c>
      <c r="K2745">
        <v>0</v>
      </c>
    </row>
    <row r="2746" spans="1:11" x14ac:dyDescent="0.2">
      <c r="A2746" t="s">
        <v>16</v>
      </c>
      <c r="B2746" t="s">
        <v>882</v>
      </c>
      <c r="C2746">
        <v>150</v>
      </c>
      <c r="D2746" t="s">
        <v>7256</v>
      </c>
      <c r="E2746" t="s">
        <v>49</v>
      </c>
      <c r="F2746">
        <v>2</v>
      </c>
      <c r="G2746">
        <v>0.21321442417011729</v>
      </c>
      <c r="H2746" t="s">
        <v>97</v>
      </c>
      <c r="I2746">
        <v>0</v>
      </c>
      <c r="J2746">
        <v>0</v>
      </c>
      <c r="K2746">
        <v>0</v>
      </c>
    </row>
    <row r="2747" spans="1:11" x14ac:dyDescent="0.2">
      <c r="A2747" t="s">
        <v>16</v>
      </c>
      <c r="B2747" t="s">
        <v>882</v>
      </c>
      <c r="C2747">
        <v>150</v>
      </c>
      <c r="D2747" t="s">
        <v>7206</v>
      </c>
      <c r="E2747" t="s">
        <v>49</v>
      </c>
      <c r="F2747">
        <v>2</v>
      </c>
      <c r="G2747">
        <v>0.21321442417011729</v>
      </c>
      <c r="H2747" t="s">
        <v>101</v>
      </c>
      <c r="I2747">
        <v>0</v>
      </c>
      <c r="J2747">
        <v>0</v>
      </c>
      <c r="K2747">
        <v>0</v>
      </c>
    </row>
    <row r="2748" spans="1:11" x14ac:dyDescent="0.2">
      <c r="A2748" t="s">
        <v>16</v>
      </c>
      <c r="B2748" t="s">
        <v>882</v>
      </c>
      <c r="C2748">
        <v>150</v>
      </c>
      <c r="D2748" t="s">
        <v>7245</v>
      </c>
      <c r="E2748" t="s">
        <v>49</v>
      </c>
      <c r="F2748">
        <v>2</v>
      </c>
      <c r="G2748">
        <v>0.21321442417011729</v>
      </c>
      <c r="H2748" t="s">
        <v>97</v>
      </c>
      <c r="I2748">
        <v>0</v>
      </c>
      <c r="J2748">
        <v>0</v>
      </c>
      <c r="K2748">
        <v>0</v>
      </c>
    </row>
    <row r="2749" spans="1:11" x14ac:dyDescent="0.2">
      <c r="A2749" t="s">
        <v>16</v>
      </c>
      <c r="B2749" t="s">
        <v>882</v>
      </c>
      <c r="C2749">
        <v>150</v>
      </c>
      <c r="D2749" t="s">
        <v>7249</v>
      </c>
      <c r="E2749" t="s">
        <v>49</v>
      </c>
      <c r="F2749">
        <v>2</v>
      </c>
      <c r="G2749">
        <v>0.21321442417011729</v>
      </c>
      <c r="H2749" t="s">
        <v>101</v>
      </c>
      <c r="I2749">
        <v>0</v>
      </c>
      <c r="J2749">
        <v>0</v>
      </c>
      <c r="K2749">
        <v>0</v>
      </c>
    </row>
    <row r="2750" spans="1:11" x14ac:dyDescent="0.2">
      <c r="A2750" t="s">
        <v>16</v>
      </c>
      <c r="B2750" t="s">
        <v>882</v>
      </c>
      <c r="C2750">
        <v>150</v>
      </c>
      <c r="D2750" t="s">
        <v>7223</v>
      </c>
      <c r="E2750" t="s">
        <v>49</v>
      </c>
      <c r="F2750">
        <v>2</v>
      </c>
      <c r="G2750">
        <v>0.21321442417011729</v>
      </c>
      <c r="H2750" t="s">
        <v>97</v>
      </c>
      <c r="I2750">
        <v>0</v>
      </c>
      <c r="J2750">
        <v>0</v>
      </c>
      <c r="K2750">
        <v>0</v>
      </c>
    </row>
    <row r="2751" spans="1:11" x14ac:dyDescent="0.2">
      <c r="A2751" t="s">
        <v>16</v>
      </c>
      <c r="B2751" t="s">
        <v>882</v>
      </c>
      <c r="C2751">
        <v>50</v>
      </c>
      <c r="D2751" t="s">
        <v>7197</v>
      </c>
      <c r="E2751" t="s">
        <v>49</v>
      </c>
      <c r="F2751">
        <v>2</v>
      </c>
      <c r="G2751">
        <v>7.1071474723372427E-2</v>
      </c>
      <c r="H2751" t="s">
        <v>101</v>
      </c>
      <c r="I2751">
        <v>0</v>
      </c>
      <c r="J2751">
        <v>0</v>
      </c>
      <c r="K2751">
        <v>0</v>
      </c>
    </row>
    <row r="2752" spans="1:11" x14ac:dyDescent="0.2">
      <c r="A2752" t="s">
        <v>16</v>
      </c>
      <c r="B2752" t="s">
        <v>882</v>
      </c>
      <c r="C2752">
        <v>150</v>
      </c>
      <c r="D2752" t="s">
        <v>7227</v>
      </c>
      <c r="E2752" t="s">
        <v>49</v>
      </c>
      <c r="F2752">
        <v>2</v>
      </c>
      <c r="G2752">
        <v>0.21321442417011729</v>
      </c>
      <c r="H2752" t="s">
        <v>97</v>
      </c>
      <c r="I2752">
        <v>0</v>
      </c>
      <c r="J2752">
        <v>0</v>
      </c>
      <c r="K2752">
        <v>0</v>
      </c>
    </row>
    <row r="2753" spans="1:11" x14ac:dyDescent="0.2">
      <c r="A2753" t="s">
        <v>16</v>
      </c>
      <c r="B2753" t="s">
        <v>882</v>
      </c>
      <c r="C2753">
        <v>150</v>
      </c>
      <c r="D2753" t="s">
        <v>7262</v>
      </c>
      <c r="E2753" t="s">
        <v>49</v>
      </c>
      <c r="F2753">
        <v>2</v>
      </c>
      <c r="G2753">
        <v>0.21321442417011729</v>
      </c>
      <c r="H2753" t="s">
        <v>101</v>
      </c>
      <c r="I2753">
        <v>0</v>
      </c>
      <c r="J2753">
        <v>0</v>
      </c>
      <c r="K2753">
        <v>0</v>
      </c>
    </row>
    <row r="2754" spans="1:11" x14ac:dyDescent="0.2">
      <c r="A2754" t="s">
        <v>16</v>
      </c>
      <c r="B2754" t="s">
        <v>882</v>
      </c>
      <c r="C2754">
        <v>150</v>
      </c>
      <c r="D2754" t="s">
        <v>7241</v>
      </c>
      <c r="E2754" t="s">
        <v>49</v>
      </c>
      <c r="F2754">
        <v>2</v>
      </c>
      <c r="G2754">
        <v>0.21321442417011729</v>
      </c>
      <c r="H2754" t="s">
        <v>97</v>
      </c>
      <c r="I2754">
        <v>0</v>
      </c>
      <c r="J2754">
        <v>0</v>
      </c>
      <c r="K2754">
        <v>0</v>
      </c>
    </row>
    <row r="2755" spans="1:11" x14ac:dyDescent="0.2">
      <c r="A2755" t="s">
        <v>16</v>
      </c>
      <c r="B2755" t="s">
        <v>882</v>
      </c>
      <c r="C2755">
        <v>150</v>
      </c>
      <c r="D2755" t="s">
        <v>7260</v>
      </c>
      <c r="E2755" t="s">
        <v>49</v>
      </c>
      <c r="F2755">
        <v>2</v>
      </c>
      <c r="G2755">
        <v>0.21321442417011729</v>
      </c>
      <c r="H2755" t="s">
        <v>101</v>
      </c>
      <c r="I2755">
        <v>0</v>
      </c>
      <c r="J2755">
        <v>0</v>
      </c>
      <c r="K2755">
        <v>0</v>
      </c>
    </row>
    <row r="2756" spans="1:11" x14ac:dyDescent="0.2">
      <c r="A2756" t="s">
        <v>16</v>
      </c>
      <c r="B2756" t="s">
        <v>882</v>
      </c>
      <c r="C2756">
        <v>150</v>
      </c>
      <c r="D2756" t="s">
        <v>7205</v>
      </c>
      <c r="E2756" t="s">
        <v>49</v>
      </c>
      <c r="F2756">
        <v>2</v>
      </c>
      <c r="G2756">
        <v>0.21321442417011729</v>
      </c>
      <c r="H2756" t="s">
        <v>97</v>
      </c>
      <c r="I2756">
        <v>0</v>
      </c>
      <c r="J2756">
        <v>0</v>
      </c>
      <c r="K2756">
        <v>0</v>
      </c>
    </row>
    <row r="2757" spans="1:11" x14ac:dyDescent="0.2">
      <c r="A2757" t="s">
        <v>16</v>
      </c>
      <c r="B2757" t="s">
        <v>882</v>
      </c>
      <c r="C2757">
        <v>150</v>
      </c>
      <c r="D2757" t="s">
        <v>7202</v>
      </c>
      <c r="E2757" t="s">
        <v>49</v>
      </c>
      <c r="F2757">
        <v>2</v>
      </c>
      <c r="G2757">
        <v>0.21321442417011729</v>
      </c>
      <c r="H2757" t="s">
        <v>101</v>
      </c>
      <c r="I2757">
        <v>0</v>
      </c>
      <c r="J2757">
        <v>0</v>
      </c>
      <c r="K2757">
        <v>0</v>
      </c>
    </row>
    <row r="2758" spans="1:11" x14ac:dyDescent="0.2">
      <c r="A2758" t="s">
        <v>16</v>
      </c>
      <c r="B2758" t="s">
        <v>882</v>
      </c>
      <c r="C2758">
        <v>150</v>
      </c>
      <c r="D2758" t="s">
        <v>7248</v>
      </c>
      <c r="E2758" t="s">
        <v>49</v>
      </c>
      <c r="F2758">
        <v>2</v>
      </c>
      <c r="G2758">
        <v>0.21321442417011729</v>
      </c>
      <c r="H2758" t="s">
        <v>97</v>
      </c>
      <c r="I2758">
        <v>0</v>
      </c>
      <c r="J2758">
        <v>0</v>
      </c>
      <c r="K2758">
        <v>0</v>
      </c>
    </row>
    <row r="2759" spans="1:11" x14ac:dyDescent="0.2">
      <c r="A2759" t="s">
        <v>16</v>
      </c>
      <c r="B2759" t="s">
        <v>882</v>
      </c>
      <c r="C2759">
        <v>150</v>
      </c>
      <c r="D2759" t="s">
        <v>7252</v>
      </c>
      <c r="E2759" t="s">
        <v>49</v>
      </c>
      <c r="F2759">
        <v>2</v>
      </c>
      <c r="G2759">
        <v>0.21321442417011729</v>
      </c>
      <c r="H2759" t="s">
        <v>101</v>
      </c>
      <c r="I2759">
        <v>0</v>
      </c>
      <c r="J2759">
        <v>0</v>
      </c>
      <c r="K2759">
        <v>0</v>
      </c>
    </row>
    <row r="2760" spans="1:11" x14ac:dyDescent="0.2">
      <c r="A2760" t="s">
        <v>16</v>
      </c>
      <c r="B2760" t="s">
        <v>882</v>
      </c>
      <c r="C2760">
        <v>150</v>
      </c>
      <c r="D2760" t="s">
        <v>7255</v>
      </c>
      <c r="E2760" t="s">
        <v>49</v>
      </c>
      <c r="F2760">
        <v>2</v>
      </c>
      <c r="G2760">
        <v>0.21321442417011729</v>
      </c>
      <c r="H2760" t="s">
        <v>97</v>
      </c>
      <c r="I2760">
        <v>0</v>
      </c>
      <c r="J2760">
        <v>0</v>
      </c>
      <c r="K2760">
        <v>0</v>
      </c>
    </row>
    <row r="2761" spans="1:11" x14ac:dyDescent="0.2">
      <c r="A2761" t="s">
        <v>16</v>
      </c>
      <c r="B2761" t="s">
        <v>882</v>
      </c>
      <c r="C2761">
        <v>150</v>
      </c>
      <c r="D2761" t="s">
        <v>7258</v>
      </c>
      <c r="E2761" t="s">
        <v>49</v>
      </c>
      <c r="F2761">
        <v>2</v>
      </c>
      <c r="G2761">
        <v>0.21321442417011729</v>
      </c>
      <c r="H2761" t="s">
        <v>101</v>
      </c>
      <c r="I2761">
        <v>0</v>
      </c>
      <c r="J2761">
        <v>0</v>
      </c>
      <c r="K2761">
        <v>0</v>
      </c>
    </row>
    <row r="2762" spans="1:11" x14ac:dyDescent="0.2">
      <c r="A2762" t="s">
        <v>16</v>
      </c>
      <c r="B2762" t="s">
        <v>882</v>
      </c>
      <c r="C2762">
        <v>150</v>
      </c>
      <c r="D2762" t="s">
        <v>7253</v>
      </c>
      <c r="E2762" t="s">
        <v>49</v>
      </c>
      <c r="F2762">
        <v>2</v>
      </c>
      <c r="G2762">
        <v>0.21321442417011729</v>
      </c>
      <c r="H2762" t="s">
        <v>97</v>
      </c>
      <c r="I2762">
        <v>0</v>
      </c>
      <c r="J2762">
        <v>0</v>
      </c>
      <c r="K2762">
        <v>0</v>
      </c>
    </row>
    <row r="2763" spans="1:11" x14ac:dyDescent="0.2">
      <c r="A2763" t="s">
        <v>16</v>
      </c>
      <c r="B2763" t="s">
        <v>882</v>
      </c>
      <c r="C2763">
        <v>150</v>
      </c>
      <c r="D2763" t="s">
        <v>7254</v>
      </c>
      <c r="E2763" t="s">
        <v>49</v>
      </c>
      <c r="F2763">
        <v>2</v>
      </c>
      <c r="G2763">
        <v>0.21321442417011729</v>
      </c>
      <c r="H2763" t="s">
        <v>101</v>
      </c>
      <c r="I2763">
        <v>0</v>
      </c>
      <c r="J2763">
        <v>0</v>
      </c>
      <c r="K2763">
        <v>0</v>
      </c>
    </row>
    <row r="2764" spans="1:11" x14ac:dyDescent="0.2">
      <c r="A2764" t="s">
        <v>16</v>
      </c>
      <c r="B2764" t="s">
        <v>882</v>
      </c>
      <c r="C2764">
        <v>150</v>
      </c>
      <c r="D2764" t="s">
        <v>7251</v>
      </c>
      <c r="E2764" t="s">
        <v>49</v>
      </c>
      <c r="F2764">
        <v>2</v>
      </c>
      <c r="G2764">
        <v>0.21321442417011729</v>
      </c>
      <c r="H2764" t="s">
        <v>97</v>
      </c>
      <c r="I2764">
        <v>0</v>
      </c>
      <c r="J2764">
        <v>0</v>
      </c>
      <c r="K2764">
        <v>0</v>
      </c>
    </row>
    <row r="2765" spans="1:11" x14ac:dyDescent="0.2">
      <c r="A2765" t="s">
        <v>16</v>
      </c>
      <c r="B2765" t="s">
        <v>882</v>
      </c>
      <c r="C2765">
        <v>150</v>
      </c>
      <c r="D2765" t="s">
        <v>7179</v>
      </c>
      <c r="E2765" t="s">
        <v>49</v>
      </c>
      <c r="F2765">
        <v>2</v>
      </c>
      <c r="G2765">
        <v>0.21321442417011729</v>
      </c>
      <c r="H2765" t="s">
        <v>101</v>
      </c>
      <c r="I2765">
        <v>0</v>
      </c>
      <c r="J2765">
        <v>0</v>
      </c>
      <c r="K2765">
        <v>0</v>
      </c>
    </row>
    <row r="2766" spans="1:11" x14ac:dyDescent="0.2">
      <c r="A2766" t="s">
        <v>16</v>
      </c>
      <c r="B2766" t="s">
        <v>882</v>
      </c>
      <c r="C2766">
        <v>150</v>
      </c>
      <c r="D2766" t="s">
        <v>7180</v>
      </c>
      <c r="E2766" t="s">
        <v>49</v>
      </c>
      <c r="F2766">
        <v>2</v>
      </c>
      <c r="G2766">
        <v>0.21321442417011729</v>
      </c>
      <c r="H2766" t="s">
        <v>97</v>
      </c>
      <c r="I2766">
        <v>0</v>
      </c>
      <c r="J2766">
        <v>0</v>
      </c>
      <c r="K2766">
        <v>0</v>
      </c>
    </row>
    <row r="2767" spans="1:11" x14ac:dyDescent="0.2">
      <c r="A2767" t="s">
        <v>16</v>
      </c>
      <c r="B2767" t="s">
        <v>882</v>
      </c>
      <c r="C2767">
        <v>150</v>
      </c>
      <c r="D2767" t="s">
        <v>7181</v>
      </c>
      <c r="E2767" t="s">
        <v>49</v>
      </c>
      <c r="F2767">
        <v>2</v>
      </c>
      <c r="G2767">
        <v>0.21321442417011729</v>
      </c>
      <c r="H2767" t="s">
        <v>101</v>
      </c>
      <c r="I2767">
        <v>0</v>
      </c>
      <c r="J2767">
        <v>0</v>
      </c>
      <c r="K2767">
        <v>0</v>
      </c>
    </row>
    <row r="2768" spans="1:11" x14ac:dyDescent="0.2">
      <c r="A2768" t="s">
        <v>16</v>
      </c>
      <c r="B2768" t="s">
        <v>882</v>
      </c>
      <c r="C2768">
        <v>150</v>
      </c>
      <c r="D2768" t="s">
        <v>7238</v>
      </c>
      <c r="E2768" t="s">
        <v>49</v>
      </c>
      <c r="F2768">
        <v>2</v>
      </c>
      <c r="G2768">
        <v>0.21321442417011729</v>
      </c>
      <c r="H2768" t="s">
        <v>97</v>
      </c>
      <c r="I2768">
        <v>0</v>
      </c>
      <c r="J2768">
        <v>0</v>
      </c>
      <c r="K2768">
        <v>0</v>
      </c>
    </row>
    <row r="2769" spans="1:11" x14ac:dyDescent="0.2">
      <c r="A2769" t="s">
        <v>16</v>
      </c>
      <c r="B2769" t="s">
        <v>882</v>
      </c>
      <c r="C2769">
        <v>150</v>
      </c>
      <c r="D2769" t="s">
        <v>7191</v>
      </c>
      <c r="E2769" t="s">
        <v>49</v>
      </c>
      <c r="F2769">
        <v>2</v>
      </c>
      <c r="G2769">
        <v>0.21321442417011729</v>
      </c>
      <c r="H2769" t="s">
        <v>101</v>
      </c>
      <c r="I2769">
        <v>0</v>
      </c>
      <c r="J2769">
        <v>0</v>
      </c>
      <c r="K2769">
        <v>0</v>
      </c>
    </row>
    <row r="2770" spans="1:11" x14ac:dyDescent="0.2">
      <c r="A2770" t="s">
        <v>16</v>
      </c>
      <c r="B2770" t="s">
        <v>882</v>
      </c>
      <c r="C2770">
        <v>150</v>
      </c>
      <c r="D2770" t="s">
        <v>7201</v>
      </c>
      <c r="E2770" t="s">
        <v>49</v>
      </c>
      <c r="F2770">
        <v>2</v>
      </c>
      <c r="G2770">
        <v>0.21321442417011729</v>
      </c>
      <c r="H2770" t="s">
        <v>97</v>
      </c>
      <c r="I2770">
        <v>0</v>
      </c>
      <c r="J2770">
        <v>0</v>
      </c>
      <c r="K2770">
        <v>0</v>
      </c>
    </row>
    <row r="2771" spans="1:11" x14ac:dyDescent="0.2">
      <c r="A2771" t="s">
        <v>16</v>
      </c>
      <c r="B2771" t="s">
        <v>882</v>
      </c>
      <c r="C2771">
        <v>150</v>
      </c>
      <c r="D2771" t="s">
        <v>7230</v>
      </c>
      <c r="E2771" t="s">
        <v>49</v>
      </c>
      <c r="F2771">
        <v>2</v>
      </c>
      <c r="G2771">
        <v>0.21321442417011729</v>
      </c>
      <c r="H2771" t="s">
        <v>101</v>
      </c>
      <c r="I2771">
        <v>0</v>
      </c>
      <c r="J2771">
        <v>0</v>
      </c>
      <c r="K2771">
        <v>0</v>
      </c>
    </row>
    <row r="2772" spans="1:11" x14ac:dyDescent="0.2">
      <c r="A2772" t="s">
        <v>16</v>
      </c>
      <c r="B2772" t="s">
        <v>882</v>
      </c>
      <c r="C2772">
        <v>150</v>
      </c>
      <c r="D2772" t="s">
        <v>7209</v>
      </c>
      <c r="E2772" t="s">
        <v>49</v>
      </c>
      <c r="F2772">
        <v>2</v>
      </c>
      <c r="G2772">
        <v>0.21321442417011729</v>
      </c>
      <c r="H2772" t="s">
        <v>97</v>
      </c>
      <c r="I2772">
        <v>0</v>
      </c>
      <c r="J2772">
        <v>0</v>
      </c>
      <c r="K2772">
        <v>0</v>
      </c>
    </row>
    <row r="2773" spans="1:11" x14ac:dyDescent="0.2">
      <c r="A2773" t="s">
        <v>16</v>
      </c>
      <c r="B2773" t="s">
        <v>882</v>
      </c>
      <c r="C2773">
        <v>150</v>
      </c>
      <c r="D2773" t="s">
        <v>7246</v>
      </c>
      <c r="E2773" t="s">
        <v>49</v>
      </c>
      <c r="F2773">
        <v>2</v>
      </c>
      <c r="G2773">
        <v>0.21321442417011729</v>
      </c>
      <c r="H2773" t="s">
        <v>101</v>
      </c>
      <c r="I2773">
        <v>0</v>
      </c>
      <c r="J2773">
        <v>0</v>
      </c>
      <c r="K2773">
        <v>0</v>
      </c>
    </row>
    <row r="2774" spans="1:11" x14ac:dyDescent="0.2">
      <c r="A2774" t="s">
        <v>16</v>
      </c>
      <c r="B2774" t="s">
        <v>882</v>
      </c>
      <c r="C2774">
        <v>150</v>
      </c>
      <c r="D2774" t="s">
        <v>7194</v>
      </c>
      <c r="E2774" t="s">
        <v>49</v>
      </c>
      <c r="F2774">
        <v>2</v>
      </c>
      <c r="G2774">
        <v>0.21321442417011729</v>
      </c>
      <c r="H2774" t="s">
        <v>97</v>
      </c>
      <c r="I2774">
        <v>0</v>
      </c>
      <c r="J2774">
        <v>0</v>
      </c>
      <c r="K2774">
        <v>0</v>
      </c>
    </row>
    <row r="2775" spans="1:11" x14ac:dyDescent="0.2">
      <c r="A2775" t="s">
        <v>16</v>
      </c>
      <c r="B2775" t="s">
        <v>882</v>
      </c>
      <c r="C2775">
        <v>150</v>
      </c>
      <c r="D2775" t="s">
        <v>7216</v>
      </c>
      <c r="E2775" t="s">
        <v>49</v>
      </c>
      <c r="F2775">
        <v>2</v>
      </c>
      <c r="G2775">
        <v>0.21321442417011729</v>
      </c>
      <c r="H2775" t="s">
        <v>101</v>
      </c>
      <c r="I2775">
        <v>0</v>
      </c>
      <c r="J2775">
        <v>0</v>
      </c>
      <c r="K2775">
        <v>0</v>
      </c>
    </row>
    <row r="2776" spans="1:11" x14ac:dyDescent="0.2">
      <c r="A2776" t="s">
        <v>16</v>
      </c>
      <c r="B2776" t="s">
        <v>882</v>
      </c>
      <c r="C2776">
        <v>150</v>
      </c>
      <c r="D2776" t="s">
        <v>7208</v>
      </c>
      <c r="E2776" t="s">
        <v>49</v>
      </c>
      <c r="F2776">
        <v>2</v>
      </c>
      <c r="G2776">
        <v>0.21321442417011729</v>
      </c>
      <c r="H2776" t="s">
        <v>97</v>
      </c>
      <c r="I2776">
        <v>0</v>
      </c>
      <c r="J2776">
        <v>0</v>
      </c>
      <c r="K2776">
        <v>0</v>
      </c>
    </row>
    <row r="2777" spans="1:11" x14ac:dyDescent="0.2">
      <c r="A2777" t="s">
        <v>16</v>
      </c>
      <c r="B2777" t="s">
        <v>882</v>
      </c>
      <c r="C2777">
        <v>150</v>
      </c>
      <c r="D2777" t="s">
        <v>7250</v>
      </c>
      <c r="E2777" t="s">
        <v>49</v>
      </c>
      <c r="F2777">
        <v>2</v>
      </c>
      <c r="G2777">
        <v>0.21321442417011729</v>
      </c>
      <c r="H2777" t="s">
        <v>101</v>
      </c>
      <c r="I2777">
        <v>0</v>
      </c>
      <c r="J2777">
        <v>0</v>
      </c>
      <c r="K2777">
        <v>0</v>
      </c>
    </row>
    <row r="2778" spans="1:11" x14ac:dyDescent="0.2">
      <c r="A2778" t="s">
        <v>16</v>
      </c>
      <c r="B2778" t="s">
        <v>882</v>
      </c>
      <c r="C2778">
        <v>150</v>
      </c>
      <c r="D2778" t="s">
        <v>7235</v>
      </c>
      <c r="E2778" t="s">
        <v>49</v>
      </c>
      <c r="F2778">
        <v>2</v>
      </c>
      <c r="G2778">
        <v>0.21321442417011729</v>
      </c>
      <c r="H2778" t="s">
        <v>97</v>
      </c>
      <c r="I2778">
        <v>0</v>
      </c>
      <c r="J2778">
        <v>0</v>
      </c>
      <c r="K2778">
        <v>0</v>
      </c>
    </row>
    <row r="2779" spans="1:11" x14ac:dyDescent="0.2">
      <c r="A2779" t="s">
        <v>16</v>
      </c>
      <c r="B2779" t="s">
        <v>882</v>
      </c>
      <c r="C2779">
        <v>150</v>
      </c>
      <c r="D2779" t="s">
        <v>7233</v>
      </c>
      <c r="E2779" t="s">
        <v>49</v>
      </c>
      <c r="F2779">
        <v>2</v>
      </c>
      <c r="G2779">
        <v>0.21321442417011729</v>
      </c>
      <c r="H2779" t="s">
        <v>101</v>
      </c>
      <c r="I2779">
        <v>0</v>
      </c>
      <c r="J2779">
        <v>0</v>
      </c>
      <c r="K2779">
        <v>0</v>
      </c>
    </row>
    <row r="2780" spans="1:11" x14ac:dyDescent="0.2">
      <c r="A2780" t="s">
        <v>16</v>
      </c>
      <c r="B2780" t="s">
        <v>882</v>
      </c>
      <c r="C2780">
        <v>150</v>
      </c>
      <c r="D2780" t="s">
        <v>7192</v>
      </c>
      <c r="E2780" t="s">
        <v>49</v>
      </c>
      <c r="F2780">
        <v>2</v>
      </c>
      <c r="G2780">
        <v>0.21321442417011729</v>
      </c>
      <c r="H2780" t="s">
        <v>97</v>
      </c>
      <c r="I2780">
        <v>0</v>
      </c>
      <c r="J2780">
        <v>0</v>
      </c>
      <c r="K2780">
        <v>0</v>
      </c>
    </row>
    <row r="2781" spans="1:11" x14ac:dyDescent="0.2">
      <c r="A2781" t="s">
        <v>16</v>
      </c>
      <c r="B2781" t="s">
        <v>882</v>
      </c>
      <c r="C2781">
        <v>150</v>
      </c>
      <c r="D2781" t="s">
        <v>7229</v>
      </c>
      <c r="E2781" t="s">
        <v>49</v>
      </c>
      <c r="F2781">
        <v>2</v>
      </c>
      <c r="G2781">
        <v>0.21321442417011729</v>
      </c>
      <c r="H2781" t="s">
        <v>101</v>
      </c>
      <c r="I2781">
        <v>0</v>
      </c>
      <c r="J2781">
        <v>0</v>
      </c>
      <c r="K2781">
        <v>0</v>
      </c>
    </row>
    <row r="2782" spans="1:11" x14ac:dyDescent="0.2">
      <c r="A2782" t="s">
        <v>16</v>
      </c>
      <c r="B2782" t="s">
        <v>882</v>
      </c>
      <c r="C2782">
        <v>150</v>
      </c>
      <c r="D2782" t="s">
        <v>7234</v>
      </c>
      <c r="E2782" t="s">
        <v>49</v>
      </c>
      <c r="F2782">
        <v>2</v>
      </c>
      <c r="G2782">
        <v>0.21321442417011729</v>
      </c>
      <c r="H2782" t="s">
        <v>97</v>
      </c>
      <c r="I2782">
        <v>0</v>
      </c>
      <c r="J2782">
        <v>0</v>
      </c>
      <c r="K2782">
        <v>0</v>
      </c>
    </row>
    <row r="2783" spans="1:11" x14ac:dyDescent="0.2">
      <c r="A2783" t="s">
        <v>16</v>
      </c>
      <c r="B2783" t="s">
        <v>882</v>
      </c>
      <c r="C2783">
        <v>150</v>
      </c>
      <c r="D2783" t="s">
        <v>7203</v>
      </c>
      <c r="E2783" t="s">
        <v>49</v>
      </c>
      <c r="F2783">
        <v>2</v>
      </c>
      <c r="G2783">
        <v>0.21321442417011729</v>
      </c>
      <c r="H2783" t="s">
        <v>101</v>
      </c>
      <c r="I2783">
        <v>0</v>
      </c>
      <c r="J2783">
        <v>0</v>
      </c>
      <c r="K2783">
        <v>0</v>
      </c>
    </row>
    <row r="2784" spans="1:11" x14ac:dyDescent="0.2">
      <c r="A2784" t="s">
        <v>16</v>
      </c>
      <c r="B2784" t="s">
        <v>882</v>
      </c>
      <c r="C2784">
        <v>150</v>
      </c>
      <c r="D2784" t="s">
        <v>7217</v>
      </c>
      <c r="E2784" t="s">
        <v>49</v>
      </c>
      <c r="F2784">
        <v>2</v>
      </c>
      <c r="G2784">
        <v>0.21321442417011729</v>
      </c>
      <c r="H2784" t="s">
        <v>97</v>
      </c>
      <c r="I2784">
        <v>0</v>
      </c>
      <c r="J2784">
        <v>0</v>
      </c>
      <c r="K2784">
        <v>0</v>
      </c>
    </row>
    <row r="2785" spans="1:11" x14ac:dyDescent="0.2">
      <c r="A2785" t="s">
        <v>16</v>
      </c>
      <c r="B2785" t="s">
        <v>811</v>
      </c>
      <c r="C2785">
        <v>570</v>
      </c>
      <c r="D2785" t="s">
        <v>7265</v>
      </c>
      <c r="E2785" t="s">
        <v>49</v>
      </c>
      <c r="F2785">
        <v>2</v>
      </c>
      <c r="G2785">
        <v>0.71485141203215496</v>
      </c>
      <c r="H2785" t="s">
        <v>98</v>
      </c>
      <c r="I2785">
        <v>0</v>
      </c>
      <c r="J2785">
        <v>0</v>
      </c>
      <c r="K2785">
        <v>0</v>
      </c>
    </row>
    <row r="2786" spans="1:11" x14ac:dyDescent="0.2">
      <c r="A2786" t="s">
        <v>16</v>
      </c>
      <c r="B2786" t="s">
        <v>811</v>
      </c>
      <c r="C2786">
        <v>570</v>
      </c>
      <c r="D2786" t="s">
        <v>7266</v>
      </c>
      <c r="E2786" t="s">
        <v>49</v>
      </c>
      <c r="F2786">
        <v>2</v>
      </c>
      <c r="G2786">
        <v>0.71485141203215496</v>
      </c>
      <c r="H2786" t="s">
        <v>96</v>
      </c>
      <c r="I2786">
        <v>0</v>
      </c>
      <c r="J2786">
        <v>0</v>
      </c>
      <c r="K2786">
        <v>0</v>
      </c>
    </row>
    <row r="2787" spans="1:11" x14ac:dyDescent="0.2">
      <c r="A2787" t="s">
        <v>16</v>
      </c>
      <c r="B2787" t="s">
        <v>811</v>
      </c>
      <c r="C2787">
        <v>190</v>
      </c>
      <c r="D2787" t="s">
        <v>7267</v>
      </c>
      <c r="E2787" t="s">
        <v>49</v>
      </c>
      <c r="F2787">
        <v>2</v>
      </c>
      <c r="G2787">
        <v>0.23828380401071833</v>
      </c>
      <c r="H2787" t="s">
        <v>98</v>
      </c>
      <c r="I2787">
        <v>0</v>
      </c>
      <c r="J2787">
        <v>0</v>
      </c>
      <c r="K2787">
        <v>0</v>
      </c>
    </row>
    <row r="2788" spans="1:11" x14ac:dyDescent="0.2">
      <c r="A2788" t="s">
        <v>16</v>
      </c>
      <c r="B2788" t="s">
        <v>3667</v>
      </c>
      <c r="C2788">
        <v>200</v>
      </c>
      <c r="D2788" t="s">
        <v>7269</v>
      </c>
      <c r="E2788" t="s">
        <v>49</v>
      </c>
      <c r="F2788">
        <v>5</v>
      </c>
      <c r="G2788">
        <v>0.23807840199392988</v>
      </c>
      <c r="H2788" t="s">
        <v>91</v>
      </c>
      <c r="I2788">
        <v>0</v>
      </c>
      <c r="J2788">
        <v>0</v>
      </c>
      <c r="K2788">
        <v>0</v>
      </c>
    </row>
    <row r="2789" spans="1:11" x14ac:dyDescent="0.2">
      <c r="A2789" t="s">
        <v>16</v>
      </c>
      <c r="B2789" t="s">
        <v>3667</v>
      </c>
      <c r="C2789">
        <v>300</v>
      </c>
      <c r="D2789" t="s">
        <v>7270</v>
      </c>
      <c r="E2789" t="s">
        <v>49</v>
      </c>
      <c r="F2789">
        <v>5</v>
      </c>
      <c r="G2789">
        <v>0.35711760299089484</v>
      </c>
      <c r="H2789" t="s">
        <v>87</v>
      </c>
      <c r="I2789">
        <v>0</v>
      </c>
      <c r="J2789">
        <v>0</v>
      </c>
      <c r="K2789">
        <v>0</v>
      </c>
    </row>
    <row r="2790" spans="1:11" x14ac:dyDescent="0.2">
      <c r="A2790" t="s">
        <v>16</v>
      </c>
      <c r="B2790" t="s">
        <v>3667</v>
      </c>
      <c r="C2790">
        <v>300</v>
      </c>
      <c r="D2790" t="s">
        <v>7268</v>
      </c>
      <c r="E2790" t="s">
        <v>49</v>
      </c>
      <c r="F2790">
        <v>5</v>
      </c>
      <c r="G2790">
        <v>0.35711760299089484</v>
      </c>
      <c r="H2790" t="s">
        <v>88</v>
      </c>
      <c r="I2790">
        <v>0</v>
      </c>
      <c r="J2790">
        <v>0</v>
      </c>
      <c r="K2790">
        <v>0</v>
      </c>
    </row>
    <row r="2791" spans="1:11" x14ac:dyDescent="0.2">
      <c r="A2791" t="s">
        <v>16</v>
      </c>
      <c r="B2791" t="s">
        <v>3667</v>
      </c>
      <c r="C2791">
        <v>300</v>
      </c>
      <c r="D2791" t="s">
        <v>7271</v>
      </c>
      <c r="E2791" t="s">
        <v>49</v>
      </c>
      <c r="F2791">
        <v>5</v>
      </c>
      <c r="G2791">
        <v>0.35711760299089484</v>
      </c>
      <c r="H2791" t="s">
        <v>89</v>
      </c>
      <c r="I2791">
        <v>0</v>
      </c>
      <c r="J2791">
        <v>0</v>
      </c>
      <c r="K2791">
        <v>0</v>
      </c>
    </row>
    <row r="2792" spans="1:11" x14ac:dyDescent="0.2">
      <c r="A2792" t="s">
        <v>16</v>
      </c>
      <c r="B2792" t="s">
        <v>3881</v>
      </c>
      <c r="C2792">
        <v>300</v>
      </c>
      <c r="D2792" t="s">
        <v>7273</v>
      </c>
      <c r="E2792" t="s">
        <v>49</v>
      </c>
      <c r="F2792">
        <v>5</v>
      </c>
      <c r="G2792">
        <v>0.36925274092546406</v>
      </c>
      <c r="H2792" t="s">
        <v>84</v>
      </c>
      <c r="I2792">
        <v>0</v>
      </c>
      <c r="J2792">
        <v>0</v>
      </c>
      <c r="K2792">
        <v>0</v>
      </c>
    </row>
    <row r="2793" spans="1:11" x14ac:dyDescent="0.2">
      <c r="A2793" t="s">
        <v>16</v>
      </c>
      <c r="B2793" t="s">
        <v>3881</v>
      </c>
      <c r="C2793">
        <v>300</v>
      </c>
      <c r="D2793" t="s">
        <v>7277</v>
      </c>
      <c r="E2793" t="s">
        <v>49</v>
      </c>
      <c r="F2793">
        <v>5</v>
      </c>
      <c r="G2793">
        <v>0.36925274092546406</v>
      </c>
      <c r="H2793" t="s">
        <v>91</v>
      </c>
      <c r="I2793">
        <v>0</v>
      </c>
      <c r="J2793">
        <v>0</v>
      </c>
      <c r="K2793">
        <v>0</v>
      </c>
    </row>
    <row r="2794" spans="1:11" x14ac:dyDescent="0.2">
      <c r="A2794" t="s">
        <v>16</v>
      </c>
      <c r="B2794" t="s">
        <v>3881</v>
      </c>
      <c r="C2794">
        <v>300</v>
      </c>
      <c r="D2794" t="s">
        <v>7275</v>
      </c>
      <c r="E2794" t="s">
        <v>49</v>
      </c>
      <c r="F2794">
        <v>5</v>
      </c>
      <c r="G2794">
        <v>0.36925274092546406</v>
      </c>
      <c r="H2794" t="s">
        <v>104</v>
      </c>
      <c r="I2794">
        <v>0</v>
      </c>
      <c r="J2794">
        <v>0</v>
      </c>
      <c r="K2794">
        <v>0</v>
      </c>
    </row>
    <row r="2795" spans="1:11" x14ac:dyDescent="0.2">
      <c r="A2795" t="s">
        <v>16</v>
      </c>
      <c r="B2795" t="s">
        <v>3881</v>
      </c>
      <c r="C2795">
        <v>200</v>
      </c>
      <c r="D2795" t="s">
        <v>7279</v>
      </c>
      <c r="E2795" t="s">
        <v>49</v>
      </c>
      <c r="F2795">
        <v>5</v>
      </c>
      <c r="G2795">
        <v>0.24616849395030937</v>
      </c>
      <c r="H2795" t="s">
        <v>103</v>
      </c>
      <c r="I2795">
        <v>0</v>
      </c>
      <c r="J2795">
        <v>0</v>
      </c>
      <c r="K2795">
        <v>0</v>
      </c>
    </row>
    <row r="2796" spans="1:11" x14ac:dyDescent="0.2">
      <c r="A2796" t="s">
        <v>16</v>
      </c>
      <c r="B2796" t="s">
        <v>3881</v>
      </c>
      <c r="C2796">
        <v>300</v>
      </c>
      <c r="D2796" t="s">
        <v>7272</v>
      </c>
      <c r="E2796" t="s">
        <v>49</v>
      </c>
      <c r="F2796">
        <v>5</v>
      </c>
      <c r="G2796">
        <v>0.36925274092546406</v>
      </c>
      <c r="H2796" t="s">
        <v>94</v>
      </c>
      <c r="I2796">
        <v>0</v>
      </c>
      <c r="J2796">
        <v>0</v>
      </c>
      <c r="K2796">
        <v>0</v>
      </c>
    </row>
    <row r="2797" spans="1:11" x14ac:dyDescent="0.2">
      <c r="A2797" t="s">
        <v>16</v>
      </c>
      <c r="B2797" t="s">
        <v>3881</v>
      </c>
      <c r="C2797">
        <v>300</v>
      </c>
      <c r="D2797" t="s">
        <v>7276</v>
      </c>
      <c r="E2797" t="s">
        <v>49</v>
      </c>
      <c r="F2797">
        <v>5</v>
      </c>
      <c r="G2797">
        <v>0.36925274092546406</v>
      </c>
      <c r="H2797" t="s">
        <v>103</v>
      </c>
      <c r="I2797">
        <v>0</v>
      </c>
      <c r="J2797">
        <v>0</v>
      </c>
      <c r="K2797">
        <v>0</v>
      </c>
    </row>
    <row r="2798" spans="1:11" x14ac:dyDescent="0.2">
      <c r="A2798" t="s">
        <v>16</v>
      </c>
      <c r="B2798" t="s">
        <v>3881</v>
      </c>
      <c r="C2798">
        <v>300</v>
      </c>
      <c r="D2798" t="s">
        <v>7278</v>
      </c>
      <c r="E2798" t="s">
        <v>49</v>
      </c>
      <c r="F2798">
        <v>5</v>
      </c>
      <c r="G2798">
        <v>0.36925274092546406</v>
      </c>
      <c r="H2798" t="s">
        <v>84</v>
      </c>
      <c r="I2798">
        <v>0</v>
      </c>
      <c r="J2798">
        <v>0</v>
      </c>
      <c r="K2798">
        <v>0</v>
      </c>
    </row>
    <row r="2799" spans="1:11" x14ac:dyDescent="0.2">
      <c r="A2799" t="s">
        <v>16</v>
      </c>
      <c r="B2799" t="s">
        <v>3881</v>
      </c>
      <c r="C2799">
        <v>300</v>
      </c>
      <c r="D2799" t="s">
        <v>7274</v>
      </c>
      <c r="E2799" t="s">
        <v>49</v>
      </c>
      <c r="F2799">
        <v>5</v>
      </c>
      <c r="G2799">
        <v>0.36925274092546406</v>
      </c>
      <c r="H2799" t="s">
        <v>91</v>
      </c>
      <c r="I2799">
        <v>0</v>
      </c>
      <c r="J2799">
        <v>0</v>
      </c>
      <c r="K2799">
        <v>0</v>
      </c>
    </row>
    <row r="2800" spans="1:11" x14ac:dyDescent="0.2">
      <c r="A2800" t="s">
        <v>16</v>
      </c>
      <c r="B2800" t="s">
        <v>877</v>
      </c>
      <c r="C2800">
        <v>225</v>
      </c>
      <c r="D2800" t="s">
        <v>7296</v>
      </c>
      <c r="E2800" t="s">
        <v>49</v>
      </c>
      <c r="F2800">
        <v>8</v>
      </c>
      <c r="G2800">
        <v>0.26656203959108454</v>
      </c>
      <c r="H2800" t="s">
        <v>90</v>
      </c>
      <c r="I2800">
        <v>0</v>
      </c>
      <c r="J2800">
        <v>0</v>
      </c>
      <c r="K2800">
        <v>0</v>
      </c>
    </row>
    <row r="2801" spans="1:11" x14ac:dyDescent="0.2">
      <c r="A2801" t="s">
        <v>16</v>
      </c>
      <c r="B2801" t="s">
        <v>877</v>
      </c>
      <c r="C2801">
        <v>225</v>
      </c>
      <c r="D2801" t="s">
        <v>7295</v>
      </c>
      <c r="E2801" t="s">
        <v>49</v>
      </c>
      <c r="F2801">
        <v>8</v>
      </c>
      <c r="G2801">
        <v>0.26656203959108454</v>
      </c>
      <c r="H2801" t="s">
        <v>99</v>
      </c>
      <c r="I2801">
        <v>0</v>
      </c>
      <c r="J2801">
        <v>0</v>
      </c>
      <c r="K2801">
        <v>0</v>
      </c>
    </row>
    <row r="2802" spans="1:11" x14ac:dyDescent="0.2">
      <c r="A2802" t="s">
        <v>16</v>
      </c>
      <c r="B2802" t="s">
        <v>877</v>
      </c>
      <c r="C2802">
        <v>225</v>
      </c>
      <c r="D2802" t="s">
        <v>7288</v>
      </c>
      <c r="E2802" t="s">
        <v>49</v>
      </c>
      <c r="F2802">
        <v>8</v>
      </c>
      <c r="G2802">
        <v>0.26656203959108454</v>
      </c>
      <c r="H2802" t="s">
        <v>105</v>
      </c>
      <c r="I2802">
        <v>0</v>
      </c>
      <c r="J2802">
        <v>0</v>
      </c>
      <c r="K2802">
        <v>0</v>
      </c>
    </row>
    <row r="2803" spans="1:11" x14ac:dyDescent="0.2">
      <c r="A2803" t="s">
        <v>16</v>
      </c>
      <c r="B2803" t="s">
        <v>877</v>
      </c>
      <c r="C2803">
        <v>225</v>
      </c>
      <c r="D2803" t="s">
        <v>7294</v>
      </c>
      <c r="E2803" t="s">
        <v>49</v>
      </c>
      <c r="F2803">
        <v>8</v>
      </c>
      <c r="G2803">
        <v>0.26656203959108454</v>
      </c>
      <c r="H2803" t="s">
        <v>92</v>
      </c>
      <c r="I2803">
        <v>0</v>
      </c>
      <c r="J2803">
        <v>0</v>
      </c>
      <c r="K2803">
        <v>0</v>
      </c>
    </row>
    <row r="2804" spans="1:11" x14ac:dyDescent="0.2">
      <c r="A2804" t="s">
        <v>16</v>
      </c>
      <c r="B2804" t="s">
        <v>877</v>
      </c>
      <c r="C2804">
        <v>225</v>
      </c>
      <c r="D2804" t="s">
        <v>7328</v>
      </c>
      <c r="E2804" t="s">
        <v>49</v>
      </c>
      <c r="F2804">
        <v>8</v>
      </c>
      <c r="G2804">
        <v>0.26656203959108454</v>
      </c>
      <c r="H2804" t="s">
        <v>87</v>
      </c>
      <c r="I2804">
        <v>0</v>
      </c>
      <c r="J2804">
        <v>0</v>
      </c>
      <c r="K2804">
        <v>0</v>
      </c>
    </row>
    <row r="2805" spans="1:11" x14ac:dyDescent="0.2">
      <c r="A2805" t="s">
        <v>16</v>
      </c>
      <c r="B2805" t="s">
        <v>877</v>
      </c>
      <c r="C2805">
        <v>225</v>
      </c>
      <c r="D2805" t="s">
        <v>7292</v>
      </c>
      <c r="E2805" t="s">
        <v>49</v>
      </c>
      <c r="F2805">
        <v>8</v>
      </c>
      <c r="G2805">
        <v>0.26656203959108454</v>
      </c>
      <c r="H2805" t="s">
        <v>88</v>
      </c>
      <c r="I2805">
        <v>0</v>
      </c>
      <c r="J2805">
        <v>0</v>
      </c>
      <c r="K2805">
        <v>0</v>
      </c>
    </row>
    <row r="2806" spans="1:11" x14ac:dyDescent="0.2">
      <c r="A2806" t="s">
        <v>16</v>
      </c>
      <c r="B2806" t="s">
        <v>877</v>
      </c>
      <c r="C2806">
        <v>225</v>
      </c>
      <c r="D2806" t="s">
        <v>7284</v>
      </c>
      <c r="E2806" t="s">
        <v>49</v>
      </c>
      <c r="F2806">
        <v>8</v>
      </c>
      <c r="G2806">
        <v>0.26656203959108454</v>
      </c>
      <c r="H2806" t="s">
        <v>89</v>
      </c>
      <c r="I2806">
        <v>0</v>
      </c>
      <c r="J2806">
        <v>0</v>
      </c>
      <c r="K2806">
        <v>0</v>
      </c>
    </row>
    <row r="2807" spans="1:11" x14ac:dyDescent="0.2">
      <c r="A2807" t="s">
        <v>16</v>
      </c>
      <c r="B2807" t="s">
        <v>877</v>
      </c>
      <c r="C2807">
        <v>225</v>
      </c>
      <c r="D2807" t="s">
        <v>7291</v>
      </c>
      <c r="E2807" t="s">
        <v>49</v>
      </c>
      <c r="F2807">
        <v>8</v>
      </c>
      <c r="G2807">
        <v>0.26656203959108454</v>
      </c>
      <c r="H2807" t="s">
        <v>93</v>
      </c>
      <c r="I2807">
        <v>0</v>
      </c>
      <c r="J2807">
        <v>0</v>
      </c>
      <c r="K2807">
        <v>0</v>
      </c>
    </row>
    <row r="2808" spans="1:11" x14ac:dyDescent="0.2">
      <c r="A2808" t="s">
        <v>16</v>
      </c>
      <c r="B2808" t="s">
        <v>877</v>
      </c>
      <c r="C2808">
        <v>225</v>
      </c>
      <c r="D2808" t="s">
        <v>7287</v>
      </c>
      <c r="E2808" t="s">
        <v>49</v>
      </c>
      <c r="F2808">
        <v>8</v>
      </c>
      <c r="G2808">
        <v>0.26656203959108454</v>
      </c>
      <c r="H2808" t="s">
        <v>90</v>
      </c>
      <c r="I2808">
        <v>0</v>
      </c>
      <c r="J2808">
        <v>0</v>
      </c>
      <c r="K2808">
        <v>0</v>
      </c>
    </row>
    <row r="2809" spans="1:11" x14ac:dyDescent="0.2">
      <c r="A2809" t="s">
        <v>16</v>
      </c>
      <c r="B2809" t="s">
        <v>877</v>
      </c>
      <c r="C2809">
        <v>225</v>
      </c>
      <c r="D2809" t="s">
        <v>7302</v>
      </c>
      <c r="E2809" t="s">
        <v>49</v>
      </c>
      <c r="F2809">
        <v>8</v>
      </c>
      <c r="G2809">
        <v>0.26656203959108454</v>
      </c>
      <c r="H2809" t="s">
        <v>99</v>
      </c>
      <c r="I2809">
        <v>0</v>
      </c>
      <c r="J2809">
        <v>0</v>
      </c>
      <c r="K2809">
        <v>0</v>
      </c>
    </row>
    <row r="2810" spans="1:11" x14ac:dyDescent="0.2">
      <c r="A2810" t="s">
        <v>16</v>
      </c>
      <c r="B2810" t="s">
        <v>877</v>
      </c>
      <c r="C2810">
        <v>225</v>
      </c>
      <c r="D2810" t="s">
        <v>7327</v>
      </c>
      <c r="E2810" t="s">
        <v>49</v>
      </c>
      <c r="F2810">
        <v>8</v>
      </c>
      <c r="G2810">
        <v>0.26656203959108454</v>
      </c>
      <c r="H2810" t="s">
        <v>105</v>
      </c>
      <c r="I2810">
        <v>0</v>
      </c>
      <c r="J2810">
        <v>0</v>
      </c>
      <c r="K2810">
        <v>0</v>
      </c>
    </row>
    <row r="2811" spans="1:11" x14ac:dyDescent="0.2">
      <c r="A2811" t="s">
        <v>16</v>
      </c>
      <c r="B2811" t="s">
        <v>877</v>
      </c>
      <c r="C2811">
        <v>225</v>
      </c>
      <c r="D2811" t="s">
        <v>7293</v>
      </c>
      <c r="E2811" t="s">
        <v>49</v>
      </c>
      <c r="F2811">
        <v>8</v>
      </c>
      <c r="G2811">
        <v>0.26656203959108454</v>
      </c>
      <c r="H2811" t="s">
        <v>92</v>
      </c>
      <c r="I2811">
        <v>0</v>
      </c>
      <c r="J2811">
        <v>0</v>
      </c>
      <c r="K2811">
        <v>0</v>
      </c>
    </row>
    <row r="2812" spans="1:11" x14ac:dyDescent="0.2">
      <c r="A2812" t="s">
        <v>16</v>
      </c>
      <c r="B2812" t="s">
        <v>877</v>
      </c>
      <c r="C2812">
        <v>225</v>
      </c>
      <c r="D2812" t="s">
        <v>7297</v>
      </c>
      <c r="E2812" t="s">
        <v>49</v>
      </c>
      <c r="F2812">
        <v>8</v>
      </c>
      <c r="G2812">
        <v>0.26656203959108454</v>
      </c>
      <c r="H2812" t="s">
        <v>87</v>
      </c>
      <c r="I2812">
        <v>0</v>
      </c>
      <c r="J2812">
        <v>0</v>
      </c>
      <c r="K2812">
        <v>0</v>
      </c>
    </row>
    <row r="2813" spans="1:11" x14ac:dyDescent="0.2">
      <c r="A2813" t="s">
        <v>16</v>
      </c>
      <c r="B2813" t="s">
        <v>877</v>
      </c>
      <c r="C2813">
        <v>225</v>
      </c>
      <c r="D2813" t="s">
        <v>7298</v>
      </c>
      <c r="E2813" t="s">
        <v>49</v>
      </c>
      <c r="F2813">
        <v>8</v>
      </c>
      <c r="G2813">
        <v>0.26656203959108454</v>
      </c>
      <c r="H2813" t="s">
        <v>88</v>
      </c>
      <c r="I2813">
        <v>0</v>
      </c>
      <c r="J2813">
        <v>0</v>
      </c>
      <c r="K2813">
        <v>0</v>
      </c>
    </row>
    <row r="2814" spans="1:11" x14ac:dyDescent="0.2">
      <c r="A2814" t="s">
        <v>16</v>
      </c>
      <c r="B2814" t="s">
        <v>877</v>
      </c>
      <c r="C2814">
        <v>225</v>
      </c>
      <c r="D2814" t="s">
        <v>7300</v>
      </c>
      <c r="E2814" t="s">
        <v>49</v>
      </c>
      <c r="F2814">
        <v>8</v>
      </c>
      <c r="G2814">
        <v>0.26656203959108454</v>
      </c>
      <c r="H2814" t="s">
        <v>89</v>
      </c>
      <c r="I2814">
        <v>0</v>
      </c>
      <c r="J2814">
        <v>0</v>
      </c>
      <c r="K2814">
        <v>0</v>
      </c>
    </row>
    <row r="2815" spans="1:11" x14ac:dyDescent="0.2">
      <c r="A2815" t="s">
        <v>16</v>
      </c>
      <c r="B2815" t="s">
        <v>877</v>
      </c>
      <c r="C2815">
        <v>225</v>
      </c>
      <c r="D2815" t="s">
        <v>7283</v>
      </c>
      <c r="E2815" t="s">
        <v>49</v>
      </c>
      <c r="F2815">
        <v>8</v>
      </c>
      <c r="G2815">
        <v>0.26656203959108454</v>
      </c>
      <c r="H2815" t="s">
        <v>93</v>
      </c>
      <c r="I2815">
        <v>0</v>
      </c>
      <c r="J2815">
        <v>0</v>
      </c>
      <c r="K2815">
        <v>0</v>
      </c>
    </row>
    <row r="2816" spans="1:11" x14ac:dyDescent="0.2">
      <c r="A2816" t="s">
        <v>16</v>
      </c>
      <c r="B2816" t="s">
        <v>877</v>
      </c>
      <c r="C2816">
        <v>225</v>
      </c>
      <c r="D2816" t="s">
        <v>7303</v>
      </c>
      <c r="E2816" t="s">
        <v>49</v>
      </c>
      <c r="F2816">
        <v>8</v>
      </c>
      <c r="G2816">
        <v>0.26656203959108454</v>
      </c>
      <c r="H2816" t="s">
        <v>90</v>
      </c>
      <c r="I2816">
        <v>0</v>
      </c>
      <c r="J2816">
        <v>0</v>
      </c>
      <c r="K2816">
        <v>0</v>
      </c>
    </row>
    <row r="2817" spans="1:11" x14ac:dyDescent="0.2">
      <c r="A2817" t="s">
        <v>16</v>
      </c>
      <c r="B2817" t="s">
        <v>877</v>
      </c>
      <c r="C2817">
        <v>225</v>
      </c>
      <c r="D2817" t="s">
        <v>7324</v>
      </c>
      <c r="E2817" t="s">
        <v>49</v>
      </c>
      <c r="F2817">
        <v>8</v>
      </c>
      <c r="G2817">
        <v>0.26656203959108454</v>
      </c>
      <c r="H2817" t="s">
        <v>99</v>
      </c>
      <c r="I2817">
        <v>0</v>
      </c>
      <c r="J2817">
        <v>0</v>
      </c>
      <c r="K2817">
        <v>0</v>
      </c>
    </row>
    <row r="2818" spans="1:11" x14ac:dyDescent="0.2">
      <c r="A2818" t="s">
        <v>16</v>
      </c>
      <c r="B2818" t="s">
        <v>877</v>
      </c>
      <c r="C2818">
        <v>225</v>
      </c>
      <c r="D2818" t="s">
        <v>7311</v>
      </c>
      <c r="E2818" t="s">
        <v>49</v>
      </c>
      <c r="F2818">
        <v>8</v>
      </c>
      <c r="G2818">
        <v>0.26656203959108454</v>
      </c>
      <c r="H2818" t="s">
        <v>105</v>
      </c>
      <c r="I2818">
        <v>0</v>
      </c>
      <c r="J2818">
        <v>0</v>
      </c>
      <c r="K2818">
        <v>0</v>
      </c>
    </row>
    <row r="2819" spans="1:11" x14ac:dyDescent="0.2">
      <c r="A2819" t="s">
        <v>16</v>
      </c>
      <c r="B2819" t="s">
        <v>877</v>
      </c>
      <c r="C2819">
        <v>225</v>
      </c>
      <c r="D2819" t="s">
        <v>7329</v>
      </c>
      <c r="E2819" t="s">
        <v>49</v>
      </c>
      <c r="F2819">
        <v>8</v>
      </c>
      <c r="G2819">
        <v>0.26656203959108454</v>
      </c>
      <c r="H2819" t="s">
        <v>92</v>
      </c>
      <c r="I2819">
        <v>0</v>
      </c>
      <c r="J2819">
        <v>0</v>
      </c>
      <c r="K2819">
        <v>0</v>
      </c>
    </row>
    <row r="2820" spans="1:11" x14ac:dyDescent="0.2">
      <c r="A2820" t="s">
        <v>16</v>
      </c>
      <c r="B2820" t="s">
        <v>877</v>
      </c>
      <c r="C2820">
        <v>225</v>
      </c>
      <c r="D2820" t="s">
        <v>7309</v>
      </c>
      <c r="E2820" t="s">
        <v>49</v>
      </c>
      <c r="F2820">
        <v>8</v>
      </c>
      <c r="G2820">
        <v>0.26656203959108454</v>
      </c>
      <c r="H2820" t="s">
        <v>87</v>
      </c>
      <c r="I2820">
        <v>0</v>
      </c>
      <c r="J2820">
        <v>0</v>
      </c>
      <c r="K2820">
        <v>0</v>
      </c>
    </row>
    <row r="2821" spans="1:11" x14ac:dyDescent="0.2">
      <c r="A2821" t="s">
        <v>16</v>
      </c>
      <c r="B2821" t="s">
        <v>877</v>
      </c>
      <c r="C2821">
        <v>225</v>
      </c>
      <c r="D2821" t="s">
        <v>7310</v>
      </c>
      <c r="E2821" t="s">
        <v>49</v>
      </c>
      <c r="F2821">
        <v>8</v>
      </c>
      <c r="G2821">
        <v>0.26656203959108454</v>
      </c>
      <c r="H2821" t="s">
        <v>88</v>
      </c>
      <c r="I2821">
        <v>0</v>
      </c>
      <c r="J2821">
        <v>0</v>
      </c>
      <c r="K2821">
        <v>0</v>
      </c>
    </row>
    <row r="2822" spans="1:11" x14ac:dyDescent="0.2">
      <c r="A2822" t="s">
        <v>16</v>
      </c>
      <c r="B2822" t="s">
        <v>877</v>
      </c>
      <c r="C2822">
        <v>225</v>
      </c>
      <c r="D2822" t="s">
        <v>7282</v>
      </c>
      <c r="E2822" t="s">
        <v>49</v>
      </c>
      <c r="F2822">
        <v>8</v>
      </c>
      <c r="G2822">
        <v>0.26656203959108454</v>
      </c>
      <c r="H2822" t="s">
        <v>89</v>
      </c>
      <c r="I2822">
        <v>0</v>
      </c>
      <c r="J2822">
        <v>0</v>
      </c>
      <c r="K2822">
        <v>0</v>
      </c>
    </row>
    <row r="2823" spans="1:11" x14ac:dyDescent="0.2">
      <c r="A2823" t="s">
        <v>16</v>
      </c>
      <c r="B2823" t="s">
        <v>877</v>
      </c>
      <c r="C2823">
        <v>225</v>
      </c>
      <c r="D2823" t="s">
        <v>7304</v>
      </c>
      <c r="E2823" t="s">
        <v>49</v>
      </c>
      <c r="F2823">
        <v>8</v>
      </c>
      <c r="G2823">
        <v>0.26656203959108454</v>
      </c>
      <c r="H2823" t="s">
        <v>93</v>
      </c>
      <c r="I2823">
        <v>0</v>
      </c>
      <c r="J2823">
        <v>0</v>
      </c>
      <c r="K2823">
        <v>0</v>
      </c>
    </row>
    <row r="2824" spans="1:11" x14ac:dyDescent="0.2">
      <c r="A2824" t="s">
        <v>16</v>
      </c>
      <c r="B2824" t="s">
        <v>877</v>
      </c>
      <c r="C2824">
        <v>225</v>
      </c>
      <c r="D2824" t="s">
        <v>7290</v>
      </c>
      <c r="E2824" t="s">
        <v>49</v>
      </c>
      <c r="F2824">
        <v>8</v>
      </c>
      <c r="G2824">
        <v>0.26656203959108454</v>
      </c>
      <c r="H2824" t="s">
        <v>90</v>
      </c>
      <c r="I2824">
        <v>0</v>
      </c>
      <c r="J2824">
        <v>0</v>
      </c>
      <c r="K2824">
        <v>0</v>
      </c>
    </row>
    <row r="2825" spans="1:11" x14ac:dyDescent="0.2">
      <c r="A2825" t="s">
        <v>16</v>
      </c>
      <c r="B2825" t="s">
        <v>877</v>
      </c>
      <c r="C2825">
        <v>75</v>
      </c>
      <c r="D2825" t="s">
        <v>7280</v>
      </c>
      <c r="E2825" t="s">
        <v>49</v>
      </c>
      <c r="F2825">
        <v>8</v>
      </c>
      <c r="G2825">
        <v>8.8854013197028181E-2</v>
      </c>
      <c r="H2825" t="s">
        <v>99</v>
      </c>
      <c r="I2825">
        <v>0</v>
      </c>
      <c r="J2825">
        <v>0</v>
      </c>
      <c r="K2825">
        <v>0</v>
      </c>
    </row>
    <row r="2826" spans="1:11" x14ac:dyDescent="0.2">
      <c r="A2826" t="s">
        <v>16</v>
      </c>
      <c r="B2826" t="s">
        <v>877</v>
      </c>
      <c r="C2826">
        <v>225</v>
      </c>
      <c r="D2826" t="s">
        <v>7307</v>
      </c>
      <c r="E2826" t="s">
        <v>49</v>
      </c>
      <c r="F2826">
        <v>8</v>
      </c>
      <c r="G2826">
        <v>0.26656203959108454</v>
      </c>
      <c r="H2826" t="s">
        <v>105</v>
      </c>
      <c r="I2826">
        <v>0</v>
      </c>
      <c r="J2826">
        <v>0</v>
      </c>
      <c r="K2826">
        <v>0</v>
      </c>
    </row>
    <row r="2827" spans="1:11" x14ac:dyDescent="0.2">
      <c r="A2827" t="s">
        <v>16</v>
      </c>
      <c r="B2827" t="s">
        <v>877</v>
      </c>
      <c r="C2827">
        <v>225</v>
      </c>
      <c r="D2827" t="s">
        <v>7316</v>
      </c>
      <c r="E2827" t="s">
        <v>49</v>
      </c>
      <c r="F2827">
        <v>8</v>
      </c>
      <c r="G2827">
        <v>0.26656203959108454</v>
      </c>
      <c r="H2827" t="s">
        <v>99</v>
      </c>
      <c r="I2827">
        <v>0</v>
      </c>
      <c r="J2827">
        <v>0</v>
      </c>
      <c r="K2827">
        <v>0</v>
      </c>
    </row>
    <row r="2828" spans="1:11" x14ac:dyDescent="0.2">
      <c r="A2828" t="s">
        <v>16</v>
      </c>
      <c r="B2828" t="s">
        <v>877</v>
      </c>
      <c r="C2828">
        <v>225</v>
      </c>
      <c r="D2828" t="s">
        <v>7318</v>
      </c>
      <c r="E2828" t="s">
        <v>49</v>
      </c>
      <c r="F2828">
        <v>8</v>
      </c>
      <c r="G2828">
        <v>0.26656203959108454</v>
      </c>
      <c r="H2828" t="s">
        <v>92</v>
      </c>
      <c r="I2828">
        <v>0</v>
      </c>
      <c r="J2828">
        <v>0</v>
      </c>
      <c r="K2828">
        <v>0</v>
      </c>
    </row>
    <row r="2829" spans="1:11" x14ac:dyDescent="0.2">
      <c r="A2829" t="s">
        <v>16</v>
      </c>
      <c r="B2829" t="s">
        <v>877</v>
      </c>
      <c r="C2829">
        <v>225</v>
      </c>
      <c r="D2829" t="s">
        <v>7306</v>
      </c>
      <c r="E2829" t="s">
        <v>49</v>
      </c>
      <c r="F2829">
        <v>8</v>
      </c>
      <c r="G2829">
        <v>0.26656203959108454</v>
      </c>
      <c r="H2829" t="s">
        <v>87</v>
      </c>
      <c r="I2829">
        <v>0</v>
      </c>
      <c r="J2829">
        <v>0</v>
      </c>
      <c r="K2829">
        <v>0</v>
      </c>
    </row>
    <row r="2830" spans="1:11" x14ac:dyDescent="0.2">
      <c r="A2830" t="s">
        <v>16</v>
      </c>
      <c r="B2830" t="s">
        <v>877</v>
      </c>
      <c r="C2830">
        <v>225</v>
      </c>
      <c r="D2830" t="s">
        <v>7326</v>
      </c>
      <c r="E2830" t="s">
        <v>49</v>
      </c>
      <c r="F2830">
        <v>8</v>
      </c>
      <c r="G2830">
        <v>0.26656203959108454</v>
      </c>
      <c r="H2830" t="s">
        <v>88</v>
      </c>
      <c r="I2830">
        <v>0</v>
      </c>
      <c r="J2830">
        <v>0</v>
      </c>
      <c r="K2830">
        <v>0</v>
      </c>
    </row>
    <row r="2831" spans="1:11" x14ac:dyDescent="0.2">
      <c r="A2831" t="s">
        <v>16</v>
      </c>
      <c r="B2831" t="s">
        <v>877</v>
      </c>
      <c r="C2831">
        <v>225</v>
      </c>
      <c r="D2831" t="s">
        <v>7308</v>
      </c>
      <c r="E2831" t="s">
        <v>49</v>
      </c>
      <c r="F2831">
        <v>8</v>
      </c>
      <c r="G2831">
        <v>0.26656203959108454</v>
      </c>
      <c r="H2831" t="s">
        <v>89</v>
      </c>
      <c r="I2831">
        <v>0</v>
      </c>
      <c r="J2831">
        <v>0</v>
      </c>
      <c r="K2831">
        <v>0</v>
      </c>
    </row>
    <row r="2832" spans="1:11" x14ac:dyDescent="0.2">
      <c r="A2832" t="s">
        <v>16</v>
      </c>
      <c r="B2832" t="s">
        <v>877</v>
      </c>
      <c r="C2832">
        <v>225</v>
      </c>
      <c r="D2832" t="s">
        <v>7305</v>
      </c>
      <c r="E2832" t="s">
        <v>49</v>
      </c>
      <c r="F2832">
        <v>8</v>
      </c>
      <c r="G2832">
        <v>0.26656203959108454</v>
      </c>
      <c r="H2832" t="s">
        <v>93</v>
      </c>
      <c r="I2832">
        <v>0</v>
      </c>
      <c r="J2832">
        <v>0</v>
      </c>
      <c r="K2832">
        <v>0</v>
      </c>
    </row>
    <row r="2833" spans="1:11" x14ac:dyDescent="0.2">
      <c r="A2833" t="s">
        <v>16</v>
      </c>
      <c r="B2833" t="s">
        <v>877</v>
      </c>
      <c r="C2833">
        <v>225</v>
      </c>
      <c r="D2833" t="s">
        <v>7315</v>
      </c>
      <c r="E2833" t="s">
        <v>49</v>
      </c>
      <c r="F2833">
        <v>8</v>
      </c>
      <c r="G2833">
        <v>0.26656203959108454</v>
      </c>
      <c r="H2833" t="s">
        <v>90</v>
      </c>
      <c r="I2833">
        <v>0</v>
      </c>
      <c r="J2833">
        <v>0</v>
      </c>
      <c r="K2833">
        <v>0</v>
      </c>
    </row>
    <row r="2834" spans="1:11" x14ac:dyDescent="0.2">
      <c r="A2834" t="s">
        <v>16</v>
      </c>
      <c r="B2834" t="s">
        <v>877</v>
      </c>
      <c r="C2834">
        <v>225</v>
      </c>
      <c r="D2834" t="s">
        <v>7313</v>
      </c>
      <c r="E2834" t="s">
        <v>49</v>
      </c>
      <c r="F2834">
        <v>8</v>
      </c>
      <c r="G2834">
        <v>0.26656203959108454</v>
      </c>
      <c r="H2834" t="s">
        <v>105</v>
      </c>
      <c r="I2834">
        <v>0</v>
      </c>
      <c r="J2834">
        <v>0</v>
      </c>
      <c r="K2834">
        <v>0</v>
      </c>
    </row>
    <row r="2835" spans="1:11" x14ac:dyDescent="0.2">
      <c r="A2835" t="s">
        <v>16</v>
      </c>
      <c r="B2835" t="s">
        <v>877</v>
      </c>
      <c r="C2835">
        <v>225</v>
      </c>
      <c r="D2835" t="s">
        <v>7314</v>
      </c>
      <c r="E2835" t="s">
        <v>49</v>
      </c>
      <c r="F2835">
        <v>8</v>
      </c>
      <c r="G2835">
        <v>0.26656203959108454</v>
      </c>
      <c r="H2835" t="s">
        <v>99</v>
      </c>
      <c r="I2835">
        <v>0</v>
      </c>
      <c r="J2835">
        <v>0</v>
      </c>
      <c r="K2835">
        <v>0</v>
      </c>
    </row>
    <row r="2836" spans="1:11" x14ac:dyDescent="0.2">
      <c r="A2836" t="s">
        <v>16</v>
      </c>
      <c r="B2836" t="s">
        <v>877</v>
      </c>
      <c r="C2836">
        <v>225</v>
      </c>
      <c r="D2836" t="s">
        <v>7317</v>
      </c>
      <c r="E2836" t="s">
        <v>49</v>
      </c>
      <c r="F2836">
        <v>8</v>
      </c>
      <c r="G2836">
        <v>0.26656203959108454</v>
      </c>
      <c r="H2836" t="s">
        <v>92</v>
      </c>
      <c r="I2836">
        <v>0</v>
      </c>
      <c r="J2836">
        <v>0</v>
      </c>
      <c r="K2836">
        <v>0</v>
      </c>
    </row>
    <row r="2837" spans="1:11" x14ac:dyDescent="0.2">
      <c r="A2837" t="s">
        <v>16</v>
      </c>
      <c r="B2837" t="s">
        <v>877</v>
      </c>
      <c r="C2837">
        <v>225</v>
      </c>
      <c r="D2837" t="s">
        <v>7281</v>
      </c>
      <c r="E2837" t="s">
        <v>49</v>
      </c>
      <c r="F2837">
        <v>8</v>
      </c>
      <c r="G2837">
        <v>0.26656203959108454</v>
      </c>
      <c r="H2837" t="s">
        <v>87</v>
      </c>
      <c r="I2837">
        <v>0</v>
      </c>
      <c r="J2837">
        <v>0</v>
      </c>
      <c r="K2837">
        <v>0</v>
      </c>
    </row>
    <row r="2838" spans="1:11" x14ac:dyDescent="0.2">
      <c r="A2838" t="s">
        <v>16</v>
      </c>
      <c r="B2838" t="s">
        <v>877</v>
      </c>
      <c r="C2838">
        <v>225</v>
      </c>
      <c r="D2838" t="s">
        <v>7312</v>
      </c>
      <c r="E2838" t="s">
        <v>49</v>
      </c>
      <c r="F2838">
        <v>8</v>
      </c>
      <c r="G2838">
        <v>0.26656203959108454</v>
      </c>
      <c r="H2838" t="s">
        <v>88</v>
      </c>
      <c r="I2838">
        <v>0</v>
      </c>
      <c r="J2838">
        <v>0</v>
      </c>
      <c r="K2838">
        <v>0</v>
      </c>
    </row>
    <row r="2839" spans="1:11" x14ac:dyDescent="0.2">
      <c r="A2839" t="s">
        <v>16</v>
      </c>
      <c r="B2839" t="s">
        <v>877</v>
      </c>
      <c r="C2839">
        <v>225</v>
      </c>
      <c r="D2839" t="s">
        <v>7285</v>
      </c>
      <c r="E2839" t="s">
        <v>49</v>
      </c>
      <c r="F2839">
        <v>8</v>
      </c>
      <c r="G2839">
        <v>0.26656203959108454</v>
      </c>
      <c r="H2839" t="s">
        <v>89</v>
      </c>
      <c r="I2839">
        <v>0</v>
      </c>
      <c r="J2839">
        <v>0</v>
      </c>
      <c r="K2839">
        <v>0</v>
      </c>
    </row>
    <row r="2840" spans="1:11" x14ac:dyDescent="0.2">
      <c r="A2840" t="s">
        <v>16</v>
      </c>
      <c r="B2840" t="s">
        <v>877</v>
      </c>
      <c r="C2840">
        <v>225</v>
      </c>
      <c r="D2840" t="s">
        <v>7286</v>
      </c>
      <c r="E2840" t="s">
        <v>49</v>
      </c>
      <c r="F2840">
        <v>8</v>
      </c>
      <c r="G2840">
        <v>0.26656203959108454</v>
      </c>
      <c r="H2840" t="s">
        <v>93</v>
      </c>
      <c r="I2840">
        <v>0</v>
      </c>
      <c r="J2840">
        <v>0</v>
      </c>
      <c r="K2840">
        <v>0</v>
      </c>
    </row>
    <row r="2841" spans="1:11" x14ac:dyDescent="0.2">
      <c r="A2841" t="s">
        <v>16</v>
      </c>
      <c r="B2841" t="s">
        <v>877</v>
      </c>
      <c r="C2841">
        <v>225</v>
      </c>
      <c r="D2841" t="s">
        <v>7322</v>
      </c>
      <c r="E2841" t="s">
        <v>49</v>
      </c>
      <c r="F2841">
        <v>8</v>
      </c>
      <c r="G2841">
        <v>0.26656203959108454</v>
      </c>
      <c r="H2841" t="s">
        <v>90</v>
      </c>
      <c r="I2841">
        <v>0</v>
      </c>
      <c r="J2841">
        <v>0</v>
      </c>
      <c r="K2841">
        <v>0</v>
      </c>
    </row>
    <row r="2842" spans="1:11" x14ac:dyDescent="0.2">
      <c r="A2842" t="s">
        <v>16</v>
      </c>
      <c r="B2842" t="s">
        <v>877</v>
      </c>
      <c r="C2842">
        <v>225</v>
      </c>
      <c r="D2842" t="s">
        <v>7301</v>
      </c>
      <c r="E2842" t="s">
        <v>49</v>
      </c>
      <c r="F2842">
        <v>8</v>
      </c>
      <c r="G2842">
        <v>0.26656203959108454</v>
      </c>
      <c r="H2842" t="s">
        <v>105</v>
      </c>
      <c r="I2842">
        <v>0</v>
      </c>
      <c r="J2842">
        <v>0</v>
      </c>
      <c r="K2842">
        <v>0</v>
      </c>
    </row>
    <row r="2843" spans="1:11" x14ac:dyDescent="0.2">
      <c r="A2843" t="s">
        <v>16</v>
      </c>
      <c r="B2843" t="s">
        <v>877</v>
      </c>
      <c r="C2843">
        <v>225</v>
      </c>
      <c r="D2843" t="s">
        <v>7320</v>
      </c>
      <c r="E2843" t="s">
        <v>49</v>
      </c>
      <c r="F2843">
        <v>8</v>
      </c>
      <c r="G2843">
        <v>0.26656203959108454</v>
      </c>
      <c r="H2843" t="s">
        <v>99</v>
      </c>
      <c r="I2843">
        <v>0</v>
      </c>
      <c r="J2843">
        <v>0</v>
      </c>
      <c r="K2843">
        <v>0</v>
      </c>
    </row>
    <row r="2844" spans="1:11" x14ac:dyDescent="0.2">
      <c r="A2844" t="s">
        <v>16</v>
      </c>
      <c r="B2844" t="s">
        <v>877</v>
      </c>
      <c r="C2844">
        <v>225</v>
      </c>
      <c r="D2844" t="s">
        <v>7319</v>
      </c>
      <c r="E2844" t="s">
        <v>49</v>
      </c>
      <c r="F2844">
        <v>8</v>
      </c>
      <c r="G2844">
        <v>0.26656203959108454</v>
      </c>
      <c r="H2844" t="s">
        <v>92</v>
      </c>
      <c r="I2844">
        <v>0</v>
      </c>
      <c r="J2844">
        <v>0</v>
      </c>
      <c r="K2844">
        <v>0</v>
      </c>
    </row>
    <row r="2845" spans="1:11" x14ac:dyDescent="0.2">
      <c r="A2845" t="s">
        <v>16</v>
      </c>
      <c r="B2845" t="s">
        <v>877</v>
      </c>
      <c r="C2845">
        <v>225</v>
      </c>
      <c r="D2845" t="s">
        <v>7325</v>
      </c>
      <c r="E2845" t="s">
        <v>49</v>
      </c>
      <c r="F2845">
        <v>8</v>
      </c>
      <c r="G2845">
        <v>0.26656203959108454</v>
      </c>
      <c r="H2845" t="s">
        <v>87</v>
      </c>
      <c r="I2845">
        <v>0</v>
      </c>
      <c r="J2845">
        <v>0</v>
      </c>
      <c r="K2845">
        <v>0</v>
      </c>
    </row>
    <row r="2846" spans="1:11" x14ac:dyDescent="0.2">
      <c r="A2846" t="s">
        <v>16</v>
      </c>
      <c r="B2846" t="s">
        <v>877</v>
      </c>
      <c r="C2846">
        <v>225</v>
      </c>
      <c r="D2846" t="s">
        <v>7333</v>
      </c>
      <c r="E2846" t="s">
        <v>49</v>
      </c>
      <c r="F2846">
        <v>8</v>
      </c>
      <c r="G2846">
        <v>0.26656203959108454</v>
      </c>
      <c r="H2846" t="s">
        <v>88</v>
      </c>
      <c r="I2846">
        <v>0</v>
      </c>
      <c r="J2846">
        <v>0</v>
      </c>
      <c r="K2846">
        <v>0</v>
      </c>
    </row>
    <row r="2847" spans="1:11" x14ac:dyDescent="0.2">
      <c r="A2847" t="s">
        <v>16</v>
      </c>
      <c r="B2847" t="s">
        <v>877</v>
      </c>
      <c r="C2847">
        <v>225</v>
      </c>
      <c r="D2847" t="s">
        <v>7299</v>
      </c>
      <c r="E2847" t="s">
        <v>49</v>
      </c>
      <c r="F2847">
        <v>8</v>
      </c>
      <c r="G2847">
        <v>0.26656203959108454</v>
      </c>
      <c r="H2847" t="s">
        <v>89</v>
      </c>
      <c r="I2847">
        <v>0</v>
      </c>
      <c r="J2847">
        <v>0</v>
      </c>
      <c r="K2847">
        <v>0</v>
      </c>
    </row>
    <row r="2848" spans="1:11" x14ac:dyDescent="0.2">
      <c r="A2848" t="s">
        <v>16</v>
      </c>
      <c r="B2848" t="s">
        <v>877</v>
      </c>
      <c r="C2848">
        <v>225</v>
      </c>
      <c r="D2848" t="s">
        <v>7323</v>
      </c>
      <c r="E2848" t="s">
        <v>49</v>
      </c>
      <c r="F2848">
        <v>8</v>
      </c>
      <c r="G2848">
        <v>0.26656203959108454</v>
      </c>
      <c r="H2848" t="s">
        <v>93</v>
      </c>
      <c r="I2848">
        <v>0</v>
      </c>
      <c r="J2848">
        <v>0</v>
      </c>
      <c r="K2848">
        <v>0</v>
      </c>
    </row>
    <row r="2849" spans="1:11" x14ac:dyDescent="0.2">
      <c r="A2849" t="s">
        <v>16</v>
      </c>
      <c r="B2849" t="s">
        <v>877</v>
      </c>
      <c r="C2849">
        <v>225</v>
      </c>
      <c r="D2849" t="s">
        <v>7289</v>
      </c>
      <c r="E2849" t="s">
        <v>49</v>
      </c>
      <c r="F2849">
        <v>8</v>
      </c>
      <c r="G2849">
        <v>0.26656203959108454</v>
      </c>
      <c r="H2849" t="s">
        <v>90</v>
      </c>
      <c r="I2849">
        <v>0</v>
      </c>
      <c r="J2849">
        <v>0</v>
      </c>
      <c r="K2849">
        <v>0</v>
      </c>
    </row>
    <row r="2850" spans="1:11" x14ac:dyDescent="0.2">
      <c r="A2850" t="s">
        <v>16</v>
      </c>
      <c r="B2850" t="s">
        <v>877</v>
      </c>
      <c r="C2850">
        <v>225</v>
      </c>
      <c r="D2850" t="s">
        <v>7331</v>
      </c>
      <c r="E2850" t="s">
        <v>49</v>
      </c>
      <c r="F2850">
        <v>8</v>
      </c>
      <c r="G2850">
        <v>0.26656203959108454</v>
      </c>
      <c r="H2850" t="s">
        <v>105</v>
      </c>
      <c r="I2850">
        <v>0</v>
      </c>
      <c r="J2850">
        <v>0</v>
      </c>
      <c r="K2850">
        <v>0</v>
      </c>
    </row>
    <row r="2851" spans="1:11" x14ac:dyDescent="0.2">
      <c r="A2851" t="s">
        <v>16</v>
      </c>
      <c r="B2851" t="s">
        <v>877</v>
      </c>
      <c r="C2851">
        <v>225</v>
      </c>
      <c r="D2851" t="s">
        <v>7330</v>
      </c>
      <c r="E2851" t="s">
        <v>49</v>
      </c>
      <c r="F2851">
        <v>8</v>
      </c>
      <c r="G2851">
        <v>0.26656203959108454</v>
      </c>
      <c r="H2851" t="s">
        <v>99</v>
      </c>
      <c r="I2851">
        <v>0</v>
      </c>
      <c r="J2851">
        <v>0</v>
      </c>
      <c r="K2851">
        <v>0</v>
      </c>
    </row>
    <row r="2852" spans="1:11" x14ac:dyDescent="0.2">
      <c r="A2852" t="s">
        <v>16</v>
      </c>
      <c r="B2852" t="s">
        <v>877</v>
      </c>
      <c r="C2852">
        <v>225</v>
      </c>
      <c r="D2852" t="s">
        <v>7332</v>
      </c>
      <c r="E2852" t="s">
        <v>49</v>
      </c>
      <c r="F2852">
        <v>8</v>
      </c>
      <c r="G2852">
        <v>0.26656203959108454</v>
      </c>
      <c r="H2852" t="s">
        <v>92</v>
      </c>
      <c r="I2852">
        <v>0</v>
      </c>
      <c r="J2852">
        <v>0</v>
      </c>
      <c r="K2852">
        <v>0</v>
      </c>
    </row>
    <row r="2853" spans="1:11" x14ac:dyDescent="0.2">
      <c r="A2853" t="s">
        <v>16</v>
      </c>
      <c r="B2853" t="s">
        <v>877</v>
      </c>
      <c r="C2853">
        <v>225</v>
      </c>
      <c r="D2853" t="s">
        <v>7321</v>
      </c>
      <c r="E2853" t="s">
        <v>49</v>
      </c>
      <c r="F2853">
        <v>8</v>
      </c>
      <c r="G2853">
        <v>0.26656203959108454</v>
      </c>
      <c r="H2853" t="s">
        <v>87</v>
      </c>
      <c r="I2853">
        <v>0</v>
      </c>
      <c r="J2853">
        <v>0</v>
      </c>
      <c r="K2853">
        <v>0</v>
      </c>
    </row>
    <row r="2854" spans="1:11" x14ac:dyDescent="0.2">
      <c r="A2854" t="s">
        <v>16</v>
      </c>
      <c r="B2854" t="s">
        <v>477</v>
      </c>
      <c r="C2854">
        <v>300</v>
      </c>
      <c r="D2854" t="s">
        <v>7350</v>
      </c>
      <c r="E2854" t="s">
        <v>49</v>
      </c>
      <c r="F2854">
        <v>12</v>
      </c>
      <c r="G2854">
        <v>0.22820206304829846</v>
      </c>
      <c r="H2854" t="s">
        <v>100</v>
      </c>
      <c r="I2854">
        <v>0</v>
      </c>
      <c r="J2854">
        <v>0</v>
      </c>
      <c r="K2854">
        <v>0</v>
      </c>
    </row>
    <row r="2855" spans="1:11" x14ac:dyDescent="0.2">
      <c r="A2855" t="s">
        <v>16</v>
      </c>
      <c r="B2855" t="s">
        <v>477</v>
      </c>
      <c r="C2855">
        <v>300</v>
      </c>
      <c r="D2855" t="s">
        <v>7339</v>
      </c>
      <c r="E2855" t="s">
        <v>49</v>
      </c>
      <c r="F2855">
        <v>12</v>
      </c>
      <c r="G2855">
        <v>0.22820206304829846</v>
      </c>
      <c r="H2855" t="s">
        <v>104</v>
      </c>
      <c r="I2855">
        <v>0</v>
      </c>
      <c r="J2855">
        <v>0</v>
      </c>
      <c r="K2855">
        <v>0</v>
      </c>
    </row>
    <row r="2856" spans="1:11" x14ac:dyDescent="0.2">
      <c r="A2856" t="s">
        <v>16</v>
      </c>
      <c r="B2856" t="s">
        <v>477</v>
      </c>
      <c r="C2856">
        <v>300</v>
      </c>
      <c r="D2856" t="s">
        <v>7367</v>
      </c>
      <c r="E2856" t="s">
        <v>49</v>
      </c>
      <c r="F2856">
        <v>12</v>
      </c>
      <c r="G2856">
        <v>0.22820206304829846</v>
      </c>
      <c r="H2856" t="s">
        <v>96</v>
      </c>
      <c r="I2856">
        <v>0</v>
      </c>
      <c r="J2856">
        <v>0</v>
      </c>
      <c r="K2856">
        <v>0</v>
      </c>
    </row>
    <row r="2857" spans="1:11" x14ac:dyDescent="0.2">
      <c r="A2857" t="s">
        <v>16</v>
      </c>
      <c r="B2857" t="s">
        <v>477</v>
      </c>
      <c r="C2857">
        <v>100</v>
      </c>
      <c r="D2857" t="s">
        <v>7360</v>
      </c>
      <c r="E2857" t="s">
        <v>49</v>
      </c>
      <c r="F2857">
        <v>12</v>
      </c>
      <c r="G2857">
        <v>7.606735434943282E-2</v>
      </c>
      <c r="H2857" t="s">
        <v>94</v>
      </c>
      <c r="I2857">
        <v>0</v>
      </c>
      <c r="J2857">
        <v>0</v>
      </c>
      <c r="K2857">
        <v>0</v>
      </c>
    </row>
    <row r="2858" spans="1:11" x14ac:dyDescent="0.2">
      <c r="A2858" t="s">
        <v>16</v>
      </c>
      <c r="B2858" t="s">
        <v>477</v>
      </c>
      <c r="C2858">
        <v>300</v>
      </c>
      <c r="D2858" t="s">
        <v>7368</v>
      </c>
      <c r="E2858" t="s">
        <v>49</v>
      </c>
      <c r="F2858">
        <v>12</v>
      </c>
      <c r="G2858">
        <v>0.22820206304829846</v>
      </c>
      <c r="H2858" t="s">
        <v>94</v>
      </c>
      <c r="I2858">
        <v>0</v>
      </c>
      <c r="J2858">
        <v>0</v>
      </c>
      <c r="K2858">
        <v>0</v>
      </c>
    </row>
    <row r="2859" spans="1:11" x14ac:dyDescent="0.2">
      <c r="A2859" t="s">
        <v>16</v>
      </c>
      <c r="B2859" t="s">
        <v>477</v>
      </c>
      <c r="C2859">
        <v>300</v>
      </c>
      <c r="D2859" t="s">
        <v>7371</v>
      </c>
      <c r="E2859" t="s">
        <v>49</v>
      </c>
      <c r="F2859">
        <v>12</v>
      </c>
      <c r="G2859">
        <v>0.22820206304829846</v>
      </c>
      <c r="H2859" t="s">
        <v>100</v>
      </c>
      <c r="I2859">
        <v>0</v>
      </c>
      <c r="J2859">
        <v>0</v>
      </c>
      <c r="K2859">
        <v>0</v>
      </c>
    </row>
    <row r="2860" spans="1:11" x14ac:dyDescent="0.2">
      <c r="A2860" t="s">
        <v>16</v>
      </c>
      <c r="B2860" t="s">
        <v>477</v>
      </c>
      <c r="C2860">
        <v>300</v>
      </c>
      <c r="D2860" t="s">
        <v>7354</v>
      </c>
      <c r="E2860" t="s">
        <v>49</v>
      </c>
      <c r="F2860">
        <v>12</v>
      </c>
      <c r="G2860">
        <v>0.22820206304829846</v>
      </c>
      <c r="H2860" t="s">
        <v>98</v>
      </c>
      <c r="I2860">
        <v>0</v>
      </c>
      <c r="J2860">
        <v>0</v>
      </c>
      <c r="K2860">
        <v>0</v>
      </c>
    </row>
    <row r="2861" spans="1:11" x14ac:dyDescent="0.2">
      <c r="A2861" t="s">
        <v>16</v>
      </c>
      <c r="B2861" t="s">
        <v>477</v>
      </c>
      <c r="C2861">
        <v>300</v>
      </c>
      <c r="D2861" t="s">
        <v>7370</v>
      </c>
      <c r="E2861" t="s">
        <v>49</v>
      </c>
      <c r="F2861">
        <v>12</v>
      </c>
      <c r="G2861">
        <v>0.22820206304829846</v>
      </c>
      <c r="H2861" t="s">
        <v>104</v>
      </c>
      <c r="I2861">
        <v>0</v>
      </c>
      <c r="J2861">
        <v>0</v>
      </c>
      <c r="K2861">
        <v>0</v>
      </c>
    </row>
    <row r="2862" spans="1:11" x14ac:dyDescent="0.2">
      <c r="A2862" t="s">
        <v>16</v>
      </c>
      <c r="B2862" t="s">
        <v>477</v>
      </c>
      <c r="C2862">
        <v>300</v>
      </c>
      <c r="D2862" t="s">
        <v>7381</v>
      </c>
      <c r="E2862" t="s">
        <v>49</v>
      </c>
      <c r="F2862">
        <v>12</v>
      </c>
      <c r="G2862">
        <v>0.22820206304829846</v>
      </c>
      <c r="H2862" t="s">
        <v>96</v>
      </c>
      <c r="I2862">
        <v>0</v>
      </c>
      <c r="J2862">
        <v>0</v>
      </c>
      <c r="K2862">
        <v>0</v>
      </c>
    </row>
    <row r="2863" spans="1:11" x14ac:dyDescent="0.2">
      <c r="A2863" t="s">
        <v>16</v>
      </c>
      <c r="B2863" t="s">
        <v>477</v>
      </c>
      <c r="C2863">
        <v>300</v>
      </c>
      <c r="D2863" t="s">
        <v>7374</v>
      </c>
      <c r="E2863" t="s">
        <v>49</v>
      </c>
      <c r="F2863">
        <v>12</v>
      </c>
      <c r="G2863">
        <v>0.22820206304829846</v>
      </c>
      <c r="H2863" t="s">
        <v>103</v>
      </c>
      <c r="I2863">
        <v>0</v>
      </c>
      <c r="J2863">
        <v>0</v>
      </c>
      <c r="K2863">
        <v>0</v>
      </c>
    </row>
    <row r="2864" spans="1:11" x14ac:dyDescent="0.2">
      <c r="A2864" t="s">
        <v>16</v>
      </c>
      <c r="B2864" t="s">
        <v>477</v>
      </c>
      <c r="C2864">
        <v>300</v>
      </c>
      <c r="D2864" t="s">
        <v>7351</v>
      </c>
      <c r="E2864" t="s">
        <v>49</v>
      </c>
      <c r="F2864">
        <v>12</v>
      </c>
      <c r="G2864">
        <v>0.22820206304829846</v>
      </c>
      <c r="H2864" t="s">
        <v>84</v>
      </c>
      <c r="I2864">
        <v>0</v>
      </c>
      <c r="J2864">
        <v>0</v>
      </c>
      <c r="K2864">
        <v>0</v>
      </c>
    </row>
    <row r="2865" spans="1:11" x14ac:dyDescent="0.2">
      <c r="A2865" t="s">
        <v>16</v>
      </c>
      <c r="B2865" t="s">
        <v>477</v>
      </c>
      <c r="C2865">
        <v>300</v>
      </c>
      <c r="D2865" t="s">
        <v>7357</v>
      </c>
      <c r="E2865" t="s">
        <v>49</v>
      </c>
      <c r="F2865">
        <v>12</v>
      </c>
      <c r="G2865">
        <v>0.22820206304829846</v>
      </c>
      <c r="H2865" t="s">
        <v>91</v>
      </c>
      <c r="I2865">
        <v>0</v>
      </c>
      <c r="J2865">
        <v>0</v>
      </c>
      <c r="K2865">
        <v>0</v>
      </c>
    </row>
    <row r="2866" spans="1:11" x14ac:dyDescent="0.2">
      <c r="A2866" t="s">
        <v>16</v>
      </c>
      <c r="B2866" t="s">
        <v>477</v>
      </c>
      <c r="C2866">
        <v>300</v>
      </c>
      <c r="D2866" t="s">
        <v>7366</v>
      </c>
      <c r="E2866" t="s">
        <v>49</v>
      </c>
      <c r="F2866">
        <v>12</v>
      </c>
      <c r="G2866">
        <v>0.22820206304829846</v>
      </c>
      <c r="H2866" t="s">
        <v>94</v>
      </c>
      <c r="I2866">
        <v>0</v>
      </c>
      <c r="J2866">
        <v>0</v>
      </c>
      <c r="K2866">
        <v>0</v>
      </c>
    </row>
    <row r="2867" spans="1:11" x14ac:dyDescent="0.2">
      <c r="A2867" t="s">
        <v>16</v>
      </c>
      <c r="B2867" t="s">
        <v>477</v>
      </c>
      <c r="C2867">
        <v>300</v>
      </c>
      <c r="D2867" t="s">
        <v>7379</v>
      </c>
      <c r="E2867" t="s">
        <v>49</v>
      </c>
      <c r="F2867">
        <v>12</v>
      </c>
      <c r="G2867">
        <v>0.22820206304829846</v>
      </c>
      <c r="H2867" t="s">
        <v>100</v>
      </c>
      <c r="I2867">
        <v>0</v>
      </c>
      <c r="J2867">
        <v>0</v>
      </c>
      <c r="K2867">
        <v>0</v>
      </c>
    </row>
    <row r="2868" spans="1:11" x14ac:dyDescent="0.2">
      <c r="A2868" t="s">
        <v>16</v>
      </c>
      <c r="B2868" t="s">
        <v>477</v>
      </c>
      <c r="C2868">
        <v>300</v>
      </c>
      <c r="D2868" t="s">
        <v>7378</v>
      </c>
      <c r="E2868" t="s">
        <v>49</v>
      </c>
      <c r="F2868">
        <v>12</v>
      </c>
      <c r="G2868">
        <v>0.22820206304829846</v>
      </c>
      <c r="H2868" t="s">
        <v>98</v>
      </c>
      <c r="I2868">
        <v>0</v>
      </c>
      <c r="J2868">
        <v>0</v>
      </c>
      <c r="K2868">
        <v>0</v>
      </c>
    </row>
    <row r="2869" spans="1:11" x14ac:dyDescent="0.2">
      <c r="A2869" t="s">
        <v>16</v>
      </c>
      <c r="B2869" t="s">
        <v>477</v>
      </c>
      <c r="C2869">
        <v>300</v>
      </c>
      <c r="D2869" t="s">
        <v>7373</v>
      </c>
      <c r="E2869" t="s">
        <v>49</v>
      </c>
      <c r="F2869">
        <v>12</v>
      </c>
      <c r="G2869">
        <v>0.22820206304829846</v>
      </c>
      <c r="H2869" t="s">
        <v>104</v>
      </c>
      <c r="I2869">
        <v>0</v>
      </c>
      <c r="J2869">
        <v>0</v>
      </c>
      <c r="K2869">
        <v>0</v>
      </c>
    </row>
    <row r="2870" spans="1:11" x14ac:dyDescent="0.2">
      <c r="A2870" t="s">
        <v>16</v>
      </c>
      <c r="B2870" t="s">
        <v>477</v>
      </c>
      <c r="C2870">
        <v>300</v>
      </c>
      <c r="D2870" t="s">
        <v>7376</v>
      </c>
      <c r="E2870" t="s">
        <v>49</v>
      </c>
      <c r="F2870">
        <v>12</v>
      </c>
      <c r="G2870">
        <v>0.22820206304829846</v>
      </c>
      <c r="H2870" t="s">
        <v>96</v>
      </c>
      <c r="I2870">
        <v>0</v>
      </c>
      <c r="J2870">
        <v>0</v>
      </c>
      <c r="K2870">
        <v>0</v>
      </c>
    </row>
    <row r="2871" spans="1:11" x14ac:dyDescent="0.2">
      <c r="A2871" t="s">
        <v>16</v>
      </c>
      <c r="B2871" t="s">
        <v>477</v>
      </c>
      <c r="C2871">
        <v>300</v>
      </c>
      <c r="D2871" t="s">
        <v>7380</v>
      </c>
      <c r="E2871" t="s">
        <v>49</v>
      </c>
      <c r="F2871">
        <v>12</v>
      </c>
      <c r="G2871">
        <v>0.22820206304829846</v>
      </c>
      <c r="H2871" t="s">
        <v>103</v>
      </c>
      <c r="I2871">
        <v>0</v>
      </c>
      <c r="J2871">
        <v>0</v>
      </c>
      <c r="K2871">
        <v>0</v>
      </c>
    </row>
    <row r="2872" spans="1:11" x14ac:dyDescent="0.2">
      <c r="A2872" t="s">
        <v>16</v>
      </c>
      <c r="B2872" t="s">
        <v>477</v>
      </c>
      <c r="C2872">
        <v>300</v>
      </c>
      <c r="D2872" t="s">
        <v>7372</v>
      </c>
      <c r="E2872" t="s">
        <v>49</v>
      </c>
      <c r="F2872">
        <v>12</v>
      </c>
      <c r="G2872">
        <v>0.22820206304829846</v>
      </c>
      <c r="H2872" t="s">
        <v>84</v>
      </c>
      <c r="I2872">
        <v>0</v>
      </c>
      <c r="J2872">
        <v>0</v>
      </c>
      <c r="K2872">
        <v>0</v>
      </c>
    </row>
    <row r="2873" spans="1:11" x14ac:dyDescent="0.2">
      <c r="A2873" t="s">
        <v>16</v>
      </c>
      <c r="B2873" t="s">
        <v>477</v>
      </c>
      <c r="C2873">
        <v>300</v>
      </c>
      <c r="D2873" t="s">
        <v>7349</v>
      </c>
      <c r="E2873" t="s">
        <v>49</v>
      </c>
      <c r="F2873">
        <v>12</v>
      </c>
      <c r="G2873">
        <v>0.22820206304829846</v>
      </c>
      <c r="H2873" t="s">
        <v>91</v>
      </c>
      <c r="I2873">
        <v>0</v>
      </c>
      <c r="J2873">
        <v>0</v>
      </c>
      <c r="K2873">
        <v>0</v>
      </c>
    </row>
    <row r="2874" spans="1:11" x14ac:dyDescent="0.2">
      <c r="A2874" t="s">
        <v>16</v>
      </c>
      <c r="B2874" t="s">
        <v>477</v>
      </c>
      <c r="C2874">
        <v>300</v>
      </c>
      <c r="D2874" t="s">
        <v>7355</v>
      </c>
      <c r="E2874" t="s">
        <v>49</v>
      </c>
      <c r="F2874">
        <v>12</v>
      </c>
      <c r="G2874">
        <v>0.22820206304829846</v>
      </c>
      <c r="H2874" t="s">
        <v>94</v>
      </c>
      <c r="I2874">
        <v>0</v>
      </c>
      <c r="J2874">
        <v>0</v>
      </c>
      <c r="K2874">
        <v>0</v>
      </c>
    </row>
    <row r="2875" spans="1:11" x14ac:dyDescent="0.2">
      <c r="A2875" t="s">
        <v>16</v>
      </c>
      <c r="B2875" t="s">
        <v>477</v>
      </c>
      <c r="C2875">
        <v>300</v>
      </c>
      <c r="D2875" t="s">
        <v>7352</v>
      </c>
      <c r="E2875" t="s">
        <v>49</v>
      </c>
      <c r="F2875">
        <v>12</v>
      </c>
      <c r="G2875">
        <v>0.22820206304829846</v>
      </c>
      <c r="H2875" t="s">
        <v>100</v>
      </c>
      <c r="I2875">
        <v>0</v>
      </c>
      <c r="J2875">
        <v>0</v>
      </c>
      <c r="K2875">
        <v>0</v>
      </c>
    </row>
    <row r="2876" spans="1:11" x14ac:dyDescent="0.2">
      <c r="A2876" t="s">
        <v>16</v>
      </c>
      <c r="B2876" t="s">
        <v>477</v>
      </c>
      <c r="C2876">
        <v>300</v>
      </c>
      <c r="D2876" t="s">
        <v>7375</v>
      </c>
      <c r="E2876" t="s">
        <v>49</v>
      </c>
      <c r="F2876">
        <v>12</v>
      </c>
      <c r="G2876">
        <v>0.22820206304829846</v>
      </c>
      <c r="H2876" t="s">
        <v>98</v>
      </c>
      <c r="I2876">
        <v>0</v>
      </c>
      <c r="J2876">
        <v>0</v>
      </c>
      <c r="K2876">
        <v>0</v>
      </c>
    </row>
    <row r="2877" spans="1:11" x14ac:dyDescent="0.2">
      <c r="A2877" t="s">
        <v>16</v>
      </c>
      <c r="B2877" t="s">
        <v>477</v>
      </c>
      <c r="C2877">
        <v>300</v>
      </c>
      <c r="D2877" t="s">
        <v>7347</v>
      </c>
      <c r="E2877" t="s">
        <v>49</v>
      </c>
      <c r="F2877">
        <v>12</v>
      </c>
      <c r="G2877">
        <v>0.22820206304829846</v>
      </c>
      <c r="H2877" t="s">
        <v>104</v>
      </c>
      <c r="I2877">
        <v>0</v>
      </c>
      <c r="J2877">
        <v>0</v>
      </c>
      <c r="K2877">
        <v>0</v>
      </c>
    </row>
    <row r="2878" spans="1:11" x14ac:dyDescent="0.2">
      <c r="A2878" t="s">
        <v>16</v>
      </c>
      <c r="B2878" t="s">
        <v>477</v>
      </c>
      <c r="C2878">
        <v>300</v>
      </c>
      <c r="D2878" t="s">
        <v>7345</v>
      </c>
      <c r="E2878" t="s">
        <v>49</v>
      </c>
      <c r="F2878">
        <v>12</v>
      </c>
      <c r="G2878">
        <v>0.22820206304829846</v>
      </c>
      <c r="H2878" t="s">
        <v>96</v>
      </c>
      <c r="I2878">
        <v>0</v>
      </c>
      <c r="J2878">
        <v>0</v>
      </c>
      <c r="K2878">
        <v>0</v>
      </c>
    </row>
    <row r="2879" spans="1:11" x14ac:dyDescent="0.2">
      <c r="A2879" t="s">
        <v>16</v>
      </c>
      <c r="B2879" t="s">
        <v>477</v>
      </c>
      <c r="C2879">
        <v>300</v>
      </c>
      <c r="D2879" t="s">
        <v>7364</v>
      </c>
      <c r="E2879" t="s">
        <v>49</v>
      </c>
      <c r="F2879">
        <v>12</v>
      </c>
      <c r="G2879">
        <v>0.22820206304829846</v>
      </c>
      <c r="H2879" t="s">
        <v>103</v>
      </c>
      <c r="I2879">
        <v>0</v>
      </c>
      <c r="J2879">
        <v>0</v>
      </c>
      <c r="K2879">
        <v>0</v>
      </c>
    </row>
    <row r="2880" spans="1:11" x14ac:dyDescent="0.2">
      <c r="A2880" t="s">
        <v>16</v>
      </c>
      <c r="B2880" t="s">
        <v>477</v>
      </c>
      <c r="C2880">
        <v>300</v>
      </c>
      <c r="D2880" t="s">
        <v>7344</v>
      </c>
      <c r="E2880" t="s">
        <v>49</v>
      </c>
      <c r="F2880">
        <v>12</v>
      </c>
      <c r="G2880">
        <v>0.22820206304829846</v>
      </c>
      <c r="H2880" t="s">
        <v>84</v>
      </c>
      <c r="I2880">
        <v>0</v>
      </c>
      <c r="J2880">
        <v>0</v>
      </c>
      <c r="K2880">
        <v>0</v>
      </c>
    </row>
    <row r="2881" spans="1:11" x14ac:dyDescent="0.2">
      <c r="A2881" t="s">
        <v>16</v>
      </c>
      <c r="B2881" t="s">
        <v>477</v>
      </c>
      <c r="C2881">
        <v>300</v>
      </c>
      <c r="D2881" t="s">
        <v>7346</v>
      </c>
      <c r="E2881" t="s">
        <v>49</v>
      </c>
      <c r="F2881">
        <v>12</v>
      </c>
      <c r="G2881">
        <v>0.22820206304829846</v>
      </c>
      <c r="H2881" t="s">
        <v>91</v>
      </c>
      <c r="I2881">
        <v>0</v>
      </c>
      <c r="J2881">
        <v>0</v>
      </c>
      <c r="K2881">
        <v>0</v>
      </c>
    </row>
    <row r="2882" spans="1:11" x14ac:dyDescent="0.2">
      <c r="A2882" t="s">
        <v>16</v>
      </c>
      <c r="B2882" t="s">
        <v>477</v>
      </c>
      <c r="C2882">
        <v>300</v>
      </c>
      <c r="D2882" t="s">
        <v>7335</v>
      </c>
      <c r="E2882" t="s">
        <v>49</v>
      </c>
      <c r="F2882">
        <v>12</v>
      </c>
      <c r="G2882">
        <v>0.22820206304829846</v>
      </c>
      <c r="H2882" t="s">
        <v>94</v>
      </c>
      <c r="I2882">
        <v>0</v>
      </c>
      <c r="J2882">
        <v>0</v>
      </c>
      <c r="K2882">
        <v>0</v>
      </c>
    </row>
    <row r="2883" spans="1:11" x14ac:dyDescent="0.2">
      <c r="A2883" t="s">
        <v>16</v>
      </c>
      <c r="B2883" t="s">
        <v>477</v>
      </c>
      <c r="C2883">
        <v>300</v>
      </c>
      <c r="D2883" t="s">
        <v>7365</v>
      </c>
      <c r="E2883" t="s">
        <v>49</v>
      </c>
      <c r="F2883">
        <v>12</v>
      </c>
      <c r="G2883">
        <v>0.22820206304829846</v>
      </c>
      <c r="H2883" t="s">
        <v>100</v>
      </c>
      <c r="I2883">
        <v>0</v>
      </c>
      <c r="J2883">
        <v>0</v>
      </c>
      <c r="K2883">
        <v>0</v>
      </c>
    </row>
    <row r="2884" spans="1:11" x14ac:dyDescent="0.2">
      <c r="A2884" t="s">
        <v>16</v>
      </c>
      <c r="B2884" t="s">
        <v>477</v>
      </c>
      <c r="C2884">
        <v>300</v>
      </c>
      <c r="D2884" t="s">
        <v>7343</v>
      </c>
      <c r="E2884" t="s">
        <v>49</v>
      </c>
      <c r="F2884">
        <v>12</v>
      </c>
      <c r="G2884">
        <v>0.22820206304829846</v>
      </c>
      <c r="H2884" t="s">
        <v>98</v>
      </c>
      <c r="I2884">
        <v>0</v>
      </c>
      <c r="J2884">
        <v>0</v>
      </c>
      <c r="K2884">
        <v>0</v>
      </c>
    </row>
    <row r="2885" spans="1:11" x14ac:dyDescent="0.2">
      <c r="A2885" t="s">
        <v>16</v>
      </c>
      <c r="B2885" t="s">
        <v>477</v>
      </c>
      <c r="C2885">
        <v>300</v>
      </c>
      <c r="D2885" t="s">
        <v>7377</v>
      </c>
      <c r="E2885" t="s">
        <v>49</v>
      </c>
      <c r="F2885">
        <v>12</v>
      </c>
      <c r="G2885">
        <v>0.22820206304829846</v>
      </c>
      <c r="H2885" t="s">
        <v>104</v>
      </c>
      <c r="I2885">
        <v>0</v>
      </c>
      <c r="J2885">
        <v>0</v>
      </c>
      <c r="K2885">
        <v>0</v>
      </c>
    </row>
    <row r="2886" spans="1:11" x14ac:dyDescent="0.2">
      <c r="A2886" t="s">
        <v>16</v>
      </c>
      <c r="B2886" t="s">
        <v>477</v>
      </c>
      <c r="C2886">
        <v>300</v>
      </c>
      <c r="D2886" t="s">
        <v>7342</v>
      </c>
      <c r="E2886" t="s">
        <v>49</v>
      </c>
      <c r="F2886">
        <v>12</v>
      </c>
      <c r="G2886">
        <v>0.22820206304829846</v>
      </c>
      <c r="H2886" t="s">
        <v>96</v>
      </c>
      <c r="I2886">
        <v>0</v>
      </c>
      <c r="J2886">
        <v>0</v>
      </c>
      <c r="K2886">
        <v>0</v>
      </c>
    </row>
    <row r="2887" spans="1:11" x14ac:dyDescent="0.2">
      <c r="A2887" t="s">
        <v>16</v>
      </c>
      <c r="B2887" t="s">
        <v>477</v>
      </c>
      <c r="C2887">
        <v>300</v>
      </c>
      <c r="D2887" t="s">
        <v>7362</v>
      </c>
      <c r="E2887" t="s">
        <v>49</v>
      </c>
      <c r="F2887">
        <v>12</v>
      </c>
      <c r="G2887">
        <v>0.22820206304829846</v>
      </c>
      <c r="H2887" t="s">
        <v>103</v>
      </c>
      <c r="I2887">
        <v>0</v>
      </c>
      <c r="J2887">
        <v>0</v>
      </c>
      <c r="K2887">
        <v>0</v>
      </c>
    </row>
    <row r="2888" spans="1:11" x14ac:dyDescent="0.2">
      <c r="A2888" t="s">
        <v>16</v>
      </c>
      <c r="B2888" t="s">
        <v>477</v>
      </c>
      <c r="C2888">
        <v>300</v>
      </c>
      <c r="D2888" t="s">
        <v>7356</v>
      </c>
      <c r="E2888" t="s">
        <v>49</v>
      </c>
      <c r="F2888">
        <v>12</v>
      </c>
      <c r="G2888">
        <v>0.22820206304829846</v>
      </c>
      <c r="H2888" t="s">
        <v>84</v>
      </c>
      <c r="I2888">
        <v>0</v>
      </c>
      <c r="J2888">
        <v>0</v>
      </c>
      <c r="K2888">
        <v>0</v>
      </c>
    </row>
    <row r="2889" spans="1:11" x14ac:dyDescent="0.2">
      <c r="A2889" t="s">
        <v>16</v>
      </c>
      <c r="B2889" t="s">
        <v>477</v>
      </c>
      <c r="C2889">
        <v>300</v>
      </c>
      <c r="D2889" t="s">
        <v>7334</v>
      </c>
      <c r="E2889" t="s">
        <v>49</v>
      </c>
      <c r="F2889">
        <v>12</v>
      </c>
      <c r="G2889">
        <v>0.22820206304829846</v>
      </c>
      <c r="H2889" t="s">
        <v>91</v>
      </c>
      <c r="I2889">
        <v>0</v>
      </c>
      <c r="J2889">
        <v>0</v>
      </c>
      <c r="K2889">
        <v>0</v>
      </c>
    </row>
    <row r="2890" spans="1:11" x14ac:dyDescent="0.2">
      <c r="A2890" t="s">
        <v>16</v>
      </c>
      <c r="B2890" t="s">
        <v>477</v>
      </c>
      <c r="C2890">
        <v>300</v>
      </c>
      <c r="D2890" t="s">
        <v>7358</v>
      </c>
      <c r="E2890" t="s">
        <v>49</v>
      </c>
      <c r="F2890">
        <v>12</v>
      </c>
      <c r="G2890">
        <v>0.22820206304829846</v>
      </c>
      <c r="H2890" t="s">
        <v>94</v>
      </c>
      <c r="I2890">
        <v>0</v>
      </c>
      <c r="J2890">
        <v>0</v>
      </c>
      <c r="K2890">
        <v>0</v>
      </c>
    </row>
    <row r="2891" spans="1:11" x14ac:dyDescent="0.2">
      <c r="A2891" t="s">
        <v>16</v>
      </c>
      <c r="B2891" t="s">
        <v>477</v>
      </c>
      <c r="C2891">
        <v>300</v>
      </c>
      <c r="D2891" t="s">
        <v>7340</v>
      </c>
      <c r="E2891" t="s">
        <v>49</v>
      </c>
      <c r="F2891">
        <v>12</v>
      </c>
      <c r="G2891">
        <v>0.22820206304829846</v>
      </c>
      <c r="H2891" t="s">
        <v>100</v>
      </c>
      <c r="I2891">
        <v>0</v>
      </c>
      <c r="J2891">
        <v>0</v>
      </c>
      <c r="K2891">
        <v>0</v>
      </c>
    </row>
    <row r="2892" spans="1:11" x14ac:dyDescent="0.2">
      <c r="A2892" t="s">
        <v>16</v>
      </c>
      <c r="B2892" t="s">
        <v>477</v>
      </c>
      <c r="C2892">
        <v>300</v>
      </c>
      <c r="D2892" t="s">
        <v>7341</v>
      </c>
      <c r="E2892" t="s">
        <v>49</v>
      </c>
      <c r="F2892">
        <v>12</v>
      </c>
      <c r="G2892">
        <v>0.22820206304829846</v>
      </c>
      <c r="H2892" t="s">
        <v>98</v>
      </c>
      <c r="I2892">
        <v>0</v>
      </c>
      <c r="J2892">
        <v>0</v>
      </c>
      <c r="K2892">
        <v>0</v>
      </c>
    </row>
    <row r="2893" spans="1:11" x14ac:dyDescent="0.2">
      <c r="A2893" t="s">
        <v>16</v>
      </c>
      <c r="B2893" t="s">
        <v>477</v>
      </c>
      <c r="C2893">
        <v>300</v>
      </c>
      <c r="D2893" t="s">
        <v>7369</v>
      </c>
      <c r="E2893" t="s">
        <v>49</v>
      </c>
      <c r="F2893">
        <v>12</v>
      </c>
      <c r="G2893">
        <v>0.22820206304829846</v>
      </c>
      <c r="H2893" t="s">
        <v>104</v>
      </c>
      <c r="I2893">
        <v>0</v>
      </c>
      <c r="J2893">
        <v>0</v>
      </c>
      <c r="K2893">
        <v>0</v>
      </c>
    </row>
    <row r="2894" spans="1:11" x14ac:dyDescent="0.2">
      <c r="A2894" t="s">
        <v>16</v>
      </c>
      <c r="B2894" t="s">
        <v>477</v>
      </c>
      <c r="C2894">
        <v>300</v>
      </c>
      <c r="D2894" t="s">
        <v>7336</v>
      </c>
      <c r="E2894" t="s">
        <v>49</v>
      </c>
      <c r="F2894">
        <v>12</v>
      </c>
      <c r="G2894">
        <v>0.22820206304829846</v>
      </c>
      <c r="H2894" t="s">
        <v>96</v>
      </c>
      <c r="I2894">
        <v>0</v>
      </c>
      <c r="J2894">
        <v>0</v>
      </c>
      <c r="K2894">
        <v>0</v>
      </c>
    </row>
    <row r="2895" spans="1:11" x14ac:dyDescent="0.2">
      <c r="A2895" t="s">
        <v>16</v>
      </c>
      <c r="B2895" t="s">
        <v>477</v>
      </c>
      <c r="C2895">
        <v>300</v>
      </c>
      <c r="D2895" t="s">
        <v>7359</v>
      </c>
      <c r="E2895" t="s">
        <v>49</v>
      </c>
      <c r="F2895">
        <v>12</v>
      </c>
      <c r="G2895">
        <v>0.22820206304829846</v>
      </c>
      <c r="H2895" t="s">
        <v>103</v>
      </c>
      <c r="I2895">
        <v>0</v>
      </c>
      <c r="J2895">
        <v>0</v>
      </c>
      <c r="K2895">
        <v>0</v>
      </c>
    </row>
    <row r="2896" spans="1:11" x14ac:dyDescent="0.2">
      <c r="A2896" t="s">
        <v>16</v>
      </c>
      <c r="B2896" t="s">
        <v>477</v>
      </c>
      <c r="C2896">
        <v>300</v>
      </c>
      <c r="D2896" t="s">
        <v>7353</v>
      </c>
      <c r="E2896" t="s">
        <v>49</v>
      </c>
      <c r="F2896">
        <v>12</v>
      </c>
      <c r="G2896">
        <v>0.22820206304829846</v>
      </c>
      <c r="H2896" t="s">
        <v>84</v>
      </c>
      <c r="I2896">
        <v>0</v>
      </c>
      <c r="J2896">
        <v>0</v>
      </c>
      <c r="K2896">
        <v>0</v>
      </c>
    </row>
    <row r="2897" spans="1:11" x14ac:dyDescent="0.2">
      <c r="A2897" t="s">
        <v>16</v>
      </c>
      <c r="B2897" t="s">
        <v>477</v>
      </c>
      <c r="C2897">
        <v>300</v>
      </c>
      <c r="D2897" t="s">
        <v>7361</v>
      </c>
      <c r="E2897" t="s">
        <v>49</v>
      </c>
      <c r="F2897">
        <v>12</v>
      </c>
      <c r="G2897">
        <v>0.22820206304829846</v>
      </c>
      <c r="H2897" t="s">
        <v>91</v>
      </c>
      <c r="I2897">
        <v>0</v>
      </c>
      <c r="J2897">
        <v>0</v>
      </c>
      <c r="K2897">
        <v>0</v>
      </c>
    </row>
    <row r="2898" spans="1:11" x14ac:dyDescent="0.2">
      <c r="A2898" t="s">
        <v>16</v>
      </c>
      <c r="B2898" t="s">
        <v>477</v>
      </c>
      <c r="C2898">
        <v>300</v>
      </c>
      <c r="D2898" t="s">
        <v>7348</v>
      </c>
      <c r="E2898" t="s">
        <v>49</v>
      </c>
      <c r="F2898">
        <v>12</v>
      </c>
      <c r="G2898">
        <v>0.22820206304829846</v>
      </c>
      <c r="H2898" t="s">
        <v>94</v>
      </c>
      <c r="I2898">
        <v>0</v>
      </c>
      <c r="J2898">
        <v>0</v>
      </c>
      <c r="K2898">
        <v>0</v>
      </c>
    </row>
    <row r="2899" spans="1:11" x14ac:dyDescent="0.2">
      <c r="A2899" t="s">
        <v>16</v>
      </c>
      <c r="B2899" t="s">
        <v>477</v>
      </c>
      <c r="C2899">
        <v>300</v>
      </c>
      <c r="D2899" t="s">
        <v>7363</v>
      </c>
      <c r="E2899" t="s">
        <v>49</v>
      </c>
      <c r="F2899">
        <v>12</v>
      </c>
      <c r="G2899">
        <v>0.22820206304829846</v>
      </c>
      <c r="H2899" t="s">
        <v>100</v>
      </c>
      <c r="I2899">
        <v>0</v>
      </c>
      <c r="J2899">
        <v>0</v>
      </c>
      <c r="K2899">
        <v>0</v>
      </c>
    </row>
    <row r="2900" spans="1:11" x14ac:dyDescent="0.2">
      <c r="A2900" t="s">
        <v>16</v>
      </c>
      <c r="B2900" t="s">
        <v>477</v>
      </c>
      <c r="C2900">
        <v>300</v>
      </c>
      <c r="D2900" t="s">
        <v>7337</v>
      </c>
      <c r="E2900" t="s">
        <v>49</v>
      </c>
      <c r="F2900">
        <v>12</v>
      </c>
      <c r="G2900">
        <v>0.22820206304829846</v>
      </c>
      <c r="H2900" t="s">
        <v>98</v>
      </c>
      <c r="I2900">
        <v>0</v>
      </c>
      <c r="J2900">
        <v>0</v>
      </c>
      <c r="K2900">
        <v>0</v>
      </c>
    </row>
    <row r="2901" spans="1:11" x14ac:dyDescent="0.2">
      <c r="A2901" t="s">
        <v>16</v>
      </c>
      <c r="B2901" t="s">
        <v>477</v>
      </c>
      <c r="C2901">
        <v>300</v>
      </c>
      <c r="D2901" t="s">
        <v>7338</v>
      </c>
      <c r="E2901" t="s">
        <v>49</v>
      </c>
      <c r="F2901">
        <v>12</v>
      </c>
      <c r="G2901">
        <v>0.22820206304829846</v>
      </c>
      <c r="H2901" t="s">
        <v>104</v>
      </c>
      <c r="I2901">
        <v>0</v>
      </c>
      <c r="J2901">
        <v>0</v>
      </c>
      <c r="K2901">
        <v>0</v>
      </c>
    </row>
    <row r="2902" spans="1:11" x14ac:dyDescent="0.2">
      <c r="A2902" t="s">
        <v>16</v>
      </c>
      <c r="B2902" t="s">
        <v>790</v>
      </c>
      <c r="C2902">
        <v>900</v>
      </c>
      <c r="D2902" t="s">
        <v>7392</v>
      </c>
      <c r="E2902" t="s">
        <v>49</v>
      </c>
      <c r="F2902">
        <v>13</v>
      </c>
      <c r="G2902">
        <v>0.3246142776285918</v>
      </c>
      <c r="H2902" t="s">
        <v>96</v>
      </c>
      <c r="I2902">
        <v>0</v>
      </c>
      <c r="J2902">
        <v>0</v>
      </c>
      <c r="K2902">
        <v>0</v>
      </c>
    </row>
    <row r="2903" spans="1:11" x14ac:dyDescent="0.2">
      <c r="A2903" t="s">
        <v>16</v>
      </c>
      <c r="B2903" t="s">
        <v>790</v>
      </c>
      <c r="C2903">
        <v>900</v>
      </c>
      <c r="D2903" t="s">
        <v>7388</v>
      </c>
      <c r="E2903" t="s">
        <v>49</v>
      </c>
      <c r="F2903">
        <v>13</v>
      </c>
      <c r="G2903">
        <v>0.3246142776285918</v>
      </c>
      <c r="H2903" t="s">
        <v>103</v>
      </c>
      <c r="I2903">
        <v>0</v>
      </c>
      <c r="J2903">
        <v>0</v>
      </c>
      <c r="K2903">
        <v>0</v>
      </c>
    </row>
    <row r="2904" spans="1:11" x14ac:dyDescent="0.2">
      <c r="A2904" t="s">
        <v>16</v>
      </c>
      <c r="B2904" t="s">
        <v>790</v>
      </c>
      <c r="C2904">
        <v>900</v>
      </c>
      <c r="D2904" t="s">
        <v>7382</v>
      </c>
      <c r="E2904" t="s">
        <v>49</v>
      </c>
      <c r="F2904">
        <v>13</v>
      </c>
      <c r="G2904">
        <v>0.3246142776285918</v>
      </c>
      <c r="H2904" t="s">
        <v>84</v>
      </c>
      <c r="I2904">
        <v>0</v>
      </c>
      <c r="J2904">
        <v>0</v>
      </c>
      <c r="K2904">
        <v>0</v>
      </c>
    </row>
    <row r="2905" spans="1:11" x14ac:dyDescent="0.2">
      <c r="A2905" t="s">
        <v>16</v>
      </c>
      <c r="B2905" t="s">
        <v>790</v>
      </c>
      <c r="C2905">
        <v>900</v>
      </c>
      <c r="D2905" t="s">
        <v>7386</v>
      </c>
      <c r="E2905" t="s">
        <v>49</v>
      </c>
      <c r="F2905">
        <v>13</v>
      </c>
      <c r="G2905">
        <v>0.3246142776285918</v>
      </c>
      <c r="H2905" t="s">
        <v>88</v>
      </c>
      <c r="I2905">
        <v>0</v>
      </c>
      <c r="J2905">
        <v>0</v>
      </c>
      <c r="K2905">
        <v>0</v>
      </c>
    </row>
    <row r="2906" spans="1:11" x14ac:dyDescent="0.2">
      <c r="A2906" t="s">
        <v>16</v>
      </c>
      <c r="B2906" t="s">
        <v>790</v>
      </c>
      <c r="C2906">
        <v>900</v>
      </c>
      <c r="D2906" t="s">
        <v>7385</v>
      </c>
      <c r="E2906" t="s">
        <v>49</v>
      </c>
      <c r="F2906">
        <v>13</v>
      </c>
      <c r="G2906">
        <v>0.3246142776285918</v>
      </c>
      <c r="H2906" t="s">
        <v>89</v>
      </c>
      <c r="I2906">
        <v>0</v>
      </c>
      <c r="J2906">
        <v>0</v>
      </c>
      <c r="K2906">
        <v>0</v>
      </c>
    </row>
    <row r="2907" spans="1:11" x14ac:dyDescent="0.2">
      <c r="A2907" t="s">
        <v>16</v>
      </c>
      <c r="B2907" t="s">
        <v>790</v>
      </c>
      <c r="C2907">
        <v>900</v>
      </c>
      <c r="D2907" t="s">
        <v>7391</v>
      </c>
      <c r="E2907" t="s">
        <v>49</v>
      </c>
      <c r="F2907">
        <v>13</v>
      </c>
      <c r="G2907">
        <v>0.3246142776285918</v>
      </c>
      <c r="H2907" t="s">
        <v>91</v>
      </c>
      <c r="I2907">
        <v>0</v>
      </c>
      <c r="J2907">
        <v>0</v>
      </c>
      <c r="K2907">
        <v>0</v>
      </c>
    </row>
    <row r="2908" spans="1:11" x14ac:dyDescent="0.2">
      <c r="A2908" t="s">
        <v>16</v>
      </c>
      <c r="B2908" t="s">
        <v>790</v>
      </c>
      <c r="C2908">
        <v>900</v>
      </c>
      <c r="D2908" t="s">
        <v>7384</v>
      </c>
      <c r="E2908" t="s">
        <v>49</v>
      </c>
      <c r="F2908">
        <v>13</v>
      </c>
      <c r="G2908">
        <v>0.3246142776285918</v>
      </c>
      <c r="H2908" t="s">
        <v>93</v>
      </c>
      <c r="I2908">
        <v>0</v>
      </c>
      <c r="J2908">
        <v>0</v>
      </c>
      <c r="K2908">
        <v>0</v>
      </c>
    </row>
    <row r="2909" spans="1:11" x14ac:dyDescent="0.2">
      <c r="A2909" t="s">
        <v>16</v>
      </c>
      <c r="B2909" t="s">
        <v>790</v>
      </c>
      <c r="C2909">
        <v>900</v>
      </c>
      <c r="D2909" t="s">
        <v>7393</v>
      </c>
      <c r="E2909" t="s">
        <v>49</v>
      </c>
      <c r="F2909">
        <v>13</v>
      </c>
      <c r="G2909">
        <v>0.3246142776285918</v>
      </c>
      <c r="H2909" t="s">
        <v>94</v>
      </c>
      <c r="I2909">
        <v>0</v>
      </c>
      <c r="J2909">
        <v>0</v>
      </c>
      <c r="K2909">
        <v>0</v>
      </c>
    </row>
    <row r="2910" spans="1:11" x14ac:dyDescent="0.2">
      <c r="A2910" t="s">
        <v>16</v>
      </c>
      <c r="B2910" t="s">
        <v>790</v>
      </c>
      <c r="C2910">
        <v>900</v>
      </c>
      <c r="D2910" t="s">
        <v>7383</v>
      </c>
      <c r="E2910" t="s">
        <v>49</v>
      </c>
      <c r="F2910">
        <v>13</v>
      </c>
      <c r="G2910">
        <v>0.3246142776285918</v>
      </c>
      <c r="H2910" t="s">
        <v>100</v>
      </c>
      <c r="I2910">
        <v>0</v>
      </c>
      <c r="J2910">
        <v>0</v>
      </c>
      <c r="K2910">
        <v>0</v>
      </c>
    </row>
    <row r="2911" spans="1:11" x14ac:dyDescent="0.2">
      <c r="A2911" t="s">
        <v>16</v>
      </c>
      <c r="B2911" t="s">
        <v>790</v>
      </c>
      <c r="C2911">
        <v>900</v>
      </c>
      <c r="D2911" t="s">
        <v>7394</v>
      </c>
      <c r="E2911" t="s">
        <v>49</v>
      </c>
      <c r="F2911">
        <v>13</v>
      </c>
      <c r="G2911">
        <v>0.3246142776285918</v>
      </c>
      <c r="H2911" t="s">
        <v>90</v>
      </c>
      <c r="I2911">
        <v>0</v>
      </c>
      <c r="J2911">
        <v>0</v>
      </c>
      <c r="K2911">
        <v>0</v>
      </c>
    </row>
    <row r="2912" spans="1:11" x14ac:dyDescent="0.2">
      <c r="A2912" t="s">
        <v>16</v>
      </c>
      <c r="B2912" t="s">
        <v>790</v>
      </c>
      <c r="C2912">
        <v>600</v>
      </c>
      <c r="D2912" t="s">
        <v>7389</v>
      </c>
      <c r="E2912" t="s">
        <v>49</v>
      </c>
      <c r="F2912">
        <v>13</v>
      </c>
      <c r="G2912">
        <v>0.2164095184190612</v>
      </c>
      <c r="H2912" t="s">
        <v>98</v>
      </c>
      <c r="I2912">
        <v>0</v>
      </c>
      <c r="J2912">
        <v>0</v>
      </c>
      <c r="K2912">
        <v>0</v>
      </c>
    </row>
    <row r="2913" spans="1:11" x14ac:dyDescent="0.2">
      <c r="A2913" t="s">
        <v>16</v>
      </c>
      <c r="B2913" t="s">
        <v>790</v>
      </c>
      <c r="C2913">
        <v>900</v>
      </c>
      <c r="D2913" t="s">
        <v>7387</v>
      </c>
      <c r="E2913" t="s">
        <v>49</v>
      </c>
      <c r="F2913">
        <v>13</v>
      </c>
      <c r="G2913">
        <v>0.3246142776285918</v>
      </c>
      <c r="H2913" t="s">
        <v>105</v>
      </c>
      <c r="I2913">
        <v>0</v>
      </c>
      <c r="J2913">
        <v>0</v>
      </c>
      <c r="K2913">
        <v>0</v>
      </c>
    </row>
    <row r="2914" spans="1:11" x14ac:dyDescent="0.2">
      <c r="A2914" t="s">
        <v>16</v>
      </c>
      <c r="B2914" t="s">
        <v>790</v>
      </c>
      <c r="C2914">
        <v>900</v>
      </c>
      <c r="D2914" t="s">
        <v>7390</v>
      </c>
      <c r="E2914" t="s">
        <v>49</v>
      </c>
      <c r="F2914">
        <v>13</v>
      </c>
      <c r="G2914">
        <v>0.3246142776285918</v>
      </c>
      <c r="H2914" t="s">
        <v>104</v>
      </c>
      <c r="I2914">
        <v>0</v>
      </c>
      <c r="J2914">
        <v>0</v>
      </c>
      <c r="K2914">
        <v>0</v>
      </c>
    </row>
    <row r="2915" spans="1:11" x14ac:dyDescent="0.2">
      <c r="A2915" t="s">
        <v>16</v>
      </c>
      <c r="B2915" t="s">
        <v>4842</v>
      </c>
      <c r="C2915">
        <v>435</v>
      </c>
      <c r="D2915" t="s">
        <v>7411</v>
      </c>
      <c r="E2915" t="s">
        <v>49</v>
      </c>
      <c r="F2915">
        <v>7</v>
      </c>
      <c r="G2915">
        <v>1.0286804718177041</v>
      </c>
      <c r="H2915" t="s">
        <v>99</v>
      </c>
      <c r="I2915">
        <v>0</v>
      </c>
      <c r="J2915">
        <v>0</v>
      </c>
      <c r="K2915">
        <v>0</v>
      </c>
    </row>
    <row r="2916" spans="1:11" x14ac:dyDescent="0.2">
      <c r="A2916" t="s">
        <v>16</v>
      </c>
      <c r="B2916" t="s">
        <v>4842</v>
      </c>
      <c r="C2916">
        <v>435</v>
      </c>
      <c r="D2916" t="s">
        <v>7401</v>
      </c>
      <c r="E2916" t="s">
        <v>49</v>
      </c>
      <c r="F2916">
        <v>7</v>
      </c>
      <c r="G2916">
        <v>1.0286804718177041</v>
      </c>
      <c r="H2916" t="s">
        <v>96</v>
      </c>
      <c r="I2916">
        <v>0</v>
      </c>
      <c r="J2916">
        <v>0</v>
      </c>
      <c r="K2916">
        <v>0</v>
      </c>
    </row>
    <row r="2917" spans="1:11" x14ac:dyDescent="0.2">
      <c r="A2917" t="s">
        <v>16</v>
      </c>
      <c r="B2917" t="s">
        <v>4842</v>
      </c>
      <c r="C2917">
        <v>435</v>
      </c>
      <c r="D2917" t="s">
        <v>7403</v>
      </c>
      <c r="E2917" t="s">
        <v>49</v>
      </c>
      <c r="F2917">
        <v>7</v>
      </c>
      <c r="G2917">
        <v>1.0286804718177041</v>
      </c>
      <c r="H2917" t="s">
        <v>92</v>
      </c>
      <c r="I2917">
        <v>0</v>
      </c>
      <c r="J2917">
        <v>0</v>
      </c>
      <c r="K2917">
        <v>0</v>
      </c>
    </row>
    <row r="2918" spans="1:11" x14ac:dyDescent="0.2">
      <c r="A2918" t="s">
        <v>16</v>
      </c>
      <c r="B2918" t="s">
        <v>4842</v>
      </c>
      <c r="C2918">
        <v>435</v>
      </c>
      <c r="D2918" t="s">
        <v>7416</v>
      </c>
      <c r="E2918" t="s">
        <v>49</v>
      </c>
      <c r="F2918">
        <v>7</v>
      </c>
      <c r="G2918">
        <v>1.0286804718177041</v>
      </c>
      <c r="H2918" t="s">
        <v>87</v>
      </c>
      <c r="I2918">
        <v>0</v>
      </c>
      <c r="J2918">
        <v>0</v>
      </c>
      <c r="K2918">
        <v>0</v>
      </c>
    </row>
    <row r="2919" spans="1:11" x14ac:dyDescent="0.2">
      <c r="A2919" t="s">
        <v>16</v>
      </c>
      <c r="B2919" t="s">
        <v>4842</v>
      </c>
      <c r="C2919">
        <v>435</v>
      </c>
      <c r="D2919" t="s">
        <v>7418</v>
      </c>
      <c r="E2919" t="s">
        <v>49</v>
      </c>
      <c r="F2919">
        <v>7</v>
      </c>
      <c r="G2919">
        <v>1.0286804718177041</v>
      </c>
      <c r="H2919" t="s">
        <v>103</v>
      </c>
      <c r="I2919">
        <v>0</v>
      </c>
      <c r="J2919">
        <v>0</v>
      </c>
      <c r="K2919">
        <v>0</v>
      </c>
    </row>
    <row r="2920" spans="1:11" x14ac:dyDescent="0.2">
      <c r="A2920" t="s">
        <v>16</v>
      </c>
      <c r="B2920" t="s">
        <v>4842</v>
      </c>
      <c r="C2920">
        <v>435</v>
      </c>
      <c r="D2920" t="s">
        <v>7410</v>
      </c>
      <c r="E2920" t="s">
        <v>49</v>
      </c>
      <c r="F2920">
        <v>7</v>
      </c>
      <c r="G2920">
        <v>1.0286804718177041</v>
      </c>
      <c r="H2920" t="s">
        <v>84</v>
      </c>
      <c r="I2920">
        <v>0</v>
      </c>
      <c r="J2920">
        <v>0</v>
      </c>
      <c r="K2920">
        <v>0</v>
      </c>
    </row>
    <row r="2921" spans="1:11" x14ac:dyDescent="0.2">
      <c r="A2921" t="s">
        <v>16</v>
      </c>
      <c r="B2921" t="s">
        <v>4842</v>
      </c>
      <c r="C2921">
        <v>435</v>
      </c>
      <c r="D2921" t="s">
        <v>7414</v>
      </c>
      <c r="E2921" t="s">
        <v>49</v>
      </c>
      <c r="F2921">
        <v>7</v>
      </c>
      <c r="G2921">
        <v>1.0286804718177041</v>
      </c>
      <c r="H2921" t="s">
        <v>88</v>
      </c>
      <c r="I2921">
        <v>0</v>
      </c>
      <c r="J2921">
        <v>0</v>
      </c>
      <c r="K2921">
        <v>0</v>
      </c>
    </row>
    <row r="2922" spans="1:11" x14ac:dyDescent="0.2">
      <c r="A2922" t="s">
        <v>16</v>
      </c>
      <c r="B2922" t="s">
        <v>4842</v>
      </c>
      <c r="C2922">
        <v>435</v>
      </c>
      <c r="D2922" t="s">
        <v>7404</v>
      </c>
      <c r="E2922" t="s">
        <v>49</v>
      </c>
      <c r="F2922">
        <v>7</v>
      </c>
      <c r="G2922">
        <v>1.0286804718177041</v>
      </c>
      <c r="H2922" t="s">
        <v>99</v>
      </c>
      <c r="I2922">
        <v>0</v>
      </c>
      <c r="J2922">
        <v>0</v>
      </c>
      <c r="K2922">
        <v>0</v>
      </c>
    </row>
    <row r="2923" spans="1:11" x14ac:dyDescent="0.2">
      <c r="A2923" t="s">
        <v>16</v>
      </c>
      <c r="B2923" t="s">
        <v>4842</v>
      </c>
      <c r="C2923">
        <v>435</v>
      </c>
      <c r="D2923" t="s">
        <v>7398</v>
      </c>
      <c r="E2923" t="s">
        <v>49</v>
      </c>
      <c r="F2923">
        <v>7</v>
      </c>
      <c r="G2923">
        <v>1.0286804718177041</v>
      </c>
      <c r="H2923" t="s">
        <v>96</v>
      </c>
      <c r="I2923">
        <v>0</v>
      </c>
      <c r="J2923">
        <v>0</v>
      </c>
      <c r="K2923">
        <v>0</v>
      </c>
    </row>
    <row r="2924" spans="1:11" x14ac:dyDescent="0.2">
      <c r="A2924" t="s">
        <v>16</v>
      </c>
      <c r="B2924" t="s">
        <v>4842</v>
      </c>
      <c r="C2924">
        <v>435</v>
      </c>
      <c r="D2924" t="s">
        <v>7409</v>
      </c>
      <c r="E2924" t="s">
        <v>49</v>
      </c>
      <c r="F2924">
        <v>7</v>
      </c>
      <c r="G2924">
        <v>1.0286804718177041</v>
      </c>
      <c r="H2924" t="s">
        <v>92</v>
      </c>
      <c r="I2924">
        <v>0</v>
      </c>
      <c r="J2924">
        <v>0</v>
      </c>
      <c r="K2924">
        <v>0</v>
      </c>
    </row>
    <row r="2925" spans="1:11" x14ac:dyDescent="0.2">
      <c r="A2925" t="s">
        <v>16</v>
      </c>
      <c r="B2925" t="s">
        <v>4842</v>
      </c>
      <c r="C2925">
        <v>435</v>
      </c>
      <c r="D2925" t="s">
        <v>7413</v>
      </c>
      <c r="E2925" t="s">
        <v>49</v>
      </c>
      <c r="F2925">
        <v>7</v>
      </c>
      <c r="G2925">
        <v>1.0286804718177041</v>
      </c>
      <c r="H2925" t="s">
        <v>87</v>
      </c>
      <c r="I2925">
        <v>0</v>
      </c>
      <c r="J2925">
        <v>0</v>
      </c>
      <c r="K2925">
        <v>0</v>
      </c>
    </row>
    <row r="2926" spans="1:11" x14ac:dyDescent="0.2">
      <c r="A2926" t="s">
        <v>16</v>
      </c>
      <c r="B2926" t="s">
        <v>4842</v>
      </c>
      <c r="C2926">
        <v>435</v>
      </c>
      <c r="D2926" t="s">
        <v>7417</v>
      </c>
      <c r="E2926" t="s">
        <v>49</v>
      </c>
      <c r="F2926">
        <v>7</v>
      </c>
      <c r="G2926">
        <v>1.0286804718177041</v>
      </c>
      <c r="H2926" t="s">
        <v>103</v>
      </c>
      <c r="I2926">
        <v>0</v>
      </c>
      <c r="J2926">
        <v>0</v>
      </c>
      <c r="K2926">
        <v>0</v>
      </c>
    </row>
    <row r="2927" spans="1:11" x14ac:dyDescent="0.2">
      <c r="A2927" t="s">
        <v>16</v>
      </c>
      <c r="B2927" t="s">
        <v>4842</v>
      </c>
      <c r="C2927">
        <v>435</v>
      </c>
      <c r="D2927" t="s">
        <v>7415</v>
      </c>
      <c r="E2927" t="s">
        <v>49</v>
      </c>
      <c r="F2927">
        <v>7</v>
      </c>
      <c r="G2927">
        <v>1.0286804718177041</v>
      </c>
      <c r="H2927" t="s">
        <v>84</v>
      </c>
      <c r="I2927">
        <v>0</v>
      </c>
      <c r="J2927">
        <v>0</v>
      </c>
      <c r="K2927">
        <v>0</v>
      </c>
    </row>
    <row r="2928" spans="1:11" x14ac:dyDescent="0.2">
      <c r="A2928" t="s">
        <v>16</v>
      </c>
      <c r="B2928" t="s">
        <v>4842</v>
      </c>
      <c r="C2928">
        <v>435</v>
      </c>
      <c r="D2928" t="s">
        <v>7406</v>
      </c>
      <c r="E2928" t="s">
        <v>49</v>
      </c>
      <c r="F2928">
        <v>7</v>
      </c>
      <c r="G2928">
        <v>1.0286804718177041</v>
      </c>
      <c r="H2928" t="s">
        <v>88</v>
      </c>
      <c r="I2928">
        <v>0</v>
      </c>
      <c r="J2928">
        <v>0</v>
      </c>
      <c r="K2928">
        <v>0</v>
      </c>
    </row>
    <row r="2929" spans="1:11" x14ac:dyDescent="0.2">
      <c r="A2929" t="s">
        <v>16</v>
      </c>
      <c r="B2929" t="s">
        <v>4842</v>
      </c>
      <c r="C2929">
        <v>435</v>
      </c>
      <c r="D2929" t="s">
        <v>7405</v>
      </c>
      <c r="E2929" t="s">
        <v>49</v>
      </c>
      <c r="F2929">
        <v>7</v>
      </c>
      <c r="G2929">
        <v>1.0286804718177041</v>
      </c>
      <c r="H2929" t="s">
        <v>99</v>
      </c>
      <c r="I2929">
        <v>0</v>
      </c>
      <c r="J2929">
        <v>0</v>
      </c>
      <c r="K2929">
        <v>0</v>
      </c>
    </row>
    <row r="2930" spans="1:11" x14ac:dyDescent="0.2">
      <c r="A2930" t="s">
        <v>16</v>
      </c>
      <c r="B2930" t="s">
        <v>4842</v>
      </c>
      <c r="C2930">
        <v>435</v>
      </c>
      <c r="D2930" t="s">
        <v>7399</v>
      </c>
      <c r="E2930" t="s">
        <v>49</v>
      </c>
      <c r="F2930">
        <v>7</v>
      </c>
      <c r="G2930">
        <v>1.0286804718177041</v>
      </c>
      <c r="H2930" t="s">
        <v>96</v>
      </c>
      <c r="I2930">
        <v>0</v>
      </c>
      <c r="J2930">
        <v>0</v>
      </c>
      <c r="K2930">
        <v>0</v>
      </c>
    </row>
    <row r="2931" spans="1:11" x14ac:dyDescent="0.2">
      <c r="A2931" t="s">
        <v>16</v>
      </c>
      <c r="B2931" t="s">
        <v>4842</v>
      </c>
      <c r="C2931">
        <v>435</v>
      </c>
      <c r="D2931" t="s">
        <v>7419</v>
      </c>
      <c r="E2931" t="s">
        <v>49</v>
      </c>
      <c r="F2931">
        <v>7</v>
      </c>
      <c r="G2931">
        <v>1.0286804718177041</v>
      </c>
      <c r="H2931" t="s">
        <v>92</v>
      </c>
      <c r="I2931">
        <v>0</v>
      </c>
      <c r="J2931">
        <v>0</v>
      </c>
      <c r="K2931">
        <v>0</v>
      </c>
    </row>
    <row r="2932" spans="1:11" x14ac:dyDescent="0.2">
      <c r="A2932" t="s">
        <v>16</v>
      </c>
      <c r="B2932" t="s">
        <v>4842</v>
      </c>
      <c r="C2932">
        <v>435</v>
      </c>
      <c r="D2932" t="s">
        <v>7397</v>
      </c>
      <c r="E2932" t="s">
        <v>49</v>
      </c>
      <c r="F2932">
        <v>7</v>
      </c>
      <c r="G2932">
        <v>1.0286804718177041</v>
      </c>
      <c r="H2932" t="s">
        <v>87</v>
      </c>
      <c r="I2932">
        <v>0</v>
      </c>
      <c r="J2932">
        <v>0</v>
      </c>
      <c r="K2932">
        <v>0</v>
      </c>
    </row>
    <row r="2933" spans="1:11" x14ac:dyDescent="0.2">
      <c r="A2933" t="s">
        <v>16</v>
      </c>
      <c r="B2933" t="s">
        <v>4842</v>
      </c>
      <c r="C2933">
        <v>435</v>
      </c>
      <c r="D2933" t="s">
        <v>7408</v>
      </c>
      <c r="E2933" t="s">
        <v>49</v>
      </c>
      <c r="F2933">
        <v>7</v>
      </c>
      <c r="G2933">
        <v>1.0286804718177041</v>
      </c>
      <c r="H2933" t="s">
        <v>103</v>
      </c>
      <c r="I2933">
        <v>0</v>
      </c>
      <c r="J2933">
        <v>0</v>
      </c>
      <c r="K2933">
        <v>0</v>
      </c>
    </row>
    <row r="2934" spans="1:11" x14ac:dyDescent="0.2">
      <c r="A2934" t="s">
        <v>16</v>
      </c>
      <c r="B2934" t="s">
        <v>4842</v>
      </c>
      <c r="C2934">
        <v>435</v>
      </c>
      <c r="D2934" t="s">
        <v>7402</v>
      </c>
      <c r="E2934" t="s">
        <v>49</v>
      </c>
      <c r="F2934">
        <v>7</v>
      </c>
      <c r="G2934">
        <v>1.0286804718177041</v>
      </c>
      <c r="H2934" t="s">
        <v>84</v>
      </c>
      <c r="I2934">
        <v>0</v>
      </c>
      <c r="J2934">
        <v>0</v>
      </c>
      <c r="K2934">
        <v>0</v>
      </c>
    </row>
    <row r="2935" spans="1:11" x14ac:dyDescent="0.2">
      <c r="A2935" t="s">
        <v>16</v>
      </c>
      <c r="B2935" t="s">
        <v>4842</v>
      </c>
      <c r="C2935">
        <v>435</v>
      </c>
      <c r="D2935" t="s">
        <v>7412</v>
      </c>
      <c r="E2935" t="s">
        <v>49</v>
      </c>
      <c r="F2935">
        <v>7</v>
      </c>
      <c r="G2935">
        <v>1.0286804718177041</v>
      </c>
      <c r="H2935" t="s">
        <v>88</v>
      </c>
      <c r="I2935">
        <v>0</v>
      </c>
      <c r="J2935">
        <v>0</v>
      </c>
      <c r="K2935">
        <v>0</v>
      </c>
    </row>
    <row r="2936" spans="1:11" x14ac:dyDescent="0.2">
      <c r="A2936" t="s">
        <v>16</v>
      </c>
      <c r="B2936" t="s">
        <v>4842</v>
      </c>
      <c r="C2936">
        <v>435</v>
      </c>
      <c r="D2936" t="s">
        <v>7400</v>
      </c>
      <c r="E2936" t="s">
        <v>49</v>
      </c>
      <c r="F2936">
        <v>7</v>
      </c>
      <c r="G2936">
        <v>1.0286804718177041</v>
      </c>
      <c r="H2936" t="s">
        <v>99</v>
      </c>
      <c r="I2936">
        <v>0</v>
      </c>
      <c r="J2936">
        <v>0</v>
      </c>
      <c r="K2936">
        <v>0</v>
      </c>
    </row>
    <row r="2937" spans="1:11" x14ac:dyDescent="0.2">
      <c r="A2937" t="s">
        <v>16</v>
      </c>
      <c r="B2937" t="s">
        <v>4842</v>
      </c>
      <c r="C2937">
        <v>435</v>
      </c>
      <c r="D2937" t="s">
        <v>7407</v>
      </c>
      <c r="E2937" t="s">
        <v>49</v>
      </c>
      <c r="F2937">
        <v>7</v>
      </c>
      <c r="G2937">
        <v>1.0286804718177041</v>
      </c>
      <c r="H2937" t="s">
        <v>96</v>
      </c>
      <c r="I2937">
        <v>0</v>
      </c>
      <c r="J2937">
        <v>0</v>
      </c>
      <c r="K2937">
        <v>0</v>
      </c>
    </row>
    <row r="2938" spans="1:11" x14ac:dyDescent="0.2">
      <c r="A2938" t="s">
        <v>16</v>
      </c>
      <c r="B2938" t="s">
        <v>4842</v>
      </c>
      <c r="C2938">
        <v>435</v>
      </c>
      <c r="D2938" t="s">
        <v>7396</v>
      </c>
      <c r="E2938" t="s">
        <v>49</v>
      </c>
      <c r="F2938">
        <v>7</v>
      </c>
      <c r="G2938">
        <v>1.0286804718177041</v>
      </c>
      <c r="H2938" t="s">
        <v>92</v>
      </c>
      <c r="I2938">
        <v>0</v>
      </c>
      <c r="J2938">
        <v>0</v>
      </c>
      <c r="K2938">
        <v>0</v>
      </c>
    </row>
    <row r="2939" spans="1:11" x14ac:dyDescent="0.2">
      <c r="A2939" t="s">
        <v>16</v>
      </c>
      <c r="B2939" t="s">
        <v>4842</v>
      </c>
      <c r="C2939">
        <v>290</v>
      </c>
      <c r="D2939" t="s">
        <v>7395</v>
      </c>
      <c r="E2939" t="s">
        <v>49</v>
      </c>
      <c r="F2939">
        <v>7</v>
      </c>
      <c r="G2939">
        <v>0.68578698121180259</v>
      </c>
      <c r="H2939" t="s">
        <v>87</v>
      </c>
      <c r="I2939">
        <v>0</v>
      </c>
      <c r="J2939">
        <v>0</v>
      </c>
      <c r="K2939">
        <v>0</v>
      </c>
    </row>
    <row r="2940" spans="1:11" x14ac:dyDescent="0.2">
      <c r="A2940" t="s">
        <v>16</v>
      </c>
      <c r="B2940" t="s">
        <v>4070</v>
      </c>
      <c r="C2940">
        <v>300</v>
      </c>
      <c r="D2940" t="s">
        <v>7434</v>
      </c>
      <c r="E2940" t="s">
        <v>49</v>
      </c>
      <c r="F2940">
        <v>5</v>
      </c>
      <c r="G2940">
        <v>0.28674023412089689</v>
      </c>
      <c r="H2940" t="s">
        <v>98</v>
      </c>
      <c r="I2940">
        <v>0</v>
      </c>
      <c r="J2940">
        <v>0</v>
      </c>
      <c r="K2940">
        <v>0</v>
      </c>
    </row>
    <row r="2941" spans="1:11" x14ac:dyDescent="0.2">
      <c r="A2941" t="s">
        <v>16</v>
      </c>
      <c r="B2941" t="s">
        <v>4070</v>
      </c>
      <c r="C2941">
        <v>300</v>
      </c>
      <c r="D2941" t="s">
        <v>7432</v>
      </c>
      <c r="E2941" t="s">
        <v>49</v>
      </c>
      <c r="F2941">
        <v>5</v>
      </c>
      <c r="G2941">
        <v>0.28674023412089689</v>
      </c>
      <c r="H2941" t="s">
        <v>89</v>
      </c>
      <c r="I2941">
        <v>0</v>
      </c>
      <c r="J2941">
        <v>0</v>
      </c>
      <c r="K2941">
        <v>0</v>
      </c>
    </row>
    <row r="2942" spans="1:11" x14ac:dyDescent="0.2">
      <c r="A2942" t="s">
        <v>16</v>
      </c>
      <c r="B2942" t="s">
        <v>4070</v>
      </c>
      <c r="C2942">
        <v>300</v>
      </c>
      <c r="D2942" t="s">
        <v>7445</v>
      </c>
      <c r="E2942" t="s">
        <v>49</v>
      </c>
      <c r="F2942">
        <v>5</v>
      </c>
      <c r="G2942">
        <v>0.28674023412089689</v>
      </c>
      <c r="H2942" t="s">
        <v>91</v>
      </c>
      <c r="I2942">
        <v>0</v>
      </c>
      <c r="J2942">
        <v>0</v>
      </c>
      <c r="K2942">
        <v>0</v>
      </c>
    </row>
    <row r="2943" spans="1:11" x14ac:dyDescent="0.2">
      <c r="A2943" t="s">
        <v>16</v>
      </c>
      <c r="B2943" t="s">
        <v>4070</v>
      </c>
      <c r="C2943">
        <v>300</v>
      </c>
      <c r="D2943" t="s">
        <v>7435</v>
      </c>
      <c r="E2943" t="s">
        <v>49</v>
      </c>
      <c r="F2943">
        <v>5</v>
      </c>
      <c r="G2943">
        <v>0.28674023412089689</v>
      </c>
      <c r="H2943" t="s">
        <v>93</v>
      </c>
      <c r="I2943">
        <v>0</v>
      </c>
      <c r="J2943">
        <v>0</v>
      </c>
      <c r="K2943">
        <v>0</v>
      </c>
    </row>
    <row r="2944" spans="1:11" x14ac:dyDescent="0.2">
      <c r="A2944" t="s">
        <v>16</v>
      </c>
      <c r="B2944" t="s">
        <v>4070</v>
      </c>
      <c r="C2944">
        <v>300</v>
      </c>
      <c r="D2944" t="s">
        <v>7440</v>
      </c>
      <c r="E2944" t="s">
        <v>49</v>
      </c>
      <c r="F2944">
        <v>5</v>
      </c>
      <c r="G2944">
        <v>0.28674023412089689</v>
      </c>
      <c r="H2944" t="s">
        <v>94</v>
      </c>
      <c r="I2944">
        <v>0</v>
      </c>
      <c r="J2944">
        <v>0</v>
      </c>
      <c r="K2944">
        <v>0</v>
      </c>
    </row>
    <row r="2945" spans="1:11" x14ac:dyDescent="0.2">
      <c r="A2945" t="s">
        <v>16</v>
      </c>
      <c r="B2945" t="s">
        <v>4070</v>
      </c>
      <c r="C2945">
        <v>300</v>
      </c>
      <c r="D2945" t="s">
        <v>7451</v>
      </c>
      <c r="E2945" t="s">
        <v>49</v>
      </c>
      <c r="F2945">
        <v>5</v>
      </c>
      <c r="G2945">
        <v>0.28674023412089689</v>
      </c>
      <c r="H2945" t="s">
        <v>98</v>
      </c>
      <c r="I2945">
        <v>0</v>
      </c>
      <c r="J2945">
        <v>0</v>
      </c>
      <c r="K2945">
        <v>0</v>
      </c>
    </row>
    <row r="2946" spans="1:11" x14ac:dyDescent="0.2">
      <c r="A2946" t="s">
        <v>16</v>
      </c>
      <c r="B2946" t="s">
        <v>4070</v>
      </c>
      <c r="C2946">
        <v>300</v>
      </c>
      <c r="D2946" t="s">
        <v>7431</v>
      </c>
      <c r="E2946" t="s">
        <v>49</v>
      </c>
      <c r="F2946">
        <v>5</v>
      </c>
      <c r="G2946">
        <v>0.28674023412089689</v>
      </c>
      <c r="H2946" t="s">
        <v>89</v>
      </c>
      <c r="I2946">
        <v>0</v>
      </c>
      <c r="J2946">
        <v>0</v>
      </c>
      <c r="K2946">
        <v>0</v>
      </c>
    </row>
    <row r="2947" spans="1:11" x14ac:dyDescent="0.2">
      <c r="A2947" t="s">
        <v>16</v>
      </c>
      <c r="B2947" t="s">
        <v>4070</v>
      </c>
      <c r="C2947">
        <v>300</v>
      </c>
      <c r="D2947" t="s">
        <v>7438</v>
      </c>
      <c r="E2947" t="s">
        <v>49</v>
      </c>
      <c r="F2947">
        <v>5</v>
      </c>
      <c r="G2947">
        <v>0.28674023412089689</v>
      </c>
      <c r="H2947" t="s">
        <v>91</v>
      </c>
      <c r="I2947">
        <v>0</v>
      </c>
      <c r="J2947">
        <v>0</v>
      </c>
      <c r="K2947">
        <v>0</v>
      </c>
    </row>
    <row r="2948" spans="1:11" x14ac:dyDescent="0.2">
      <c r="A2948" t="s">
        <v>16</v>
      </c>
      <c r="B2948" t="s">
        <v>4070</v>
      </c>
      <c r="C2948">
        <v>300</v>
      </c>
      <c r="D2948" t="s">
        <v>7426</v>
      </c>
      <c r="E2948" t="s">
        <v>49</v>
      </c>
      <c r="F2948">
        <v>5</v>
      </c>
      <c r="G2948">
        <v>0.28674023412089689</v>
      </c>
      <c r="H2948" t="s">
        <v>93</v>
      </c>
      <c r="I2948">
        <v>0</v>
      </c>
      <c r="J2948">
        <v>0</v>
      </c>
      <c r="K2948">
        <v>0</v>
      </c>
    </row>
    <row r="2949" spans="1:11" x14ac:dyDescent="0.2">
      <c r="A2949" t="s">
        <v>16</v>
      </c>
      <c r="B2949" t="s">
        <v>4070</v>
      </c>
      <c r="C2949">
        <v>300</v>
      </c>
      <c r="D2949" t="s">
        <v>7446</v>
      </c>
      <c r="E2949" t="s">
        <v>49</v>
      </c>
      <c r="F2949">
        <v>5</v>
      </c>
      <c r="G2949">
        <v>0.28674023412089689</v>
      </c>
      <c r="H2949" t="s">
        <v>94</v>
      </c>
      <c r="I2949">
        <v>0</v>
      </c>
      <c r="J2949">
        <v>0</v>
      </c>
      <c r="K2949">
        <v>0</v>
      </c>
    </row>
    <row r="2950" spans="1:11" x14ac:dyDescent="0.2">
      <c r="A2950" t="s">
        <v>16</v>
      </c>
      <c r="B2950" t="s">
        <v>4070</v>
      </c>
      <c r="C2950">
        <v>300</v>
      </c>
      <c r="D2950" t="s">
        <v>7425</v>
      </c>
      <c r="E2950" t="s">
        <v>49</v>
      </c>
      <c r="F2950">
        <v>5</v>
      </c>
      <c r="G2950">
        <v>0.28674023412089689</v>
      </c>
      <c r="H2950" t="s">
        <v>98</v>
      </c>
      <c r="I2950">
        <v>0</v>
      </c>
      <c r="J2950">
        <v>0</v>
      </c>
      <c r="K2950">
        <v>0</v>
      </c>
    </row>
    <row r="2951" spans="1:11" x14ac:dyDescent="0.2">
      <c r="A2951" t="s">
        <v>16</v>
      </c>
      <c r="B2951" t="s">
        <v>4070</v>
      </c>
      <c r="C2951">
        <v>300</v>
      </c>
      <c r="D2951" t="s">
        <v>7427</v>
      </c>
      <c r="E2951" t="s">
        <v>49</v>
      </c>
      <c r="F2951">
        <v>5</v>
      </c>
      <c r="G2951">
        <v>0.28674023412089689</v>
      </c>
      <c r="H2951" t="s">
        <v>89</v>
      </c>
      <c r="I2951">
        <v>0</v>
      </c>
      <c r="J2951">
        <v>0</v>
      </c>
      <c r="K2951">
        <v>0</v>
      </c>
    </row>
    <row r="2952" spans="1:11" x14ac:dyDescent="0.2">
      <c r="A2952" t="s">
        <v>16</v>
      </c>
      <c r="B2952" t="s">
        <v>4070</v>
      </c>
      <c r="C2952">
        <v>300</v>
      </c>
      <c r="D2952" t="s">
        <v>7422</v>
      </c>
      <c r="E2952" t="s">
        <v>49</v>
      </c>
      <c r="F2952">
        <v>5</v>
      </c>
      <c r="G2952">
        <v>0.28674023412089689</v>
      </c>
      <c r="H2952" t="s">
        <v>91</v>
      </c>
      <c r="I2952">
        <v>0</v>
      </c>
      <c r="J2952">
        <v>0</v>
      </c>
      <c r="K2952">
        <v>0</v>
      </c>
    </row>
    <row r="2953" spans="1:11" x14ac:dyDescent="0.2">
      <c r="A2953" t="s">
        <v>16</v>
      </c>
      <c r="B2953" t="s">
        <v>4070</v>
      </c>
      <c r="C2953">
        <v>300</v>
      </c>
      <c r="D2953" t="s">
        <v>7430</v>
      </c>
      <c r="E2953" t="s">
        <v>49</v>
      </c>
      <c r="F2953">
        <v>5</v>
      </c>
      <c r="G2953">
        <v>0.28674023412089689</v>
      </c>
      <c r="H2953" t="s">
        <v>93</v>
      </c>
      <c r="I2953">
        <v>0</v>
      </c>
      <c r="J2953">
        <v>0</v>
      </c>
      <c r="K2953">
        <v>0</v>
      </c>
    </row>
    <row r="2954" spans="1:11" x14ac:dyDescent="0.2">
      <c r="A2954" t="s">
        <v>16</v>
      </c>
      <c r="B2954" t="s">
        <v>4070</v>
      </c>
      <c r="C2954">
        <v>300</v>
      </c>
      <c r="D2954" t="s">
        <v>7439</v>
      </c>
      <c r="E2954" t="s">
        <v>49</v>
      </c>
      <c r="F2954">
        <v>5</v>
      </c>
      <c r="G2954">
        <v>0.28674023412089689</v>
      </c>
      <c r="H2954" t="s">
        <v>94</v>
      </c>
      <c r="I2954">
        <v>0</v>
      </c>
      <c r="J2954">
        <v>0</v>
      </c>
      <c r="K2954">
        <v>0</v>
      </c>
    </row>
    <row r="2955" spans="1:11" x14ac:dyDescent="0.2">
      <c r="A2955" t="s">
        <v>16</v>
      </c>
      <c r="B2955" t="s">
        <v>4070</v>
      </c>
      <c r="C2955">
        <v>300</v>
      </c>
      <c r="D2955" t="s">
        <v>7449</v>
      </c>
      <c r="E2955" t="s">
        <v>49</v>
      </c>
      <c r="F2955">
        <v>5</v>
      </c>
      <c r="G2955">
        <v>0.28674023412089689</v>
      </c>
      <c r="H2955" t="s">
        <v>98</v>
      </c>
      <c r="I2955">
        <v>0</v>
      </c>
      <c r="J2955">
        <v>0</v>
      </c>
      <c r="K2955">
        <v>0</v>
      </c>
    </row>
    <row r="2956" spans="1:11" x14ac:dyDescent="0.2">
      <c r="A2956" t="s">
        <v>16</v>
      </c>
      <c r="B2956" t="s">
        <v>4070</v>
      </c>
      <c r="C2956">
        <v>300</v>
      </c>
      <c r="D2956" t="s">
        <v>7424</v>
      </c>
      <c r="E2956" t="s">
        <v>49</v>
      </c>
      <c r="F2956">
        <v>5</v>
      </c>
      <c r="G2956">
        <v>0.28674023412089689</v>
      </c>
      <c r="H2956" t="s">
        <v>89</v>
      </c>
      <c r="I2956">
        <v>0</v>
      </c>
      <c r="J2956">
        <v>0</v>
      </c>
      <c r="K2956">
        <v>0</v>
      </c>
    </row>
    <row r="2957" spans="1:11" x14ac:dyDescent="0.2">
      <c r="A2957" t="s">
        <v>16</v>
      </c>
      <c r="B2957" t="s">
        <v>4070</v>
      </c>
      <c r="C2957">
        <v>300</v>
      </c>
      <c r="D2957" t="s">
        <v>7428</v>
      </c>
      <c r="E2957" t="s">
        <v>49</v>
      </c>
      <c r="F2957">
        <v>5</v>
      </c>
      <c r="G2957">
        <v>0.28674023412089689</v>
      </c>
      <c r="H2957" t="s">
        <v>91</v>
      </c>
      <c r="I2957">
        <v>0</v>
      </c>
      <c r="J2957">
        <v>0</v>
      </c>
      <c r="K2957">
        <v>0</v>
      </c>
    </row>
    <row r="2958" spans="1:11" x14ac:dyDescent="0.2">
      <c r="A2958" t="s">
        <v>16</v>
      </c>
      <c r="B2958" t="s">
        <v>4070</v>
      </c>
      <c r="C2958">
        <v>300</v>
      </c>
      <c r="D2958" t="s">
        <v>7444</v>
      </c>
      <c r="E2958" t="s">
        <v>49</v>
      </c>
      <c r="F2958">
        <v>5</v>
      </c>
      <c r="G2958">
        <v>0.28674023412089689</v>
      </c>
      <c r="H2958" t="s">
        <v>93</v>
      </c>
      <c r="I2958">
        <v>0</v>
      </c>
      <c r="J2958">
        <v>0</v>
      </c>
      <c r="K2958">
        <v>0</v>
      </c>
    </row>
    <row r="2959" spans="1:11" x14ac:dyDescent="0.2">
      <c r="A2959" t="s">
        <v>16</v>
      </c>
      <c r="B2959" t="s">
        <v>4070</v>
      </c>
      <c r="C2959">
        <v>300</v>
      </c>
      <c r="D2959" t="s">
        <v>7429</v>
      </c>
      <c r="E2959" t="s">
        <v>49</v>
      </c>
      <c r="F2959">
        <v>5</v>
      </c>
      <c r="G2959">
        <v>0.28674023412089689</v>
      </c>
      <c r="H2959" t="s">
        <v>94</v>
      </c>
      <c r="I2959">
        <v>0</v>
      </c>
      <c r="J2959">
        <v>0</v>
      </c>
      <c r="K2959">
        <v>0</v>
      </c>
    </row>
    <row r="2960" spans="1:11" x14ac:dyDescent="0.2">
      <c r="A2960" t="s">
        <v>16</v>
      </c>
      <c r="B2960" t="s">
        <v>4070</v>
      </c>
      <c r="C2960">
        <v>300</v>
      </c>
      <c r="D2960" t="s">
        <v>7423</v>
      </c>
      <c r="E2960" t="s">
        <v>49</v>
      </c>
      <c r="F2960">
        <v>5</v>
      </c>
      <c r="G2960">
        <v>0.28674023412089689</v>
      </c>
      <c r="H2960" t="s">
        <v>98</v>
      </c>
      <c r="I2960">
        <v>0</v>
      </c>
      <c r="J2960">
        <v>0</v>
      </c>
      <c r="K2960">
        <v>0</v>
      </c>
    </row>
    <row r="2961" spans="1:11" x14ac:dyDescent="0.2">
      <c r="A2961" t="s">
        <v>16</v>
      </c>
      <c r="B2961" t="s">
        <v>4070</v>
      </c>
      <c r="C2961">
        <v>200</v>
      </c>
      <c r="D2961" t="s">
        <v>7450</v>
      </c>
      <c r="E2961" t="s">
        <v>49</v>
      </c>
      <c r="F2961">
        <v>5</v>
      </c>
      <c r="G2961">
        <v>0.19116015608059794</v>
      </c>
      <c r="H2961" t="s">
        <v>89</v>
      </c>
      <c r="I2961">
        <v>0</v>
      </c>
      <c r="J2961">
        <v>0</v>
      </c>
      <c r="K2961">
        <v>0</v>
      </c>
    </row>
    <row r="2962" spans="1:11" x14ac:dyDescent="0.2">
      <c r="A2962" t="s">
        <v>16</v>
      </c>
      <c r="B2962" t="s">
        <v>4070</v>
      </c>
      <c r="C2962">
        <v>300</v>
      </c>
      <c r="D2962" t="s">
        <v>7437</v>
      </c>
      <c r="E2962" t="s">
        <v>49</v>
      </c>
      <c r="F2962">
        <v>5</v>
      </c>
      <c r="G2962">
        <v>0.28674023412089689</v>
      </c>
      <c r="H2962" t="s">
        <v>91</v>
      </c>
      <c r="I2962">
        <v>0</v>
      </c>
      <c r="J2962">
        <v>0</v>
      </c>
      <c r="K2962">
        <v>0</v>
      </c>
    </row>
    <row r="2963" spans="1:11" x14ac:dyDescent="0.2">
      <c r="A2963" t="s">
        <v>16</v>
      </c>
      <c r="B2963" t="s">
        <v>4070</v>
      </c>
      <c r="C2963">
        <v>100</v>
      </c>
      <c r="D2963" t="s">
        <v>7436</v>
      </c>
      <c r="E2963" t="s">
        <v>49</v>
      </c>
      <c r="F2963">
        <v>5</v>
      </c>
      <c r="G2963">
        <v>9.5580078040298971E-2</v>
      </c>
      <c r="H2963" t="s">
        <v>93</v>
      </c>
      <c r="I2963">
        <v>0</v>
      </c>
      <c r="J2963">
        <v>0</v>
      </c>
      <c r="K2963">
        <v>0</v>
      </c>
    </row>
    <row r="2964" spans="1:11" x14ac:dyDescent="0.2">
      <c r="A2964" t="s">
        <v>16</v>
      </c>
      <c r="B2964" t="s">
        <v>4070</v>
      </c>
      <c r="C2964">
        <v>300</v>
      </c>
      <c r="D2964" t="s">
        <v>7447</v>
      </c>
      <c r="E2964" t="s">
        <v>49</v>
      </c>
      <c r="F2964">
        <v>5</v>
      </c>
      <c r="G2964">
        <v>0.28674023412089689</v>
      </c>
      <c r="H2964" t="s">
        <v>94</v>
      </c>
      <c r="I2964">
        <v>0</v>
      </c>
      <c r="J2964">
        <v>0</v>
      </c>
      <c r="K2964">
        <v>0</v>
      </c>
    </row>
    <row r="2965" spans="1:11" x14ac:dyDescent="0.2">
      <c r="A2965" t="s">
        <v>16</v>
      </c>
      <c r="B2965" t="s">
        <v>4070</v>
      </c>
      <c r="C2965">
        <v>300</v>
      </c>
      <c r="D2965" t="s">
        <v>7421</v>
      </c>
      <c r="E2965" t="s">
        <v>49</v>
      </c>
      <c r="F2965">
        <v>5</v>
      </c>
      <c r="G2965">
        <v>0.28674023412089689</v>
      </c>
      <c r="H2965" t="s">
        <v>93</v>
      </c>
      <c r="I2965">
        <v>0</v>
      </c>
      <c r="J2965">
        <v>0</v>
      </c>
      <c r="K2965">
        <v>0</v>
      </c>
    </row>
    <row r="2966" spans="1:11" x14ac:dyDescent="0.2">
      <c r="A2966" t="s">
        <v>16</v>
      </c>
      <c r="B2966" t="s">
        <v>4070</v>
      </c>
      <c r="C2966">
        <v>300</v>
      </c>
      <c r="D2966" t="s">
        <v>7420</v>
      </c>
      <c r="E2966" t="s">
        <v>49</v>
      </c>
      <c r="F2966">
        <v>5</v>
      </c>
      <c r="G2966">
        <v>0.28674023412089689</v>
      </c>
      <c r="H2966" t="s">
        <v>89</v>
      </c>
      <c r="I2966">
        <v>0</v>
      </c>
      <c r="J2966">
        <v>0</v>
      </c>
      <c r="K2966">
        <v>0</v>
      </c>
    </row>
    <row r="2967" spans="1:11" x14ac:dyDescent="0.2">
      <c r="A2967" t="s">
        <v>16</v>
      </c>
      <c r="B2967" t="s">
        <v>4070</v>
      </c>
      <c r="C2967">
        <v>300</v>
      </c>
      <c r="D2967" t="s">
        <v>7433</v>
      </c>
      <c r="E2967" t="s">
        <v>49</v>
      </c>
      <c r="F2967">
        <v>5</v>
      </c>
      <c r="G2967">
        <v>0.28674023412089689</v>
      </c>
      <c r="H2967" t="s">
        <v>98</v>
      </c>
      <c r="I2967">
        <v>0</v>
      </c>
      <c r="J2967">
        <v>0</v>
      </c>
      <c r="K2967">
        <v>0</v>
      </c>
    </row>
    <row r="2968" spans="1:11" x14ac:dyDescent="0.2">
      <c r="A2968" t="s">
        <v>16</v>
      </c>
      <c r="B2968" t="s">
        <v>4070</v>
      </c>
      <c r="C2968">
        <v>300</v>
      </c>
      <c r="D2968" t="s">
        <v>7443</v>
      </c>
      <c r="E2968" t="s">
        <v>49</v>
      </c>
      <c r="F2968">
        <v>5</v>
      </c>
      <c r="G2968">
        <v>0.28674023412089689</v>
      </c>
      <c r="H2968" t="s">
        <v>91</v>
      </c>
      <c r="I2968">
        <v>0</v>
      </c>
      <c r="J2968">
        <v>0</v>
      </c>
      <c r="K2968">
        <v>0</v>
      </c>
    </row>
    <row r="2969" spans="1:11" x14ac:dyDescent="0.2">
      <c r="A2969" t="s">
        <v>16</v>
      </c>
      <c r="B2969" t="s">
        <v>4070</v>
      </c>
      <c r="C2969">
        <v>300</v>
      </c>
      <c r="D2969" t="s">
        <v>7441</v>
      </c>
      <c r="E2969" t="s">
        <v>49</v>
      </c>
      <c r="F2969">
        <v>5</v>
      </c>
      <c r="G2969">
        <v>0.28674023412089689</v>
      </c>
      <c r="H2969" t="s">
        <v>94</v>
      </c>
      <c r="I2969">
        <v>0</v>
      </c>
      <c r="J2969">
        <v>0</v>
      </c>
      <c r="K2969">
        <v>0</v>
      </c>
    </row>
    <row r="2970" spans="1:11" x14ac:dyDescent="0.2">
      <c r="A2970" t="s">
        <v>16</v>
      </c>
      <c r="B2970" t="s">
        <v>4070</v>
      </c>
      <c r="C2970">
        <v>300</v>
      </c>
      <c r="D2970" t="s">
        <v>7448</v>
      </c>
      <c r="E2970" t="s">
        <v>49</v>
      </c>
      <c r="F2970">
        <v>5</v>
      </c>
      <c r="G2970">
        <v>0.28674023412089689</v>
      </c>
      <c r="H2970" t="s">
        <v>93</v>
      </c>
      <c r="I2970">
        <v>0</v>
      </c>
      <c r="J2970">
        <v>0</v>
      </c>
      <c r="K2970">
        <v>0</v>
      </c>
    </row>
    <row r="2971" spans="1:11" x14ac:dyDescent="0.2">
      <c r="A2971" t="s">
        <v>16</v>
      </c>
      <c r="B2971" t="s">
        <v>4070</v>
      </c>
      <c r="C2971">
        <v>300</v>
      </c>
      <c r="D2971" t="s">
        <v>7442</v>
      </c>
      <c r="E2971" t="s">
        <v>49</v>
      </c>
      <c r="F2971">
        <v>5</v>
      </c>
      <c r="G2971">
        <v>0.28674023412089689</v>
      </c>
      <c r="H2971" t="s">
        <v>89</v>
      </c>
      <c r="I2971">
        <v>0</v>
      </c>
      <c r="J2971">
        <v>0</v>
      </c>
      <c r="K2971">
        <v>0</v>
      </c>
    </row>
    <row r="2972" spans="1:11" x14ac:dyDescent="0.2">
      <c r="A2972" t="s">
        <v>16</v>
      </c>
      <c r="B2972" t="s">
        <v>784</v>
      </c>
      <c r="C2972">
        <v>145</v>
      </c>
      <c r="D2972" t="s">
        <v>7459</v>
      </c>
      <c r="E2972" t="s">
        <v>49</v>
      </c>
      <c r="F2972">
        <v>15</v>
      </c>
      <c r="G2972">
        <v>0.18340645352981319</v>
      </c>
      <c r="H2972" t="s">
        <v>100</v>
      </c>
      <c r="I2972">
        <v>0</v>
      </c>
      <c r="J2972">
        <v>0</v>
      </c>
      <c r="K2972">
        <v>0</v>
      </c>
    </row>
    <row r="2973" spans="1:11" x14ac:dyDescent="0.2">
      <c r="A2973" t="s">
        <v>16</v>
      </c>
      <c r="B2973" t="s">
        <v>784</v>
      </c>
      <c r="C2973">
        <v>435</v>
      </c>
      <c r="D2973" t="s">
        <v>7455</v>
      </c>
      <c r="E2973" t="s">
        <v>49</v>
      </c>
      <c r="F2973">
        <v>15</v>
      </c>
      <c r="G2973">
        <v>0.55021936058943954</v>
      </c>
      <c r="H2973" t="s">
        <v>90</v>
      </c>
      <c r="I2973">
        <v>0</v>
      </c>
      <c r="J2973">
        <v>0</v>
      </c>
      <c r="K2973">
        <v>0</v>
      </c>
    </row>
    <row r="2974" spans="1:11" x14ac:dyDescent="0.2">
      <c r="A2974" t="s">
        <v>16</v>
      </c>
      <c r="B2974" t="s">
        <v>784</v>
      </c>
      <c r="C2974">
        <v>435</v>
      </c>
      <c r="D2974" t="s">
        <v>7454</v>
      </c>
      <c r="E2974" t="s">
        <v>49</v>
      </c>
      <c r="F2974">
        <v>15</v>
      </c>
      <c r="G2974">
        <v>0.55021936058943954</v>
      </c>
      <c r="H2974" t="s">
        <v>105</v>
      </c>
      <c r="I2974">
        <v>0</v>
      </c>
      <c r="J2974">
        <v>0</v>
      </c>
      <c r="K2974">
        <v>0</v>
      </c>
    </row>
    <row r="2975" spans="1:11" x14ac:dyDescent="0.2">
      <c r="A2975" t="s">
        <v>16</v>
      </c>
      <c r="B2975" t="s">
        <v>784</v>
      </c>
      <c r="C2975">
        <v>145</v>
      </c>
      <c r="D2975" t="s">
        <v>7452</v>
      </c>
      <c r="E2975" t="s">
        <v>49</v>
      </c>
      <c r="F2975">
        <v>15</v>
      </c>
      <c r="G2975">
        <v>0.18340645352981319</v>
      </c>
      <c r="H2975" t="s">
        <v>104</v>
      </c>
      <c r="I2975">
        <v>0</v>
      </c>
      <c r="J2975">
        <v>0</v>
      </c>
      <c r="K2975">
        <v>0</v>
      </c>
    </row>
    <row r="2976" spans="1:11" x14ac:dyDescent="0.2">
      <c r="A2976" t="s">
        <v>16</v>
      </c>
      <c r="B2976" t="s">
        <v>784</v>
      </c>
      <c r="C2976">
        <v>435</v>
      </c>
      <c r="D2976" t="s">
        <v>7458</v>
      </c>
      <c r="E2976" t="s">
        <v>49</v>
      </c>
      <c r="F2976">
        <v>15</v>
      </c>
      <c r="G2976">
        <v>0.55021936058943954</v>
      </c>
      <c r="H2976" t="s">
        <v>100</v>
      </c>
      <c r="I2976">
        <v>0</v>
      </c>
      <c r="J2976">
        <v>0</v>
      </c>
      <c r="K2976">
        <v>0</v>
      </c>
    </row>
    <row r="2977" spans="1:11" x14ac:dyDescent="0.2">
      <c r="A2977" t="s">
        <v>16</v>
      </c>
      <c r="B2977" t="s">
        <v>784</v>
      </c>
      <c r="C2977">
        <v>435</v>
      </c>
      <c r="D2977" t="s">
        <v>7453</v>
      </c>
      <c r="E2977" t="s">
        <v>49</v>
      </c>
      <c r="F2977">
        <v>15</v>
      </c>
      <c r="G2977">
        <v>0.55021936058943954</v>
      </c>
      <c r="H2977" t="s">
        <v>104</v>
      </c>
      <c r="I2977">
        <v>0</v>
      </c>
      <c r="J2977">
        <v>0</v>
      </c>
      <c r="K2977">
        <v>0</v>
      </c>
    </row>
    <row r="2978" spans="1:11" x14ac:dyDescent="0.2">
      <c r="A2978" t="s">
        <v>16</v>
      </c>
      <c r="B2978" t="s">
        <v>784</v>
      </c>
      <c r="C2978">
        <v>435</v>
      </c>
      <c r="D2978" t="s">
        <v>7457</v>
      </c>
      <c r="E2978" t="s">
        <v>49</v>
      </c>
      <c r="F2978">
        <v>15</v>
      </c>
      <c r="G2978">
        <v>0.55021936058943954</v>
      </c>
      <c r="H2978" t="s">
        <v>90</v>
      </c>
      <c r="I2978">
        <v>0</v>
      </c>
      <c r="J2978">
        <v>0</v>
      </c>
      <c r="K2978">
        <v>0</v>
      </c>
    </row>
    <row r="2979" spans="1:11" x14ac:dyDescent="0.2">
      <c r="A2979" t="s">
        <v>16</v>
      </c>
      <c r="B2979" t="s">
        <v>784</v>
      </c>
      <c r="C2979">
        <v>435</v>
      </c>
      <c r="D2979" t="s">
        <v>7461</v>
      </c>
      <c r="E2979" t="s">
        <v>49</v>
      </c>
      <c r="F2979">
        <v>15</v>
      </c>
      <c r="G2979">
        <v>0.55021936058943954</v>
      </c>
      <c r="H2979" t="s">
        <v>105</v>
      </c>
      <c r="I2979">
        <v>0</v>
      </c>
      <c r="J2979">
        <v>0</v>
      </c>
      <c r="K2979">
        <v>0</v>
      </c>
    </row>
    <row r="2980" spans="1:11" x14ac:dyDescent="0.2">
      <c r="A2980" t="s">
        <v>16</v>
      </c>
      <c r="B2980" t="s">
        <v>784</v>
      </c>
      <c r="C2980">
        <v>435</v>
      </c>
      <c r="D2980" t="s">
        <v>7456</v>
      </c>
      <c r="E2980" t="s">
        <v>49</v>
      </c>
      <c r="F2980">
        <v>15</v>
      </c>
      <c r="G2980">
        <v>0.55021936058943954</v>
      </c>
      <c r="H2980" t="s">
        <v>100</v>
      </c>
      <c r="I2980">
        <v>0</v>
      </c>
      <c r="J2980">
        <v>0</v>
      </c>
      <c r="K2980">
        <v>0</v>
      </c>
    </row>
    <row r="2981" spans="1:11" x14ac:dyDescent="0.2">
      <c r="A2981" t="s">
        <v>16</v>
      </c>
      <c r="B2981" t="s">
        <v>784</v>
      </c>
      <c r="C2981">
        <v>435</v>
      </c>
      <c r="D2981" t="s">
        <v>7460</v>
      </c>
      <c r="E2981" t="s">
        <v>49</v>
      </c>
      <c r="F2981">
        <v>15</v>
      </c>
      <c r="G2981">
        <v>0.55021936058943954</v>
      </c>
      <c r="H2981" t="s">
        <v>104</v>
      </c>
      <c r="I2981">
        <v>0</v>
      </c>
      <c r="J2981">
        <v>0</v>
      </c>
      <c r="K2981">
        <v>0</v>
      </c>
    </row>
    <row r="2982" spans="1:11" x14ac:dyDescent="0.2">
      <c r="A2982" t="s">
        <v>16</v>
      </c>
      <c r="B2982" t="s">
        <v>577</v>
      </c>
      <c r="C2982">
        <v>270</v>
      </c>
      <c r="D2982" t="s">
        <v>7466</v>
      </c>
      <c r="E2982" t="s">
        <v>49</v>
      </c>
      <c r="F2982">
        <v>30</v>
      </c>
      <c r="G2982">
        <v>0.44829906826819771</v>
      </c>
      <c r="H2982" t="s">
        <v>90</v>
      </c>
      <c r="I2982">
        <v>0</v>
      </c>
      <c r="J2982">
        <v>0</v>
      </c>
      <c r="K2982">
        <v>0</v>
      </c>
    </row>
    <row r="2983" spans="1:11" x14ac:dyDescent="0.2">
      <c r="A2983" t="s">
        <v>16</v>
      </c>
      <c r="B2983" t="s">
        <v>577</v>
      </c>
      <c r="C2983">
        <v>270</v>
      </c>
      <c r="D2983" t="s">
        <v>7464</v>
      </c>
      <c r="E2983" t="s">
        <v>49</v>
      </c>
      <c r="F2983">
        <v>30</v>
      </c>
      <c r="G2983">
        <v>0.44829906826819771</v>
      </c>
      <c r="H2983" t="s">
        <v>105</v>
      </c>
      <c r="I2983">
        <v>0</v>
      </c>
      <c r="J2983">
        <v>0</v>
      </c>
      <c r="K2983">
        <v>0</v>
      </c>
    </row>
    <row r="2984" spans="1:11" x14ac:dyDescent="0.2">
      <c r="A2984" t="s">
        <v>16</v>
      </c>
      <c r="B2984" t="s">
        <v>577</v>
      </c>
      <c r="C2984">
        <v>270</v>
      </c>
      <c r="D2984" t="s">
        <v>7463</v>
      </c>
      <c r="E2984" t="s">
        <v>49</v>
      </c>
      <c r="F2984">
        <v>30</v>
      </c>
      <c r="G2984">
        <v>0.44829906826819771</v>
      </c>
      <c r="H2984" t="s">
        <v>100</v>
      </c>
      <c r="I2984">
        <v>0</v>
      </c>
      <c r="J2984">
        <v>0</v>
      </c>
      <c r="K2984">
        <v>0</v>
      </c>
    </row>
    <row r="2985" spans="1:11" x14ac:dyDescent="0.2">
      <c r="A2985" t="s">
        <v>16</v>
      </c>
      <c r="B2985" t="s">
        <v>577</v>
      </c>
      <c r="C2985">
        <v>270</v>
      </c>
      <c r="D2985" t="s">
        <v>7465</v>
      </c>
      <c r="E2985" t="s">
        <v>49</v>
      </c>
      <c r="F2985">
        <v>30</v>
      </c>
      <c r="G2985">
        <v>0.44829906826819771</v>
      </c>
      <c r="H2985" t="s">
        <v>104</v>
      </c>
      <c r="I2985">
        <v>0</v>
      </c>
      <c r="J2985">
        <v>0</v>
      </c>
      <c r="K2985">
        <v>0</v>
      </c>
    </row>
    <row r="2986" spans="1:11" x14ac:dyDescent="0.2">
      <c r="A2986" t="s">
        <v>16</v>
      </c>
      <c r="B2986" t="s">
        <v>577</v>
      </c>
      <c r="C2986">
        <v>270</v>
      </c>
      <c r="D2986" t="s">
        <v>7462</v>
      </c>
      <c r="E2986" t="s">
        <v>49</v>
      </c>
      <c r="F2986">
        <v>30</v>
      </c>
      <c r="G2986">
        <v>0.44829906826819771</v>
      </c>
      <c r="H2986" t="s">
        <v>90</v>
      </c>
      <c r="I2986">
        <v>0</v>
      </c>
      <c r="J2986">
        <v>0</v>
      </c>
      <c r="K2986">
        <v>0</v>
      </c>
    </row>
    <row r="2987" spans="1:11" x14ac:dyDescent="0.2">
      <c r="A2987" t="s">
        <v>16</v>
      </c>
      <c r="B2987" t="s">
        <v>782</v>
      </c>
      <c r="C2987">
        <v>200</v>
      </c>
      <c r="D2987" t="s">
        <v>7469</v>
      </c>
      <c r="E2987" t="s">
        <v>49</v>
      </c>
      <c r="F2987">
        <v>21</v>
      </c>
      <c r="G2987">
        <v>0.25061135380055738</v>
      </c>
      <c r="H2987" t="s">
        <v>105</v>
      </c>
      <c r="I2987">
        <v>0</v>
      </c>
      <c r="J2987">
        <v>0</v>
      </c>
      <c r="K2987">
        <v>0</v>
      </c>
    </row>
    <row r="2988" spans="1:11" x14ac:dyDescent="0.2">
      <c r="A2988" t="s">
        <v>16</v>
      </c>
      <c r="B2988" t="s">
        <v>782</v>
      </c>
      <c r="C2988">
        <v>300</v>
      </c>
      <c r="D2988" t="s">
        <v>7470</v>
      </c>
      <c r="E2988" t="s">
        <v>49</v>
      </c>
      <c r="F2988">
        <v>21</v>
      </c>
      <c r="G2988">
        <v>0.3759170307008361</v>
      </c>
      <c r="H2988" t="s">
        <v>98</v>
      </c>
      <c r="I2988">
        <v>0</v>
      </c>
      <c r="J2988">
        <v>0</v>
      </c>
      <c r="K2988">
        <v>0</v>
      </c>
    </row>
    <row r="2989" spans="1:11" x14ac:dyDescent="0.2">
      <c r="A2989" t="s">
        <v>16</v>
      </c>
      <c r="B2989" t="s">
        <v>782</v>
      </c>
      <c r="C2989">
        <v>300</v>
      </c>
      <c r="D2989" t="s">
        <v>7471</v>
      </c>
      <c r="E2989" t="s">
        <v>49</v>
      </c>
      <c r="F2989">
        <v>21</v>
      </c>
      <c r="G2989">
        <v>0.3759170307008361</v>
      </c>
      <c r="H2989" t="s">
        <v>91</v>
      </c>
      <c r="I2989">
        <v>0</v>
      </c>
      <c r="J2989">
        <v>0</v>
      </c>
      <c r="K2989">
        <v>0</v>
      </c>
    </row>
    <row r="2990" spans="1:11" x14ac:dyDescent="0.2">
      <c r="A2990" t="s">
        <v>16</v>
      </c>
      <c r="B2990" t="s">
        <v>782</v>
      </c>
      <c r="C2990">
        <v>300</v>
      </c>
      <c r="D2990" t="s">
        <v>7467</v>
      </c>
      <c r="E2990" t="s">
        <v>49</v>
      </c>
      <c r="F2990">
        <v>21</v>
      </c>
      <c r="G2990">
        <v>0.3759170307008361</v>
      </c>
      <c r="H2990" t="s">
        <v>94</v>
      </c>
      <c r="I2990">
        <v>0</v>
      </c>
      <c r="J2990">
        <v>0</v>
      </c>
      <c r="K2990">
        <v>0</v>
      </c>
    </row>
    <row r="2991" spans="1:11" x14ac:dyDescent="0.2">
      <c r="A2991" t="s">
        <v>16</v>
      </c>
      <c r="B2991" t="s">
        <v>782</v>
      </c>
      <c r="C2991">
        <v>300</v>
      </c>
      <c r="D2991" t="s">
        <v>7468</v>
      </c>
      <c r="E2991" t="s">
        <v>49</v>
      </c>
      <c r="F2991">
        <v>21</v>
      </c>
      <c r="G2991">
        <v>0.3759170307008361</v>
      </c>
      <c r="H2991" t="s">
        <v>100</v>
      </c>
      <c r="I2991">
        <v>0</v>
      </c>
      <c r="J2991">
        <v>0</v>
      </c>
      <c r="K2991">
        <v>0</v>
      </c>
    </row>
    <row r="2992" spans="1:11" x14ac:dyDescent="0.2">
      <c r="A2992" t="s">
        <v>16</v>
      </c>
      <c r="B2992" t="s">
        <v>782</v>
      </c>
      <c r="C2992">
        <v>300</v>
      </c>
      <c r="D2992" t="s">
        <v>7473</v>
      </c>
      <c r="E2992" t="s">
        <v>49</v>
      </c>
      <c r="F2992">
        <v>21</v>
      </c>
      <c r="G2992">
        <v>0.3759170307008361</v>
      </c>
      <c r="H2992" t="s">
        <v>93</v>
      </c>
      <c r="I2992">
        <v>0</v>
      </c>
      <c r="J2992">
        <v>0</v>
      </c>
      <c r="K2992">
        <v>0</v>
      </c>
    </row>
    <row r="2993" spans="1:11" x14ac:dyDescent="0.2">
      <c r="A2993" t="s">
        <v>16</v>
      </c>
      <c r="B2993" t="s">
        <v>782</v>
      </c>
      <c r="C2993">
        <v>300</v>
      </c>
      <c r="D2993" t="s">
        <v>7474</v>
      </c>
      <c r="E2993" t="s">
        <v>49</v>
      </c>
      <c r="F2993">
        <v>21</v>
      </c>
      <c r="G2993">
        <v>0.3759170307008361</v>
      </c>
      <c r="H2993" t="s">
        <v>104</v>
      </c>
      <c r="I2993">
        <v>0</v>
      </c>
      <c r="J2993">
        <v>0</v>
      </c>
      <c r="K2993">
        <v>0</v>
      </c>
    </row>
    <row r="2994" spans="1:11" x14ac:dyDescent="0.2">
      <c r="A2994" t="s">
        <v>16</v>
      </c>
      <c r="B2994" t="s">
        <v>782</v>
      </c>
      <c r="C2994">
        <v>300</v>
      </c>
      <c r="D2994" t="s">
        <v>7472</v>
      </c>
      <c r="E2994" t="s">
        <v>49</v>
      </c>
      <c r="F2994">
        <v>21</v>
      </c>
      <c r="G2994">
        <v>0.3759170307008361</v>
      </c>
      <c r="H2994" t="s">
        <v>105</v>
      </c>
      <c r="I2994">
        <v>0</v>
      </c>
      <c r="J2994">
        <v>0</v>
      </c>
      <c r="K2994">
        <v>0</v>
      </c>
    </row>
    <row r="2995" spans="1:11" x14ac:dyDescent="0.2">
      <c r="A2995" t="s">
        <v>16</v>
      </c>
      <c r="B2995" t="s">
        <v>780</v>
      </c>
      <c r="C2995">
        <v>300</v>
      </c>
      <c r="D2995" t="s">
        <v>7479</v>
      </c>
      <c r="E2995" t="s">
        <v>49</v>
      </c>
      <c r="F2995">
        <v>23</v>
      </c>
      <c r="G2995">
        <v>0.37618747400764113</v>
      </c>
      <c r="H2995" t="s">
        <v>89</v>
      </c>
      <c r="I2995">
        <v>0</v>
      </c>
      <c r="J2995">
        <v>0</v>
      </c>
      <c r="K2995">
        <v>0</v>
      </c>
    </row>
    <row r="2996" spans="1:11" x14ac:dyDescent="0.2">
      <c r="A2996" t="s">
        <v>16</v>
      </c>
      <c r="B2996" t="s">
        <v>780</v>
      </c>
      <c r="C2996">
        <v>300</v>
      </c>
      <c r="D2996" t="s">
        <v>7475</v>
      </c>
      <c r="E2996" t="s">
        <v>49</v>
      </c>
      <c r="F2996">
        <v>23</v>
      </c>
      <c r="G2996">
        <v>0.37618747400764113</v>
      </c>
      <c r="H2996" t="s">
        <v>98</v>
      </c>
      <c r="I2996">
        <v>0</v>
      </c>
      <c r="J2996">
        <v>0</v>
      </c>
      <c r="K2996">
        <v>0</v>
      </c>
    </row>
    <row r="2997" spans="1:11" x14ac:dyDescent="0.2">
      <c r="A2997" t="s">
        <v>16</v>
      </c>
      <c r="B2997" t="s">
        <v>780</v>
      </c>
      <c r="C2997">
        <v>200</v>
      </c>
      <c r="D2997" t="s">
        <v>7478</v>
      </c>
      <c r="E2997" t="s">
        <v>49</v>
      </c>
      <c r="F2997">
        <v>23</v>
      </c>
      <c r="G2997">
        <v>0.2507916493384274</v>
      </c>
      <c r="H2997" t="s">
        <v>90</v>
      </c>
      <c r="I2997">
        <v>0</v>
      </c>
      <c r="J2997">
        <v>0</v>
      </c>
      <c r="K2997">
        <v>0</v>
      </c>
    </row>
    <row r="2998" spans="1:11" x14ac:dyDescent="0.2">
      <c r="A2998" t="s">
        <v>16</v>
      </c>
      <c r="B2998" t="s">
        <v>780</v>
      </c>
      <c r="C2998">
        <v>200</v>
      </c>
      <c r="D2998" t="s">
        <v>7476</v>
      </c>
      <c r="E2998" t="s">
        <v>49</v>
      </c>
      <c r="F2998">
        <v>23</v>
      </c>
      <c r="G2998">
        <v>0.2507916493384274</v>
      </c>
      <c r="H2998" t="s">
        <v>91</v>
      </c>
      <c r="I2998">
        <v>0</v>
      </c>
      <c r="J2998">
        <v>0</v>
      </c>
      <c r="K2998">
        <v>0</v>
      </c>
    </row>
    <row r="2999" spans="1:11" x14ac:dyDescent="0.2">
      <c r="A2999" t="s">
        <v>16</v>
      </c>
      <c r="B2999" t="s">
        <v>780</v>
      </c>
      <c r="C2999">
        <v>300</v>
      </c>
      <c r="D2999" t="s">
        <v>7481</v>
      </c>
      <c r="E2999" t="s">
        <v>49</v>
      </c>
      <c r="F2999">
        <v>23</v>
      </c>
      <c r="G2999">
        <v>0.37618747400764113</v>
      </c>
      <c r="H2999" t="s">
        <v>94</v>
      </c>
      <c r="I2999">
        <v>0</v>
      </c>
      <c r="J2999">
        <v>0</v>
      </c>
      <c r="K2999">
        <v>0</v>
      </c>
    </row>
    <row r="3000" spans="1:11" x14ac:dyDescent="0.2">
      <c r="A3000" t="s">
        <v>16</v>
      </c>
      <c r="B3000" t="s">
        <v>780</v>
      </c>
      <c r="C3000">
        <v>300</v>
      </c>
      <c r="D3000" t="s">
        <v>7480</v>
      </c>
      <c r="E3000" t="s">
        <v>49</v>
      </c>
      <c r="F3000">
        <v>23</v>
      </c>
      <c r="G3000">
        <v>0.37618747400764113</v>
      </c>
      <c r="H3000" t="s">
        <v>100</v>
      </c>
      <c r="I3000">
        <v>0</v>
      </c>
      <c r="J3000">
        <v>0</v>
      </c>
      <c r="K3000">
        <v>0</v>
      </c>
    </row>
    <row r="3001" spans="1:11" x14ac:dyDescent="0.2">
      <c r="A3001" t="s">
        <v>16</v>
      </c>
      <c r="B3001" t="s">
        <v>780</v>
      </c>
      <c r="C3001">
        <v>300</v>
      </c>
      <c r="D3001" t="s">
        <v>7482</v>
      </c>
      <c r="E3001" t="s">
        <v>49</v>
      </c>
      <c r="F3001">
        <v>23</v>
      </c>
      <c r="G3001">
        <v>0.37618747400764113</v>
      </c>
      <c r="H3001" t="s">
        <v>93</v>
      </c>
      <c r="I3001">
        <v>0</v>
      </c>
      <c r="J3001">
        <v>0</v>
      </c>
      <c r="K3001">
        <v>0</v>
      </c>
    </row>
    <row r="3002" spans="1:11" x14ac:dyDescent="0.2">
      <c r="A3002" t="s">
        <v>16</v>
      </c>
      <c r="B3002" t="s">
        <v>780</v>
      </c>
      <c r="C3002">
        <v>300</v>
      </c>
      <c r="D3002" t="s">
        <v>7477</v>
      </c>
      <c r="E3002" t="s">
        <v>49</v>
      </c>
      <c r="F3002">
        <v>23</v>
      </c>
      <c r="G3002">
        <v>0.37618747400764113</v>
      </c>
      <c r="H3002" t="s">
        <v>104</v>
      </c>
      <c r="I3002">
        <v>0</v>
      </c>
      <c r="J3002">
        <v>0</v>
      </c>
      <c r="K3002">
        <v>0</v>
      </c>
    </row>
    <row r="3003" spans="1:11" x14ac:dyDescent="0.2">
      <c r="A3003" t="s">
        <v>16</v>
      </c>
      <c r="B3003" t="s">
        <v>592</v>
      </c>
      <c r="C3003">
        <v>300</v>
      </c>
      <c r="D3003" t="s">
        <v>7484</v>
      </c>
      <c r="E3003" t="s">
        <v>49</v>
      </c>
      <c r="F3003">
        <v>3</v>
      </c>
      <c r="G3003">
        <v>0.54604601426876742</v>
      </c>
      <c r="H3003" t="s">
        <v>105</v>
      </c>
      <c r="I3003">
        <v>0</v>
      </c>
      <c r="J3003">
        <v>0</v>
      </c>
      <c r="K3003">
        <v>0</v>
      </c>
    </row>
    <row r="3004" spans="1:11" x14ac:dyDescent="0.2">
      <c r="A3004" t="s">
        <v>16</v>
      </c>
      <c r="B3004" t="s">
        <v>592</v>
      </c>
      <c r="C3004">
        <v>300</v>
      </c>
      <c r="D3004" t="s">
        <v>7487</v>
      </c>
      <c r="E3004" t="s">
        <v>49</v>
      </c>
      <c r="F3004">
        <v>3</v>
      </c>
      <c r="G3004">
        <v>0.54604601426876742</v>
      </c>
      <c r="H3004" t="s">
        <v>89</v>
      </c>
      <c r="I3004">
        <v>0</v>
      </c>
      <c r="J3004">
        <v>0</v>
      </c>
      <c r="K3004">
        <v>0</v>
      </c>
    </row>
    <row r="3005" spans="1:11" x14ac:dyDescent="0.2">
      <c r="A3005" t="s">
        <v>16</v>
      </c>
      <c r="B3005" t="s">
        <v>592</v>
      </c>
      <c r="C3005">
        <v>300</v>
      </c>
      <c r="D3005" t="s">
        <v>7485</v>
      </c>
      <c r="E3005" t="s">
        <v>49</v>
      </c>
      <c r="F3005">
        <v>3</v>
      </c>
      <c r="G3005">
        <v>0.54604601426876742</v>
      </c>
      <c r="H3005" t="s">
        <v>90</v>
      </c>
      <c r="I3005">
        <v>0</v>
      </c>
      <c r="J3005">
        <v>0</v>
      </c>
      <c r="K3005">
        <v>0</v>
      </c>
    </row>
    <row r="3006" spans="1:11" x14ac:dyDescent="0.2">
      <c r="A3006" t="s">
        <v>16</v>
      </c>
      <c r="B3006" t="s">
        <v>592</v>
      </c>
      <c r="C3006">
        <v>200</v>
      </c>
      <c r="D3006" t="s">
        <v>7486</v>
      </c>
      <c r="E3006" t="s">
        <v>49</v>
      </c>
      <c r="F3006">
        <v>3</v>
      </c>
      <c r="G3006">
        <v>0.36403067617917834</v>
      </c>
      <c r="H3006" t="s">
        <v>105</v>
      </c>
      <c r="I3006">
        <v>0</v>
      </c>
      <c r="J3006">
        <v>0</v>
      </c>
      <c r="K3006">
        <v>0</v>
      </c>
    </row>
    <row r="3007" spans="1:11" x14ac:dyDescent="0.2">
      <c r="A3007" t="s">
        <v>16</v>
      </c>
      <c r="B3007" t="s">
        <v>592</v>
      </c>
      <c r="C3007">
        <v>100</v>
      </c>
      <c r="D3007" t="s">
        <v>7483</v>
      </c>
      <c r="E3007" t="s">
        <v>49</v>
      </c>
      <c r="F3007">
        <v>3</v>
      </c>
      <c r="G3007">
        <v>0.18201533808958917</v>
      </c>
      <c r="H3007" t="s">
        <v>89</v>
      </c>
      <c r="I3007">
        <v>0</v>
      </c>
      <c r="J3007">
        <v>0</v>
      </c>
      <c r="K3007">
        <v>0</v>
      </c>
    </row>
    <row r="3008" spans="1:11" x14ac:dyDescent="0.2">
      <c r="A3008" t="s">
        <v>16</v>
      </c>
      <c r="B3008" t="s">
        <v>594</v>
      </c>
      <c r="C3008">
        <v>300</v>
      </c>
      <c r="D3008" t="s">
        <v>7490</v>
      </c>
      <c r="E3008" t="s">
        <v>49</v>
      </c>
      <c r="F3008">
        <v>7</v>
      </c>
      <c r="G3008">
        <v>0.32478202548625085</v>
      </c>
      <c r="H3008" t="s">
        <v>91</v>
      </c>
      <c r="I3008">
        <v>0</v>
      </c>
      <c r="J3008">
        <v>0</v>
      </c>
      <c r="K3008">
        <v>0</v>
      </c>
    </row>
    <row r="3009" spans="1:11" x14ac:dyDescent="0.2">
      <c r="A3009" t="s">
        <v>16</v>
      </c>
      <c r="B3009" t="s">
        <v>594</v>
      </c>
      <c r="C3009">
        <v>300</v>
      </c>
      <c r="D3009" t="s">
        <v>7489</v>
      </c>
      <c r="E3009" t="s">
        <v>49</v>
      </c>
      <c r="F3009">
        <v>7</v>
      </c>
      <c r="G3009">
        <v>0.32478202548625085</v>
      </c>
      <c r="H3009" t="s">
        <v>98</v>
      </c>
      <c r="I3009">
        <v>0</v>
      </c>
      <c r="J3009">
        <v>0</v>
      </c>
      <c r="K3009">
        <v>0</v>
      </c>
    </row>
    <row r="3010" spans="1:11" x14ac:dyDescent="0.2">
      <c r="A3010" t="s">
        <v>16</v>
      </c>
      <c r="B3010" t="s">
        <v>594</v>
      </c>
      <c r="C3010">
        <v>100</v>
      </c>
      <c r="D3010" t="s">
        <v>7491</v>
      </c>
      <c r="E3010" t="s">
        <v>49</v>
      </c>
      <c r="F3010">
        <v>7</v>
      </c>
      <c r="G3010">
        <v>0.10826067516208361</v>
      </c>
      <c r="H3010" t="s">
        <v>94</v>
      </c>
      <c r="I3010">
        <v>0</v>
      </c>
      <c r="J3010">
        <v>0</v>
      </c>
      <c r="K3010">
        <v>0</v>
      </c>
    </row>
    <row r="3011" spans="1:11" x14ac:dyDescent="0.2">
      <c r="A3011" t="s">
        <v>16</v>
      </c>
      <c r="B3011" t="s">
        <v>594</v>
      </c>
      <c r="C3011">
        <v>300</v>
      </c>
      <c r="D3011" t="s">
        <v>7488</v>
      </c>
      <c r="E3011" t="s">
        <v>49</v>
      </c>
      <c r="F3011">
        <v>7</v>
      </c>
      <c r="G3011">
        <v>0.32478202548625085</v>
      </c>
      <c r="H3011" t="s">
        <v>100</v>
      </c>
      <c r="I3011">
        <v>0</v>
      </c>
      <c r="J3011">
        <v>0</v>
      </c>
      <c r="K3011">
        <v>0</v>
      </c>
    </row>
    <row r="3012" spans="1:11" x14ac:dyDescent="0.2">
      <c r="A3012" t="s">
        <v>16</v>
      </c>
      <c r="B3012" t="s">
        <v>594</v>
      </c>
      <c r="C3012">
        <v>200</v>
      </c>
      <c r="D3012" t="s">
        <v>7492</v>
      </c>
      <c r="E3012" t="s">
        <v>49</v>
      </c>
      <c r="F3012">
        <v>7</v>
      </c>
      <c r="G3012">
        <v>0.21652135032416722</v>
      </c>
      <c r="H3012" t="s">
        <v>93</v>
      </c>
      <c r="I3012">
        <v>0</v>
      </c>
      <c r="J3012">
        <v>0</v>
      </c>
      <c r="K3012">
        <v>0</v>
      </c>
    </row>
    <row r="3013" spans="1:11" x14ac:dyDescent="0.2">
      <c r="A3013" t="s">
        <v>16</v>
      </c>
      <c r="B3013" t="s">
        <v>635</v>
      </c>
      <c r="C3013">
        <v>225</v>
      </c>
      <c r="D3013" t="s">
        <v>7494</v>
      </c>
      <c r="E3013" t="s">
        <v>49</v>
      </c>
      <c r="F3013">
        <v>3</v>
      </c>
      <c r="G3013">
        <v>0.38083673606964696</v>
      </c>
      <c r="H3013" t="s">
        <v>104</v>
      </c>
      <c r="I3013">
        <v>0</v>
      </c>
      <c r="J3013">
        <v>0</v>
      </c>
      <c r="K3013">
        <v>0</v>
      </c>
    </row>
    <row r="3014" spans="1:11" x14ac:dyDescent="0.2">
      <c r="A3014" t="s">
        <v>16</v>
      </c>
      <c r="B3014" t="s">
        <v>635</v>
      </c>
      <c r="C3014">
        <v>150</v>
      </c>
      <c r="D3014" t="s">
        <v>7497</v>
      </c>
      <c r="E3014" t="s">
        <v>49</v>
      </c>
      <c r="F3014">
        <v>3</v>
      </c>
      <c r="G3014">
        <v>0.25389115737976464</v>
      </c>
      <c r="H3014" t="s">
        <v>94</v>
      </c>
      <c r="I3014">
        <v>0</v>
      </c>
      <c r="J3014">
        <v>0</v>
      </c>
      <c r="K3014">
        <v>0</v>
      </c>
    </row>
    <row r="3015" spans="1:11" x14ac:dyDescent="0.2">
      <c r="A3015" t="s">
        <v>16</v>
      </c>
      <c r="B3015" t="s">
        <v>635</v>
      </c>
      <c r="C3015">
        <v>75</v>
      </c>
      <c r="D3015" t="s">
        <v>7498</v>
      </c>
      <c r="E3015" t="s">
        <v>49</v>
      </c>
      <c r="F3015">
        <v>3</v>
      </c>
      <c r="G3015">
        <v>0.12694557868988232</v>
      </c>
      <c r="H3015" t="s">
        <v>91</v>
      </c>
      <c r="I3015">
        <v>0</v>
      </c>
      <c r="J3015">
        <v>0</v>
      </c>
      <c r="K3015">
        <v>0</v>
      </c>
    </row>
    <row r="3016" spans="1:11" x14ac:dyDescent="0.2">
      <c r="A3016" t="s">
        <v>16</v>
      </c>
      <c r="B3016" t="s">
        <v>635</v>
      </c>
      <c r="C3016">
        <v>225</v>
      </c>
      <c r="D3016" t="s">
        <v>7495</v>
      </c>
      <c r="E3016" t="s">
        <v>49</v>
      </c>
      <c r="F3016">
        <v>3</v>
      </c>
      <c r="G3016">
        <v>0.38083673606964696</v>
      </c>
      <c r="H3016" t="s">
        <v>91</v>
      </c>
      <c r="I3016">
        <v>0</v>
      </c>
      <c r="J3016">
        <v>0</v>
      </c>
      <c r="K3016">
        <v>0</v>
      </c>
    </row>
    <row r="3017" spans="1:11" x14ac:dyDescent="0.2">
      <c r="A3017" t="s">
        <v>16</v>
      </c>
      <c r="B3017" t="s">
        <v>635</v>
      </c>
      <c r="C3017">
        <v>225</v>
      </c>
      <c r="D3017" t="s">
        <v>7493</v>
      </c>
      <c r="E3017" t="s">
        <v>49</v>
      </c>
      <c r="F3017">
        <v>3</v>
      </c>
      <c r="G3017">
        <v>0.38083673606964696</v>
      </c>
      <c r="H3017" t="s">
        <v>94</v>
      </c>
      <c r="I3017">
        <v>0</v>
      </c>
      <c r="J3017">
        <v>0</v>
      </c>
      <c r="K3017">
        <v>0</v>
      </c>
    </row>
    <row r="3018" spans="1:11" x14ac:dyDescent="0.2">
      <c r="A3018" t="s">
        <v>16</v>
      </c>
      <c r="B3018" t="s">
        <v>635</v>
      </c>
      <c r="C3018">
        <v>225</v>
      </c>
      <c r="D3018" t="s">
        <v>7496</v>
      </c>
      <c r="E3018" t="s">
        <v>49</v>
      </c>
      <c r="F3018">
        <v>3</v>
      </c>
      <c r="G3018">
        <v>0.38083673606964696</v>
      </c>
      <c r="H3018" t="s">
        <v>104</v>
      </c>
      <c r="I3018">
        <v>0</v>
      </c>
      <c r="J3018">
        <v>0</v>
      </c>
      <c r="K3018">
        <v>0</v>
      </c>
    </row>
    <row r="3019" spans="1:11" x14ac:dyDescent="0.2">
      <c r="A3019" t="s">
        <v>16</v>
      </c>
      <c r="B3019" t="s">
        <v>276</v>
      </c>
      <c r="C3019">
        <v>240</v>
      </c>
      <c r="D3019" t="s">
        <v>7499</v>
      </c>
      <c r="E3019" t="s">
        <v>49</v>
      </c>
      <c r="F3019">
        <v>10</v>
      </c>
      <c r="G3019">
        <v>0.14321408972759106</v>
      </c>
      <c r="H3019" t="s">
        <v>98</v>
      </c>
      <c r="I3019">
        <v>0</v>
      </c>
      <c r="J3019">
        <v>0</v>
      </c>
      <c r="K3019">
        <v>0</v>
      </c>
    </row>
    <row r="3020" spans="1:11" x14ac:dyDescent="0.2">
      <c r="A3020" t="s">
        <v>16</v>
      </c>
      <c r="B3020" t="s">
        <v>276</v>
      </c>
      <c r="C3020">
        <v>720</v>
      </c>
      <c r="D3020" t="s">
        <v>7500</v>
      </c>
      <c r="E3020" t="s">
        <v>49</v>
      </c>
      <c r="F3020">
        <v>10</v>
      </c>
      <c r="G3020">
        <v>0.42964226918277315</v>
      </c>
      <c r="H3020" t="s">
        <v>93</v>
      </c>
      <c r="I3020">
        <v>0</v>
      </c>
      <c r="J3020">
        <v>0</v>
      </c>
      <c r="K3020">
        <v>0</v>
      </c>
    </row>
    <row r="3021" spans="1:11" x14ac:dyDescent="0.2">
      <c r="A3021" t="s">
        <v>16</v>
      </c>
      <c r="B3021" t="s">
        <v>583</v>
      </c>
      <c r="C3021">
        <v>900</v>
      </c>
      <c r="D3021" t="s">
        <v>7503</v>
      </c>
      <c r="E3021" t="s">
        <v>49</v>
      </c>
      <c r="F3021">
        <v>20</v>
      </c>
      <c r="G3021">
        <v>0.40651185779144389</v>
      </c>
      <c r="H3021" t="s">
        <v>100</v>
      </c>
      <c r="I3021">
        <v>0</v>
      </c>
      <c r="J3021">
        <v>0</v>
      </c>
      <c r="K3021">
        <v>0</v>
      </c>
    </row>
    <row r="3022" spans="1:11" x14ac:dyDescent="0.2">
      <c r="A3022" t="s">
        <v>16</v>
      </c>
      <c r="B3022" t="s">
        <v>583</v>
      </c>
      <c r="C3022">
        <v>900</v>
      </c>
      <c r="D3022" t="s">
        <v>7502</v>
      </c>
      <c r="E3022" t="s">
        <v>49</v>
      </c>
      <c r="F3022">
        <v>20</v>
      </c>
      <c r="G3022">
        <v>0.40651185779144389</v>
      </c>
      <c r="H3022" t="s">
        <v>90</v>
      </c>
      <c r="I3022">
        <v>0</v>
      </c>
      <c r="J3022">
        <v>0</v>
      </c>
      <c r="K3022">
        <v>0</v>
      </c>
    </row>
    <row r="3023" spans="1:11" x14ac:dyDescent="0.2">
      <c r="A3023" t="s">
        <v>16</v>
      </c>
      <c r="B3023" t="s">
        <v>583</v>
      </c>
      <c r="C3023">
        <v>600</v>
      </c>
      <c r="D3023" t="s">
        <v>7504</v>
      </c>
      <c r="E3023" t="s">
        <v>49</v>
      </c>
      <c r="F3023">
        <v>20</v>
      </c>
      <c r="G3023">
        <v>0.27100790519429591</v>
      </c>
      <c r="H3023" t="s">
        <v>98</v>
      </c>
      <c r="I3023">
        <v>0</v>
      </c>
      <c r="J3023">
        <v>0</v>
      </c>
      <c r="K3023">
        <v>0</v>
      </c>
    </row>
    <row r="3024" spans="1:11" x14ac:dyDescent="0.2">
      <c r="A3024" t="s">
        <v>16</v>
      </c>
      <c r="B3024" t="s">
        <v>583</v>
      </c>
      <c r="C3024">
        <v>900</v>
      </c>
      <c r="D3024" t="s">
        <v>7506</v>
      </c>
      <c r="E3024" t="s">
        <v>49</v>
      </c>
      <c r="F3024">
        <v>20</v>
      </c>
      <c r="G3024">
        <v>0.40651185779144389</v>
      </c>
      <c r="H3024" t="s">
        <v>103</v>
      </c>
      <c r="I3024">
        <v>0</v>
      </c>
      <c r="J3024">
        <v>0</v>
      </c>
      <c r="K3024">
        <v>0</v>
      </c>
    </row>
    <row r="3025" spans="1:11" x14ac:dyDescent="0.2">
      <c r="A3025" t="s">
        <v>16</v>
      </c>
      <c r="B3025" t="s">
        <v>583</v>
      </c>
      <c r="C3025">
        <v>900</v>
      </c>
      <c r="D3025" t="s">
        <v>7501</v>
      </c>
      <c r="E3025" t="s">
        <v>49</v>
      </c>
      <c r="F3025">
        <v>20</v>
      </c>
      <c r="G3025">
        <v>0.40651185779144389</v>
      </c>
      <c r="H3025" t="s">
        <v>89</v>
      </c>
      <c r="I3025">
        <v>0</v>
      </c>
      <c r="J3025">
        <v>0</v>
      </c>
      <c r="K3025">
        <v>0</v>
      </c>
    </row>
    <row r="3026" spans="1:11" x14ac:dyDescent="0.2">
      <c r="A3026" t="s">
        <v>16</v>
      </c>
      <c r="B3026" t="s">
        <v>583</v>
      </c>
      <c r="C3026">
        <v>300</v>
      </c>
      <c r="D3026" t="s">
        <v>7505</v>
      </c>
      <c r="E3026" t="s">
        <v>49</v>
      </c>
      <c r="F3026">
        <v>20</v>
      </c>
      <c r="G3026">
        <v>0.13550395259714795</v>
      </c>
      <c r="H3026" t="s">
        <v>84</v>
      </c>
      <c r="I3026">
        <v>0</v>
      </c>
      <c r="J3026">
        <v>0</v>
      </c>
      <c r="K3026">
        <v>0</v>
      </c>
    </row>
    <row r="3027" spans="1:11" x14ac:dyDescent="0.2">
      <c r="A3027" t="s">
        <v>16</v>
      </c>
      <c r="B3027" t="s">
        <v>583</v>
      </c>
      <c r="C3027">
        <v>300</v>
      </c>
      <c r="D3027" t="s">
        <v>7507</v>
      </c>
      <c r="E3027" t="s">
        <v>49</v>
      </c>
      <c r="F3027">
        <v>20</v>
      </c>
      <c r="G3027">
        <v>0.13550395259714795</v>
      </c>
      <c r="H3027" t="s">
        <v>88</v>
      </c>
      <c r="I3027">
        <v>0</v>
      </c>
      <c r="J3027">
        <v>0</v>
      </c>
      <c r="K3027">
        <v>0</v>
      </c>
    </row>
    <row r="3028" spans="1:11" x14ac:dyDescent="0.2">
      <c r="A3028" t="s">
        <v>16</v>
      </c>
      <c r="B3028" t="s">
        <v>4259</v>
      </c>
      <c r="C3028">
        <v>300</v>
      </c>
      <c r="D3028" t="s">
        <v>7508</v>
      </c>
      <c r="E3028" t="s">
        <v>49</v>
      </c>
      <c r="F3028">
        <v>2</v>
      </c>
      <c r="G3028">
        <v>0.32007823434217808</v>
      </c>
      <c r="H3028" t="s">
        <v>84</v>
      </c>
      <c r="I3028">
        <v>0</v>
      </c>
      <c r="J3028">
        <v>0</v>
      </c>
      <c r="K3028">
        <v>0</v>
      </c>
    </row>
    <row r="3029" spans="1:11" x14ac:dyDescent="0.2">
      <c r="A3029" t="s">
        <v>16</v>
      </c>
      <c r="B3029" t="s">
        <v>357</v>
      </c>
      <c r="C3029">
        <v>510</v>
      </c>
      <c r="D3029" t="s">
        <v>7513</v>
      </c>
      <c r="E3029" t="s">
        <v>49</v>
      </c>
      <c r="F3029">
        <v>5</v>
      </c>
      <c r="G3029">
        <v>0.44749630373720617</v>
      </c>
      <c r="H3029" t="s">
        <v>105</v>
      </c>
      <c r="I3029">
        <v>0</v>
      </c>
      <c r="J3029">
        <v>0</v>
      </c>
      <c r="K3029">
        <v>0</v>
      </c>
    </row>
    <row r="3030" spans="1:11" x14ac:dyDescent="0.2">
      <c r="A3030" t="s">
        <v>16</v>
      </c>
      <c r="B3030" t="s">
        <v>357</v>
      </c>
      <c r="C3030">
        <v>510</v>
      </c>
      <c r="D3030" t="s">
        <v>7526</v>
      </c>
      <c r="E3030" t="s">
        <v>49</v>
      </c>
      <c r="F3030">
        <v>5</v>
      </c>
      <c r="G3030">
        <v>0.44749630373720617</v>
      </c>
      <c r="H3030" t="s">
        <v>91</v>
      </c>
      <c r="I3030">
        <v>0</v>
      </c>
      <c r="J3030">
        <v>0</v>
      </c>
      <c r="K3030">
        <v>0</v>
      </c>
    </row>
    <row r="3031" spans="1:11" x14ac:dyDescent="0.2">
      <c r="A3031" t="s">
        <v>16</v>
      </c>
      <c r="B3031" t="s">
        <v>357</v>
      </c>
      <c r="C3031">
        <v>510</v>
      </c>
      <c r="D3031" t="s">
        <v>7509</v>
      </c>
      <c r="E3031" t="s">
        <v>49</v>
      </c>
      <c r="F3031">
        <v>5</v>
      </c>
      <c r="G3031">
        <v>0.44749630373720617</v>
      </c>
      <c r="H3031" t="s">
        <v>98</v>
      </c>
      <c r="I3031">
        <v>0</v>
      </c>
      <c r="J3031">
        <v>0</v>
      </c>
      <c r="K3031">
        <v>0</v>
      </c>
    </row>
    <row r="3032" spans="1:11" x14ac:dyDescent="0.2">
      <c r="A3032" t="s">
        <v>16</v>
      </c>
      <c r="B3032" t="s">
        <v>357</v>
      </c>
      <c r="C3032">
        <v>510</v>
      </c>
      <c r="D3032" t="s">
        <v>7515</v>
      </c>
      <c r="E3032" t="s">
        <v>49</v>
      </c>
      <c r="F3032">
        <v>5</v>
      </c>
      <c r="G3032">
        <v>0.44749630373720617</v>
      </c>
      <c r="H3032" t="s">
        <v>88</v>
      </c>
      <c r="I3032">
        <v>0</v>
      </c>
      <c r="J3032">
        <v>0</v>
      </c>
      <c r="K3032">
        <v>0</v>
      </c>
    </row>
    <row r="3033" spans="1:11" x14ac:dyDescent="0.2">
      <c r="A3033" t="s">
        <v>16</v>
      </c>
      <c r="B3033" t="s">
        <v>357</v>
      </c>
      <c r="C3033">
        <v>170</v>
      </c>
      <c r="D3033" t="s">
        <v>7511</v>
      </c>
      <c r="E3033" t="s">
        <v>49</v>
      </c>
      <c r="F3033">
        <v>5</v>
      </c>
      <c r="G3033">
        <v>0.14916543457906872</v>
      </c>
      <c r="H3033" t="s">
        <v>93</v>
      </c>
      <c r="I3033">
        <v>0</v>
      </c>
      <c r="J3033">
        <v>0</v>
      </c>
      <c r="K3033">
        <v>0</v>
      </c>
    </row>
    <row r="3034" spans="1:11" x14ac:dyDescent="0.2">
      <c r="A3034" t="s">
        <v>16</v>
      </c>
      <c r="B3034" t="s">
        <v>357</v>
      </c>
      <c r="C3034">
        <v>510</v>
      </c>
      <c r="D3034" t="s">
        <v>7522</v>
      </c>
      <c r="E3034" t="s">
        <v>49</v>
      </c>
      <c r="F3034">
        <v>5</v>
      </c>
      <c r="G3034">
        <v>0.44749630373720617</v>
      </c>
      <c r="H3034" t="s">
        <v>93</v>
      </c>
      <c r="I3034">
        <v>0</v>
      </c>
      <c r="J3034">
        <v>0</v>
      </c>
      <c r="K3034">
        <v>0</v>
      </c>
    </row>
    <row r="3035" spans="1:11" x14ac:dyDescent="0.2">
      <c r="A3035" t="s">
        <v>16</v>
      </c>
      <c r="B3035" t="s">
        <v>357</v>
      </c>
      <c r="C3035">
        <v>510</v>
      </c>
      <c r="D3035" t="s">
        <v>7524</v>
      </c>
      <c r="E3035" t="s">
        <v>49</v>
      </c>
      <c r="F3035">
        <v>5</v>
      </c>
      <c r="G3035">
        <v>0.44749630373720617</v>
      </c>
      <c r="H3035" t="s">
        <v>105</v>
      </c>
      <c r="I3035">
        <v>0</v>
      </c>
      <c r="J3035">
        <v>0</v>
      </c>
      <c r="K3035">
        <v>0</v>
      </c>
    </row>
    <row r="3036" spans="1:11" x14ac:dyDescent="0.2">
      <c r="A3036" t="s">
        <v>16</v>
      </c>
      <c r="B3036" t="s">
        <v>357</v>
      </c>
      <c r="C3036">
        <v>510</v>
      </c>
      <c r="D3036" t="s">
        <v>7521</v>
      </c>
      <c r="E3036" t="s">
        <v>49</v>
      </c>
      <c r="F3036">
        <v>5</v>
      </c>
      <c r="G3036">
        <v>0.44749630373720617</v>
      </c>
      <c r="H3036" t="s">
        <v>91</v>
      </c>
      <c r="I3036">
        <v>0</v>
      </c>
      <c r="J3036">
        <v>0</v>
      </c>
      <c r="K3036">
        <v>0</v>
      </c>
    </row>
    <row r="3037" spans="1:11" x14ac:dyDescent="0.2">
      <c r="A3037" t="s">
        <v>16</v>
      </c>
      <c r="B3037" t="s">
        <v>357</v>
      </c>
      <c r="C3037">
        <v>510</v>
      </c>
      <c r="D3037" t="s">
        <v>7518</v>
      </c>
      <c r="E3037" t="s">
        <v>49</v>
      </c>
      <c r="F3037">
        <v>5</v>
      </c>
      <c r="G3037">
        <v>0.44749630373720617</v>
      </c>
      <c r="H3037" t="s">
        <v>98</v>
      </c>
      <c r="I3037">
        <v>0</v>
      </c>
      <c r="J3037">
        <v>0</v>
      </c>
      <c r="K3037">
        <v>0</v>
      </c>
    </row>
    <row r="3038" spans="1:11" x14ac:dyDescent="0.2">
      <c r="A3038" t="s">
        <v>16</v>
      </c>
      <c r="B3038" t="s">
        <v>357</v>
      </c>
      <c r="C3038">
        <v>510</v>
      </c>
      <c r="D3038" t="s">
        <v>7516</v>
      </c>
      <c r="E3038" t="s">
        <v>49</v>
      </c>
      <c r="F3038">
        <v>5</v>
      </c>
      <c r="G3038">
        <v>0.44749630373720617</v>
      </c>
      <c r="H3038" t="s">
        <v>88</v>
      </c>
      <c r="I3038">
        <v>0</v>
      </c>
      <c r="J3038">
        <v>0</v>
      </c>
      <c r="K3038">
        <v>0</v>
      </c>
    </row>
    <row r="3039" spans="1:11" x14ac:dyDescent="0.2">
      <c r="A3039" t="s">
        <v>16</v>
      </c>
      <c r="B3039" t="s">
        <v>357</v>
      </c>
      <c r="C3039">
        <v>510</v>
      </c>
      <c r="D3039" t="s">
        <v>7517</v>
      </c>
      <c r="E3039" t="s">
        <v>49</v>
      </c>
      <c r="F3039">
        <v>5</v>
      </c>
      <c r="G3039">
        <v>0.44749630373720617</v>
      </c>
      <c r="H3039" t="s">
        <v>93</v>
      </c>
      <c r="I3039">
        <v>0</v>
      </c>
      <c r="J3039">
        <v>0</v>
      </c>
      <c r="K3039">
        <v>0</v>
      </c>
    </row>
    <row r="3040" spans="1:11" x14ac:dyDescent="0.2">
      <c r="A3040" t="s">
        <v>16</v>
      </c>
      <c r="B3040" t="s">
        <v>357</v>
      </c>
      <c r="C3040">
        <v>510</v>
      </c>
      <c r="D3040" t="s">
        <v>7510</v>
      </c>
      <c r="E3040" t="s">
        <v>49</v>
      </c>
      <c r="F3040">
        <v>5</v>
      </c>
      <c r="G3040">
        <v>0.44749630373720617</v>
      </c>
      <c r="H3040" t="s">
        <v>105</v>
      </c>
      <c r="I3040">
        <v>0</v>
      </c>
      <c r="J3040">
        <v>0</v>
      </c>
      <c r="K3040">
        <v>0</v>
      </c>
    </row>
    <row r="3041" spans="1:11" x14ac:dyDescent="0.2">
      <c r="A3041" t="s">
        <v>16</v>
      </c>
      <c r="B3041" t="s">
        <v>357</v>
      </c>
      <c r="C3041">
        <v>510</v>
      </c>
      <c r="D3041" t="s">
        <v>7514</v>
      </c>
      <c r="E3041" t="s">
        <v>49</v>
      </c>
      <c r="F3041">
        <v>5</v>
      </c>
      <c r="G3041">
        <v>0.44749630373720617</v>
      </c>
      <c r="H3041" t="s">
        <v>91</v>
      </c>
      <c r="I3041">
        <v>0</v>
      </c>
      <c r="J3041">
        <v>0</v>
      </c>
      <c r="K3041">
        <v>0</v>
      </c>
    </row>
    <row r="3042" spans="1:11" x14ac:dyDescent="0.2">
      <c r="A3042" t="s">
        <v>16</v>
      </c>
      <c r="B3042" t="s">
        <v>357</v>
      </c>
      <c r="C3042">
        <v>510</v>
      </c>
      <c r="D3042" t="s">
        <v>7523</v>
      </c>
      <c r="E3042" t="s">
        <v>49</v>
      </c>
      <c r="F3042">
        <v>5</v>
      </c>
      <c r="G3042">
        <v>0.44749630373720617</v>
      </c>
      <c r="H3042" t="s">
        <v>98</v>
      </c>
      <c r="I3042">
        <v>0</v>
      </c>
      <c r="J3042">
        <v>0</v>
      </c>
      <c r="K3042">
        <v>0</v>
      </c>
    </row>
    <row r="3043" spans="1:11" x14ac:dyDescent="0.2">
      <c r="A3043" t="s">
        <v>16</v>
      </c>
      <c r="B3043" t="s">
        <v>357</v>
      </c>
      <c r="C3043">
        <v>510</v>
      </c>
      <c r="D3043" t="s">
        <v>7512</v>
      </c>
      <c r="E3043" t="s">
        <v>49</v>
      </c>
      <c r="F3043">
        <v>5</v>
      </c>
      <c r="G3043">
        <v>0.44749630373720617</v>
      </c>
      <c r="H3043" t="s">
        <v>88</v>
      </c>
      <c r="I3043">
        <v>0</v>
      </c>
      <c r="J3043">
        <v>0</v>
      </c>
      <c r="K3043">
        <v>0</v>
      </c>
    </row>
    <row r="3044" spans="1:11" x14ac:dyDescent="0.2">
      <c r="A3044" t="s">
        <v>16</v>
      </c>
      <c r="B3044" t="s">
        <v>357</v>
      </c>
      <c r="C3044">
        <v>510</v>
      </c>
      <c r="D3044" t="s">
        <v>7520</v>
      </c>
      <c r="E3044" t="s">
        <v>49</v>
      </c>
      <c r="F3044">
        <v>5</v>
      </c>
      <c r="G3044">
        <v>0.44749630373720617</v>
      </c>
      <c r="H3044" t="s">
        <v>93</v>
      </c>
      <c r="I3044">
        <v>0</v>
      </c>
      <c r="J3044">
        <v>0</v>
      </c>
      <c r="K3044">
        <v>0</v>
      </c>
    </row>
    <row r="3045" spans="1:11" x14ac:dyDescent="0.2">
      <c r="A3045" t="s">
        <v>16</v>
      </c>
      <c r="B3045" t="s">
        <v>357</v>
      </c>
      <c r="C3045">
        <v>510</v>
      </c>
      <c r="D3045" t="s">
        <v>7525</v>
      </c>
      <c r="E3045" t="s">
        <v>49</v>
      </c>
      <c r="F3045">
        <v>5</v>
      </c>
      <c r="G3045">
        <v>0.44749630373720617</v>
      </c>
      <c r="H3045" t="s">
        <v>105</v>
      </c>
      <c r="I3045">
        <v>0</v>
      </c>
      <c r="J3045">
        <v>0</v>
      </c>
      <c r="K3045">
        <v>0</v>
      </c>
    </row>
    <row r="3046" spans="1:11" x14ac:dyDescent="0.2">
      <c r="A3046" t="s">
        <v>16</v>
      </c>
      <c r="B3046" t="s">
        <v>357</v>
      </c>
      <c r="C3046">
        <v>510</v>
      </c>
      <c r="D3046" t="s">
        <v>7519</v>
      </c>
      <c r="E3046" t="s">
        <v>49</v>
      </c>
      <c r="F3046">
        <v>5</v>
      </c>
      <c r="G3046">
        <v>0.44749630373720617</v>
      </c>
      <c r="H3046" t="s">
        <v>91</v>
      </c>
      <c r="I3046">
        <v>0</v>
      </c>
      <c r="J3046">
        <v>0</v>
      </c>
      <c r="K3046">
        <v>0</v>
      </c>
    </row>
    <row r="3047" spans="1:11" x14ac:dyDescent="0.2">
      <c r="A3047" t="s">
        <v>16</v>
      </c>
      <c r="B3047" t="s">
        <v>362</v>
      </c>
      <c r="C3047">
        <v>420</v>
      </c>
      <c r="D3047" t="s">
        <v>7534</v>
      </c>
      <c r="E3047" t="s">
        <v>49</v>
      </c>
      <c r="F3047">
        <v>4</v>
      </c>
      <c r="G3047">
        <v>0.61777921813366921</v>
      </c>
      <c r="H3047" t="s">
        <v>94</v>
      </c>
      <c r="I3047">
        <v>0</v>
      </c>
      <c r="J3047">
        <v>0</v>
      </c>
      <c r="K3047">
        <v>0</v>
      </c>
    </row>
    <row r="3048" spans="1:11" x14ac:dyDescent="0.2">
      <c r="A3048" t="s">
        <v>16</v>
      </c>
      <c r="B3048" t="s">
        <v>362</v>
      </c>
      <c r="C3048">
        <v>420</v>
      </c>
      <c r="D3048" t="s">
        <v>7547</v>
      </c>
      <c r="E3048" t="s">
        <v>49</v>
      </c>
      <c r="F3048">
        <v>4</v>
      </c>
      <c r="G3048">
        <v>0.61777921813366921</v>
      </c>
      <c r="H3048" t="s">
        <v>100</v>
      </c>
      <c r="I3048">
        <v>0</v>
      </c>
      <c r="J3048">
        <v>0</v>
      </c>
      <c r="K3048">
        <v>0</v>
      </c>
    </row>
    <row r="3049" spans="1:11" x14ac:dyDescent="0.2">
      <c r="A3049" t="s">
        <v>16</v>
      </c>
      <c r="B3049" t="s">
        <v>362</v>
      </c>
      <c r="C3049">
        <v>420</v>
      </c>
      <c r="D3049" t="s">
        <v>7544</v>
      </c>
      <c r="E3049" t="s">
        <v>49</v>
      </c>
      <c r="F3049">
        <v>4</v>
      </c>
      <c r="G3049">
        <v>0.61777921813366921</v>
      </c>
      <c r="H3049" t="s">
        <v>90</v>
      </c>
      <c r="I3049">
        <v>0</v>
      </c>
      <c r="J3049">
        <v>0</v>
      </c>
      <c r="K3049">
        <v>0</v>
      </c>
    </row>
    <row r="3050" spans="1:11" x14ac:dyDescent="0.2">
      <c r="A3050" t="s">
        <v>16</v>
      </c>
      <c r="B3050" t="s">
        <v>362</v>
      </c>
      <c r="C3050">
        <v>420</v>
      </c>
      <c r="D3050" t="s">
        <v>7540</v>
      </c>
      <c r="E3050" t="s">
        <v>49</v>
      </c>
      <c r="F3050">
        <v>4</v>
      </c>
      <c r="G3050">
        <v>0.61777921813366921</v>
      </c>
      <c r="H3050" t="s">
        <v>104</v>
      </c>
      <c r="I3050">
        <v>0</v>
      </c>
      <c r="J3050">
        <v>0</v>
      </c>
      <c r="K3050">
        <v>0</v>
      </c>
    </row>
    <row r="3051" spans="1:11" x14ac:dyDescent="0.2">
      <c r="A3051" t="s">
        <v>16</v>
      </c>
      <c r="B3051" t="s">
        <v>362</v>
      </c>
      <c r="C3051">
        <v>140</v>
      </c>
      <c r="D3051" t="s">
        <v>7545</v>
      </c>
      <c r="E3051" t="s">
        <v>49</v>
      </c>
      <c r="F3051">
        <v>4</v>
      </c>
      <c r="G3051">
        <v>0.20592640604455639</v>
      </c>
      <c r="H3051" t="s">
        <v>94</v>
      </c>
      <c r="I3051">
        <v>0</v>
      </c>
      <c r="J3051">
        <v>0</v>
      </c>
      <c r="K3051">
        <v>0</v>
      </c>
    </row>
    <row r="3052" spans="1:11" x14ac:dyDescent="0.2">
      <c r="A3052" t="s">
        <v>16</v>
      </c>
      <c r="B3052" t="s">
        <v>362</v>
      </c>
      <c r="C3052">
        <v>420</v>
      </c>
      <c r="D3052" t="s">
        <v>7543</v>
      </c>
      <c r="E3052" t="s">
        <v>49</v>
      </c>
      <c r="F3052">
        <v>4</v>
      </c>
      <c r="G3052">
        <v>0.61777921813366921</v>
      </c>
      <c r="H3052" t="s">
        <v>100</v>
      </c>
      <c r="I3052">
        <v>0</v>
      </c>
      <c r="J3052">
        <v>0</v>
      </c>
      <c r="K3052">
        <v>0</v>
      </c>
    </row>
    <row r="3053" spans="1:11" x14ac:dyDescent="0.2">
      <c r="A3053" t="s">
        <v>16</v>
      </c>
      <c r="B3053" t="s">
        <v>362</v>
      </c>
      <c r="C3053">
        <v>420</v>
      </c>
      <c r="D3053" t="s">
        <v>7539</v>
      </c>
      <c r="E3053" t="s">
        <v>49</v>
      </c>
      <c r="F3053">
        <v>4</v>
      </c>
      <c r="G3053">
        <v>0.61777921813366921</v>
      </c>
      <c r="H3053" t="s">
        <v>90</v>
      </c>
      <c r="I3053">
        <v>0</v>
      </c>
      <c r="J3053">
        <v>0</v>
      </c>
      <c r="K3053">
        <v>0</v>
      </c>
    </row>
    <row r="3054" spans="1:11" x14ac:dyDescent="0.2">
      <c r="A3054" t="s">
        <v>16</v>
      </c>
      <c r="B3054" t="s">
        <v>362</v>
      </c>
      <c r="C3054">
        <v>420</v>
      </c>
      <c r="D3054" t="s">
        <v>7532</v>
      </c>
      <c r="E3054" t="s">
        <v>49</v>
      </c>
      <c r="F3054">
        <v>4</v>
      </c>
      <c r="G3054">
        <v>0.61777921813366921</v>
      </c>
      <c r="H3054" t="s">
        <v>104</v>
      </c>
      <c r="I3054">
        <v>0</v>
      </c>
      <c r="J3054">
        <v>0</v>
      </c>
      <c r="K3054">
        <v>0</v>
      </c>
    </row>
    <row r="3055" spans="1:11" x14ac:dyDescent="0.2">
      <c r="A3055" t="s">
        <v>16</v>
      </c>
      <c r="B3055" t="s">
        <v>362</v>
      </c>
      <c r="C3055">
        <v>420</v>
      </c>
      <c r="D3055" t="s">
        <v>7536</v>
      </c>
      <c r="E3055" t="s">
        <v>49</v>
      </c>
      <c r="F3055">
        <v>4</v>
      </c>
      <c r="G3055">
        <v>0.61777921813366921</v>
      </c>
      <c r="H3055" t="s">
        <v>94</v>
      </c>
      <c r="I3055">
        <v>0</v>
      </c>
      <c r="J3055">
        <v>0</v>
      </c>
      <c r="K3055">
        <v>0</v>
      </c>
    </row>
    <row r="3056" spans="1:11" x14ac:dyDescent="0.2">
      <c r="A3056" t="s">
        <v>16</v>
      </c>
      <c r="B3056" t="s">
        <v>362</v>
      </c>
      <c r="C3056">
        <v>420</v>
      </c>
      <c r="D3056" t="s">
        <v>7528</v>
      </c>
      <c r="E3056" t="s">
        <v>49</v>
      </c>
      <c r="F3056">
        <v>4</v>
      </c>
      <c r="G3056">
        <v>0.61777921813366921</v>
      </c>
      <c r="H3056" t="s">
        <v>100</v>
      </c>
      <c r="I3056">
        <v>0</v>
      </c>
      <c r="J3056">
        <v>0</v>
      </c>
      <c r="K3056">
        <v>0</v>
      </c>
    </row>
    <row r="3057" spans="1:11" x14ac:dyDescent="0.2">
      <c r="A3057" t="s">
        <v>16</v>
      </c>
      <c r="B3057" t="s">
        <v>362</v>
      </c>
      <c r="C3057">
        <v>420</v>
      </c>
      <c r="D3057" t="s">
        <v>7530</v>
      </c>
      <c r="E3057" t="s">
        <v>49</v>
      </c>
      <c r="F3057">
        <v>4</v>
      </c>
      <c r="G3057">
        <v>0.61777921813366921</v>
      </c>
      <c r="H3057" t="s">
        <v>90</v>
      </c>
      <c r="I3057">
        <v>0</v>
      </c>
      <c r="J3057">
        <v>0</v>
      </c>
      <c r="K3057">
        <v>0</v>
      </c>
    </row>
    <row r="3058" spans="1:11" x14ac:dyDescent="0.2">
      <c r="A3058" t="s">
        <v>16</v>
      </c>
      <c r="B3058" t="s">
        <v>362</v>
      </c>
      <c r="C3058">
        <v>420</v>
      </c>
      <c r="D3058" t="s">
        <v>7529</v>
      </c>
      <c r="E3058" t="s">
        <v>49</v>
      </c>
      <c r="F3058">
        <v>4</v>
      </c>
      <c r="G3058">
        <v>0.61777921813366921</v>
      </c>
      <c r="H3058" t="s">
        <v>104</v>
      </c>
      <c r="I3058">
        <v>0</v>
      </c>
      <c r="J3058">
        <v>0</v>
      </c>
      <c r="K3058">
        <v>0</v>
      </c>
    </row>
    <row r="3059" spans="1:11" x14ac:dyDescent="0.2">
      <c r="A3059" t="s">
        <v>16</v>
      </c>
      <c r="B3059" t="s">
        <v>362</v>
      </c>
      <c r="C3059">
        <v>420</v>
      </c>
      <c r="D3059" t="s">
        <v>7546</v>
      </c>
      <c r="E3059" t="s">
        <v>49</v>
      </c>
      <c r="F3059">
        <v>4</v>
      </c>
      <c r="G3059">
        <v>0.61777921813366921</v>
      </c>
      <c r="H3059" t="s">
        <v>94</v>
      </c>
      <c r="I3059">
        <v>0</v>
      </c>
      <c r="J3059">
        <v>0</v>
      </c>
      <c r="K3059">
        <v>0</v>
      </c>
    </row>
    <row r="3060" spans="1:11" x14ac:dyDescent="0.2">
      <c r="A3060" t="s">
        <v>16</v>
      </c>
      <c r="B3060" t="s">
        <v>362</v>
      </c>
      <c r="C3060">
        <v>420</v>
      </c>
      <c r="D3060" t="s">
        <v>7542</v>
      </c>
      <c r="E3060" t="s">
        <v>49</v>
      </c>
      <c r="F3060">
        <v>4</v>
      </c>
      <c r="G3060">
        <v>0.61777921813366921</v>
      </c>
      <c r="H3060" t="s">
        <v>100</v>
      </c>
      <c r="I3060">
        <v>0</v>
      </c>
      <c r="J3060">
        <v>0</v>
      </c>
      <c r="K3060">
        <v>0</v>
      </c>
    </row>
    <row r="3061" spans="1:11" x14ac:dyDescent="0.2">
      <c r="A3061" t="s">
        <v>16</v>
      </c>
      <c r="B3061" t="s">
        <v>362</v>
      </c>
      <c r="C3061">
        <v>420</v>
      </c>
      <c r="D3061" t="s">
        <v>7537</v>
      </c>
      <c r="E3061" t="s">
        <v>49</v>
      </c>
      <c r="F3061">
        <v>4</v>
      </c>
      <c r="G3061">
        <v>0.61777921813366921</v>
      </c>
      <c r="H3061" t="s">
        <v>90</v>
      </c>
      <c r="I3061">
        <v>0</v>
      </c>
      <c r="J3061">
        <v>0</v>
      </c>
      <c r="K3061">
        <v>0</v>
      </c>
    </row>
    <row r="3062" spans="1:11" x14ac:dyDescent="0.2">
      <c r="A3062" t="s">
        <v>16</v>
      </c>
      <c r="B3062" t="s">
        <v>362</v>
      </c>
      <c r="C3062">
        <v>420</v>
      </c>
      <c r="D3062" t="s">
        <v>7538</v>
      </c>
      <c r="E3062" t="s">
        <v>49</v>
      </c>
      <c r="F3062">
        <v>4</v>
      </c>
      <c r="G3062">
        <v>0.61777921813366921</v>
      </c>
      <c r="H3062" t="s">
        <v>104</v>
      </c>
      <c r="I3062">
        <v>0</v>
      </c>
      <c r="J3062">
        <v>0</v>
      </c>
      <c r="K3062">
        <v>0</v>
      </c>
    </row>
    <row r="3063" spans="1:11" x14ac:dyDescent="0.2">
      <c r="A3063" t="s">
        <v>16</v>
      </c>
      <c r="B3063" t="s">
        <v>362</v>
      </c>
      <c r="C3063">
        <v>420</v>
      </c>
      <c r="D3063" t="s">
        <v>7541</v>
      </c>
      <c r="E3063" t="s">
        <v>49</v>
      </c>
      <c r="F3063">
        <v>4</v>
      </c>
      <c r="G3063">
        <v>0.61777921813366921</v>
      </c>
      <c r="H3063" t="s">
        <v>94</v>
      </c>
      <c r="I3063">
        <v>0</v>
      </c>
      <c r="J3063">
        <v>0</v>
      </c>
      <c r="K3063">
        <v>0</v>
      </c>
    </row>
    <row r="3064" spans="1:11" x14ac:dyDescent="0.2">
      <c r="A3064" t="s">
        <v>16</v>
      </c>
      <c r="B3064" t="s">
        <v>362</v>
      </c>
      <c r="C3064">
        <v>420</v>
      </c>
      <c r="D3064" t="s">
        <v>7531</v>
      </c>
      <c r="E3064" t="s">
        <v>49</v>
      </c>
      <c r="F3064">
        <v>4</v>
      </c>
      <c r="G3064">
        <v>0.61777921813366921</v>
      </c>
      <c r="H3064" t="s">
        <v>100</v>
      </c>
      <c r="I3064">
        <v>0</v>
      </c>
      <c r="J3064">
        <v>0</v>
      </c>
      <c r="K3064">
        <v>0</v>
      </c>
    </row>
    <row r="3065" spans="1:11" x14ac:dyDescent="0.2">
      <c r="A3065" t="s">
        <v>16</v>
      </c>
      <c r="B3065" t="s">
        <v>362</v>
      </c>
      <c r="C3065">
        <v>420</v>
      </c>
      <c r="D3065" t="s">
        <v>7533</v>
      </c>
      <c r="E3065" t="s">
        <v>49</v>
      </c>
      <c r="F3065">
        <v>4</v>
      </c>
      <c r="G3065">
        <v>0.61777921813366921</v>
      </c>
      <c r="H3065" t="s">
        <v>90</v>
      </c>
      <c r="I3065">
        <v>0</v>
      </c>
      <c r="J3065">
        <v>0</v>
      </c>
      <c r="K3065">
        <v>0</v>
      </c>
    </row>
    <row r="3066" spans="1:11" x14ac:dyDescent="0.2">
      <c r="A3066" t="s">
        <v>16</v>
      </c>
      <c r="B3066" t="s">
        <v>362</v>
      </c>
      <c r="C3066">
        <v>420</v>
      </c>
      <c r="D3066" t="s">
        <v>7535</v>
      </c>
      <c r="E3066" t="s">
        <v>49</v>
      </c>
      <c r="F3066">
        <v>4</v>
      </c>
      <c r="G3066">
        <v>0.61777921813366921</v>
      </c>
      <c r="H3066" t="s">
        <v>104</v>
      </c>
      <c r="I3066">
        <v>0</v>
      </c>
      <c r="J3066">
        <v>0</v>
      </c>
      <c r="K3066">
        <v>0</v>
      </c>
    </row>
    <row r="3067" spans="1:11" x14ac:dyDescent="0.2">
      <c r="A3067" t="s">
        <v>16</v>
      </c>
      <c r="B3067" t="s">
        <v>362</v>
      </c>
      <c r="C3067">
        <v>420</v>
      </c>
      <c r="D3067" t="s">
        <v>7527</v>
      </c>
      <c r="E3067" t="s">
        <v>49</v>
      </c>
      <c r="F3067">
        <v>4</v>
      </c>
      <c r="G3067">
        <v>0.61777921813366921</v>
      </c>
      <c r="H3067" t="s">
        <v>94</v>
      </c>
      <c r="I3067">
        <v>0</v>
      </c>
      <c r="J3067">
        <v>0</v>
      </c>
      <c r="K3067">
        <v>0</v>
      </c>
    </row>
    <row r="3068" spans="1:11" x14ac:dyDescent="0.2">
      <c r="A3068" t="s">
        <v>16</v>
      </c>
      <c r="B3068" t="s">
        <v>216</v>
      </c>
      <c r="C3068">
        <v>360</v>
      </c>
      <c r="D3068" t="s">
        <v>7549</v>
      </c>
      <c r="E3068" t="s">
        <v>49</v>
      </c>
      <c r="F3068">
        <v>2</v>
      </c>
      <c r="G3068">
        <v>0.47043826953354068</v>
      </c>
      <c r="H3068" t="s">
        <v>103</v>
      </c>
      <c r="I3068">
        <v>0</v>
      </c>
      <c r="J3068">
        <v>0</v>
      </c>
      <c r="K3068">
        <v>0</v>
      </c>
    </row>
    <row r="3069" spans="1:11" x14ac:dyDescent="0.2">
      <c r="A3069" t="s">
        <v>16</v>
      </c>
      <c r="B3069" t="s">
        <v>216</v>
      </c>
      <c r="C3069">
        <v>360</v>
      </c>
      <c r="D3069" t="s">
        <v>7551</v>
      </c>
      <c r="E3069" t="s">
        <v>49</v>
      </c>
      <c r="F3069">
        <v>2</v>
      </c>
      <c r="G3069">
        <v>0.47043826953354068</v>
      </c>
      <c r="H3069" t="s">
        <v>89</v>
      </c>
      <c r="I3069">
        <v>0</v>
      </c>
      <c r="J3069">
        <v>0</v>
      </c>
      <c r="K3069">
        <v>0</v>
      </c>
    </row>
    <row r="3070" spans="1:11" x14ac:dyDescent="0.2">
      <c r="A3070" t="s">
        <v>16</v>
      </c>
      <c r="B3070" t="s">
        <v>216</v>
      </c>
      <c r="C3070">
        <v>360</v>
      </c>
      <c r="D3070" t="s">
        <v>7552</v>
      </c>
      <c r="E3070" t="s">
        <v>49</v>
      </c>
      <c r="F3070">
        <v>2</v>
      </c>
      <c r="G3070">
        <v>0.47043826953354068</v>
      </c>
      <c r="H3070" t="s">
        <v>103</v>
      </c>
      <c r="I3070">
        <v>0</v>
      </c>
      <c r="J3070">
        <v>0</v>
      </c>
      <c r="K3070">
        <v>0</v>
      </c>
    </row>
    <row r="3071" spans="1:11" x14ac:dyDescent="0.2">
      <c r="A3071" t="s">
        <v>16</v>
      </c>
      <c r="B3071" t="s">
        <v>216</v>
      </c>
      <c r="C3071">
        <v>360</v>
      </c>
      <c r="D3071" t="s">
        <v>7548</v>
      </c>
      <c r="E3071" t="s">
        <v>49</v>
      </c>
      <c r="F3071">
        <v>2</v>
      </c>
      <c r="G3071">
        <v>0.47043826953354068</v>
      </c>
      <c r="H3071" t="s">
        <v>89</v>
      </c>
      <c r="I3071">
        <v>0</v>
      </c>
      <c r="J3071">
        <v>0</v>
      </c>
      <c r="K3071">
        <v>0</v>
      </c>
    </row>
    <row r="3072" spans="1:11" x14ac:dyDescent="0.2">
      <c r="A3072" t="s">
        <v>16</v>
      </c>
      <c r="B3072" t="s">
        <v>216</v>
      </c>
      <c r="C3072">
        <v>360</v>
      </c>
      <c r="D3072" t="s">
        <v>7550</v>
      </c>
      <c r="E3072" t="s">
        <v>49</v>
      </c>
      <c r="F3072">
        <v>2</v>
      </c>
      <c r="G3072">
        <v>0.47043826953354068</v>
      </c>
      <c r="H3072" t="s">
        <v>103</v>
      </c>
      <c r="I3072">
        <v>0</v>
      </c>
      <c r="J3072">
        <v>0</v>
      </c>
      <c r="K3072">
        <v>0</v>
      </c>
    </row>
    <row r="3073" spans="1:11" x14ac:dyDescent="0.2">
      <c r="A3073" t="s">
        <v>16</v>
      </c>
      <c r="B3073" t="s">
        <v>216</v>
      </c>
      <c r="C3073">
        <v>360</v>
      </c>
      <c r="D3073" t="s">
        <v>7553</v>
      </c>
      <c r="E3073" t="s">
        <v>49</v>
      </c>
      <c r="F3073">
        <v>2</v>
      </c>
      <c r="G3073">
        <v>0.47043826953354068</v>
      </c>
      <c r="H3073" t="s">
        <v>89</v>
      </c>
      <c r="I3073">
        <v>0</v>
      </c>
      <c r="J3073">
        <v>0</v>
      </c>
      <c r="K3073">
        <v>0</v>
      </c>
    </row>
    <row r="3074" spans="1:11" x14ac:dyDescent="0.2">
      <c r="A3074" t="s">
        <v>16</v>
      </c>
      <c r="B3074" t="s">
        <v>212</v>
      </c>
      <c r="C3074">
        <v>450</v>
      </c>
      <c r="D3074" t="s">
        <v>7556</v>
      </c>
      <c r="E3074" t="s">
        <v>49</v>
      </c>
      <c r="F3074">
        <v>5</v>
      </c>
      <c r="G3074">
        <v>0.42952582340472095</v>
      </c>
      <c r="H3074" t="s">
        <v>84</v>
      </c>
      <c r="I3074">
        <v>0</v>
      </c>
      <c r="J3074">
        <v>0</v>
      </c>
      <c r="K3074">
        <v>0</v>
      </c>
    </row>
    <row r="3075" spans="1:11" x14ac:dyDescent="0.2">
      <c r="A3075" t="s">
        <v>16</v>
      </c>
      <c r="B3075" t="s">
        <v>212</v>
      </c>
      <c r="C3075">
        <v>150</v>
      </c>
      <c r="D3075" t="s">
        <v>7554</v>
      </c>
      <c r="E3075" t="s">
        <v>49</v>
      </c>
      <c r="F3075">
        <v>5</v>
      </c>
      <c r="G3075">
        <v>0.14317527446824033</v>
      </c>
      <c r="H3075" t="s">
        <v>87</v>
      </c>
      <c r="I3075">
        <v>0</v>
      </c>
      <c r="J3075">
        <v>0</v>
      </c>
      <c r="K3075">
        <v>0</v>
      </c>
    </row>
    <row r="3076" spans="1:11" x14ac:dyDescent="0.2">
      <c r="A3076" t="s">
        <v>16</v>
      </c>
      <c r="B3076" t="s">
        <v>212</v>
      </c>
      <c r="C3076">
        <v>450</v>
      </c>
      <c r="D3076" t="s">
        <v>7555</v>
      </c>
      <c r="E3076" t="s">
        <v>49</v>
      </c>
      <c r="F3076">
        <v>5</v>
      </c>
      <c r="G3076">
        <v>0.42952582340472095</v>
      </c>
      <c r="H3076" t="s">
        <v>87</v>
      </c>
      <c r="I3076">
        <v>0</v>
      </c>
      <c r="J3076">
        <v>0</v>
      </c>
      <c r="K3076">
        <v>0</v>
      </c>
    </row>
    <row r="3077" spans="1:11" x14ac:dyDescent="0.2">
      <c r="A3077" t="s">
        <v>16</v>
      </c>
      <c r="B3077" t="s">
        <v>214</v>
      </c>
      <c r="C3077">
        <v>150</v>
      </c>
      <c r="D3077" t="s">
        <v>7558</v>
      </c>
      <c r="E3077" t="s">
        <v>49</v>
      </c>
      <c r="F3077">
        <v>4</v>
      </c>
      <c r="G3077">
        <v>0.19748652521323365</v>
      </c>
      <c r="H3077" t="s">
        <v>84</v>
      </c>
      <c r="I3077">
        <v>0</v>
      </c>
      <c r="J3077">
        <v>0</v>
      </c>
      <c r="K3077">
        <v>0</v>
      </c>
    </row>
    <row r="3078" spans="1:11" x14ac:dyDescent="0.2">
      <c r="A3078" t="s">
        <v>16</v>
      </c>
      <c r="B3078" t="s">
        <v>214</v>
      </c>
      <c r="C3078">
        <v>450</v>
      </c>
      <c r="D3078" t="s">
        <v>7557</v>
      </c>
      <c r="E3078" t="s">
        <v>49</v>
      </c>
      <c r="F3078">
        <v>4</v>
      </c>
      <c r="G3078">
        <v>0.59245957563970097</v>
      </c>
      <c r="H3078" t="s">
        <v>99</v>
      </c>
      <c r="I3078">
        <v>0</v>
      </c>
      <c r="J3078">
        <v>0</v>
      </c>
      <c r="K3078">
        <v>0</v>
      </c>
    </row>
    <row r="3079" spans="1:11" x14ac:dyDescent="0.2">
      <c r="A3079" t="s">
        <v>16</v>
      </c>
      <c r="B3079" t="s">
        <v>214</v>
      </c>
      <c r="C3079">
        <v>450</v>
      </c>
      <c r="D3079" t="s">
        <v>7559</v>
      </c>
      <c r="E3079" t="s">
        <v>49</v>
      </c>
      <c r="F3079">
        <v>4</v>
      </c>
      <c r="G3079">
        <v>0.59245957563970097</v>
      </c>
      <c r="H3079" t="s">
        <v>96</v>
      </c>
      <c r="I3079">
        <v>0</v>
      </c>
      <c r="J3079">
        <v>0</v>
      </c>
      <c r="K3079">
        <v>0</v>
      </c>
    </row>
    <row r="3080" spans="1:11" x14ac:dyDescent="0.2">
      <c r="A3080" t="s">
        <v>16</v>
      </c>
      <c r="B3080" t="s">
        <v>4312</v>
      </c>
      <c r="C3080">
        <v>370</v>
      </c>
      <c r="D3080" t="s">
        <v>7561</v>
      </c>
      <c r="E3080" t="s">
        <v>49</v>
      </c>
      <c r="F3080">
        <v>18</v>
      </c>
      <c r="G3080">
        <v>0.28843802409725089</v>
      </c>
      <c r="H3080" t="s">
        <v>92</v>
      </c>
      <c r="I3080">
        <v>0</v>
      </c>
      <c r="J3080">
        <v>0</v>
      </c>
      <c r="K3080">
        <v>0</v>
      </c>
    </row>
    <row r="3081" spans="1:11" x14ac:dyDescent="0.2">
      <c r="A3081" t="s">
        <v>16</v>
      </c>
      <c r="B3081" t="s">
        <v>4312</v>
      </c>
      <c r="C3081">
        <v>185</v>
      </c>
      <c r="D3081" t="s">
        <v>7562</v>
      </c>
      <c r="E3081" t="s">
        <v>49</v>
      </c>
      <c r="F3081">
        <v>18</v>
      </c>
      <c r="G3081">
        <v>0.14421901204862544</v>
      </c>
      <c r="H3081" t="s">
        <v>84</v>
      </c>
      <c r="I3081">
        <v>0</v>
      </c>
      <c r="J3081">
        <v>0</v>
      </c>
      <c r="K3081">
        <v>0</v>
      </c>
    </row>
    <row r="3082" spans="1:11" x14ac:dyDescent="0.2">
      <c r="A3082" t="s">
        <v>16</v>
      </c>
      <c r="B3082" t="s">
        <v>4312</v>
      </c>
      <c r="C3082">
        <v>185</v>
      </c>
      <c r="D3082" t="s">
        <v>7560</v>
      </c>
      <c r="E3082" t="s">
        <v>49</v>
      </c>
      <c r="F3082">
        <v>18</v>
      </c>
      <c r="G3082">
        <v>0.14421901204862544</v>
      </c>
      <c r="H3082" t="s">
        <v>87</v>
      </c>
      <c r="I3082">
        <v>0</v>
      </c>
      <c r="J3082">
        <v>0</v>
      </c>
      <c r="K3082">
        <v>0</v>
      </c>
    </row>
    <row r="3083" spans="1:11" x14ac:dyDescent="0.2">
      <c r="A3083" t="s">
        <v>16</v>
      </c>
      <c r="B3083" t="s">
        <v>4318</v>
      </c>
      <c r="C3083">
        <v>130</v>
      </c>
      <c r="D3083" t="s">
        <v>7563</v>
      </c>
      <c r="E3083" t="s">
        <v>49</v>
      </c>
      <c r="F3083">
        <v>5</v>
      </c>
      <c r="G3083">
        <v>0.10313534416086619</v>
      </c>
      <c r="H3083" t="s">
        <v>84</v>
      </c>
      <c r="I3083">
        <v>0</v>
      </c>
      <c r="J3083">
        <v>0</v>
      </c>
      <c r="K3083">
        <v>0</v>
      </c>
    </row>
    <row r="3084" spans="1:11" x14ac:dyDescent="0.2">
      <c r="A3084" t="s">
        <v>16</v>
      </c>
      <c r="B3084" t="s">
        <v>4319</v>
      </c>
      <c r="C3084">
        <v>130</v>
      </c>
      <c r="D3084" t="s">
        <v>7564</v>
      </c>
      <c r="E3084" t="s">
        <v>49</v>
      </c>
      <c r="F3084">
        <v>5</v>
      </c>
      <c r="G3084">
        <v>0.10313534416086619</v>
      </c>
      <c r="H3084" t="s">
        <v>92</v>
      </c>
      <c r="I3084">
        <v>0</v>
      </c>
      <c r="J3084">
        <v>0</v>
      </c>
      <c r="K3084">
        <v>0</v>
      </c>
    </row>
    <row r="3085" spans="1:11" x14ac:dyDescent="0.2">
      <c r="A3085" t="s">
        <v>16</v>
      </c>
      <c r="B3085" t="s">
        <v>872</v>
      </c>
      <c r="C3085">
        <v>480</v>
      </c>
      <c r="D3085" t="s">
        <v>7568</v>
      </c>
      <c r="E3085" t="s">
        <v>49</v>
      </c>
      <c r="F3085">
        <v>3</v>
      </c>
      <c r="G3085">
        <v>0.38517386023159772</v>
      </c>
      <c r="H3085" t="s">
        <v>84</v>
      </c>
      <c r="I3085">
        <v>0</v>
      </c>
      <c r="J3085">
        <v>0</v>
      </c>
      <c r="K3085">
        <v>0</v>
      </c>
    </row>
    <row r="3086" spans="1:11" x14ac:dyDescent="0.2">
      <c r="A3086" t="s">
        <v>16</v>
      </c>
      <c r="B3086" t="s">
        <v>872</v>
      </c>
      <c r="C3086">
        <v>480</v>
      </c>
      <c r="D3086" t="s">
        <v>7570</v>
      </c>
      <c r="E3086" t="s">
        <v>49</v>
      </c>
      <c r="F3086">
        <v>3</v>
      </c>
      <c r="G3086">
        <v>0.38517386023159772</v>
      </c>
      <c r="H3086" t="s">
        <v>87</v>
      </c>
      <c r="I3086">
        <v>0</v>
      </c>
      <c r="J3086">
        <v>0</v>
      </c>
      <c r="K3086">
        <v>0</v>
      </c>
    </row>
    <row r="3087" spans="1:11" x14ac:dyDescent="0.2">
      <c r="A3087" t="s">
        <v>16</v>
      </c>
      <c r="B3087" t="s">
        <v>872</v>
      </c>
      <c r="C3087">
        <v>480</v>
      </c>
      <c r="D3087" t="s">
        <v>7583</v>
      </c>
      <c r="E3087" t="s">
        <v>49</v>
      </c>
      <c r="F3087">
        <v>3</v>
      </c>
      <c r="G3087">
        <v>0.38517386023159772</v>
      </c>
      <c r="H3087" t="s">
        <v>92</v>
      </c>
      <c r="I3087">
        <v>0</v>
      </c>
      <c r="J3087">
        <v>0</v>
      </c>
      <c r="K3087">
        <v>0</v>
      </c>
    </row>
    <row r="3088" spans="1:11" x14ac:dyDescent="0.2">
      <c r="A3088" t="s">
        <v>16</v>
      </c>
      <c r="B3088" t="s">
        <v>872</v>
      </c>
      <c r="C3088">
        <v>160</v>
      </c>
      <c r="D3088" t="s">
        <v>7582</v>
      </c>
      <c r="E3088" t="s">
        <v>49</v>
      </c>
      <c r="F3088">
        <v>3</v>
      </c>
      <c r="G3088">
        <v>0.12839128674386591</v>
      </c>
      <c r="H3088" t="s">
        <v>84</v>
      </c>
      <c r="I3088">
        <v>0</v>
      </c>
      <c r="J3088">
        <v>0</v>
      </c>
      <c r="K3088">
        <v>0</v>
      </c>
    </row>
    <row r="3089" spans="1:11" x14ac:dyDescent="0.2">
      <c r="A3089" t="s">
        <v>16</v>
      </c>
      <c r="B3089" t="s">
        <v>872</v>
      </c>
      <c r="C3089">
        <v>480</v>
      </c>
      <c r="D3089" t="s">
        <v>7566</v>
      </c>
      <c r="E3089" t="s">
        <v>49</v>
      </c>
      <c r="F3089">
        <v>3</v>
      </c>
      <c r="G3089">
        <v>0.38517386023159772</v>
      </c>
      <c r="H3089" t="s">
        <v>87</v>
      </c>
      <c r="I3089">
        <v>0</v>
      </c>
      <c r="J3089">
        <v>0</v>
      </c>
      <c r="K3089">
        <v>0</v>
      </c>
    </row>
    <row r="3090" spans="1:11" x14ac:dyDescent="0.2">
      <c r="A3090" t="s">
        <v>16</v>
      </c>
      <c r="B3090" t="s">
        <v>872</v>
      </c>
      <c r="C3090">
        <v>480</v>
      </c>
      <c r="D3090" t="s">
        <v>7573</v>
      </c>
      <c r="E3090" t="s">
        <v>49</v>
      </c>
      <c r="F3090">
        <v>3</v>
      </c>
      <c r="G3090">
        <v>0.38517386023159772</v>
      </c>
      <c r="H3090" t="s">
        <v>92</v>
      </c>
      <c r="I3090">
        <v>0</v>
      </c>
      <c r="J3090">
        <v>0</v>
      </c>
      <c r="K3090">
        <v>0</v>
      </c>
    </row>
    <row r="3091" spans="1:11" x14ac:dyDescent="0.2">
      <c r="A3091" t="s">
        <v>16</v>
      </c>
      <c r="B3091" t="s">
        <v>872</v>
      </c>
      <c r="C3091">
        <v>480</v>
      </c>
      <c r="D3091" t="s">
        <v>7576</v>
      </c>
      <c r="E3091" t="s">
        <v>49</v>
      </c>
      <c r="F3091">
        <v>3</v>
      </c>
      <c r="G3091">
        <v>0.38517386023159772</v>
      </c>
      <c r="H3091" t="s">
        <v>84</v>
      </c>
      <c r="I3091">
        <v>0</v>
      </c>
      <c r="J3091">
        <v>0</v>
      </c>
      <c r="K3091">
        <v>0</v>
      </c>
    </row>
    <row r="3092" spans="1:11" x14ac:dyDescent="0.2">
      <c r="A3092" t="s">
        <v>16</v>
      </c>
      <c r="B3092" t="s">
        <v>872</v>
      </c>
      <c r="C3092">
        <v>480</v>
      </c>
      <c r="D3092" t="s">
        <v>7571</v>
      </c>
      <c r="E3092" t="s">
        <v>49</v>
      </c>
      <c r="F3092">
        <v>3</v>
      </c>
      <c r="G3092">
        <v>0.38517386023159772</v>
      </c>
      <c r="H3092" t="s">
        <v>87</v>
      </c>
      <c r="I3092">
        <v>0</v>
      </c>
      <c r="J3092">
        <v>0</v>
      </c>
      <c r="K3092">
        <v>0</v>
      </c>
    </row>
    <row r="3093" spans="1:11" x14ac:dyDescent="0.2">
      <c r="A3093" t="s">
        <v>16</v>
      </c>
      <c r="B3093" t="s">
        <v>872</v>
      </c>
      <c r="C3093">
        <v>480</v>
      </c>
      <c r="D3093" t="s">
        <v>7569</v>
      </c>
      <c r="E3093" t="s">
        <v>49</v>
      </c>
      <c r="F3093">
        <v>3</v>
      </c>
      <c r="G3093">
        <v>0.38517386023159772</v>
      </c>
      <c r="H3093" t="s">
        <v>92</v>
      </c>
      <c r="I3093">
        <v>0</v>
      </c>
      <c r="J3093">
        <v>0</v>
      </c>
      <c r="K3093">
        <v>0</v>
      </c>
    </row>
    <row r="3094" spans="1:11" x14ac:dyDescent="0.2">
      <c r="A3094" t="s">
        <v>16</v>
      </c>
      <c r="B3094" t="s">
        <v>872</v>
      </c>
      <c r="C3094">
        <v>480</v>
      </c>
      <c r="D3094" t="s">
        <v>7578</v>
      </c>
      <c r="E3094" t="s">
        <v>49</v>
      </c>
      <c r="F3094">
        <v>3</v>
      </c>
      <c r="G3094">
        <v>0.38517386023159772</v>
      </c>
      <c r="H3094" t="s">
        <v>84</v>
      </c>
      <c r="I3094">
        <v>0</v>
      </c>
      <c r="J3094">
        <v>0</v>
      </c>
      <c r="K3094">
        <v>0</v>
      </c>
    </row>
    <row r="3095" spans="1:11" x14ac:dyDescent="0.2">
      <c r="A3095" t="s">
        <v>16</v>
      </c>
      <c r="B3095" t="s">
        <v>872</v>
      </c>
      <c r="C3095">
        <v>480</v>
      </c>
      <c r="D3095" t="s">
        <v>7574</v>
      </c>
      <c r="E3095" t="s">
        <v>49</v>
      </c>
      <c r="F3095">
        <v>3</v>
      </c>
      <c r="G3095">
        <v>0.38517386023159772</v>
      </c>
      <c r="H3095" t="s">
        <v>87</v>
      </c>
      <c r="I3095">
        <v>0</v>
      </c>
      <c r="J3095">
        <v>0</v>
      </c>
      <c r="K3095">
        <v>0</v>
      </c>
    </row>
    <row r="3096" spans="1:11" x14ac:dyDescent="0.2">
      <c r="A3096" t="s">
        <v>16</v>
      </c>
      <c r="B3096" t="s">
        <v>872</v>
      </c>
      <c r="C3096">
        <v>480</v>
      </c>
      <c r="D3096" t="s">
        <v>7572</v>
      </c>
      <c r="E3096" t="s">
        <v>49</v>
      </c>
      <c r="F3096">
        <v>3</v>
      </c>
      <c r="G3096">
        <v>0.38517386023159772</v>
      </c>
      <c r="H3096" t="s">
        <v>92</v>
      </c>
      <c r="I3096">
        <v>0</v>
      </c>
      <c r="J3096">
        <v>0</v>
      </c>
      <c r="K3096">
        <v>0</v>
      </c>
    </row>
    <row r="3097" spans="1:11" x14ac:dyDescent="0.2">
      <c r="A3097" t="s">
        <v>16</v>
      </c>
      <c r="B3097" t="s">
        <v>872</v>
      </c>
      <c r="C3097">
        <v>480</v>
      </c>
      <c r="D3097" t="s">
        <v>7567</v>
      </c>
      <c r="E3097" t="s">
        <v>49</v>
      </c>
      <c r="F3097">
        <v>3</v>
      </c>
      <c r="G3097">
        <v>0.38517386023159772</v>
      </c>
      <c r="H3097" t="s">
        <v>84</v>
      </c>
      <c r="I3097">
        <v>0</v>
      </c>
      <c r="J3097">
        <v>0</v>
      </c>
      <c r="K3097">
        <v>0</v>
      </c>
    </row>
    <row r="3098" spans="1:11" x14ac:dyDescent="0.2">
      <c r="A3098" t="s">
        <v>16</v>
      </c>
      <c r="B3098" t="s">
        <v>872</v>
      </c>
      <c r="C3098">
        <v>480</v>
      </c>
      <c r="D3098" t="s">
        <v>7579</v>
      </c>
      <c r="E3098" t="s">
        <v>49</v>
      </c>
      <c r="F3098">
        <v>3</v>
      </c>
      <c r="G3098">
        <v>0.38517386023159772</v>
      </c>
      <c r="H3098" t="s">
        <v>87</v>
      </c>
      <c r="I3098">
        <v>0</v>
      </c>
      <c r="J3098">
        <v>0</v>
      </c>
      <c r="K3098">
        <v>0</v>
      </c>
    </row>
    <row r="3099" spans="1:11" x14ac:dyDescent="0.2">
      <c r="A3099" t="s">
        <v>16</v>
      </c>
      <c r="B3099" t="s">
        <v>872</v>
      </c>
      <c r="C3099">
        <v>480</v>
      </c>
      <c r="D3099" t="s">
        <v>7565</v>
      </c>
      <c r="E3099" t="s">
        <v>49</v>
      </c>
      <c r="F3099">
        <v>3</v>
      </c>
      <c r="G3099">
        <v>0.38517386023159772</v>
      </c>
      <c r="H3099" t="s">
        <v>92</v>
      </c>
      <c r="I3099">
        <v>0</v>
      </c>
      <c r="J3099">
        <v>0</v>
      </c>
      <c r="K3099">
        <v>0</v>
      </c>
    </row>
    <row r="3100" spans="1:11" x14ac:dyDescent="0.2">
      <c r="A3100" t="s">
        <v>16</v>
      </c>
      <c r="B3100" t="s">
        <v>872</v>
      </c>
      <c r="C3100">
        <v>480</v>
      </c>
      <c r="D3100" t="s">
        <v>7580</v>
      </c>
      <c r="E3100" t="s">
        <v>49</v>
      </c>
      <c r="F3100">
        <v>3</v>
      </c>
      <c r="G3100">
        <v>0.38517386023159772</v>
      </c>
      <c r="H3100" t="s">
        <v>84</v>
      </c>
      <c r="I3100">
        <v>0</v>
      </c>
      <c r="J3100">
        <v>0</v>
      </c>
      <c r="K3100">
        <v>0</v>
      </c>
    </row>
    <row r="3101" spans="1:11" x14ac:dyDescent="0.2">
      <c r="A3101" t="s">
        <v>16</v>
      </c>
      <c r="B3101" t="s">
        <v>872</v>
      </c>
      <c r="C3101">
        <v>480</v>
      </c>
      <c r="D3101" t="s">
        <v>7581</v>
      </c>
      <c r="E3101" t="s">
        <v>49</v>
      </c>
      <c r="F3101">
        <v>3</v>
      </c>
      <c r="G3101">
        <v>0.38517386023159772</v>
      </c>
      <c r="H3101" t="s">
        <v>87</v>
      </c>
      <c r="I3101">
        <v>0</v>
      </c>
      <c r="J3101">
        <v>0</v>
      </c>
      <c r="K3101">
        <v>0</v>
      </c>
    </row>
    <row r="3102" spans="1:11" x14ac:dyDescent="0.2">
      <c r="A3102" t="s">
        <v>16</v>
      </c>
      <c r="B3102" t="s">
        <v>872</v>
      </c>
      <c r="C3102">
        <v>480</v>
      </c>
      <c r="D3102" t="s">
        <v>7585</v>
      </c>
      <c r="E3102" t="s">
        <v>49</v>
      </c>
      <c r="F3102">
        <v>3</v>
      </c>
      <c r="G3102">
        <v>0.38517386023159772</v>
      </c>
      <c r="H3102" t="s">
        <v>92</v>
      </c>
      <c r="I3102">
        <v>0</v>
      </c>
      <c r="J3102">
        <v>0</v>
      </c>
      <c r="K3102">
        <v>0</v>
      </c>
    </row>
    <row r="3103" spans="1:11" x14ac:dyDescent="0.2">
      <c r="A3103" t="s">
        <v>16</v>
      </c>
      <c r="B3103" t="s">
        <v>872</v>
      </c>
      <c r="C3103">
        <v>480</v>
      </c>
      <c r="D3103" t="s">
        <v>7575</v>
      </c>
      <c r="E3103" t="s">
        <v>49</v>
      </c>
      <c r="F3103">
        <v>3</v>
      </c>
      <c r="G3103">
        <v>0.38517386023159772</v>
      </c>
      <c r="H3103" t="s">
        <v>84</v>
      </c>
      <c r="I3103">
        <v>0</v>
      </c>
      <c r="J3103">
        <v>0</v>
      </c>
      <c r="K3103">
        <v>0</v>
      </c>
    </row>
    <row r="3104" spans="1:11" x14ac:dyDescent="0.2">
      <c r="A3104" t="s">
        <v>16</v>
      </c>
      <c r="B3104" t="s">
        <v>872</v>
      </c>
      <c r="C3104">
        <v>480</v>
      </c>
      <c r="D3104" t="s">
        <v>7584</v>
      </c>
      <c r="E3104" t="s">
        <v>49</v>
      </c>
      <c r="F3104">
        <v>3</v>
      </c>
      <c r="G3104">
        <v>0.38517386023159772</v>
      </c>
      <c r="H3104" t="s">
        <v>87</v>
      </c>
      <c r="I3104">
        <v>0</v>
      </c>
      <c r="J3104">
        <v>0</v>
      </c>
      <c r="K3104">
        <v>0</v>
      </c>
    </row>
    <row r="3105" spans="1:11" x14ac:dyDescent="0.2">
      <c r="A3105" t="s">
        <v>16</v>
      </c>
      <c r="B3105" t="s">
        <v>872</v>
      </c>
      <c r="C3105">
        <v>480</v>
      </c>
      <c r="D3105" t="s">
        <v>7577</v>
      </c>
      <c r="E3105" t="s">
        <v>49</v>
      </c>
      <c r="F3105">
        <v>3</v>
      </c>
      <c r="G3105">
        <v>0.38517386023159772</v>
      </c>
      <c r="H3105" t="s">
        <v>92</v>
      </c>
      <c r="I3105">
        <v>0</v>
      </c>
      <c r="J3105">
        <v>0</v>
      </c>
      <c r="K3105">
        <v>0</v>
      </c>
    </row>
    <row r="3106" spans="1:11" x14ac:dyDescent="0.2">
      <c r="A3106" t="s">
        <v>16</v>
      </c>
      <c r="B3106" t="s">
        <v>4335</v>
      </c>
      <c r="C3106">
        <v>180</v>
      </c>
      <c r="D3106" t="s">
        <v>7626</v>
      </c>
      <c r="E3106" t="s">
        <v>49</v>
      </c>
      <c r="F3106">
        <v>6</v>
      </c>
      <c r="G3106">
        <v>0.41663484486873509</v>
      </c>
      <c r="H3106" t="s">
        <v>98</v>
      </c>
      <c r="I3106">
        <v>0</v>
      </c>
      <c r="J3106">
        <v>0</v>
      </c>
      <c r="K3106">
        <v>0</v>
      </c>
    </row>
    <row r="3107" spans="1:11" x14ac:dyDescent="0.2">
      <c r="A3107" t="s">
        <v>16</v>
      </c>
      <c r="B3107" t="s">
        <v>4335</v>
      </c>
      <c r="C3107">
        <v>180</v>
      </c>
      <c r="D3107" t="s">
        <v>7592</v>
      </c>
      <c r="E3107" t="s">
        <v>49</v>
      </c>
      <c r="F3107">
        <v>6</v>
      </c>
      <c r="G3107">
        <v>0.41663484486873509</v>
      </c>
      <c r="H3107" t="s">
        <v>88</v>
      </c>
      <c r="I3107">
        <v>0</v>
      </c>
      <c r="J3107">
        <v>0</v>
      </c>
      <c r="K3107">
        <v>0</v>
      </c>
    </row>
    <row r="3108" spans="1:11" x14ac:dyDescent="0.2">
      <c r="A3108" t="s">
        <v>16</v>
      </c>
      <c r="B3108" t="s">
        <v>4335</v>
      </c>
      <c r="C3108">
        <v>180</v>
      </c>
      <c r="D3108" t="s">
        <v>7598</v>
      </c>
      <c r="E3108" t="s">
        <v>49</v>
      </c>
      <c r="F3108">
        <v>6</v>
      </c>
      <c r="G3108">
        <v>0.41663484486873509</v>
      </c>
      <c r="H3108" t="s">
        <v>99</v>
      </c>
      <c r="I3108">
        <v>0</v>
      </c>
      <c r="J3108">
        <v>0</v>
      </c>
      <c r="K3108">
        <v>0</v>
      </c>
    </row>
    <row r="3109" spans="1:11" x14ac:dyDescent="0.2">
      <c r="A3109" t="s">
        <v>16</v>
      </c>
      <c r="B3109" t="s">
        <v>4335</v>
      </c>
      <c r="C3109">
        <v>180</v>
      </c>
      <c r="D3109" t="s">
        <v>7613</v>
      </c>
      <c r="E3109" t="s">
        <v>49</v>
      </c>
      <c r="F3109">
        <v>6</v>
      </c>
      <c r="G3109">
        <v>0.41663484486873509</v>
      </c>
      <c r="H3109" t="s">
        <v>96</v>
      </c>
      <c r="I3109">
        <v>0</v>
      </c>
      <c r="J3109">
        <v>0</v>
      </c>
      <c r="K3109">
        <v>0</v>
      </c>
    </row>
    <row r="3110" spans="1:11" x14ac:dyDescent="0.2">
      <c r="A3110" t="s">
        <v>16</v>
      </c>
      <c r="B3110" t="s">
        <v>4335</v>
      </c>
      <c r="C3110">
        <v>180</v>
      </c>
      <c r="D3110" t="s">
        <v>7604</v>
      </c>
      <c r="E3110" t="s">
        <v>49</v>
      </c>
      <c r="F3110">
        <v>6</v>
      </c>
      <c r="G3110">
        <v>0.41663484486873509</v>
      </c>
      <c r="H3110" t="s">
        <v>93</v>
      </c>
      <c r="I3110">
        <v>0</v>
      </c>
      <c r="J3110">
        <v>0</v>
      </c>
      <c r="K3110">
        <v>0</v>
      </c>
    </row>
    <row r="3111" spans="1:11" x14ac:dyDescent="0.2">
      <c r="A3111" t="s">
        <v>16</v>
      </c>
      <c r="B3111" t="s">
        <v>4335</v>
      </c>
      <c r="C3111">
        <v>180</v>
      </c>
      <c r="D3111" t="s">
        <v>7612</v>
      </c>
      <c r="E3111" t="s">
        <v>49</v>
      </c>
      <c r="F3111">
        <v>6</v>
      </c>
      <c r="G3111">
        <v>0.41663484486873509</v>
      </c>
      <c r="H3111" t="s">
        <v>103</v>
      </c>
      <c r="I3111">
        <v>0</v>
      </c>
      <c r="J3111">
        <v>0</v>
      </c>
      <c r="K3111">
        <v>0</v>
      </c>
    </row>
    <row r="3112" spans="1:11" x14ac:dyDescent="0.2">
      <c r="A3112" t="s">
        <v>16</v>
      </c>
      <c r="B3112" t="s">
        <v>4335</v>
      </c>
      <c r="C3112">
        <v>180</v>
      </c>
      <c r="D3112" t="s">
        <v>7595</v>
      </c>
      <c r="E3112" t="s">
        <v>49</v>
      </c>
      <c r="F3112">
        <v>6</v>
      </c>
      <c r="G3112">
        <v>0.41663484486873509</v>
      </c>
      <c r="H3112" t="s">
        <v>98</v>
      </c>
      <c r="I3112">
        <v>0</v>
      </c>
      <c r="J3112">
        <v>0</v>
      </c>
      <c r="K3112">
        <v>0</v>
      </c>
    </row>
    <row r="3113" spans="1:11" x14ac:dyDescent="0.2">
      <c r="A3113" t="s">
        <v>16</v>
      </c>
      <c r="B3113" t="s">
        <v>4335</v>
      </c>
      <c r="C3113">
        <v>180</v>
      </c>
      <c r="D3113" t="s">
        <v>7627</v>
      </c>
      <c r="E3113" t="s">
        <v>49</v>
      </c>
      <c r="F3113">
        <v>6</v>
      </c>
      <c r="G3113">
        <v>0.41663484486873509</v>
      </c>
      <c r="H3113" t="s">
        <v>88</v>
      </c>
      <c r="I3113">
        <v>0</v>
      </c>
      <c r="J3113">
        <v>0</v>
      </c>
      <c r="K3113">
        <v>0</v>
      </c>
    </row>
    <row r="3114" spans="1:11" x14ac:dyDescent="0.2">
      <c r="A3114" t="s">
        <v>16</v>
      </c>
      <c r="B3114" t="s">
        <v>4335</v>
      </c>
      <c r="C3114">
        <v>180</v>
      </c>
      <c r="D3114" t="s">
        <v>7609</v>
      </c>
      <c r="E3114" t="s">
        <v>49</v>
      </c>
      <c r="F3114">
        <v>6</v>
      </c>
      <c r="G3114">
        <v>0.41663484486873509</v>
      </c>
      <c r="H3114" t="s">
        <v>99</v>
      </c>
      <c r="I3114">
        <v>0</v>
      </c>
      <c r="J3114">
        <v>0</v>
      </c>
      <c r="K3114">
        <v>0</v>
      </c>
    </row>
    <row r="3115" spans="1:11" x14ac:dyDescent="0.2">
      <c r="A3115" t="s">
        <v>16</v>
      </c>
      <c r="B3115" t="s">
        <v>4335</v>
      </c>
      <c r="C3115">
        <v>60</v>
      </c>
      <c r="D3115" t="s">
        <v>7630</v>
      </c>
      <c r="E3115" t="s">
        <v>49</v>
      </c>
      <c r="F3115">
        <v>6</v>
      </c>
      <c r="G3115">
        <v>0.13887828162291169</v>
      </c>
      <c r="H3115" t="s">
        <v>96</v>
      </c>
      <c r="I3115">
        <v>0</v>
      </c>
      <c r="J3115">
        <v>0</v>
      </c>
      <c r="K3115">
        <v>0</v>
      </c>
    </row>
    <row r="3116" spans="1:11" x14ac:dyDescent="0.2">
      <c r="A3116" t="s">
        <v>16</v>
      </c>
      <c r="B3116" t="s">
        <v>4335</v>
      </c>
      <c r="C3116">
        <v>180</v>
      </c>
      <c r="D3116" t="s">
        <v>7607</v>
      </c>
      <c r="E3116" t="s">
        <v>49</v>
      </c>
      <c r="F3116">
        <v>6</v>
      </c>
      <c r="G3116">
        <v>0.41663484486873509</v>
      </c>
      <c r="H3116" t="s">
        <v>93</v>
      </c>
      <c r="I3116">
        <v>0</v>
      </c>
      <c r="J3116">
        <v>0</v>
      </c>
      <c r="K3116">
        <v>0</v>
      </c>
    </row>
    <row r="3117" spans="1:11" x14ac:dyDescent="0.2">
      <c r="A3117" t="s">
        <v>16</v>
      </c>
      <c r="B3117" t="s">
        <v>4335</v>
      </c>
      <c r="C3117">
        <v>180</v>
      </c>
      <c r="D3117" t="s">
        <v>7601</v>
      </c>
      <c r="E3117" t="s">
        <v>49</v>
      </c>
      <c r="F3117">
        <v>6</v>
      </c>
      <c r="G3117">
        <v>0.41663484486873509</v>
      </c>
      <c r="H3117" t="s">
        <v>96</v>
      </c>
      <c r="I3117">
        <v>0</v>
      </c>
      <c r="J3117">
        <v>0</v>
      </c>
      <c r="K3117">
        <v>0</v>
      </c>
    </row>
    <row r="3118" spans="1:11" x14ac:dyDescent="0.2">
      <c r="A3118" t="s">
        <v>16</v>
      </c>
      <c r="B3118" t="s">
        <v>4335</v>
      </c>
      <c r="C3118">
        <v>180</v>
      </c>
      <c r="D3118" t="s">
        <v>7606</v>
      </c>
      <c r="E3118" t="s">
        <v>49</v>
      </c>
      <c r="F3118">
        <v>6</v>
      </c>
      <c r="G3118">
        <v>0.41663484486873509</v>
      </c>
      <c r="H3118" t="s">
        <v>103</v>
      </c>
      <c r="I3118">
        <v>0</v>
      </c>
      <c r="J3118">
        <v>0</v>
      </c>
      <c r="K3118">
        <v>0</v>
      </c>
    </row>
    <row r="3119" spans="1:11" x14ac:dyDescent="0.2">
      <c r="A3119" t="s">
        <v>16</v>
      </c>
      <c r="B3119" t="s">
        <v>4335</v>
      </c>
      <c r="C3119">
        <v>180</v>
      </c>
      <c r="D3119" t="s">
        <v>7633</v>
      </c>
      <c r="E3119" t="s">
        <v>49</v>
      </c>
      <c r="F3119">
        <v>6</v>
      </c>
      <c r="G3119">
        <v>0.41663484486873509</v>
      </c>
      <c r="H3119" t="s">
        <v>98</v>
      </c>
      <c r="I3119">
        <v>0</v>
      </c>
      <c r="J3119">
        <v>0</v>
      </c>
      <c r="K3119">
        <v>0</v>
      </c>
    </row>
    <row r="3120" spans="1:11" x14ac:dyDescent="0.2">
      <c r="A3120" t="s">
        <v>16</v>
      </c>
      <c r="B3120" t="s">
        <v>4335</v>
      </c>
      <c r="C3120">
        <v>180</v>
      </c>
      <c r="D3120" t="s">
        <v>7586</v>
      </c>
      <c r="E3120" t="s">
        <v>49</v>
      </c>
      <c r="F3120">
        <v>6</v>
      </c>
      <c r="G3120">
        <v>0.41663484486873509</v>
      </c>
      <c r="H3120" t="s">
        <v>88</v>
      </c>
      <c r="I3120">
        <v>0</v>
      </c>
      <c r="J3120">
        <v>0</v>
      </c>
      <c r="K3120">
        <v>0</v>
      </c>
    </row>
    <row r="3121" spans="1:11" x14ac:dyDescent="0.2">
      <c r="A3121" t="s">
        <v>16</v>
      </c>
      <c r="B3121" t="s">
        <v>4335</v>
      </c>
      <c r="C3121">
        <v>180</v>
      </c>
      <c r="D3121" t="s">
        <v>7632</v>
      </c>
      <c r="E3121" t="s">
        <v>49</v>
      </c>
      <c r="F3121">
        <v>6</v>
      </c>
      <c r="G3121">
        <v>0.41663484486873509</v>
      </c>
      <c r="H3121" t="s">
        <v>99</v>
      </c>
      <c r="I3121">
        <v>0</v>
      </c>
      <c r="J3121">
        <v>0</v>
      </c>
      <c r="K3121">
        <v>0</v>
      </c>
    </row>
    <row r="3122" spans="1:11" x14ac:dyDescent="0.2">
      <c r="A3122" t="s">
        <v>16</v>
      </c>
      <c r="B3122" t="s">
        <v>4335</v>
      </c>
      <c r="C3122">
        <v>180</v>
      </c>
      <c r="D3122" t="s">
        <v>7605</v>
      </c>
      <c r="E3122" t="s">
        <v>49</v>
      </c>
      <c r="F3122">
        <v>6</v>
      </c>
      <c r="G3122">
        <v>0.41663484486873509</v>
      </c>
      <c r="H3122" t="s">
        <v>93</v>
      </c>
      <c r="I3122">
        <v>0</v>
      </c>
      <c r="J3122">
        <v>0</v>
      </c>
      <c r="K3122">
        <v>0</v>
      </c>
    </row>
    <row r="3123" spans="1:11" x14ac:dyDescent="0.2">
      <c r="A3123" t="s">
        <v>16</v>
      </c>
      <c r="B3123" t="s">
        <v>4335</v>
      </c>
      <c r="C3123">
        <v>180</v>
      </c>
      <c r="D3123" t="s">
        <v>7622</v>
      </c>
      <c r="E3123" t="s">
        <v>49</v>
      </c>
      <c r="F3123">
        <v>6</v>
      </c>
      <c r="G3123">
        <v>0.41663484486873509</v>
      </c>
      <c r="H3123" t="s">
        <v>96</v>
      </c>
      <c r="I3123">
        <v>0</v>
      </c>
      <c r="J3123">
        <v>0</v>
      </c>
      <c r="K3123">
        <v>0</v>
      </c>
    </row>
    <row r="3124" spans="1:11" x14ac:dyDescent="0.2">
      <c r="A3124" t="s">
        <v>16</v>
      </c>
      <c r="B3124" t="s">
        <v>4335</v>
      </c>
      <c r="C3124">
        <v>180</v>
      </c>
      <c r="D3124" t="s">
        <v>7620</v>
      </c>
      <c r="E3124" t="s">
        <v>49</v>
      </c>
      <c r="F3124">
        <v>6</v>
      </c>
      <c r="G3124">
        <v>0.41663484486873509</v>
      </c>
      <c r="H3124" t="s">
        <v>103</v>
      </c>
      <c r="I3124">
        <v>0</v>
      </c>
      <c r="J3124">
        <v>0</v>
      </c>
      <c r="K3124">
        <v>0</v>
      </c>
    </row>
    <row r="3125" spans="1:11" x14ac:dyDescent="0.2">
      <c r="A3125" t="s">
        <v>16</v>
      </c>
      <c r="B3125" t="s">
        <v>4335</v>
      </c>
      <c r="C3125">
        <v>180</v>
      </c>
      <c r="D3125" t="s">
        <v>7599</v>
      </c>
      <c r="E3125" t="s">
        <v>49</v>
      </c>
      <c r="F3125">
        <v>6</v>
      </c>
      <c r="G3125">
        <v>0.41663484486873509</v>
      </c>
      <c r="H3125" t="s">
        <v>98</v>
      </c>
      <c r="I3125">
        <v>0</v>
      </c>
      <c r="J3125">
        <v>0</v>
      </c>
      <c r="K3125">
        <v>0</v>
      </c>
    </row>
    <row r="3126" spans="1:11" x14ac:dyDescent="0.2">
      <c r="A3126" t="s">
        <v>16</v>
      </c>
      <c r="B3126" t="s">
        <v>4335</v>
      </c>
      <c r="C3126">
        <v>180</v>
      </c>
      <c r="D3126" t="s">
        <v>7596</v>
      </c>
      <c r="E3126" t="s">
        <v>49</v>
      </c>
      <c r="F3126">
        <v>6</v>
      </c>
      <c r="G3126">
        <v>0.41663484486873509</v>
      </c>
      <c r="H3126" t="s">
        <v>88</v>
      </c>
      <c r="I3126">
        <v>0</v>
      </c>
      <c r="J3126">
        <v>0</v>
      </c>
      <c r="K3126">
        <v>0</v>
      </c>
    </row>
    <row r="3127" spans="1:11" x14ac:dyDescent="0.2">
      <c r="A3127" t="s">
        <v>16</v>
      </c>
      <c r="B3127" t="s">
        <v>4335</v>
      </c>
      <c r="C3127">
        <v>180</v>
      </c>
      <c r="D3127" t="s">
        <v>7618</v>
      </c>
      <c r="E3127" t="s">
        <v>49</v>
      </c>
      <c r="F3127">
        <v>6</v>
      </c>
      <c r="G3127">
        <v>0.41663484486873509</v>
      </c>
      <c r="H3127" t="s">
        <v>99</v>
      </c>
      <c r="I3127">
        <v>0</v>
      </c>
      <c r="J3127">
        <v>0</v>
      </c>
      <c r="K3127">
        <v>0</v>
      </c>
    </row>
    <row r="3128" spans="1:11" x14ac:dyDescent="0.2">
      <c r="A3128" t="s">
        <v>16</v>
      </c>
      <c r="B3128" t="s">
        <v>4335</v>
      </c>
      <c r="C3128">
        <v>180</v>
      </c>
      <c r="D3128" t="s">
        <v>7589</v>
      </c>
      <c r="E3128" t="s">
        <v>49</v>
      </c>
      <c r="F3128">
        <v>6</v>
      </c>
      <c r="G3128">
        <v>0.41663484486873509</v>
      </c>
      <c r="H3128" t="s">
        <v>93</v>
      </c>
      <c r="I3128">
        <v>0</v>
      </c>
      <c r="J3128">
        <v>0</v>
      </c>
      <c r="K3128">
        <v>0</v>
      </c>
    </row>
    <row r="3129" spans="1:11" x14ac:dyDescent="0.2">
      <c r="A3129" t="s">
        <v>16</v>
      </c>
      <c r="B3129" t="s">
        <v>4335</v>
      </c>
      <c r="C3129">
        <v>180</v>
      </c>
      <c r="D3129" t="s">
        <v>7588</v>
      </c>
      <c r="E3129" t="s">
        <v>49</v>
      </c>
      <c r="F3129">
        <v>6</v>
      </c>
      <c r="G3129">
        <v>0.41663484486873509</v>
      </c>
      <c r="H3129" t="s">
        <v>96</v>
      </c>
      <c r="I3129">
        <v>0</v>
      </c>
      <c r="J3129">
        <v>0</v>
      </c>
      <c r="K3129">
        <v>0</v>
      </c>
    </row>
    <row r="3130" spans="1:11" x14ac:dyDescent="0.2">
      <c r="A3130" t="s">
        <v>16</v>
      </c>
      <c r="B3130" t="s">
        <v>4335</v>
      </c>
      <c r="C3130">
        <v>180</v>
      </c>
      <c r="D3130" t="s">
        <v>7593</v>
      </c>
      <c r="E3130" t="s">
        <v>49</v>
      </c>
      <c r="F3130">
        <v>6</v>
      </c>
      <c r="G3130">
        <v>0.41663484486873509</v>
      </c>
      <c r="H3130" t="s">
        <v>103</v>
      </c>
      <c r="I3130">
        <v>0</v>
      </c>
      <c r="J3130">
        <v>0</v>
      </c>
      <c r="K3130">
        <v>0</v>
      </c>
    </row>
    <row r="3131" spans="1:11" x14ac:dyDescent="0.2">
      <c r="A3131" t="s">
        <v>16</v>
      </c>
      <c r="B3131" t="s">
        <v>4335</v>
      </c>
      <c r="C3131">
        <v>180</v>
      </c>
      <c r="D3131" t="s">
        <v>7594</v>
      </c>
      <c r="E3131" t="s">
        <v>49</v>
      </c>
      <c r="F3131">
        <v>6</v>
      </c>
      <c r="G3131">
        <v>0.41663484486873509</v>
      </c>
      <c r="H3131" t="s">
        <v>98</v>
      </c>
      <c r="I3131">
        <v>0</v>
      </c>
      <c r="J3131">
        <v>0</v>
      </c>
      <c r="K3131">
        <v>0</v>
      </c>
    </row>
    <row r="3132" spans="1:11" x14ac:dyDescent="0.2">
      <c r="A3132" t="s">
        <v>16</v>
      </c>
      <c r="B3132" t="s">
        <v>4335</v>
      </c>
      <c r="C3132">
        <v>180</v>
      </c>
      <c r="D3132" t="s">
        <v>7591</v>
      </c>
      <c r="E3132" t="s">
        <v>49</v>
      </c>
      <c r="F3132">
        <v>6</v>
      </c>
      <c r="G3132">
        <v>0.41663484486873509</v>
      </c>
      <c r="H3132" t="s">
        <v>88</v>
      </c>
      <c r="I3132">
        <v>0</v>
      </c>
      <c r="J3132">
        <v>0</v>
      </c>
      <c r="K3132">
        <v>0</v>
      </c>
    </row>
    <row r="3133" spans="1:11" x14ac:dyDescent="0.2">
      <c r="A3133" t="s">
        <v>16</v>
      </c>
      <c r="B3133" t="s">
        <v>4335</v>
      </c>
      <c r="C3133">
        <v>180</v>
      </c>
      <c r="D3133" t="s">
        <v>7587</v>
      </c>
      <c r="E3133" t="s">
        <v>49</v>
      </c>
      <c r="F3133">
        <v>6</v>
      </c>
      <c r="G3133">
        <v>0.41663484486873509</v>
      </c>
      <c r="H3133" t="s">
        <v>99</v>
      </c>
      <c r="I3133">
        <v>0</v>
      </c>
      <c r="J3133">
        <v>0</v>
      </c>
      <c r="K3133">
        <v>0</v>
      </c>
    </row>
    <row r="3134" spans="1:11" x14ac:dyDescent="0.2">
      <c r="A3134" t="s">
        <v>16</v>
      </c>
      <c r="B3134" t="s">
        <v>4335</v>
      </c>
      <c r="C3134">
        <v>180</v>
      </c>
      <c r="D3134" t="s">
        <v>7625</v>
      </c>
      <c r="E3134" t="s">
        <v>49</v>
      </c>
      <c r="F3134">
        <v>6</v>
      </c>
      <c r="G3134">
        <v>0.41663484486873509</v>
      </c>
      <c r="H3134" t="s">
        <v>93</v>
      </c>
      <c r="I3134">
        <v>0</v>
      </c>
      <c r="J3134">
        <v>0</v>
      </c>
      <c r="K3134">
        <v>0</v>
      </c>
    </row>
    <row r="3135" spans="1:11" x14ac:dyDescent="0.2">
      <c r="A3135" t="s">
        <v>16</v>
      </c>
      <c r="B3135" t="s">
        <v>4335</v>
      </c>
      <c r="C3135">
        <v>180</v>
      </c>
      <c r="D3135" t="s">
        <v>7616</v>
      </c>
      <c r="E3135" t="s">
        <v>49</v>
      </c>
      <c r="F3135">
        <v>6</v>
      </c>
      <c r="G3135">
        <v>0.41663484486873509</v>
      </c>
      <c r="H3135" t="s">
        <v>96</v>
      </c>
      <c r="I3135">
        <v>0</v>
      </c>
      <c r="J3135">
        <v>0</v>
      </c>
      <c r="K3135">
        <v>0</v>
      </c>
    </row>
    <row r="3136" spans="1:11" x14ac:dyDescent="0.2">
      <c r="A3136" t="s">
        <v>16</v>
      </c>
      <c r="B3136" t="s">
        <v>4335</v>
      </c>
      <c r="C3136">
        <v>180</v>
      </c>
      <c r="D3136" t="s">
        <v>7623</v>
      </c>
      <c r="E3136" t="s">
        <v>49</v>
      </c>
      <c r="F3136">
        <v>6</v>
      </c>
      <c r="G3136">
        <v>0.41663484486873509</v>
      </c>
      <c r="H3136" t="s">
        <v>103</v>
      </c>
      <c r="I3136">
        <v>0</v>
      </c>
      <c r="J3136">
        <v>0</v>
      </c>
      <c r="K3136">
        <v>0</v>
      </c>
    </row>
    <row r="3137" spans="1:11" x14ac:dyDescent="0.2">
      <c r="A3137" t="s">
        <v>16</v>
      </c>
      <c r="B3137" t="s">
        <v>4335</v>
      </c>
      <c r="C3137">
        <v>180</v>
      </c>
      <c r="D3137" t="s">
        <v>7624</v>
      </c>
      <c r="E3137" t="s">
        <v>49</v>
      </c>
      <c r="F3137">
        <v>6</v>
      </c>
      <c r="G3137">
        <v>0.41663484486873509</v>
      </c>
      <c r="H3137" t="s">
        <v>98</v>
      </c>
      <c r="I3137">
        <v>0</v>
      </c>
      <c r="J3137">
        <v>0</v>
      </c>
      <c r="K3137">
        <v>0</v>
      </c>
    </row>
    <row r="3138" spans="1:11" x14ac:dyDescent="0.2">
      <c r="A3138" t="s">
        <v>16</v>
      </c>
      <c r="B3138" t="s">
        <v>4335</v>
      </c>
      <c r="C3138">
        <v>180</v>
      </c>
      <c r="D3138" t="s">
        <v>7600</v>
      </c>
      <c r="E3138" t="s">
        <v>49</v>
      </c>
      <c r="F3138">
        <v>6</v>
      </c>
      <c r="G3138">
        <v>0.41663484486873509</v>
      </c>
      <c r="H3138" t="s">
        <v>88</v>
      </c>
      <c r="I3138">
        <v>0</v>
      </c>
      <c r="J3138">
        <v>0</v>
      </c>
      <c r="K3138">
        <v>0</v>
      </c>
    </row>
    <row r="3139" spans="1:11" x14ac:dyDescent="0.2">
      <c r="A3139" t="s">
        <v>16</v>
      </c>
      <c r="B3139" t="s">
        <v>4335</v>
      </c>
      <c r="C3139">
        <v>180</v>
      </c>
      <c r="D3139" t="s">
        <v>7603</v>
      </c>
      <c r="E3139" t="s">
        <v>49</v>
      </c>
      <c r="F3139">
        <v>6</v>
      </c>
      <c r="G3139">
        <v>0.41663484486873509</v>
      </c>
      <c r="H3139" t="s">
        <v>99</v>
      </c>
      <c r="I3139">
        <v>0</v>
      </c>
      <c r="J3139">
        <v>0</v>
      </c>
      <c r="K3139">
        <v>0</v>
      </c>
    </row>
    <row r="3140" spans="1:11" x14ac:dyDescent="0.2">
      <c r="A3140" t="s">
        <v>16</v>
      </c>
      <c r="B3140" t="s">
        <v>4335</v>
      </c>
      <c r="C3140">
        <v>180</v>
      </c>
      <c r="D3140" t="s">
        <v>7628</v>
      </c>
      <c r="E3140" t="s">
        <v>49</v>
      </c>
      <c r="F3140">
        <v>6</v>
      </c>
      <c r="G3140">
        <v>0.41663484486873509</v>
      </c>
      <c r="H3140" t="s">
        <v>93</v>
      </c>
      <c r="I3140">
        <v>0</v>
      </c>
      <c r="J3140">
        <v>0</v>
      </c>
      <c r="K3140">
        <v>0</v>
      </c>
    </row>
    <row r="3141" spans="1:11" x14ac:dyDescent="0.2">
      <c r="A3141" t="s">
        <v>16</v>
      </c>
      <c r="B3141" t="s">
        <v>4335</v>
      </c>
      <c r="C3141">
        <v>180</v>
      </c>
      <c r="D3141" t="s">
        <v>7602</v>
      </c>
      <c r="E3141" t="s">
        <v>49</v>
      </c>
      <c r="F3141">
        <v>6</v>
      </c>
      <c r="G3141">
        <v>0.41663484486873509</v>
      </c>
      <c r="H3141" t="s">
        <v>96</v>
      </c>
      <c r="I3141">
        <v>0</v>
      </c>
      <c r="J3141">
        <v>0</v>
      </c>
      <c r="K3141">
        <v>0</v>
      </c>
    </row>
    <row r="3142" spans="1:11" x14ac:dyDescent="0.2">
      <c r="A3142" t="s">
        <v>16</v>
      </c>
      <c r="B3142" t="s">
        <v>4335</v>
      </c>
      <c r="C3142">
        <v>180</v>
      </c>
      <c r="D3142" t="s">
        <v>7619</v>
      </c>
      <c r="E3142" t="s">
        <v>49</v>
      </c>
      <c r="F3142">
        <v>6</v>
      </c>
      <c r="G3142">
        <v>0.41663484486873509</v>
      </c>
      <c r="H3142" t="s">
        <v>103</v>
      </c>
      <c r="I3142">
        <v>0</v>
      </c>
      <c r="J3142">
        <v>0</v>
      </c>
      <c r="K3142">
        <v>0</v>
      </c>
    </row>
    <row r="3143" spans="1:11" x14ac:dyDescent="0.2">
      <c r="A3143" t="s">
        <v>16</v>
      </c>
      <c r="B3143" t="s">
        <v>4335</v>
      </c>
      <c r="C3143">
        <v>180</v>
      </c>
      <c r="D3143" t="s">
        <v>7621</v>
      </c>
      <c r="E3143" t="s">
        <v>49</v>
      </c>
      <c r="F3143">
        <v>6</v>
      </c>
      <c r="G3143">
        <v>0.41663484486873509</v>
      </c>
      <c r="H3143" t="s">
        <v>98</v>
      </c>
      <c r="I3143">
        <v>0</v>
      </c>
      <c r="J3143">
        <v>0</v>
      </c>
      <c r="K3143">
        <v>0</v>
      </c>
    </row>
    <row r="3144" spans="1:11" x14ac:dyDescent="0.2">
      <c r="A3144" t="s">
        <v>16</v>
      </c>
      <c r="B3144" t="s">
        <v>4335</v>
      </c>
      <c r="C3144">
        <v>180</v>
      </c>
      <c r="D3144" t="s">
        <v>7597</v>
      </c>
      <c r="E3144" t="s">
        <v>49</v>
      </c>
      <c r="F3144">
        <v>6</v>
      </c>
      <c r="G3144">
        <v>0.41663484486873509</v>
      </c>
      <c r="H3144" t="s">
        <v>88</v>
      </c>
      <c r="I3144">
        <v>0</v>
      </c>
      <c r="J3144">
        <v>0</v>
      </c>
      <c r="K3144">
        <v>0</v>
      </c>
    </row>
    <row r="3145" spans="1:11" x14ac:dyDescent="0.2">
      <c r="A3145" t="s">
        <v>16</v>
      </c>
      <c r="B3145" t="s">
        <v>4335</v>
      </c>
      <c r="C3145">
        <v>180</v>
      </c>
      <c r="D3145" t="s">
        <v>7610</v>
      </c>
      <c r="E3145" t="s">
        <v>49</v>
      </c>
      <c r="F3145">
        <v>6</v>
      </c>
      <c r="G3145">
        <v>0.41663484486873509</v>
      </c>
      <c r="H3145" t="s">
        <v>99</v>
      </c>
      <c r="I3145">
        <v>0</v>
      </c>
      <c r="J3145">
        <v>0</v>
      </c>
      <c r="K3145">
        <v>0</v>
      </c>
    </row>
    <row r="3146" spans="1:11" x14ac:dyDescent="0.2">
      <c r="A3146" t="s">
        <v>16</v>
      </c>
      <c r="B3146" t="s">
        <v>4335</v>
      </c>
      <c r="C3146">
        <v>180</v>
      </c>
      <c r="D3146" t="s">
        <v>7614</v>
      </c>
      <c r="E3146" t="s">
        <v>49</v>
      </c>
      <c r="F3146">
        <v>6</v>
      </c>
      <c r="G3146">
        <v>0.41663484486873509</v>
      </c>
      <c r="H3146" t="s">
        <v>93</v>
      </c>
      <c r="I3146">
        <v>0</v>
      </c>
      <c r="J3146">
        <v>0</v>
      </c>
      <c r="K3146">
        <v>0</v>
      </c>
    </row>
    <row r="3147" spans="1:11" x14ac:dyDescent="0.2">
      <c r="A3147" t="s">
        <v>16</v>
      </c>
      <c r="B3147" t="s">
        <v>4335</v>
      </c>
      <c r="C3147">
        <v>180</v>
      </c>
      <c r="D3147" t="s">
        <v>7617</v>
      </c>
      <c r="E3147" t="s">
        <v>49</v>
      </c>
      <c r="F3147">
        <v>6</v>
      </c>
      <c r="G3147">
        <v>0.41663484486873509</v>
      </c>
      <c r="H3147" t="s">
        <v>96</v>
      </c>
      <c r="I3147">
        <v>0</v>
      </c>
      <c r="J3147">
        <v>0</v>
      </c>
      <c r="K3147">
        <v>0</v>
      </c>
    </row>
    <row r="3148" spans="1:11" x14ac:dyDescent="0.2">
      <c r="A3148" t="s">
        <v>16</v>
      </c>
      <c r="B3148" t="s">
        <v>4335</v>
      </c>
      <c r="C3148">
        <v>180</v>
      </c>
      <c r="D3148" t="s">
        <v>7615</v>
      </c>
      <c r="E3148" t="s">
        <v>49</v>
      </c>
      <c r="F3148">
        <v>6</v>
      </c>
      <c r="G3148">
        <v>0.41663484486873509</v>
      </c>
      <c r="H3148" t="s">
        <v>103</v>
      </c>
      <c r="I3148">
        <v>0</v>
      </c>
      <c r="J3148">
        <v>0</v>
      </c>
      <c r="K3148">
        <v>0</v>
      </c>
    </row>
    <row r="3149" spans="1:11" x14ac:dyDescent="0.2">
      <c r="A3149" t="s">
        <v>16</v>
      </c>
      <c r="B3149" t="s">
        <v>4335</v>
      </c>
      <c r="C3149">
        <v>180</v>
      </c>
      <c r="D3149" t="s">
        <v>7631</v>
      </c>
      <c r="E3149" t="s">
        <v>49</v>
      </c>
      <c r="F3149">
        <v>6</v>
      </c>
      <c r="G3149">
        <v>0.41663484486873509</v>
      </c>
      <c r="H3149" t="s">
        <v>98</v>
      </c>
      <c r="I3149">
        <v>0</v>
      </c>
      <c r="J3149">
        <v>0</v>
      </c>
      <c r="K3149">
        <v>0</v>
      </c>
    </row>
    <row r="3150" spans="1:11" x14ac:dyDescent="0.2">
      <c r="A3150" t="s">
        <v>16</v>
      </c>
      <c r="B3150" t="s">
        <v>4335</v>
      </c>
      <c r="C3150">
        <v>180</v>
      </c>
      <c r="D3150" t="s">
        <v>7608</v>
      </c>
      <c r="E3150" t="s">
        <v>49</v>
      </c>
      <c r="F3150">
        <v>6</v>
      </c>
      <c r="G3150">
        <v>0.41663484486873509</v>
      </c>
      <c r="H3150" t="s">
        <v>88</v>
      </c>
      <c r="I3150">
        <v>0</v>
      </c>
      <c r="J3150">
        <v>0</v>
      </c>
      <c r="K3150">
        <v>0</v>
      </c>
    </row>
    <row r="3151" spans="1:11" x14ac:dyDescent="0.2">
      <c r="A3151" t="s">
        <v>16</v>
      </c>
      <c r="B3151" t="s">
        <v>4335</v>
      </c>
      <c r="C3151">
        <v>180</v>
      </c>
      <c r="D3151" t="s">
        <v>7611</v>
      </c>
      <c r="E3151" t="s">
        <v>49</v>
      </c>
      <c r="F3151">
        <v>6</v>
      </c>
      <c r="G3151">
        <v>0.41663484486873509</v>
      </c>
      <c r="H3151" t="s">
        <v>99</v>
      </c>
      <c r="I3151">
        <v>0</v>
      </c>
      <c r="J3151">
        <v>0</v>
      </c>
      <c r="K3151">
        <v>0</v>
      </c>
    </row>
    <row r="3152" spans="1:11" x14ac:dyDescent="0.2">
      <c r="A3152" t="s">
        <v>16</v>
      </c>
      <c r="B3152" t="s">
        <v>4335</v>
      </c>
      <c r="C3152">
        <v>180</v>
      </c>
      <c r="D3152" t="s">
        <v>7629</v>
      </c>
      <c r="E3152" t="s">
        <v>49</v>
      </c>
      <c r="F3152">
        <v>6</v>
      </c>
      <c r="G3152">
        <v>0.41663484486873509</v>
      </c>
      <c r="H3152" t="s">
        <v>93</v>
      </c>
      <c r="I3152">
        <v>0</v>
      </c>
      <c r="J3152">
        <v>0</v>
      </c>
      <c r="K3152">
        <v>0</v>
      </c>
    </row>
    <row r="3153" spans="1:11" x14ac:dyDescent="0.2">
      <c r="A3153" t="s">
        <v>16</v>
      </c>
      <c r="B3153" t="s">
        <v>4335</v>
      </c>
      <c r="C3153">
        <v>180</v>
      </c>
      <c r="D3153" t="s">
        <v>7590</v>
      </c>
      <c r="E3153" t="s">
        <v>49</v>
      </c>
      <c r="F3153">
        <v>6</v>
      </c>
      <c r="G3153">
        <v>0.41663484486873509</v>
      </c>
      <c r="H3153" t="s">
        <v>96</v>
      </c>
      <c r="I3153">
        <v>0</v>
      </c>
      <c r="J3153">
        <v>0</v>
      </c>
      <c r="K3153">
        <v>0</v>
      </c>
    </row>
    <row r="3154" spans="1:11" x14ac:dyDescent="0.2">
      <c r="A3154" t="s">
        <v>16</v>
      </c>
      <c r="B3154" t="s">
        <v>360</v>
      </c>
      <c r="C3154">
        <v>300</v>
      </c>
      <c r="D3154" t="s">
        <v>7639</v>
      </c>
      <c r="E3154" t="s">
        <v>49</v>
      </c>
      <c r="F3154">
        <v>2</v>
      </c>
      <c r="G3154">
        <v>0.35542986425339373</v>
      </c>
      <c r="H3154" t="s">
        <v>89</v>
      </c>
      <c r="I3154">
        <v>0</v>
      </c>
      <c r="J3154">
        <v>0</v>
      </c>
      <c r="K3154">
        <v>0</v>
      </c>
    </row>
    <row r="3155" spans="1:11" x14ac:dyDescent="0.2">
      <c r="A3155" t="s">
        <v>16</v>
      </c>
      <c r="B3155" t="s">
        <v>360</v>
      </c>
      <c r="C3155">
        <v>100</v>
      </c>
      <c r="D3155" t="s">
        <v>7637</v>
      </c>
      <c r="E3155" t="s">
        <v>49</v>
      </c>
      <c r="F3155">
        <v>2</v>
      </c>
      <c r="G3155">
        <v>0.1184766214177979</v>
      </c>
      <c r="H3155" t="s">
        <v>105</v>
      </c>
      <c r="I3155">
        <v>0</v>
      </c>
      <c r="J3155">
        <v>0</v>
      </c>
      <c r="K3155">
        <v>0</v>
      </c>
    </row>
    <row r="3156" spans="1:11" x14ac:dyDescent="0.2">
      <c r="A3156" t="s">
        <v>16</v>
      </c>
      <c r="B3156" t="s">
        <v>360</v>
      </c>
      <c r="C3156">
        <v>300</v>
      </c>
      <c r="D3156" t="s">
        <v>7649</v>
      </c>
      <c r="E3156" t="s">
        <v>49</v>
      </c>
      <c r="F3156">
        <v>2</v>
      </c>
      <c r="G3156">
        <v>0.35542986425339373</v>
      </c>
      <c r="H3156" t="s">
        <v>105</v>
      </c>
      <c r="I3156">
        <v>0</v>
      </c>
      <c r="J3156">
        <v>0</v>
      </c>
      <c r="K3156">
        <v>0</v>
      </c>
    </row>
    <row r="3157" spans="1:11" x14ac:dyDescent="0.2">
      <c r="A3157" t="s">
        <v>16</v>
      </c>
      <c r="B3157" t="s">
        <v>360</v>
      </c>
      <c r="C3157">
        <v>300</v>
      </c>
      <c r="D3157" t="s">
        <v>7645</v>
      </c>
      <c r="E3157" t="s">
        <v>49</v>
      </c>
      <c r="F3157">
        <v>2</v>
      </c>
      <c r="G3157">
        <v>0.35542986425339373</v>
      </c>
      <c r="H3157" t="s">
        <v>89</v>
      </c>
      <c r="I3157">
        <v>0</v>
      </c>
      <c r="J3157">
        <v>0</v>
      </c>
      <c r="K3157">
        <v>0</v>
      </c>
    </row>
    <row r="3158" spans="1:11" x14ac:dyDescent="0.2">
      <c r="A3158" t="s">
        <v>16</v>
      </c>
      <c r="B3158" t="s">
        <v>360</v>
      </c>
      <c r="C3158">
        <v>300</v>
      </c>
      <c r="D3158" t="s">
        <v>7647</v>
      </c>
      <c r="E3158" t="s">
        <v>49</v>
      </c>
      <c r="F3158">
        <v>2</v>
      </c>
      <c r="G3158">
        <v>0.35542986425339373</v>
      </c>
      <c r="H3158" t="s">
        <v>105</v>
      </c>
      <c r="I3158">
        <v>0</v>
      </c>
      <c r="J3158">
        <v>0</v>
      </c>
      <c r="K3158">
        <v>0</v>
      </c>
    </row>
    <row r="3159" spans="1:11" x14ac:dyDescent="0.2">
      <c r="A3159" t="s">
        <v>16</v>
      </c>
      <c r="B3159" t="s">
        <v>360</v>
      </c>
      <c r="C3159">
        <v>300</v>
      </c>
      <c r="D3159" t="s">
        <v>7634</v>
      </c>
      <c r="E3159" t="s">
        <v>49</v>
      </c>
      <c r="F3159">
        <v>2</v>
      </c>
      <c r="G3159">
        <v>0.35542986425339373</v>
      </c>
      <c r="H3159" t="s">
        <v>89</v>
      </c>
      <c r="I3159">
        <v>0</v>
      </c>
      <c r="J3159">
        <v>0</v>
      </c>
      <c r="K3159">
        <v>0</v>
      </c>
    </row>
    <row r="3160" spans="1:11" x14ac:dyDescent="0.2">
      <c r="A3160" t="s">
        <v>16</v>
      </c>
      <c r="B3160" t="s">
        <v>360</v>
      </c>
      <c r="C3160">
        <v>300</v>
      </c>
      <c r="D3160" t="s">
        <v>7640</v>
      </c>
      <c r="E3160" t="s">
        <v>49</v>
      </c>
      <c r="F3160">
        <v>2</v>
      </c>
      <c r="G3160">
        <v>0.35542986425339373</v>
      </c>
      <c r="H3160" t="s">
        <v>105</v>
      </c>
      <c r="I3160">
        <v>0</v>
      </c>
      <c r="J3160">
        <v>0</v>
      </c>
      <c r="K3160">
        <v>0</v>
      </c>
    </row>
    <row r="3161" spans="1:11" x14ac:dyDescent="0.2">
      <c r="A3161" t="s">
        <v>16</v>
      </c>
      <c r="B3161" t="s">
        <v>360</v>
      </c>
      <c r="C3161">
        <v>300</v>
      </c>
      <c r="D3161" t="s">
        <v>7636</v>
      </c>
      <c r="E3161" t="s">
        <v>49</v>
      </c>
      <c r="F3161">
        <v>2</v>
      </c>
      <c r="G3161">
        <v>0.35542986425339373</v>
      </c>
      <c r="H3161" t="s">
        <v>89</v>
      </c>
      <c r="I3161">
        <v>0</v>
      </c>
      <c r="J3161">
        <v>0</v>
      </c>
      <c r="K3161">
        <v>0</v>
      </c>
    </row>
    <row r="3162" spans="1:11" x14ac:dyDescent="0.2">
      <c r="A3162" t="s">
        <v>16</v>
      </c>
      <c r="B3162" t="s">
        <v>360</v>
      </c>
      <c r="C3162">
        <v>300</v>
      </c>
      <c r="D3162" t="s">
        <v>7641</v>
      </c>
      <c r="E3162" t="s">
        <v>49</v>
      </c>
      <c r="F3162">
        <v>2</v>
      </c>
      <c r="G3162">
        <v>0.35542986425339373</v>
      </c>
      <c r="H3162" t="s">
        <v>105</v>
      </c>
      <c r="I3162">
        <v>0</v>
      </c>
      <c r="J3162">
        <v>0</v>
      </c>
      <c r="K3162">
        <v>0</v>
      </c>
    </row>
    <row r="3163" spans="1:11" x14ac:dyDescent="0.2">
      <c r="A3163" t="s">
        <v>16</v>
      </c>
      <c r="B3163" t="s">
        <v>360</v>
      </c>
      <c r="C3163">
        <v>300</v>
      </c>
      <c r="D3163" t="s">
        <v>7646</v>
      </c>
      <c r="E3163" t="s">
        <v>49</v>
      </c>
      <c r="F3163">
        <v>2</v>
      </c>
      <c r="G3163">
        <v>0.35542986425339373</v>
      </c>
      <c r="H3163" t="s">
        <v>89</v>
      </c>
      <c r="I3163">
        <v>0</v>
      </c>
      <c r="J3163">
        <v>0</v>
      </c>
      <c r="K3163">
        <v>0</v>
      </c>
    </row>
    <row r="3164" spans="1:11" x14ac:dyDescent="0.2">
      <c r="A3164" t="s">
        <v>16</v>
      </c>
      <c r="B3164" t="s">
        <v>360</v>
      </c>
      <c r="C3164">
        <v>300</v>
      </c>
      <c r="D3164" t="s">
        <v>7648</v>
      </c>
      <c r="E3164" t="s">
        <v>49</v>
      </c>
      <c r="F3164">
        <v>2</v>
      </c>
      <c r="G3164">
        <v>0.35542986425339373</v>
      </c>
      <c r="H3164" t="s">
        <v>105</v>
      </c>
      <c r="I3164">
        <v>0</v>
      </c>
      <c r="J3164">
        <v>0</v>
      </c>
      <c r="K3164">
        <v>0</v>
      </c>
    </row>
    <row r="3165" spans="1:11" x14ac:dyDescent="0.2">
      <c r="A3165" t="s">
        <v>16</v>
      </c>
      <c r="B3165" t="s">
        <v>360</v>
      </c>
      <c r="C3165">
        <v>300</v>
      </c>
      <c r="D3165" t="s">
        <v>7642</v>
      </c>
      <c r="E3165" t="s">
        <v>49</v>
      </c>
      <c r="F3165">
        <v>2</v>
      </c>
      <c r="G3165">
        <v>0.35542986425339373</v>
      </c>
      <c r="H3165" t="s">
        <v>89</v>
      </c>
      <c r="I3165">
        <v>0</v>
      </c>
      <c r="J3165">
        <v>0</v>
      </c>
      <c r="K3165">
        <v>0</v>
      </c>
    </row>
    <row r="3166" spans="1:11" x14ac:dyDescent="0.2">
      <c r="A3166" t="s">
        <v>16</v>
      </c>
      <c r="B3166" t="s">
        <v>360</v>
      </c>
      <c r="C3166">
        <v>300</v>
      </c>
      <c r="D3166" t="s">
        <v>7635</v>
      </c>
      <c r="E3166" t="s">
        <v>49</v>
      </c>
      <c r="F3166">
        <v>2</v>
      </c>
      <c r="G3166">
        <v>0.35542986425339373</v>
      </c>
      <c r="H3166" t="s">
        <v>105</v>
      </c>
      <c r="I3166">
        <v>0</v>
      </c>
      <c r="J3166">
        <v>0</v>
      </c>
      <c r="K3166">
        <v>0</v>
      </c>
    </row>
    <row r="3167" spans="1:11" x14ac:dyDescent="0.2">
      <c r="A3167" t="s">
        <v>16</v>
      </c>
      <c r="B3167" t="s">
        <v>360</v>
      </c>
      <c r="C3167">
        <v>300</v>
      </c>
      <c r="D3167" t="s">
        <v>7644</v>
      </c>
      <c r="E3167" t="s">
        <v>49</v>
      </c>
      <c r="F3167">
        <v>2</v>
      </c>
      <c r="G3167">
        <v>0.35542986425339373</v>
      </c>
      <c r="H3167" t="s">
        <v>89</v>
      </c>
      <c r="I3167">
        <v>0</v>
      </c>
      <c r="J3167">
        <v>0</v>
      </c>
      <c r="K3167">
        <v>0</v>
      </c>
    </row>
    <row r="3168" spans="1:11" x14ac:dyDescent="0.2">
      <c r="A3168" t="s">
        <v>16</v>
      </c>
      <c r="B3168" t="s">
        <v>360</v>
      </c>
      <c r="C3168">
        <v>300</v>
      </c>
      <c r="D3168" t="s">
        <v>7638</v>
      </c>
      <c r="E3168" t="s">
        <v>49</v>
      </c>
      <c r="F3168">
        <v>2</v>
      </c>
      <c r="G3168">
        <v>0.35542986425339373</v>
      </c>
      <c r="H3168" t="s">
        <v>105</v>
      </c>
      <c r="I3168">
        <v>0</v>
      </c>
      <c r="J3168">
        <v>0</v>
      </c>
      <c r="K3168">
        <v>0</v>
      </c>
    </row>
    <row r="3169" spans="1:11" x14ac:dyDescent="0.2">
      <c r="A3169" t="s">
        <v>16</v>
      </c>
      <c r="B3169" t="s">
        <v>360</v>
      </c>
      <c r="C3169">
        <v>300</v>
      </c>
      <c r="D3169" t="s">
        <v>7643</v>
      </c>
      <c r="E3169" t="s">
        <v>49</v>
      </c>
      <c r="F3169">
        <v>2</v>
      </c>
      <c r="G3169">
        <v>0.35542986425339373</v>
      </c>
      <c r="H3169" t="s">
        <v>89</v>
      </c>
      <c r="I3169">
        <v>0</v>
      </c>
      <c r="J3169">
        <v>0</v>
      </c>
      <c r="K3169">
        <v>0</v>
      </c>
    </row>
    <row r="3170" spans="1:11" x14ac:dyDescent="0.2">
      <c r="A3170" t="s">
        <v>16</v>
      </c>
      <c r="B3170" t="s">
        <v>633</v>
      </c>
      <c r="C3170">
        <v>450</v>
      </c>
      <c r="D3170" t="s">
        <v>7652</v>
      </c>
      <c r="E3170" t="s">
        <v>49</v>
      </c>
      <c r="F3170">
        <v>3</v>
      </c>
      <c r="G3170">
        <v>0.54757876312718778</v>
      </c>
      <c r="H3170" t="s">
        <v>91</v>
      </c>
      <c r="I3170">
        <v>0</v>
      </c>
      <c r="J3170">
        <v>0</v>
      </c>
      <c r="K3170">
        <v>0</v>
      </c>
    </row>
    <row r="3171" spans="1:11" x14ac:dyDescent="0.2">
      <c r="A3171" t="s">
        <v>16</v>
      </c>
      <c r="B3171" t="s">
        <v>633</v>
      </c>
      <c r="C3171">
        <v>300</v>
      </c>
      <c r="D3171" t="s">
        <v>7650</v>
      </c>
      <c r="E3171" t="s">
        <v>49</v>
      </c>
      <c r="F3171">
        <v>3</v>
      </c>
      <c r="G3171">
        <v>0.36505250875145856</v>
      </c>
      <c r="H3171" t="s">
        <v>91</v>
      </c>
      <c r="I3171">
        <v>0</v>
      </c>
      <c r="J3171">
        <v>0</v>
      </c>
      <c r="K3171">
        <v>0</v>
      </c>
    </row>
    <row r="3172" spans="1:11" x14ac:dyDescent="0.2">
      <c r="A3172" t="s">
        <v>16</v>
      </c>
      <c r="B3172" t="s">
        <v>633</v>
      </c>
      <c r="C3172">
        <v>150</v>
      </c>
      <c r="D3172" t="s">
        <v>7653</v>
      </c>
      <c r="E3172" t="s">
        <v>49</v>
      </c>
      <c r="F3172">
        <v>3</v>
      </c>
      <c r="G3172">
        <v>0.18252625437572928</v>
      </c>
      <c r="H3172" t="s">
        <v>91</v>
      </c>
      <c r="I3172">
        <v>0</v>
      </c>
      <c r="J3172">
        <v>0</v>
      </c>
      <c r="K3172">
        <v>0</v>
      </c>
    </row>
    <row r="3173" spans="1:11" x14ac:dyDescent="0.2">
      <c r="A3173" t="s">
        <v>16</v>
      </c>
      <c r="B3173" t="s">
        <v>633</v>
      </c>
      <c r="C3173">
        <v>450</v>
      </c>
      <c r="D3173" t="s">
        <v>7651</v>
      </c>
      <c r="E3173" t="s">
        <v>49</v>
      </c>
      <c r="F3173">
        <v>3</v>
      </c>
      <c r="G3173">
        <v>0.54757876312718778</v>
      </c>
      <c r="H3173" t="s">
        <v>91</v>
      </c>
      <c r="I3173">
        <v>0</v>
      </c>
      <c r="J3173">
        <v>0</v>
      </c>
      <c r="K3173">
        <v>0</v>
      </c>
    </row>
    <row r="3174" spans="1:11" x14ac:dyDescent="0.2">
      <c r="A3174" t="s">
        <v>16</v>
      </c>
      <c r="B3174" t="s">
        <v>456</v>
      </c>
      <c r="C3174">
        <v>360</v>
      </c>
      <c r="D3174" t="s">
        <v>7674</v>
      </c>
      <c r="E3174" t="s">
        <v>49</v>
      </c>
      <c r="F3174">
        <v>2</v>
      </c>
      <c r="G3174">
        <v>0.42134887180758746</v>
      </c>
      <c r="H3174" t="s">
        <v>100</v>
      </c>
      <c r="I3174">
        <v>0</v>
      </c>
      <c r="J3174">
        <v>0</v>
      </c>
      <c r="K3174">
        <v>0</v>
      </c>
    </row>
    <row r="3175" spans="1:11" x14ac:dyDescent="0.2">
      <c r="A3175" t="s">
        <v>16</v>
      </c>
      <c r="B3175" t="s">
        <v>456</v>
      </c>
      <c r="C3175">
        <v>360</v>
      </c>
      <c r="D3175" t="s">
        <v>7667</v>
      </c>
      <c r="E3175" t="s">
        <v>49</v>
      </c>
      <c r="F3175">
        <v>2</v>
      </c>
      <c r="G3175">
        <v>0.42134887180758746</v>
      </c>
      <c r="H3175" t="s">
        <v>90</v>
      </c>
      <c r="I3175">
        <v>0</v>
      </c>
      <c r="J3175">
        <v>0</v>
      </c>
      <c r="K3175">
        <v>0</v>
      </c>
    </row>
    <row r="3176" spans="1:11" x14ac:dyDescent="0.2">
      <c r="A3176" t="s">
        <v>16</v>
      </c>
      <c r="B3176" t="s">
        <v>456</v>
      </c>
      <c r="C3176">
        <v>360</v>
      </c>
      <c r="D3176" t="s">
        <v>7654</v>
      </c>
      <c r="E3176" t="s">
        <v>49</v>
      </c>
      <c r="F3176">
        <v>2</v>
      </c>
      <c r="G3176">
        <v>0.42134887180758746</v>
      </c>
      <c r="H3176" t="s">
        <v>100</v>
      </c>
      <c r="I3176">
        <v>0</v>
      </c>
      <c r="J3176">
        <v>0</v>
      </c>
      <c r="K3176">
        <v>0</v>
      </c>
    </row>
    <row r="3177" spans="1:11" x14ac:dyDescent="0.2">
      <c r="A3177" t="s">
        <v>16</v>
      </c>
      <c r="B3177" t="s">
        <v>456</v>
      </c>
      <c r="C3177">
        <v>360</v>
      </c>
      <c r="D3177" t="s">
        <v>7657</v>
      </c>
      <c r="E3177" t="s">
        <v>49</v>
      </c>
      <c r="F3177">
        <v>2</v>
      </c>
      <c r="G3177">
        <v>0.42134887180758746</v>
      </c>
      <c r="H3177" t="s">
        <v>90</v>
      </c>
      <c r="I3177">
        <v>0</v>
      </c>
      <c r="J3177">
        <v>0</v>
      </c>
      <c r="K3177">
        <v>0</v>
      </c>
    </row>
    <row r="3178" spans="1:11" x14ac:dyDescent="0.2">
      <c r="A3178" t="s">
        <v>16</v>
      </c>
      <c r="B3178" t="s">
        <v>456</v>
      </c>
      <c r="C3178">
        <v>360</v>
      </c>
      <c r="D3178" t="s">
        <v>7675</v>
      </c>
      <c r="E3178" t="s">
        <v>49</v>
      </c>
      <c r="F3178">
        <v>2</v>
      </c>
      <c r="G3178">
        <v>0.42134887180758746</v>
      </c>
      <c r="H3178" t="s">
        <v>100</v>
      </c>
      <c r="I3178">
        <v>0</v>
      </c>
      <c r="J3178">
        <v>0</v>
      </c>
      <c r="K3178">
        <v>0</v>
      </c>
    </row>
    <row r="3179" spans="1:11" x14ac:dyDescent="0.2">
      <c r="A3179" t="s">
        <v>16</v>
      </c>
      <c r="B3179" t="s">
        <v>456</v>
      </c>
      <c r="C3179">
        <v>360</v>
      </c>
      <c r="D3179" t="s">
        <v>7666</v>
      </c>
      <c r="E3179" t="s">
        <v>49</v>
      </c>
      <c r="F3179">
        <v>2</v>
      </c>
      <c r="G3179">
        <v>0.42134887180758746</v>
      </c>
      <c r="H3179" t="s">
        <v>90</v>
      </c>
      <c r="I3179">
        <v>0</v>
      </c>
      <c r="J3179">
        <v>0</v>
      </c>
      <c r="K3179">
        <v>0</v>
      </c>
    </row>
    <row r="3180" spans="1:11" x14ac:dyDescent="0.2">
      <c r="A3180" t="s">
        <v>16</v>
      </c>
      <c r="B3180" t="s">
        <v>456</v>
      </c>
      <c r="C3180">
        <v>360</v>
      </c>
      <c r="D3180" t="s">
        <v>7664</v>
      </c>
      <c r="E3180" t="s">
        <v>49</v>
      </c>
      <c r="F3180">
        <v>2</v>
      </c>
      <c r="G3180">
        <v>0.42134887180758746</v>
      </c>
      <c r="H3180" t="s">
        <v>100</v>
      </c>
      <c r="I3180">
        <v>0</v>
      </c>
      <c r="J3180">
        <v>0</v>
      </c>
      <c r="K3180">
        <v>0</v>
      </c>
    </row>
    <row r="3181" spans="1:11" x14ac:dyDescent="0.2">
      <c r="A3181" t="s">
        <v>16</v>
      </c>
      <c r="B3181" t="s">
        <v>456</v>
      </c>
      <c r="C3181">
        <v>360</v>
      </c>
      <c r="D3181" t="s">
        <v>7658</v>
      </c>
      <c r="E3181" t="s">
        <v>49</v>
      </c>
      <c r="F3181">
        <v>2</v>
      </c>
      <c r="G3181">
        <v>0.42134887180758746</v>
      </c>
      <c r="H3181" t="s">
        <v>90</v>
      </c>
      <c r="I3181">
        <v>0</v>
      </c>
      <c r="J3181">
        <v>0</v>
      </c>
      <c r="K3181">
        <v>0</v>
      </c>
    </row>
    <row r="3182" spans="1:11" x14ac:dyDescent="0.2">
      <c r="A3182" t="s">
        <v>16</v>
      </c>
      <c r="B3182" t="s">
        <v>456</v>
      </c>
      <c r="C3182">
        <v>360</v>
      </c>
      <c r="D3182" t="s">
        <v>7671</v>
      </c>
      <c r="E3182" t="s">
        <v>49</v>
      </c>
      <c r="F3182">
        <v>2</v>
      </c>
      <c r="G3182">
        <v>0.42134887180758746</v>
      </c>
      <c r="H3182" t="s">
        <v>100</v>
      </c>
      <c r="I3182">
        <v>0</v>
      </c>
      <c r="J3182">
        <v>0</v>
      </c>
      <c r="K3182">
        <v>0</v>
      </c>
    </row>
    <row r="3183" spans="1:11" x14ac:dyDescent="0.2">
      <c r="A3183" t="s">
        <v>16</v>
      </c>
      <c r="B3183" t="s">
        <v>456</v>
      </c>
      <c r="C3183">
        <v>360</v>
      </c>
      <c r="D3183" t="s">
        <v>7669</v>
      </c>
      <c r="E3183" t="s">
        <v>49</v>
      </c>
      <c r="F3183">
        <v>2</v>
      </c>
      <c r="G3183">
        <v>0.42134887180758746</v>
      </c>
      <c r="H3183" t="s">
        <v>90</v>
      </c>
      <c r="I3183">
        <v>0</v>
      </c>
      <c r="J3183">
        <v>0</v>
      </c>
      <c r="K3183">
        <v>0</v>
      </c>
    </row>
    <row r="3184" spans="1:11" x14ac:dyDescent="0.2">
      <c r="A3184" t="s">
        <v>16</v>
      </c>
      <c r="B3184" t="s">
        <v>456</v>
      </c>
      <c r="C3184">
        <v>360</v>
      </c>
      <c r="D3184" t="s">
        <v>7661</v>
      </c>
      <c r="E3184" t="s">
        <v>49</v>
      </c>
      <c r="F3184">
        <v>2</v>
      </c>
      <c r="G3184">
        <v>0.42134887180758746</v>
      </c>
      <c r="H3184" t="s">
        <v>100</v>
      </c>
      <c r="I3184">
        <v>0</v>
      </c>
      <c r="J3184">
        <v>0</v>
      </c>
      <c r="K3184">
        <v>0</v>
      </c>
    </row>
    <row r="3185" spans="1:11" x14ac:dyDescent="0.2">
      <c r="A3185" t="s">
        <v>16</v>
      </c>
      <c r="B3185" t="s">
        <v>456</v>
      </c>
      <c r="C3185">
        <v>360</v>
      </c>
      <c r="D3185" t="s">
        <v>7656</v>
      </c>
      <c r="E3185" t="s">
        <v>49</v>
      </c>
      <c r="F3185">
        <v>2</v>
      </c>
      <c r="G3185">
        <v>0.42134887180758746</v>
      </c>
      <c r="H3185" t="s">
        <v>90</v>
      </c>
      <c r="I3185">
        <v>0</v>
      </c>
      <c r="J3185">
        <v>0</v>
      </c>
      <c r="K3185">
        <v>0</v>
      </c>
    </row>
    <row r="3186" spans="1:11" x14ac:dyDescent="0.2">
      <c r="A3186" t="s">
        <v>16</v>
      </c>
      <c r="B3186" t="s">
        <v>456</v>
      </c>
      <c r="C3186">
        <v>360</v>
      </c>
      <c r="D3186" t="s">
        <v>7663</v>
      </c>
      <c r="E3186" t="s">
        <v>49</v>
      </c>
      <c r="F3186">
        <v>2</v>
      </c>
      <c r="G3186">
        <v>0.42134887180758746</v>
      </c>
      <c r="H3186" t="s">
        <v>100</v>
      </c>
      <c r="I3186">
        <v>0</v>
      </c>
      <c r="J3186">
        <v>0</v>
      </c>
      <c r="K3186">
        <v>0</v>
      </c>
    </row>
    <row r="3187" spans="1:11" x14ac:dyDescent="0.2">
      <c r="A3187" t="s">
        <v>16</v>
      </c>
      <c r="B3187" t="s">
        <v>456</v>
      </c>
      <c r="C3187">
        <v>360</v>
      </c>
      <c r="D3187" t="s">
        <v>7672</v>
      </c>
      <c r="E3187" t="s">
        <v>49</v>
      </c>
      <c r="F3187">
        <v>2</v>
      </c>
      <c r="G3187">
        <v>0.42134887180758746</v>
      </c>
      <c r="H3187" t="s">
        <v>90</v>
      </c>
      <c r="I3187">
        <v>0</v>
      </c>
      <c r="J3187">
        <v>0</v>
      </c>
      <c r="K3187">
        <v>0</v>
      </c>
    </row>
    <row r="3188" spans="1:11" x14ac:dyDescent="0.2">
      <c r="A3188" t="s">
        <v>16</v>
      </c>
      <c r="B3188" t="s">
        <v>456</v>
      </c>
      <c r="C3188">
        <v>360</v>
      </c>
      <c r="D3188" t="s">
        <v>7662</v>
      </c>
      <c r="E3188" t="s">
        <v>49</v>
      </c>
      <c r="F3188">
        <v>2</v>
      </c>
      <c r="G3188">
        <v>0.42134887180758746</v>
      </c>
      <c r="H3188" t="s">
        <v>100</v>
      </c>
      <c r="I3188">
        <v>0</v>
      </c>
      <c r="J3188">
        <v>0</v>
      </c>
      <c r="K3188">
        <v>0</v>
      </c>
    </row>
    <row r="3189" spans="1:11" x14ac:dyDescent="0.2">
      <c r="A3189" t="s">
        <v>16</v>
      </c>
      <c r="B3189" t="s">
        <v>456</v>
      </c>
      <c r="C3189">
        <v>360</v>
      </c>
      <c r="D3189" t="s">
        <v>7668</v>
      </c>
      <c r="E3189" t="s">
        <v>49</v>
      </c>
      <c r="F3189">
        <v>2</v>
      </c>
      <c r="G3189">
        <v>0.42134887180758746</v>
      </c>
      <c r="H3189" t="s">
        <v>90</v>
      </c>
      <c r="I3189">
        <v>0</v>
      </c>
      <c r="J3189">
        <v>0</v>
      </c>
      <c r="K3189">
        <v>0</v>
      </c>
    </row>
    <row r="3190" spans="1:11" x14ac:dyDescent="0.2">
      <c r="A3190" t="s">
        <v>16</v>
      </c>
      <c r="B3190" t="s">
        <v>456</v>
      </c>
      <c r="C3190">
        <v>360</v>
      </c>
      <c r="D3190" t="s">
        <v>7655</v>
      </c>
      <c r="E3190" t="s">
        <v>49</v>
      </c>
      <c r="F3190">
        <v>2</v>
      </c>
      <c r="G3190">
        <v>0.42134887180758746</v>
      </c>
      <c r="H3190" t="s">
        <v>100</v>
      </c>
      <c r="I3190">
        <v>0</v>
      </c>
      <c r="J3190">
        <v>0</v>
      </c>
      <c r="K3190">
        <v>0</v>
      </c>
    </row>
    <row r="3191" spans="1:11" x14ac:dyDescent="0.2">
      <c r="A3191" t="s">
        <v>16</v>
      </c>
      <c r="B3191" t="s">
        <v>456</v>
      </c>
      <c r="C3191">
        <v>360</v>
      </c>
      <c r="D3191" t="s">
        <v>7676</v>
      </c>
      <c r="E3191" t="s">
        <v>49</v>
      </c>
      <c r="F3191">
        <v>2</v>
      </c>
      <c r="G3191">
        <v>0.42134887180758746</v>
      </c>
      <c r="H3191" t="s">
        <v>90</v>
      </c>
      <c r="I3191">
        <v>0</v>
      </c>
      <c r="J3191">
        <v>0</v>
      </c>
      <c r="K3191">
        <v>0</v>
      </c>
    </row>
    <row r="3192" spans="1:11" x14ac:dyDescent="0.2">
      <c r="A3192" t="s">
        <v>16</v>
      </c>
      <c r="B3192" t="s">
        <v>456</v>
      </c>
      <c r="C3192">
        <v>360</v>
      </c>
      <c r="D3192" t="s">
        <v>7659</v>
      </c>
      <c r="E3192" t="s">
        <v>49</v>
      </c>
      <c r="F3192">
        <v>2</v>
      </c>
      <c r="G3192">
        <v>0.42134887180758746</v>
      </c>
      <c r="H3192" t="s">
        <v>100</v>
      </c>
      <c r="I3192">
        <v>0</v>
      </c>
      <c r="J3192">
        <v>0</v>
      </c>
      <c r="K3192">
        <v>0</v>
      </c>
    </row>
    <row r="3193" spans="1:11" x14ac:dyDescent="0.2">
      <c r="A3193" t="s">
        <v>16</v>
      </c>
      <c r="B3193" t="s">
        <v>456</v>
      </c>
      <c r="C3193">
        <v>360</v>
      </c>
      <c r="D3193" t="s">
        <v>7682</v>
      </c>
      <c r="E3193" t="s">
        <v>49</v>
      </c>
      <c r="F3193">
        <v>2</v>
      </c>
      <c r="G3193">
        <v>0.42134887180758746</v>
      </c>
      <c r="H3193" t="s">
        <v>90</v>
      </c>
      <c r="I3193">
        <v>0</v>
      </c>
      <c r="J3193">
        <v>0</v>
      </c>
      <c r="K3193">
        <v>0</v>
      </c>
    </row>
    <row r="3194" spans="1:11" x14ac:dyDescent="0.2">
      <c r="A3194" t="s">
        <v>16</v>
      </c>
      <c r="B3194" t="s">
        <v>456</v>
      </c>
      <c r="C3194">
        <v>360</v>
      </c>
      <c r="D3194" t="s">
        <v>7665</v>
      </c>
      <c r="E3194" t="s">
        <v>49</v>
      </c>
      <c r="F3194">
        <v>2</v>
      </c>
      <c r="G3194">
        <v>0.42134887180758746</v>
      </c>
      <c r="H3194" t="s">
        <v>100</v>
      </c>
      <c r="I3194">
        <v>0</v>
      </c>
      <c r="J3194">
        <v>0</v>
      </c>
      <c r="K3194">
        <v>0</v>
      </c>
    </row>
    <row r="3195" spans="1:11" x14ac:dyDescent="0.2">
      <c r="A3195" t="s">
        <v>16</v>
      </c>
      <c r="B3195" t="s">
        <v>456</v>
      </c>
      <c r="C3195">
        <v>360</v>
      </c>
      <c r="D3195" t="s">
        <v>7683</v>
      </c>
      <c r="E3195" t="s">
        <v>49</v>
      </c>
      <c r="F3195">
        <v>2</v>
      </c>
      <c r="G3195">
        <v>0.42134887180758746</v>
      </c>
      <c r="H3195" t="s">
        <v>90</v>
      </c>
      <c r="I3195">
        <v>0</v>
      </c>
      <c r="J3195">
        <v>0</v>
      </c>
      <c r="K3195">
        <v>0</v>
      </c>
    </row>
    <row r="3196" spans="1:11" x14ac:dyDescent="0.2">
      <c r="A3196" t="s">
        <v>16</v>
      </c>
      <c r="B3196" t="s">
        <v>456</v>
      </c>
      <c r="C3196">
        <v>360</v>
      </c>
      <c r="D3196" t="s">
        <v>7681</v>
      </c>
      <c r="E3196" t="s">
        <v>49</v>
      </c>
      <c r="F3196">
        <v>2</v>
      </c>
      <c r="G3196">
        <v>0.42134887180758746</v>
      </c>
      <c r="H3196" t="s">
        <v>100</v>
      </c>
      <c r="I3196">
        <v>0</v>
      </c>
      <c r="J3196">
        <v>0</v>
      </c>
      <c r="K3196">
        <v>0</v>
      </c>
    </row>
    <row r="3197" spans="1:11" x14ac:dyDescent="0.2">
      <c r="A3197" t="s">
        <v>16</v>
      </c>
      <c r="B3197" t="s">
        <v>456</v>
      </c>
      <c r="C3197">
        <v>360</v>
      </c>
      <c r="D3197" t="s">
        <v>7680</v>
      </c>
      <c r="E3197" t="s">
        <v>49</v>
      </c>
      <c r="F3197">
        <v>2</v>
      </c>
      <c r="G3197">
        <v>0.42134887180758746</v>
      </c>
      <c r="H3197" t="s">
        <v>90</v>
      </c>
      <c r="I3197">
        <v>0</v>
      </c>
      <c r="J3197">
        <v>0</v>
      </c>
      <c r="K3197">
        <v>0</v>
      </c>
    </row>
    <row r="3198" spans="1:11" x14ac:dyDescent="0.2">
      <c r="A3198" t="s">
        <v>16</v>
      </c>
      <c r="B3198" t="s">
        <v>456</v>
      </c>
      <c r="C3198">
        <v>360</v>
      </c>
      <c r="D3198" t="s">
        <v>7673</v>
      </c>
      <c r="E3198" t="s">
        <v>49</v>
      </c>
      <c r="F3198">
        <v>2</v>
      </c>
      <c r="G3198">
        <v>0.42134887180758746</v>
      </c>
      <c r="H3198" t="s">
        <v>100</v>
      </c>
      <c r="I3198">
        <v>0</v>
      </c>
      <c r="J3198">
        <v>0</v>
      </c>
      <c r="K3198">
        <v>0</v>
      </c>
    </row>
    <row r="3199" spans="1:11" x14ac:dyDescent="0.2">
      <c r="A3199" t="s">
        <v>16</v>
      </c>
      <c r="B3199" t="s">
        <v>456</v>
      </c>
      <c r="C3199">
        <v>360</v>
      </c>
      <c r="D3199" t="s">
        <v>7660</v>
      </c>
      <c r="E3199" t="s">
        <v>49</v>
      </c>
      <c r="F3199">
        <v>2</v>
      </c>
      <c r="G3199">
        <v>0.42134887180758746</v>
      </c>
      <c r="H3199" t="s">
        <v>90</v>
      </c>
      <c r="I3199">
        <v>0</v>
      </c>
      <c r="J3199">
        <v>0</v>
      </c>
      <c r="K3199">
        <v>0</v>
      </c>
    </row>
    <row r="3200" spans="1:11" x14ac:dyDescent="0.2">
      <c r="A3200" t="s">
        <v>16</v>
      </c>
      <c r="B3200" t="s">
        <v>456</v>
      </c>
      <c r="C3200">
        <v>360</v>
      </c>
      <c r="D3200" t="s">
        <v>7686</v>
      </c>
      <c r="E3200" t="s">
        <v>49</v>
      </c>
      <c r="F3200">
        <v>2</v>
      </c>
      <c r="G3200">
        <v>0.42134887180758746</v>
      </c>
      <c r="H3200" t="s">
        <v>100</v>
      </c>
      <c r="I3200">
        <v>0</v>
      </c>
      <c r="J3200">
        <v>0</v>
      </c>
      <c r="K3200">
        <v>0</v>
      </c>
    </row>
    <row r="3201" spans="1:11" x14ac:dyDescent="0.2">
      <c r="A3201" t="s">
        <v>16</v>
      </c>
      <c r="B3201" t="s">
        <v>456</v>
      </c>
      <c r="C3201">
        <v>360</v>
      </c>
      <c r="D3201" t="s">
        <v>7670</v>
      </c>
      <c r="E3201" t="s">
        <v>49</v>
      </c>
      <c r="F3201">
        <v>2</v>
      </c>
      <c r="G3201">
        <v>0.42134887180758746</v>
      </c>
      <c r="H3201" t="s">
        <v>90</v>
      </c>
      <c r="I3201">
        <v>0</v>
      </c>
      <c r="J3201">
        <v>0</v>
      </c>
      <c r="K3201">
        <v>0</v>
      </c>
    </row>
    <row r="3202" spans="1:11" x14ac:dyDescent="0.2">
      <c r="A3202" t="s">
        <v>16</v>
      </c>
      <c r="B3202" t="s">
        <v>456</v>
      </c>
      <c r="C3202">
        <v>360</v>
      </c>
      <c r="D3202" t="s">
        <v>7679</v>
      </c>
      <c r="E3202" t="s">
        <v>49</v>
      </c>
      <c r="F3202">
        <v>2</v>
      </c>
      <c r="G3202">
        <v>0.42134887180758746</v>
      </c>
      <c r="H3202" t="s">
        <v>100</v>
      </c>
      <c r="I3202">
        <v>0</v>
      </c>
      <c r="J3202">
        <v>0</v>
      </c>
      <c r="K3202">
        <v>0</v>
      </c>
    </row>
    <row r="3203" spans="1:11" x14ac:dyDescent="0.2">
      <c r="A3203" t="s">
        <v>16</v>
      </c>
      <c r="B3203" t="s">
        <v>456</v>
      </c>
      <c r="C3203">
        <v>360</v>
      </c>
      <c r="D3203" t="s">
        <v>7687</v>
      </c>
      <c r="E3203" t="s">
        <v>49</v>
      </c>
      <c r="F3203">
        <v>2</v>
      </c>
      <c r="G3203">
        <v>0.42134887180758746</v>
      </c>
      <c r="H3203" t="s">
        <v>90</v>
      </c>
      <c r="I3203">
        <v>0</v>
      </c>
      <c r="J3203">
        <v>0</v>
      </c>
      <c r="K3203">
        <v>0</v>
      </c>
    </row>
    <row r="3204" spans="1:11" x14ac:dyDescent="0.2">
      <c r="A3204" t="s">
        <v>16</v>
      </c>
      <c r="B3204" t="s">
        <v>456</v>
      </c>
      <c r="C3204">
        <v>360</v>
      </c>
      <c r="D3204" t="s">
        <v>7691</v>
      </c>
      <c r="E3204" t="s">
        <v>49</v>
      </c>
      <c r="F3204">
        <v>2</v>
      </c>
      <c r="G3204">
        <v>0.42134887180758746</v>
      </c>
      <c r="H3204" t="s">
        <v>100</v>
      </c>
      <c r="I3204">
        <v>0</v>
      </c>
      <c r="J3204">
        <v>0</v>
      </c>
      <c r="K3204">
        <v>0</v>
      </c>
    </row>
    <row r="3205" spans="1:11" x14ac:dyDescent="0.2">
      <c r="A3205" t="s">
        <v>16</v>
      </c>
      <c r="B3205" t="s">
        <v>456</v>
      </c>
      <c r="C3205">
        <v>360</v>
      </c>
      <c r="D3205" t="s">
        <v>7689</v>
      </c>
      <c r="E3205" t="s">
        <v>49</v>
      </c>
      <c r="F3205">
        <v>2</v>
      </c>
      <c r="G3205">
        <v>0.42134887180758746</v>
      </c>
      <c r="H3205" t="s">
        <v>90</v>
      </c>
      <c r="I3205">
        <v>0</v>
      </c>
      <c r="J3205">
        <v>0</v>
      </c>
      <c r="K3205">
        <v>0</v>
      </c>
    </row>
    <row r="3206" spans="1:11" x14ac:dyDescent="0.2">
      <c r="A3206" t="s">
        <v>16</v>
      </c>
      <c r="B3206" t="s">
        <v>456</v>
      </c>
      <c r="C3206">
        <v>360</v>
      </c>
      <c r="D3206" t="s">
        <v>7688</v>
      </c>
      <c r="E3206" t="s">
        <v>49</v>
      </c>
      <c r="F3206">
        <v>2</v>
      </c>
      <c r="G3206">
        <v>0.42134887180758746</v>
      </c>
      <c r="H3206" t="s">
        <v>100</v>
      </c>
      <c r="I3206">
        <v>0</v>
      </c>
      <c r="J3206">
        <v>0</v>
      </c>
      <c r="K3206">
        <v>0</v>
      </c>
    </row>
    <row r="3207" spans="1:11" x14ac:dyDescent="0.2">
      <c r="A3207" t="s">
        <v>16</v>
      </c>
      <c r="B3207" t="s">
        <v>456</v>
      </c>
      <c r="C3207">
        <v>360</v>
      </c>
      <c r="D3207" t="s">
        <v>7690</v>
      </c>
      <c r="E3207" t="s">
        <v>49</v>
      </c>
      <c r="F3207">
        <v>2</v>
      </c>
      <c r="G3207">
        <v>0.42134887180758746</v>
      </c>
      <c r="H3207" t="s">
        <v>90</v>
      </c>
      <c r="I3207">
        <v>0</v>
      </c>
      <c r="J3207">
        <v>0</v>
      </c>
      <c r="K3207">
        <v>0</v>
      </c>
    </row>
    <row r="3208" spans="1:11" x14ac:dyDescent="0.2">
      <c r="A3208" t="s">
        <v>16</v>
      </c>
      <c r="B3208" t="s">
        <v>456</v>
      </c>
      <c r="C3208">
        <v>360</v>
      </c>
      <c r="D3208" t="s">
        <v>7684</v>
      </c>
      <c r="E3208" t="s">
        <v>49</v>
      </c>
      <c r="F3208">
        <v>2</v>
      </c>
      <c r="G3208">
        <v>0.42134887180758746</v>
      </c>
      <c r="H3208" t="s">
        <v>100</v>
      </c>
      <c r="I3208">
        <v>0</v>
      </c>
      <c r="J3208">
        <v>0</v>
      </c>
      <c r="K3208">
        <v>0</v>
      </c>
    </row>
    <row r="3209" spans="1:11" x14ac:dyDescent="0.2">
      <c r="A3209" t="s">
        <v>16</v>
      </c>
      <c r="B3209" t="s">
        <v>456</v>
      </c>
      <c r="C3209">
        <v>360</v>
      </c>
      <c r="D3209" t="s">
        <v>7685</v>
      </c>
      <c r="E3209" t="s">
        <v>49</v>
      </c>
      <c r="F3209">
        <v>2</v>
      </c>
      <c r="G3209">
        <v>0.42134887180758746</v>
      </c>
      <c r="H3209" t="s">
        <v>90</v>
      </c>
      <c r="I3209">
        <v>0</v>
      </c>
      <c r="J3209">
        <v>0</v>
      </c>
      <c r="K3209">
        <v>0</v>
      </c>
    </row>
    <row r="3210" spans="1:11" x14ac:dyDescent="0.2">
      <c r="A3210" t="s">
        <v>16</v>
      </c>
      <c r="B3210" t="s">
        <v>456</v>
      </c>
      <c r="C3210">
        <v>360</v>
      </c>
      <c r="D3210" t="s">
        <v>7677</v>
      </c>
      <c r="E3210" t="s">
        <v>49</v>
      </c>
      <c r="F3210">
        <v>2</v>
      </c>
      <c r="G3210">
        <v>0.42134887180758746</v>
      </c>
      <c r="H3210" t="s">
        <v>100</v>
      </c>
      <c r="I3210">
        <v>0</v>
      </c>
      <c r="J3210">
        <v>0</v>
      </c>
      <c r="K3210">
        <v>0</v>
      </c>
    </row>
    <row r="3211" spans="1:11" x14ac:dyDescent="0.2">
      <c r="A3211" t="s">
        <v>16</v>
      </c>
      <c r="B3211" t="s">
        <v>456</v>
      </c>
      <c r="C3211">
        <v>360</v>
      </c>
      <c r="D3211" t="s">
        <v>7678</v>
      </c>
      <c r="E3211" t="s">
        <v>49</v>
      </c>
      <c r="F3211">
        <v>2</v>
      </c>
      <c r="G3211">
        <v>0.42134887180758746</v>
      </c>
      <c r="H3211" t="s">
        <v>90</v>
      </c>
      <c r="I3211">
        <v>0</v>
      </c>
      <c r="J3211">
        <v>0</v>
      </c>
      <c r="K3211">
        <v>0</v>
      </c>
    </row>
    <row r="3212" spans="1:11" x14ac:dyDescent="0.2">
      <c r="A3212" t="s">
        <v>16</v>
      </c>
      <c r="B3212" t="s">
        <v>473</v>
      </c>
      <c r="C3212">
        <v>300</v>
      </c>
      <c r="D3212" t="s">
        <v>7693</v>
      </c>
      <c r="E3212" t="s">
        <v>49</v>
      </c>
      <c r="F3212">
        <v>4</v>
      </c>
      <c r="G3212">
        <v>0.94590868367787106</v>
      </c>
      <c r="H3212" t="s">
        <v>104</v>
      </c>
      <c r="I3212">
        <v>0</v>
      </c>
      <c r="J3212">
        <v>0</v>
      </c>
      <c r="K3212">
        <v>0</v>
      </c>
    </row>
    <row r="3213" spans="1:11" x14ac:dyDescent="0.2">
      <c r="A3213" t="s">
        <v>16</v>
      </c>
      <c r="B3213" t="s">
        <v>473</v>
      </c>
      <c r="C3213">
        <v>300</v>
      </c>
      <c r="D3213" t="s">
        <v>7694</v>
      </c>
      <c r="E3213" t="s">
        <v>49</v>
      </c>
      <c r="F3213">
        <v>4</v>
      </c>
      <c r="G3213">
        <v>0.94590868367787106</v>
      </c>
      <c r="H3213" t="s">
        <v>94</v>
      </c>
      <c r="I3213">
        <v>0</v>
      </c>
      <c r="J3213">
        <v>0</v>
      </c>
      <c r="K3213">
        <v>0</v>
      </c>
    </row>
    <row r="3214" spans="1:11" x14ac:dyDescent="0.2">
      <c r="A3214" t="s">
        <v>16</v>
      </c>
      <c r="B3214" t="s">
        <v>473</v>
      </c>
      <c r="C3214">
        <v>200</v>
      </c>
      <c r="D3214" t="s">
        <v>7692</v>
      </c>
      <c r="E3214" t="s">
        <v>49</v>
      </c>
      <c r="F3214">
        <v>4</v>
      </c>
      <c r="G3214">
        <v>0.63060578911858067</v>
      </c>
      <c r="H3214" t="s">
        <v>91</v>
      </c>
      <c r="I3214">
        <v>0</v>
      </c>
      <c r="J3214">
        <v>0</v>
      </c>
      <c r="K3214">
        <v>0</v>
      </c>
    </row>
    <row r="3215" spans="1:11" x14ac:dyDescent="0.2">
      <c r="A3215" t="s">
        <v>16</v>
      </c>
      <c r="B3215" t="s">
        <v>473</v>
      </c>
      <c r="C3215">
        <v>300</v>
      </c>
      <c r="D3215" t="s">
        <v>7695</v>
      </c>
      <c r="E3215" t="s">
        <v>49</v>
      </c>
      <c r="F3215">
        <v>4</v>
      </c>
      <c r="G3215">
        <v>0.94590868367787106</v>
      </c>
      <c r="H3215" t="s">
        <v>101</v>
      </c>
      <c r="I3215">
        <v>0</v>
      </c>
      <c r="J3215">
        <v>0</v>
      </c>
      <c r="K3215">
        <v>0</v>
      </c>
    </row>
    <row r="3216" spans="1:11" x14ac:dyDescent="0.2">
      <c r="A3216" t="s">
        <v>16</v>
      </c>
      <c r="B3216" t="s">
        <v>473</v>
      </c>
      <c r="C3216">
        <v>300</v>
      </c>
      <c r="D3216" t="s">
        <v>7696</v>
      </c>
      <c r="E3216" t="s">
        <v>49</v>
      </c>
      <c r="F3216">
        <v>4</v>
      </c>
      <c r="G3216">
        <v>0.94590868367787106</v>
      </c>
      <c r="H3216" t="s">
        <v>91</v>
      </c>
      <c r="I3216">
        <v>0</v>
      </c>
      <c r="J3216">
        <v>0</v>
      </c>
      <c r="K3216">
        <v>0</v>
      </c>
    </row>
    <row r="3217" spans="1:11" x14ac:dyDescent="0.2">
      <c r="A3217" t="s">
        <v>16</v>
      </c>
      <c r="B3217" t="s">
        <v>4379</v>
      </c>
      <c r="C3217">
        <v>300</v>
      </c>
      <c r="D3217" t="s">
        <v>7700</v>
      </c>
      <c r="E3217" t="s">
        <v>49</v>
      </c>
      <c r="F3217">
        <v>4</v>
      </c>
      <c r="G3217">
        <v>0.40349105143949415</v>
      </c>
      <c r="H3217" t="s">
        <v>84</v>
      </c>
      <c r="I3217">
        <v>0</v>
      </c>
      <c r="J3217">
        <v>0</v>
      </c>
      <c r="K3217">
        <v>0</v>
      </c>
    </row>
    <row r="3218" spans="1:11" x14ac:dyDescent="0.2">
      <c r="A3218" t="s">
        <v>16</v>
      </c>
      <c r="B3218" t="s">
        <v>4379</v>
      </c>
      <c r="C3218">
        <v>300</v>
      </c>
      <c r="D3218" t="s">
        <v>7697</v>
      </c>
      <c r="E3218" t="s">
        <v>49</v>
      </c>
      <c r="F3218">
        <v>4</v>
      </c>
      <c r="G3218">
        <v>0.40349105143949415</v>
      </c>
      <c r="H3218" t="s">
        <v>97</v>
      </c>
      <c r="I3218">
        <v>0</v>
      </c>
      <c r="J3218">
        <v>0</v>
      </c>
      <c r="K3218">
        <v>0</v>
      </c>
    </row>
    <row r="3219" spans="1:11" x14ac:dyDescent="0.2">
      <c r="A3219" t="s">
        <v>16</v>
      </c>
      <c r="B3219" t="s">
        <v>4379</v>
      </c>
      <c r="C3219">
        <v>300</v>
      </c>
      <c r="D3219" t="s">
        <v>7699</v>
      </c>
      <c r="E3219" t="s">
        <v>49</v>
      </c>
      <c r="F3219">
        <v>4</v>
      </c>
      <c r="G3219">
        <v>0.40349105143949415</v>
      </c>
      <c r="H3219" t="s">
        <v>87</v>
      </c>
      <c r="I3219">
        <v>0</v>
      </c>
      <c r="J3219">
        <v>0</v>
      </c>
      <c r="K3219">
        <v>0</v>
      </c>
    </row>
    <row r="3220" spans="1:11" x14ac:dyDescent="0.2">
      <c r="A3220" t="s">
        <v>16</v>
      </c>
      <c r="B3220" t="s">
        <v>4379</v>
      </c>
      <c r="C3220">
        <v>200</v>
      </c>
      <c r="D3220" t="s">
        <v>7701</v>
      </c>
      <c r="E3220" t="s">
        <v>49</v>
      </c>
      <c r="F3220">
        <v>4</v>
      </c>
      <c r="G3220">
        <v>0.26899403429299612</v>
      </c>
      <c r="H3220" t="s">
        <v>92</v>
      </c>
      <c r="I3220">
        <v>0</v>
      </c>
      <c r="J3220">
        <v>0</v>
      </c>
      <c r="K3220">
        <v>0</v>
      </c>
    </row>
    <row r="3221" spans="1:11" x14ac:dyDescent="0.2">
      <c r="A3221" t="s">
        <v>16</v>
      </c>
      <c r="B3221" t="s">
        <v>4379</v>
      </c>
      <c r="C3221">
        <v>300</v>
      </c>
      <c r="D3221" t="s">
        <v>7698</v>
      </c>
      <c r="E3221" t="s">
        <v>49</v>
      </c>
      <c r="F3221">
        <v>4</v>
      </c>
      <c r="G3221">
        <v>0.40349105143949415</v>
      </c>
      <c r="H3221" t="s">
        <v>84</v>
      </c>
      <c r="I3221">
        <v>0</v>
      </c>
      <c r="J3221">
        <v>0</v>
      </c>
      <c r="K3221">
        <v>0</v>
      </c>
    </row>
    <row r="3222" spans="1:11" x14ac:dyDescent="0.2">
      <c r="A3222" t="s">
        <v>16</v>
      </c>
      <c r="B3222" t="s">
        <v>876</v>
      </c>
      <c r="C3222">
        <v>320</v>
      </c>
      <c r="D3222" t="s">
        <v>7702</v>
      </c>
      <c r="E3222" t="s">
        <v>49</v>
      </c>
      <c r="F3222">
        <v>5</v>
      </c>
      <c r="G3222">
        <v>0.47780532260362474</v>
      </c>
      <c r="H3222" t="s">
        <v>97</v>
      </c>
      <c r="I3222">
        <v>0</v>
      </c>
      <c r="J3222">
        <v>0</v>
      </c>
      <c r="K3222">
        <v>0</v>
      </c>
    </row>
    <row r="3223" spans="1:11" x14ac:dyDescent="0.2">
      <c r="A3223" t="s">
        <v>16</v>
      </c>
      <c r="B3223" t="s">
        <v>4391</v>
      </c>
      <c r="C3223">
        <v>375</v>
      </c>
      <c r="D3223" t="s">
        <v>7761</v>
      </c>
      <c r="E3223" t="s">
        <v>49</v>
      </c>
      <c r="F3223">
        <v>14</v>
      </c>
      <c r="G3223">
        <v>0.99729946820296922</v>
      </c>
      <c r="H3223" t="s">
        <v>92</v>
      </c>
      <c r="I3223">
        <v>0</v>
      </c>
      <c r="J3223">
        <v>0</v>
      </c>
      <c r="K3223">
        <v>0</v>
      </c>
    </row>
    <row r="3224" spans="1:11" x14ac:dyDescent="0.2">
      <c r="A3224" t="s">
        <v>16</v>
      </c>
      <c r="B3224" t="s">
        <v>4391</v>
      </c>
      <c r="C3224">
        <v>375</v>
      </c>
      <c r="D3224" t="s">
        <v>7759</v>
      </c>
      <c r="E3224" t="s">
        <v>49</v>
      </c>
      <c r="F3224">
        <v>14</v>
      </c>
      <c r="G3224">
        <v>0.99729946820296922</v>
      </c>
      <c r="H3224" t="s">
        <v>104</v>
      </c>
      <c r="I3224">
        <v>0</v>
      </c>
      <c r="J3224">
        <v>0</v>
      </c>
      <c r="K3224">
        <v>0</v>
      </c>
    </row>
    <row r="3225" spans="1:11" x14ac:dyDescent="0.2">
      <c r="A3225" t="s">
        <v>16</v>
      </c>
      <c r="B3225" t="s">
        <v>4391</v>
      </c>
      <c r="C3225">
        <v>375</v>
      </c>
      <c r="D3225" t="s">
        <v>7760</v>
      </c>
      <c r="E3225" t="s">
        <v>49</v>
      </c>
      <c r="F3225">
        <v>14</v>
      </c>
      <c r="G3225">
        <v>0.99729946820296922</v>
      </c>
      <c r="H3225" t="s">
        <v>94</v>
      </c>
      <c r="I3225">
        <v>0</v>
      </c>
      <c r="J3225">
        <v>0</v>
      </c>
      <c r="K3225">
        <v>0</v>
      </c>
    </row>
    <row r="3226" spans="1:11" x14ac:dyDescent="0.2">
      <c r="A3226" t="s">
        <v>16</v>
      </c>
      <c r="B3226" t="s">
        <v>4391</v>
      </c>
      <c r="C3226">
        <v>375</v>
      </c>
      <c r="D3226" t="s">
        <v>7772</v>
      </c>
      <c r="E3226" t="s">
        <v>49</v>
      </c>
      <c r="F3226">
        <v>14</v>
      </c>
      <c r="G3226">
        <v>0.99729946820296922</v>
      </c>
      <c r="H3226" t="s">
        <v>87</v>
      </c>
      <c r="I3226">
        <v>0</v>
      </c>
      <c r="J3226">
        <v>0</v>
      </c>
      <c r="K3226">
        <v>0</v>
      </c>
    </row>
    <row r="3227" spans="1:11" x14ac:dyDescent="0.2">
      <c r="A3227" t="s">
        <v>16</v>
      </c>
      <c r="B3227" t="s">
        <v>4391</v>
      </c>
      <c r="C3227">
        <v>375</v>
      </c>
      <c r="D3227" t="s">
        <v>7774</v>
      </c>
      <c r="E3227" t="s">
        <v>49</v>
      </c>
      <c r="F3227">
        <v>14</v>
      </c>
      <c r="G3227">
        <v>0.99729946820296922</v>
      </c>
      <c r="H3227" t="s">
        <v>101</v>
      </c>
      <c r="I3227">
        <v>0</v>
      </c>
      <c r="J3227">
        <v>0</v>
      </c>
      <c r="K3227">
        <v>0</v>
      </c>
    </row>
    <row r="3228" spans="1:11" x14ac:dyDescent="0.2">
      <c r="A3228" t="s">
        <v>16</v>
      </c>
      <c r="B3228" t="s">
        <v>4391</v>
      </c>
      <c r="C3228">
        <v>375</v>
      </c>
      <c r="D3228" t="s">
        <v>7767</v>
      </c>
      <c r="E3228" t="s">
        <v>49</v>
      </c>
      <c r="F3228">
        <v>14</v>
      </c>
      <c r="G3228">
        <v>0.99729946820296922</v>
      </c>
      <c r="H3228" t="s">
        <v>105</v>
      </c>
      <c r="I3228">
        <v>0</v>
      </c>
      <c r="J3228">
        <v>0</v>
      </c>
      <c r="K3228">
        <v>0</v>
      </c>
    </row>
    <row r="3229" spans="1:11" x14ac:dyDescent="0.2">
      <c r="A3229" t="s">
        <v>16</v>
      </c>
      <c r="B3229" t="s">
        <v>4391</v>
      </c>
      <c r="C3229">
        <v>375</v>
      </c>
      <c r="D3229" t="s">
        <v>7706</v>
      </c>
      <c r="E3229" t="s">
        <v>49</v>
      </c>
      <c r="F3229">
        <v>14</v>
      </c>
      <c r="G3229">
        <v>0.99729946820296922</v>
      </c>
      <c r="H3229" t="s">
        <v>84</v>
      </c>
      <c r="I3229">
        <v>0</v>
      </c>
      <c r="J3229">
        <v>0</v>
      </c>
      <c r="K3229">
        <v>0</v>
      </c>
    </row>
    <row r="3230" spans="1:11" x14ac:dyDescent="0.2">
      <c r="A3230" t="s">
        <v>16</v>
      </c>
      <c r="B3230" t="s">
        <v>4391</v>
      </c>
      <c r="C3230">
        <v>375</v>
      </c>
      <c r="D3230" t="s">
        <v>7733</v>
      </c>
      <c r="E3230" t="s">
        <v>49</v>
      </c>
      <c r="F3230">
        <v>14</v>
      </c>
      <c r="G3230">
        <v>0.99729946820296922</v>
      </c>
      <c r="H3230" t="s">
        <v>89</v>
      </c>
      <c r="I3230">
        <v>0</v>
      </c>
      <c r="J3230">
        <v>0</v>
      </c>
      <c r="K3230">
        <v>0</v>
      </c>
    </row>
    <row r="3231" spans="1:11" x14ac:dyDescent="0.2">
      <c r="A3231" t="s">
        <v>16</v>
      </c>
      <c r="B3231" t="s">
        <v>4391</v>
      </c>
      <c r="C3231">
        <v>375</v>
      </c>
      <c r="D3231" t="s">
        <v>7727</v>
      </c>
      <c r="E3231" t="s">
        <v>49</v>
      </c>
      <c r="F3231">
        <v>14</v>
      </c>
      <c r="G3231">
        <v>0.99729946820296922</v>
      </c>
      <c r="H3231" t="s">
        <v>97</v>
      </c>
      <c r="I3231">
        <v>0</v>
      </c>
      <c r="J3231">
        <v>0</v>
      </c>
      <c r="K3231">
        <v>0</v>
      </c>
    </row>
    <row r="3232" spans="1:11" x14ac:dyDescent="0.2">
      <c r="A3232" t="s">
        <v>16</v>
      </c>
      <c r="B3232" t="s">
        <v>4391</v>
      </c>
      <c r="C3232">
        <v>375</v>
      </c>
      <c r="D3232" t="s">
        <v>7703</v>
      </c>
      <c r="E3232" t="s">
        <v>49</v>
      </c>
      <c r="F3232">
        <v>14</v>
      </c>
      <c r="G3232">
        <v>0.99729946820296922</v>
      </c>
      <c r="H3232" t="s">
        <v>103</v>
      </c>
      <c r="I3232">
        <v>0</v>
      </c>
      <c r="J3232">
        <v>0</v>
      </c>
      <c r="K3232">
        <v>0</v>
      </c>
    </row>
    <row r="3233" spans="1:11" x14ac:dyDescent="0.2">
      <c r="A3233" t="s">
        <v>16</v>
      </c>
      <c r="B3233" t="s">
        <v>4391</v>
      </c>
      <c r="C3233">
        <v>375</v>
      </c>
      <c r="D3233" t="s">
        <v>7753</v>
      </c>
      <c r="E3233" t="s">
        <v>49</v>
      </c>
      <c r="F3233">
        <v>14</v>
      </c>
      <c r="G3233">
        <v>0.99729946820296922</v>
      </c>
      <c r="H3233" t="s">
        <v>98</v>
      </c>
      <c r="I3233">
        <v>0</v>
      </c>
      <c r="J3233">
        <v>0</v>
      </c>
      <c r="K3233">
        <v>0</v>
      </c>
    </row>
    <row r="3234" spans="1:11" x14ac:dyDescent="0.2">
      <c r="A3234" t="s">
        <v>16</v>
      </c>
      <c r="B3234" t="s">
        <v>4391</v>
      </c>
      <c r="C3234">
        <v>375</v>
      </c>
      <c r="D3234" t="s">
        <v>7764</v>
      </c>
      <c r="E3234" t="s">
        <v>49</v>
      </c>
      <c r="F3234">
        <v>14</v>
      </c>
      <c r="G3234">
        <v>0.99729946820296922</v>
      </c>
      <c r="H3234" t="s">
        <v>88</v>
      </c>
      <c r="I3234">
        <v>0</v>
      </c>
      <c r="J3234">
        <v>0</v>
      </c>
      <c r="K3234">
        <v>0</v>
      </c>
    </row>
    <row r="3235" spans="1:11" x14ac:dyDescent="0.2">
      <c r="A3235" t="s">
        <v>16</v>
      </c>
      <c r="B3235" t="s">
        <v>4391</v>
      </c>
      <c r="C3235">
        <v>375</v>
      </c>
      <c r="D3235" t="s">
        <v>7736</v>
      </c>
      <c r="E3235" t="s">
        <v>49</v>
      </c>
      <c r="F3235">
        <v>14</v>
      </c>
      <c r="G3235">
        <v>0.99729946820296922</v>
      </c>
      <c r="H3235" t="s">
        <v>99</v>
      </c>
      <c r="I3235">
        <v>0</v>
      </c>
      <c r="J3235">
        <v>0</v>
      </c>
      <c r="K3235">
        <v>0</v>
      </c>
    </row>
    <row r="3236" spans="1:11" x14ac:dyDescent="0.2">
      <c r="A3236" t="s">
        <v>16</v>
      </c>
      <c r="B3236" t="s">
        <v>4391</v>
      </c>
      <c r="C3236">
        <v>375</v>
      </c>
      <c r="D3236" t="s">
        <v>7724</v>
      </c>
      <c r="E3236" t="s">
        <v>49</v>
      </c>
      <c r="F3236">
        <v>14</v>
      </c>
      <c r="G3236">
        <v>0.99729946820296922</v>
      </c>
      <c r="H3236" t="s">
        <v>93</v>
      </c>
      <c r="I3236">
        <v>0</v>
      </c>
      <c r="J3236">
        <v>0</v>
      </c>
      <c r="K3236">
        <v>0</v>
      </c>
    </row>
    <row r="3237" spans="1:11" x14ac:dyDescent="0.2">
      <c r="A3237" t="s">
        <v>16</v>
      </c>
      <c r="B3237" t="s">
        <v>4391</v>
      </c>
      <c r="C3237">
        <v>375</v>
      </c>
      <c r="D3237" t="s">
        <v>7708</v>
      </c>
      <c r="E3237" t="s">
        <v>49</v>
      </c>
      <c r="F3237">
        <v>14</v>
      </c>
      <c r="G3237">
        <v>0.99729946820296922</v>
      </c>
      <c r="H3237" t="s">
        <v>92</v>
      </c>
      <c r="I3237">
        <v>0</v>
      </c>
      <c r="J3237">
        <v>0</v>
      </c>
      <c r="K3237">
        <v>0</v>
      </c>
    </row>
    <row r="3238" spans="1:11" x14ac:dyDescent="0.2">
      <c r="A3238" t="s">
        <v>16</v>
      </c>
      <c r="B3238" t="s">
        <v>4391</v>
      </c>
      <c r="C3238">
        <v>375</v>
      </c>
      <c r="D3238" t="s">
        <v>7711</v>
      </c>
      <c r="E3238" t="s">
        <v>49</v>
      </c>
      <c r="F3238">
        <v>14</v>
      </c>
      <c r="G3238">
        <v>0.99729946820296922</v>
      </c>
      <c r="H3238" t="s">
        <v>104</v>
      </c>
      <c r="I3238">
        <v>0</v>
      </c>
      <c r="J3238">
        <v>0</v>
      </c>
      <c r="K3238">
        <v>0</v>
      </c>
    </row>
    <row r="3239" spans="1:11" x14ac:dyDescent="0.2">
      <c r="A3239" t="s">
        <v>16</v>
      </c>
      <c r="B3239" t="s">
        <v>4391</v>
      </c>
      <c r="C3239">
        <v>375</v>
      </c>
      <c r="D3239" t="s">
        <v>7713</v>
      </c>
      <c r="E3239" t="s">
        <v>49</v>
      </c>
      <c r="F3239">
        <v>14</v>
      </c>
      <c r="G3239">
        <v>0.99729946820296922</v>
      </c>
      <c r="H3239" t="s">
        <v>94</v>
      </c>
      <c r="I3239">
        <v>0</v>
      </c>
      <c r="J3239">
        <v>0</v>
      </c>
      <c r="K3239">
        <v>0</v>
      </c>
    </row>
    <row r="3240" spans="1:11" x14ac:dyDescent="0.2">
      <c r="A3240" t="s">
        <v>16</v>
      </c>
      <c r="B3240" t="s">
        <v>4391</v>
      </c>
      <c r="C3240">
        <v>375</v>
      </c>
      <c r="D3240" t="s">
        <v>7704</v>
      </c>
      <c r="E3240" t="s">
        <v>49</v>
      </c>
      <c r="F3240">
        <v>14</v>
      </c>
      <c r="G3240">
        <v>0.99729946820296922</v>
      </c>
      <c r="H3240" t="s">
        <v>87</v>
      </c>
      <c r="I3240">
        <v>0</v>
      </c>
      <c r="J3240">
        <v>0</v>
      </c>
      <c r="K3240">
        <v>0</v>
      </c>
    </row>
    <row r="3241" spans="1:11" x14ac:dyDescent="0.2">
      <c r="A3241" t="s">
        <v>16</v>
      </c>
      <c r="B3241" t="s">
        <v>4391</v>
      </c>
      <c r="C3241">
        <v>375</v>
      </c>
      <c r="D3241" t="s">
        <v>7734</v>
      </c>
      <c r="E3241" t="s">
        <v>49</v>
      </c>
      <c r="F3241">
        <v>14</v>
      </c>
      <c r="G3241">
        <v>0.99729946820296922</v>
      </c>
      <c r="H3241" t="s">
        <v>101</v>
      </c>
      <c r="I3241">
        <v>0</v>
      </c>
      <c r="J3241">
        <v>0</v>
      </c>
      <c r="K3241">
        <v>0</v>
      </c>
    </row>
    <row r="3242" spans="1:11" x14ac:dyDescent="0.2">
      <c r="A3242" t="s">
        <v>16</v>
      </c>
      <c r="B3242" t="s">
        <v>4391</v>
      </c>
      <c r="C3242">
        <v>375</v>
      </c>
      <c r="D3242" t="s">
        <v>7731</v>
      </c>
      <c r="E3242" t="s">
        <v>49</v>
      </c>
      <c r="F3242">
        <v>14</v>
      </c>
      <c r="G3242">
        <v>0.99729946820296922</v>
      </c>
      <c r="H3242" t="s">
        <v>105</v>
      </c>
      <c r="I3242">
        <v>0</v>
      </c>
      <c r="J3242">
        <v>0</v>
      </c>
      <c r="K3242">
        <v>0</v>
      </c>
    </row>
    <row r="3243" spans="1:11" x14ac:dyDescent="0.2">
      <c r="A3243" t="s">
        <v>16</v>
      </c>
      <c r="B3243" t="s">
        <v>4391</v>
      </c>
      <c r="C3243">
        <v>375</v>
      </c>
      <c r="D3243" t="s">
        <v>7705</v>
      </c>
      <c r="E3243" t="s">
        <v>49</v>
      </c>
      <c r="F3243">
        <v>14</v>
      </c>
      <c r="G3243">
        <v>0.99729946820296922</v>
      </c>
      <c r="H3243" t="s">
        <v>84</v>
      </c>
      <c r="I3243">
        <v>0</v>
      </c>
      <c r="J3243">
        <v>0</v>
      </c>
      <c r="K3243">
        <v>0</v>
      </c>
    </row>
    <row r="3244" spans="1:11" x14ac:dyDescent="0.2">
      <c r="A3244" t="s">
        <v>16</v>
      </c>
      <c r="B3244" t="s">
        <v>4391</v>
      </c>
      <c r="C3244">
        <v>375</v>
      </c>
      <c r="D3244" t="s">
        <v>7728</v>
      </c>
      <c r="E3244" t="s">
        <v>49</v>
      </c>
      <c r="F3244">
        <v>14</v>
      </c>
      <c r="G3244">
        <v>0.99729946820296922</v>
      </c>
      <c r="H3244" t="s">
        <v>89</v>
      </c>
      <c r="I3244">
        <v>0</v>
      </c>
      <c r="J3244">
        <v>0</v>
      </c>
      <c r="K3244">
        <v>0</v>
      </c>
    </row>
    <row r="3245" spans="1:11" x14ac:dyDescent="0.2">
      <c r="A3245" t="s">
        <v>16</v>
      </c>
      <c r="B3245" t="s">
        <v>4391</v>
      </c>
      <c r="C3245">
        <v>375</v>
      </c>
      <c r="D3245" t="s">
        <v>7762</v>
      </c>
      <c r="E3245" t="s">
        <v>49</v>
      </c>
      <c r="F3245">
        <v>14</v>
      </c>
      <c r="G3245">
        <v>0.99729946820296922</v>
      </c>
      <c r="H3245" t="s">
        <v>97</v>
      </c>
      <c r="I3245">
        <v>0</v>
      </c>
      <c r="J3245">
        <v>0</v>
      </c>
      <c r="K3245">
        <v>0</v>
      </c>
    </row>
    <row r="3246" spans="1:11" x14ac:dyDescent="0.2">
      <c r="A3246" t="s">
        <v>16</v>
      </c>
      <c r="B3246" t="s">
        <v>4391</v>
      </c>
      <c r="C3246">
        <v>375</v>
      </c>
      <c r="D3246" t="s">
        <v>7748</v>
      </c>
      <c r="E3246" t="s">
        <v>49</v>
      </c>
      <c r="F3246">
        <v>14</v>
      </c>
      <c r="G3246">
        <v>0.99729946820296922</v>
      </c>
      <c r="H3246" t="s">
        <v>103</v>
      </c>
      <c r="I3246">
        <v>0</v>
      </c>
      <c r="J3246">
        <v>0</v>
      </c>
      <c r="K3246">
        <v>0</v>
      </c>
    </row>
    <row r="3247" spans="1:11" x14ac:dyDescent="0.2">
      <c r="A3247" t="s">
        <v>16</v>
      </c>
      <c r="B3247" t="s">
        <v>4391</v>
      </c>
      <c r="C3247">
        <v>375</v>
      </c>
      <c r="D3247" t="s">
        <v>7718</v>
      </c>
      <c r="E3247" t="s">
        <v>49</v>
      </c>
      <c r="F3247">
        <v>14</v>
      </c>
      <c r="G3247">
        <v>0.99729946820296922</v>
      </c>
      <c r="H3247" t="s">
        <v>98</v>
      </c>
      <c r="I3247">
        <v>0</v>
      </c>
      <c r="J3247">
        <v>0</v>
      </c>
      <c r="K3247">
        <v>0</v>
      </c>
    </row>
    <row r="3248" spans="1:11" x14ac:dyDescent="0.2">
      <c r="A3248" t="s">
        <v>16</v>
      </c>
      <c r="B3248" t="s">
        <v>4391</v>
      </c>
      <c r="C3248">
        <v>375</v>
      </c>
      <c r="D3248" t="s">
        <v>7770</v>
      </c>
      <c r="E3248" t="s">
        <v>49</v>
      </c>
      <c r="F3248">
        <v>14</v>
      </c>
      <c r="G3248">
        <v>0.99729946820296922</v>
      </c>
      <c r="H3248" t="s">
        <v>88</v>
      </c>
      <c r="I3248">
        <v>0</v>
      </c>
      <c r="J3248">
        <v>0</v>
      </c>
      <c r="K3248">
        <v>0</v>
      </c>
    </row>
    <row r="3249" spans="1:11" x14ac:dyDescent="0.2">
      <c r="A3249" t="s">
        <v>16</v>
      </c>
      <c r="B3249" t="s">
        <v>4391</v>
      </c>
      <c r="C3249">
        <v>375</v>
      </c>
      <c r="D3249" t="s">
        <v>7757</v>
      </c>
      <c r="E3249" t="s">
        <v>49</v>
      </c>
      <c r="F3249">
        <v>14</v>
      </c>
      <c r="G3249">
        <v>0.99729946820296922</v>
      </c>
      <c r="H3249" t="s">
        <v>99</v>
      </c>
      <c r="I3249">
        <v>0</v>
      </c>
      <c r="J3249">
        <v>0</v>
      </c>
      <c r="K3249">
        <v>0</v>
      </c>
    </row>
    <row r="3250" spans="1:11" x14ac:dyDescent="0.2">
      <c r="A3250" t="s">
        <v>16</v>
      </c>
      <c r="B3250" t="s">
        <v>4391</v>
      </c>
      <c r="C3250">
        <v>125</v>
      </c>
      <c r="D3250" t="s">
        <v>7749</v>
      </c>
      <c r="E3250" t="s">
        <v>49</v>
      </c>
      <c r="F3250">
        <v>14</v>
      </c>
      <c r="G3250">
        <v>0.33243315606765639</v>
      </c>
      <c r="H3250" t="s">
        <v>93</v>
      </c>
      <c r="I3250">
        <v>0</v>
      </c>
      <c r="J3250">
        <v>0</v>
      </c>
      <c r="K3250">
        <v>0</v>
      </c>
    </row>
    <row r="3251" spans="1:11" x14ac:dyDescent="0.2">
      <c r="A3251" t="s">
        <v>16</v>
      </c>
      <c r="B3251" t="s">
        <v>4391</v>
      </c>
      <c r="C3251">
        <v>375</v>
      </c>
      <c r="D3251" t="s">
        <v>7715</v>
      </c>
      <c r="E3251" t="s">
        <v>49</v>
      </c>
      <c r="F3251">
        <v>14</v>
      </c>
      <c r="G3251">
        <v>0.99729946820296922</v>
      </c>
      <c r="H3251" t="s">
        <v>92</v>
      </c>
      <c r="I3251">
        <v>0</v>
      </c>
      <c r="J3251">
        <v>0</v>
      </c>
      <c r="K3251">
        <v>0</v>
      </c>
    </row>
    <row r="3252" spans="1:11" x14ac:dyDescent="0.2">
      <c r="A3252" t="s">
        <v>16</v>
      </c>
      <c r="B3252" t="s">
        <v>4391</v>
      </c>
      <c r="C3252">
        <v>375</v>
      </c>
      <c r="D3252" t="s">
        <v>7717</v>
      </c>
      <c r="E3252" t="s">
        <v>49</v>
      </c>
      <c r="F3252">
        <v>14</v>
      </c>
      <c r="G3252">
        <v>0.99729946820296922</v>
      </c>
      <c r="H3252" t="s">
        <v>93</v>
      </c>
      <c r="I3252">
        <v>0</v>
      </c>
      <c r="J3252">
        <v>0</v>
      </c>
      <c r="K3252">
        <v>0</v>
      </c>
    </row>
    <row r="3253" spans="1:11" x14ac:dyDescent="0.2">
      <c r="A3253" t="s">
        <v>16</v>
      </c>
      <c r="B3253" t="s">
        <v>4391</v>
      </c>
      <c r="C3253">
        <v>375</v>
      </c>
      <c r="D3253" t="s">
        <v>7710</v>
      </c>
      <c r="E3253" t="s">
        <v>49</v>
      </c>
      <c r="F3253">
        <v>14</v>
      </c>
      <c r="G3253">
        <v>0.99729946820296922</v>
      </c>
      <c r="H3253" t="s">
        <v>104</v>
      </c>
      <c r="I3253">
        <v>0</v>
      </c>
      <c r="J3253">
        <v>0</v>
      </c>
      <c r="K3253">
        <v>0</v>
      </c>
    </row>
    <row r="3254" spans="1:11" x14ac:dyDescent="0.2">
      <c r="A3254" t="s">
        <v>16</v>
      </c>
      <c r="B3254" t="s">
        <v>4391</v>
      </c>
      <c r="C3254">
        <v>375</v>
      </c>
      <c r="D3254" t="s">
        <v>7754</v>
      </c>
      <c r="E3254" t="s">
        <v>49</v>
      </c>
      <c r="F3254">
        <v>14</v>
      </c>
      <c r="G3254">
        <v>0.99729946820296922</v>
      </c>
      <c r="H3254" t="s">
        <v>94</v>
      </c>
      <c r="I3254">
        <v>0</v>
      </c>
      <c r="J3254">
        <v>0</v>
      </c>
      <c r="K3254">
        <v>0</v>
      </c>
    </row>
    <row r="3255" spans="1:11" x14ac:dyDescent="0.2">
      <c r="A3255" t="s">
        <v>16</v>
      </c>
      <c r="B3255" t="s">
        <v>4391</v>
      </c>
      <c r="C3255">
        <v>375</v>
      </c>
      <c r="D3255" t="s">
        <v>7747</v>
      </c>
      <c r="E3255" t="s">
        <v>49</v>
      </c>
      <c r="F3255">
        <v>14</v>
      </c>
      <c r="G3255">
        <v>0.99729946820296922</v>
      </c>
      <c r="H3255" t="s">
        <v>87</v>
      </c>
      <c r="I3255">
        <v>0</v>
      </c>
      <c r="J3255">
        <v>0</v>
      </c>
      <c r="K3255">
        <v>0</v>
      </c>
    </row>
    <row r="3256" spans="1:11" x14ac:dyDescent="0.2">
      <c r="A3256" t="s">
        <v>16</v>
      </c>
      <c r="B3256" t="s">
        <v>4391</v>
      </c>
      <c r="C3256">
        <v>125</v>
      </c>
      <c r="D3256" t="s">
        <v>7732</v>
      </c>
      <c r="E3256" t="s">
        <v>49</v>
      </c>
      <c r="F3256">
        <v>14</v>
      </c>
      <c r="G3256">
        <v>0.33243315606765639</v>
      </c>
      <c r="H3256" t="s">
        <v>101</v>
      </c>
      <c r="I3256">
        <v>0</v>
      </c>
      <c r="J3256">
        <v>0</v>
      </c>
      <c r="K3256">
        <v>0</v>
      </c>
    </row>
    <row r="3257" spans="1:11" x14ac:dyDescent="0.2">
      <c r="A3257" t="s">
        <v>16</v>
      </c>
      <c r="B3257" t="s">
        <v>4391</v>
      </c>
      <c r="C3257">
        <v>375</v>
      </c>
      <c r="D3257" t="s">
        <v>7742</v>
      </c>
      <c r="E3257" t="s">
        <v>49</v>
      </c>
      <c r="F3257">
        <v>14</v>
      </c>
      <c r="G3257">
        <v>0.99729946820296922</v>
      </c>
      <c r="H3257" t="s">
        <v>105</v>
      </c>
      <c r="I3257">
        <v>0</v>
      </c>
      <c r="J3257">
        <v>0</v>
      </c>
      <c r="K3257">
        <v>0</v>
      </c>
    </row>
    <row r="3258" spans="1:11" x14ac:dyDescent="0.2">
      <c r="A3258" t="s">
        <v>16</v>
      </c>
      <c r="B3258" t="s">
        <v>4391</v>
      </c>
      <c r="C3258">
        <v>375</v>
      </c>
      <c r="D3258" t="s">
        <v>7756</v>
      </c>
      <c r="E3258" t="s">
        <v>49</v>
      </c>
      <c r="F3258">
        <v>14</v>
      </c>
      <c r="G3258">
        <v>0.99729946820296922</v>
      </c>
      <c r="H3258" t="s">
        <v>84</v>
      </c>
      <c r="I3258">
        <v>0</v>
      </c>
      <c r="J3258">
        <v>0</v>
      </c>
      <c r="K3258">
        <v>0</v>
      </c>
    </row>
    <row r="3259" spans="1:11" x14ac:dyDescent="0.2">
      <c r="A3259" t="s">
        <v>16</v>
      </c>
      <c r="B3259" t="s">
        <v>4391</v>
      </c>
      <c r="C3259">
        <v>375</v>
      </c>
      <c r="D3259" t="s">
        <v>7750</v>
      </c>
      <c r="E3259" t="s">
        <v>49</v>
      </c>
      <c r="F3259">
        <v>14</v>
      </c>
      <c r="G3259">
        <v>0.99729946820296922</v>
      </c>
      <c r="H3259" t="s">
        <v>89</v>
      </c>
      <c r="I3259">
        <v>0</v>
      </c>
      <c r="J3259">
        <v>0</v>
      </c>
      <c r="K3259">
        <v>0</v>
      </c>
    </row>
    <row r="3260" spans="1:11" x14ac:dyDescent="0.2">
      <c r="A3260" t="s">
        <v>16</v>
      </c>
      <c r="B3260" t="s">
        <v>4391</v>
      </c>
      <c r="C3260">
        <v>375</v>
      </c>
      <c r="D3260" t="s">
        <v>7771</v>
      </c>
      <c r="E3260" t="s">
        <v>49</v>
      </c>
      <c r="F3260">
        <v>14</v>
      </c>
      <c r="G3260">
        <v>0.99729946820296922</v>
      </c>
      <c r="H3260" t="s">
        <v>97</v>
      </c>
      <c r="I3260">
        <v>0</v>
      </c>
      <c r="J3260">
        <v>0</v>
      </c>
      <c r="K3260">
        <v>0</v>
      </c>
    </row>
    <row r="3261" spans="1:11" x14ac:dyDescent="0.2">
      <c r="A3261" t="s">
        <v>16</v>
      </c>
      <c r="B3261" t="s">
        <v>4391</v>
      </c>
      <c r="C3261">
        <v>375</v>
      </c>
      <c r="D3261" t="s">
        <v>7739</v>
      </c>
      <c r="E3261" t="s">
        <v>49</v>
      </c>
      <c r="F3261">
        <v>14</v>
      </c>
      <c r="G3261">
        <v>0.99729946820296922</v>
      </c>
      <c r="H3261" t="s">
        <v>103</v>
      </c>
      <c r="I3261">
        <v>0</v>
      </c>
      <c r="J3261">
        <v>0</v>
      </c>
      <c r="K3261">
        <v>0</v>
      </c>
    </row>
    <row r="3262" spans="1:11" x14ac:dyDescent="0.2">
      <c r="A3262" t="s">
        <v>16</v>
      </c>
      <c r="B3262" t="s">
        <v>4391</v>
      </c>
      <c r="C3262">
        <v>125</v>
      </c>
      <c r="D3262" t="s">
        <v>7722</v>
      </c>
      <c r="E3262" t="s">
        <v>49</v>
      </c>
      <c r="F3262">
        <v>14</v>
      </c>
      <c r="G3262">
        <v>0.33243315606765639</v>
      </c>
      <c r="H3262" t="s">
        <v>98</v>
      </c>
      <c r="I3262">
        <v>0</v>
      </c>
      <c r="J3262">
        <v>0</v>
      </c>
      <c r="K3262">
        <v>0</v>
      </c>
    </row>
    <row r="3263" spans="1:11" x14ac:dyDescent="0.2">
      <c r="A3263" t="s">
        <v>16</v>
      </c>
      <c r="B3263" t="s">
        <v>4391</v>
      </c>
      <c r="C3263">
        <v>375</v>
      </c>
      <c r="D3263" t="s">
        <v>7751</v>
      </c>
      <c r="E3263" t="s">
        <v>49</v>
      </c>
      <c r="F3263">
        <v>14</v>
      </c>
      <c r="G3263">
        <v>0.99729946820296922</v>
      </c>
      <c r="H3263" t="s">
        <v>88</v>
      </c>
      <c r="I3263">
        <v>0</v>
      </c>
      <c r="J3263">
        <v>0</v>
      </c>
      <c r="K3263">
        <v>0</v>
      </c>
    </row>
    <row r="3264" spans="1:11" x14ac:dyDescent="0.2">
      <c r="A3264" t="s">
        <v>16</v>
      </c>
      <c r="B3264" t="s">
        <v>4391</v>
      </c>
      <c r="C3264">
        <v>375</v>
      </c>
      <c r="D3264" t="s">
        <v>7769</v>
      </c>
      <c r="E3264" t="s">
        <v>49</v>
      </c>
      <c r="F3264">
        <v>14</v>
      </c>
      <c r="G3264">
        <v>0.99729946820296922</v>
      </c>
      <c r="H3264" t="s">
        <v>99</v>
      </c>
      <c r="I3264">
        <v>0</v>
      </c>
      <c r="J3264">
        <v>0</v>
      </c>
      <c r="K3264">
        <v>0</v>
      </c>
    </row>
    <row r="3265" spans="1:11" x14ac:dyDescent="0.2">
      <c r="A3265" t="s">
        <v>16</v>
      </c>
      <c r="B3265" t="s">
        <v>4391</v>
      </c>
      <c r="C3265">
        <v>375</v>
      </c>
      <c r="D3265" t="s">
        <v>7714</v>
      </c>
      <c r="E3265" t="s">
        <v>49</v>
      </c>
      <c r="F3265">
        <v>14</v>
      </c>
      <c r="G3265">
        <v>0.99729946820296922</v>
      </c>
      <c r="H3265" t="s">
        <v>101</v>
      </c>
      <c r="I3265">
        <v>0</v>
      </c>
      <c r="J3265">
        <v>0</v>
      </c>
      <c r="K3265">
        <v>0</v>
      </c>
    </row>
    <row r="3266" spans="1:11" x14ac:dyDescent="0.2">
      <c r="A3266" t="s">
        <v>16</v>
      </c>
      <c r="B3266" t="s">
        <v>4391</v>
      </c>
      <c r="C3266">
        <v>375</v>
      </c>
      <c r="D3266" t="s">
        <v>7737</v>
      </c>
      <c r="E3266" t="s">
        <v>49</v>
      </c>
      <c r="F3266">
        <v>14</v>
      </c>
      <c r="G3266">
        <v>0.99729946820296922</v>
      </c>
      <c r="H3266" t="s">
        <v>98</v>
      </c>
      <c r="I3266">
        <v>0</v>
      </c>
      <c r="J3266">
        <v>0</v>
      </c>
      <c r="K3266">
        <v>0</v>
      </c>
    </row>
    <row r="3267" spans="1:11" x14ac:dyDescent="0.2">
      <c r="A3267" t="s">
        <v>16</v>
      </c>
      <c r="B3267" t="s">
        <v>4391</v>
      </c>
      <c r="C3267">
        <v>375</v>
      </c>
      <c r="D3267" t="s">
        <v>7752</v>
      </c>
      <c r="E3267" t="s">
        <v>49</v>
      </c>
      <c r="F3267">
        <v>14</v>
      </c>
      <c r="G3267">
        <v>0.99729946820296922</v>
      </c>
      <c r="H3267" t="s">
        <v>92</v>
      </c>
      <c r="I3267">
        <v>0</v>
      </c>
      <c r="J3267">
        <v>0</v>
      </c>
      <c r="K3267">
        <v>0</v>
      </c>
    </row>
    <row r="3268" spans="1:11" x14ac:dyDescent="0.2">
      <c r="A3268" t="s">
        <v>16</v>
      </c>
      <c r="B3268" t="s">
        <v>4391</v>
      </c>
      <c r="C3268">
        <v>375</v>
      </c>
      <c r="D3268" t="s">
        <v>7738</v>
      </c>
      <c r="E3268" t="s">
        <v>49</v>
      </c>
      <c r="F3268">
        <v>14</v>
      </c>
      <c r="G3268">
        <v>0.99729946820296922</v>
      </c>
      <c r="H3268" t="s">
        <v>93</v>
      </c>
      <c r="I3268">
        <v>0</v>
      </c>
      <c r="J3268">
        <v>0</v>
      </c>
      <c r="K3268">
        <v>0</v>
      </c>
    </row>
    <row r="3269" spans="1:11" x14ac:dyDescent="0.2">
      <c r="A3269" t="s">
        <v>16</v>
      </c>
      <c r="B3269" t="s">
        <v>4391</v>
      </c>
      <c r="C3269">
        <v>375</v>
      </c>
      <c r="D3269" t="s">
        <v>7743</v>
      </c>
      <c r="E3269" t="s">
        <v>49</v>
      </c>
      <c r="F3269">
        <v>14</v>
      </c>
      <c r="G3269">
        <v>0.99729946820296922</v>
      </c>
      <c r="H3269" t="s">
        <v>104</v>
      </c>
      <c r="I3269">
        <v>0</v>
      </c>
      <c r="J3269">
        <v>0</v>
      </c>
      <c r="K3269">
        <v>0</v>
      </c>
    </row>
    <row r="3270" spans="1:11" x14ac:dyDescent="0.2">
      <c r="A3270" t="s">
        <v>16</v>
      </c>
      <c r="B3270" t="s">
        <v>4391</v>
      </c>
      <c r="C3270">
        <v>375</v>
      </c>
      <c r="D3270" t="s">
        <v>7765</v>
      </c>
      <c r="E3270" t="s">
        <v>49</v>
      </c>
      <c r="F3270">
        <v>14</v>
      </c>
      <c r="G3270">
        <v>0.99729946820296922</v>
      </c>
      <c r="H3270" t="s">
        <v>94</v>
      </c>
      <c r="I3270">
        <v>0</v>
      </c>
      <c r="J3270">
        <v>0</v>
      </c>
      <c r="K3270">
        <v>0</v>
      </c>
    </row>
    <row r="3271" spans="1:11" x14ac:dyDescent="0.2">
      <c r="A3271" t="s">
        <v>16</v>
      </c>
      <c r="B3271" t="s">
        <v>4391</v>
      </c>
      <c r="C3271">
        <v>375</v>
      </c>
      <c r="D3271" t="s">
        <v>7766</v>
      </c>
      <c r="E3271" t="s">
        <v>49</v>
      </c>
      <c r="F3271">
        <v>14</v>
      </c>
      <c r="G3271">
        <v>0.99729946820296922</v>
      </c>
      <c r="H3271" t="s">
        <v>87</v>
      </c>
      <c r="I3271">
        <v>0</v>
      </c>
      <c r="J3271">
        <v>0</v>
      </c>
      <c r="K3271">
        <v>0</v>
      </c>
    </row>
    <row r="3272" spans="1:11" x14ac:dyDescent="0.2">
      <c r="A3272" t="s">
        <v>16</v>
      </c>
      <c r="B3272" t="s">
        <v>4391</v>
      </c>
      <c r="C3272">
        <v>375</v>
      </c>
      <c r="D3272" t="s">
        <v>7758</v>
      </c>
      <c r="E3272" t="s">
        <v>49</v>
      </c>
      <c r="F3272">
        <v>14</v>
      </c>
      <c r="G3272">
        <v>0.99729946820296922</v>
      </c>
      <c r="H3272" t="s">
        <v>105</v>
      </c>
      <c r="I3272">
        <v>0</v>
      </c>
      <c r="J3272">
        <v>0</v>
      </c>
      <c r="K3272">
        <v>0</v>
      </c>
    </row>
    <row r="3273" spans="1:11" x14ac:dyDescent="0.2">
      <c r="A3273" t="s">
        <v>16</v>
      </c>
      <c r="B3273" t="s">
        <v>4391</v>
      </c>
      <c r="C3273">
        <v>375</v>
      </c>
      <c r="D3273" t="s">
        <v>7763</v>
      </c>
      <c r="E3273" t="s">
        <v>49</v>
      </c>
      <c r="F3273">
        <v>14</v>
      </c>
      <c r="G3273">
        <v>0.99729946820296922</v>
      </c>
      <c r="H3273" t="s">
        <v>84</v>
      </c>
      <c r="I3273">
        <v>0</v>
      </c>
      <c r="J3273">
        <v>0</v>
      </c>
      <c r="K3273">
        <v>0</v>
      </c>
    </row>
    <row r="3274" spans="1:11" x14ac:dyDescent="0.2">
      <c r="A3274" t="s">
        <v>16</v>
      </c>
      <c r="B3274" t="s">
        <v>4391</v>
      </c>
      <c r="C3274">
        <v>375</v>
      </c>
      <c r="D3274" t="s">
        <v>7741</v>
      </c>
      <c r="E3274" t="s">
        <v>49</v>
      </c>
      <c r="F3274">
        <v>14</v>
      </c>
      <c r="G3274">
        <v>0.99729946820296922</v>
      </c>
      <c r="H3274" t="s">
        <v>89</v>
      </c>
      <c r="I3274">
        <v>0</v>
      </c>
      <c r="J3274">
        <v>0</v>
      </c>
      <c r="K3274">
        <v>0</v>
      </c>
    </row>
    <row r="3275" spans="1:11" x14ac:dyDescent="0.2">
      <c r="A3275" t="s">
        <v>16</v>
      </c>
      <c r="B3275" t="s">
        <v>4391</v>
      </c>
      <c r="C3275">
        <v>375</v>
      </c>
      <c r="D3275" t="s">
        <v>7707</v>
      </c>
      <c r="E3275" t="s">
        <v>49</v>
      </c>
      <c r="F3275">
        <v>14</v>
      </c>
      <c r="G3275">
        <v>0.99729946820296922</v>
      </c>
      <c r="H3275" t="s">
        <v>97</v>
      </c>
      <c r="I3275">
        <v>0</v>
      </c>
      <c r="J3275">
        <v>0</v>
      </c>
      <c r="K3275">
        <v>0</v>
      </c>
    </row>
    <row r="3276" spans="1:11" x14ac:dyDescent="0.2">
      <c r="A3276" t="s">
        <v>16</v>
      </c>
      <c r="B3276" t="s">
        <v>4391</v>
      </c>
      <c r="C3276">
        <v>375</v>
      </c>
      <c r="D3276" t="s">
        <v>7709</v>
      </c>
      <c r="E3276" t="s">
        <v>49</v>
      </c>
      <c r="F3276">
        <v>14</v>
      </c>
      <c r="G3276">
        <v>0.99729946820296922</v>
      </c>
      <c r="H3276" t="s">
        <v>103</v>
      </c>
      <c r="I3276">
        <v>0</v>
      </c>
      <c r="J3276">
        <v>0</v>
      </c>
      <c r="K3276">
        <v>0</v>
      </c>
    </row>
    <row r="3277" spans="1:11" x14ac:dyDescent="0.2">
      <c r="A3277" t="s">
        <v>16</v>
      </c>
      <c r="B3277" t="s">
        <v>4391</v>
      </c>
      <c r="C3277">
        <v>375</v>
      </c>
      <c r="D3277" t="s">
        <v>7768</v>
      </c>
      <c r="E3277" t="s">
        <v>49</v>
      </c>
      <c r="F3277">
        <v>14</v>
      </c>
      <c r="G3277">
        <v>0.99729946820296922</v>
      </c>
      <c r="H3277" t="s">
        <v>88</v>
      </c>
      <c r="I3277">
        <v>0</v>
      </c>
      <c r="J3277">
        <v>0</v>
      </c>
      <c r="K3277">
        <v>0</v>
      </c>
    </row>
    <row r="3278" spans="1:11" x14ac:dyDescent="0.2">
      <c r="A3278" t="s">
        <v>16</v>
      </c>
      <c r="B3278" t="s">
        <v>4391</v>
      </c>
      <c r="C3278">
        <v>375</v>
      </c>
      <c r="D3278" t="s">
        <v>7744</v>
      </c>
      <c r="E3278" t="s">
        <v>49</v>
      </c>
      <c r="F3278">
        <v>14</v>
      </c>
      <c r="G3278">
        <v>0.99729946820296922</v>
      </c>
      <c r="H3278" t="s">
        <v>99</v>
      </c>
      <c r="I3278">
        <v>0</v>
      </c>
      <c r="J3278">
        <v>0</v>
      </c>
      <c r="K3278">
        <v>0</v>
      </c>
    </row>
    <row r="3279" spans="1:11" x14ac:dyDescent="0.2">
      <c r="A3279" t="s">
        <v>16</v>
      </c>
      <c r="B3279" t="s">
        <v>4391</v>
      </c>
      <c r="C3279">
        <v>375</v>
      </c>
      <c r="D3279" t="s">
        <v>7745</v>
      </c>
      <c r="E3279" t="s">
        <v>49</v>
      </c>
      <c r="F3279">
        <v>14</v>
      </c>
      <c r="G3279">
        <v>0.99729946820296922</v>
      </c>
      <c r="H3279" t="s">
        <v>101</v>
      </c>
      <c r="I3279">
        <v>0</v>
      </c>
      <c r="J3279">
        <v>0</v>
      </c>
      <c r="K3279">
        <v>0</v>
      </c>
    </row>
    <row r="3280" spans="1:11" x14ac:dyDescent="0.2">
      <c r="A3280" t="s">
        <v>16</v>
      </c>
      <c r="B3280" t="s">
        <v>4391</v>
      </c>
      <c r="C3280">
        <v>375</v>
      </c>
      <c r="D3280" t="s">
        <v>7773</v>
      </c>
      <c r="E3280" t="s">
        <v>49</v>
      </c>
      <c r="F3280">
        <v>14</v>
      </c>
      <c r="G3280">
        <v>0.99729946820296922</v>
      </c>
      <c r="H3280" t="s">
        <v>98</v>
      </c>
      <c r="I3280">
        <v>0</v>
      </c>
      <c r="J3280">
        <v>0</v>
      </c>
      <c r="K3280">
        <v>0</v>
      </c>
    </row>
    <row r="3281" spans="1:11" x14ac:dyDescent="0.2">
      <c r="A3281" t="s">
        <v>16</v>
      </c>
      <c r="B3281" t="s">
        <v>4391</v>
      </c>
      <c r="C3281">
        <v>375</v>
      </c>
      <c r="D3281" t="s">
        <v>7775</v>
      </c>
      <c r="E3281" t="s">
        <v>49</v>
      </c>
      <c r="F3281">
        <v>14</v>
      </c>
      <c r="G3281">
        <v>0.99729946820296922</v>
      </c>
      <c r="H3281" t="s">
        <v>92</v>
      </c>
      <c r="I3281">
        <v>0</v>
      </c>
      <c r="J3281">
        <v>0</v>
      </c>
      <c r="K3281">
        <v>0</v>
      </c>
    </row>
    <row r="3282" spans="1:11" x14ac:dyDescent="0.2">
      <c r="A3282" t="s">
        <v>16</v>
      </c>
      <c r="B3282" t="s">
        <v>4391</v>
      </c>
      <c r="C3282">
        <v>375</v>
      </c>
      <c r="D3282" t="s">
        <v>7777</v>
      </c>
      <c r="E3282" t="s">
        <v>49</v>
      </c>
      <c r="F3282">
        <v>14</v>
      </c>
      <c r="G3282">
        <v>0.99729946820296922</v>
      </c>
      <c r="H3282" t="s">
        <v>93</v>
      </c>
      <c r="I3282">
        <v>0</v>
      </c>
      <c r="J3282">
        <v>0</v>
      </c>
      <c r="K3282">
        <v>0</v>
      </c>
    </row>
    <row r="3283" spans="1:11" x14ac:dyDescent="0.2">
      <c r="A3283" t="s">
        <v>16</v>
      </c>
      <c r="B3283" t="s">
        <v>4391</v>
      </c>
      <c r="C3283">
        <v>375</v>
      </c>
      <c r="D3283" t="s">
        <v>7776</v>
      </c>
      <c r="E3283" t="s">
        <v>49</v>
      </c>
      <c r="F3283">
        <v>14</v>
      </c>
      <c r="G3283">
        <v>0.99729946820296922</v>
      </c>
      <c r="H3283" t="s">
        <v>104</v>
      </c>
      <c r="I3283">
        <v>0</v>
      </c>
      <c r="J3283">
        <v>0</v>
      </c>
      <c r="K3283">
        <v>0</v>
      </c>
    </row>
    <row r="3284" spans="1:11" x14ac:dyDescent="0.2">
      <c r="A3284" t="s">
        <v>16</v>
      </c>
      <c r="B3284" t="s">
        <v>4391</v>
      </c>
      <c r="C3284">
        <v>375</v>
      </c>
      <c r="D3284" t="s">
        <v>7716</v>
      </c>
      <c r="E3284" t="s">
        <v>49</v>
      </c>
      <c r="F3284">
        <v>14</v>
      </c>
      <c r="G3284">
        <v>0.99729946820296922</v>
      </c>
      <c r="H3284" t="s">
        <v>94</v>
      </c>
      <c r="I3284">
        <v>0</v>
      </c>
      <c r="J3284">
        <v>0</v>
      </c>
      <c r="K3284">
        <v>0</v>
      </c>
    </row>
    <row r="3285" spans="1:11" x14ac:dyDescent="0.2">
      <c r="A3285" t="s">
        <v>16</v>
      </c>
      <c r="B3285" t="s">
        <v>4391</v>
      </c>
      <c r="C3285">
        <v>375</v>
      </c>
      <c r="D3285" t="s">
        <v>7712</v>
      </c>
      <c r="E3285" t="s">
        <v>49</v>
      </c>
      <c r="F3285">
        <v>14</v>
      </c>
      <c r="G3285">
        <v>0.99729946820296922</v>
      </c>
      <c r="H3285" t="s">
        <v>87</v>
      </c>
      <c r="I3285">
        <v>0</v>
      </c>
      <c r="J3285">
        <v>0</v>
      </c>
      <c r="K3285">
        <v>0</v>
      </c>
    </row>
    <row r="3286" spans="1:11" x14ac:dyDescent="0.2">
      <c r="A3286" t="s">
        <v>16</v>
      </c>
      <c r="B3286" t="s">
        <v>4391</v>
      </c>
      <c r="C3286">
        <v>375</v>
      </c>
      <c r="D3286" t="s">
        <v>7730</v>
      </c>
      <c r="E3286" t="s">
        <v>49</v>
      </c>
      <c r="F3286">
        <v>14</v>
      </c>
      <c r="G3286">
        <v>0.99729946820296922</v>
      </c>
      <c r="H3286" t="s">
        <v>105</v>
      </c>
      <c r="I3286">
        <v>0</v>
      </c>
      <c r="J3286">
        <v>0</v>
      </c>
      <c r="K3286">
        <v>0</v>
      </c>
    </row>
    <row r="3287" spans="1:11" x14ac:dyDescent="0.2">
      <c r="A3287" t="s">
        <v>16</v>
      </c>
      <c r="B3287" t="s">
        <v>4391</v>
      </c>
      <c r="C3287">
        <v>375</v>
      </c>
      <c r="D3287" t="s">
        <v>7729</v>
      </c>
      <c r="E3287" t="s">
        <v>49</v>
      </c>
      <c r="F3287">
        <v>14</v>
      </c>
      <c r="G3287">
        <v>0.99729946820296922</v>
      </c>
      <c r="H3287" t="s">
        <v>84</v>
      </c>
      <c r="I3287">
        <v>0</v>
      </c>
      <c r="J3287">
        <v>0</v>
      </c>
      <c r="K3287">
        <v>0</v>
      </c>
    </row>
    <row r="3288" spans="1:11" x14ac:dyDescent="0.2">
      <c r="A3288" t="s">
        <v>16</v>
      </c>
      <c r="B3288" t="s">
        <v>4391</v>
      </c>
      <c r="C3288">
        <v>375</v>
      </c>
      <c r="D3288" t="s">
        <v>7746</v>
      </c>
      <c r="E3288" t="s">
        <v>49</v>
      </c>
      <c r="F3288">
        <v>14</v>
      </c>
      <c r="G3288">
        <v>0.99729946820296922</v>
      </c>
      <c r="H3288" t="s">
        <v>89</v>
      </c>
      <c r="I3288">
        <v>0</v>
      </c>
      <c r="J3288">
        <v>0</v>
      </c>
      <c r="K3288">
        <v>0</v>
      </c>
    </row>
    <row r="3289" spans="1:11" x14ac:dyDescent="0.2">
      <c r="A3289" t="s">
        <v>16</v>
      </c>
      <c r="B3289" t="s">
        <v>4391</v>
      </c>
      <c r="C3289">
        <v>375</v>
      </c>
      <c r="D3289" t="s">
        <v>7740</v>
      </c>
      <c r="E3289" t="s">
        <v>49</v>
      </c>
      <c r="F3289">
        <v>14</v>
      </c>
      <c r="G3289">
        <v>0.99729946820296922</v>
      </c>
      <c r="H3289" t="s">
        <v>97</v>
      </c>
      <c r="I3289">
        <v>0</v>
      </c>
      <c r="J3289">
        <v>0</v>
      </c>
      <c r="K3289">
        <v>0</v>
      </c>
    </row>
    <row r="3290" spans="1:11" x14ac:dyDescent="0.2">
      <c r="A3290" t="s">
        <v>16</v>
      </c>
      <c r="B3290" t="s">
        <v>4391</v>
      </c>
      <c r="C3290">
        <v>375</v>
      </c>
      <c r="D3290" t="s">
        <v>7725</v>
      </c>
      <c r="E3290" t="s">
        <v>49</v>
      </c>
      <c r="F3290">
        <v>14</v>
      </c>
      <c r="G3290">
        <v>0.99729946820296922</v>
      </c>
      <c r="H3290" t="s">
        <v>103</v>
      </c>
      <c r="I3290">
        <v>0</v>
      </c>
      <c r="J3290">
        <v>0</v>
      </c>
      <c r="K3290">
        <v>0</v>
      </c>
    </row>
    <row r="3291" spans="1:11" x14ac:dyDescent="0.2">
      <c r="A3291" t="s">
        <v>16</v>
      </c>
      <c r="B3291" t="s">
        <v>4391</v>
      </c>
      <c r="C3291">
        <v>375</v>
      </c>
      <c r="D3291" t="s">
        <v>7755</v>
      </c>
      <c r="E3291" t="s">
        <v>49</v>
      </c>
      <c r="F3291">
        <v>14</v>
      </c>
      <c r="G3291">
        <v>0.99729946820296922</v>
      </c>
      <c r="H3291" t="s">
        <v>88</v>
      </c>
      <c r="I3291">
        <v>0</v>
      </c>
      <c r="J3291">
        <v>0</v>
      </c>
      <c r="K3291">
        <v>0</v>
      </c>
    </row>
    <row r="3292" spans="1:11" x14ac:dyDescent="0.2">
      <c r="A3292" t="s">
        <v>16</v>
      </c>
      <c r="B3292" t="s">
        <v>4391</v>
      </c>
      <c r="C3292">
        <v>375</v>
      </c>
      <c r="D3292" t="s">
        <v>7719</v>
      </c>
      <c r="E3292" t="s">
        <v>49</v>
      </c>
      <c r="F3292">
        <v>14</v>
      </c>
      <c r="G3292">
        <v>0.99729946820296922</v>
      </c>
      <c r="H3292" t="s">
        <v>99</v>
      </c>
      <c r="I3292">
        <v>0</v>
      </c>
      <c r="J3292">
        <v>0</v>
      </c>
      <c r="K3292">
        <v>0</v>
      </c>
    </row>
    <row r="3293" spans="1:11" x14ac:dyDescent="0.2">
      <c r="A3293" t="s">
        <v>16</v>
      </c>
      <c r="B3293" t="s">
        <v>4391</v>
      </c>
      <c r="C3293">
        <v>375</v>
      </c>
      <c r="D3293" t="s">
        <v>7735</v>
      </c>
      <c r="E3293" t="s">
        <v>49</v>
      </c>
      <c r="F3293">
        <v>14</v>
      </c>
      <c r="G3293">
        <v>0.99729946820296922</v>
      </c>
      <c r="H3293" t="s">
        <v>101</v>
      </c>
      <c r="I3293">
        <v>0</v>
      </c>
      <c r="J3293">
        <v>0</v>
      </c>
      <c r="K3293">
        <v>0</v>
      </c>
    </row>
    <row r="3294" spans="1:11" x14ac:dyDescent="0.2">
      <c r="A3294" t="s">
        <v>16</v>
      </c>
      <c r="B3294" t="s">
        <v>4391</v>
      </c>
      <c r="C3294">
        <v>375</v>
      </c>
      <c r="D3294" t="s">
        <v>7726</v>
      </c>
      <c r="E3294" t="s">
        <v>49</v>
      </c>
      <c r="F3294">
        <v>14</v>
      </c>
      <c r="G3294">
        <v>0.99729946820296922</v>
      </c>
      <c r="H3294" t="s">
        <v>98</v>
      </c>
      <c r="I3294">
        <v>0</v>
      </c>
      <c r="J3294">
        <v>0</v>
      </c>
      <c r="K3294">
        <v>0</v>
      </c>
    </row>
    <row r="3295" spans="1:11" x14ac:dyDescent="0.2">
      <c r="A3295" t="s">
        <v>16</v>
      </c>
      <c r="B3295" t="s">
        <v>4391</v>
      </c>
      <c r="C3295">
        <v>375</v>
      </c>
      <c r="D3295" t="s">
        <v>7721</v>
      </c>
      <c r="E3295" t="s">
        <v>49</v>
      </c>
      <c r="F3295">
        <v>14</v>
      </c>
      <c r="G3295">
        <v>0.99729946820296922</v>
      </c>
      <c r="H3295" t="s">
        <v>92</v>
      </c>
      <c r="I3295">
        <v>0</v>
      </c>
      <c r="J3295">
        <v>0</v>
      </c>
      <c r="K3295">
        <v>0</v>
      </c>
    </row>
    <row r="3296" spans="1:11" x14ac:dyDescent="0.2">
      <c r="A3296" t="s">
        <v>16</v>
      </c>
      <c r="B3296" t="s">
        <v>4391</v>
      </c>
      <c r="C3296">
        <v>375</v>
      </c>
      <c r="D3296" t="s">
        <v>7723</v>
      </c>
      <c r="E3296" t="s">
        <v>49</v>
      </c>
      <c r="F3296">
        <v>14</v>
      </c>
      <c r="G3296">
        <v>0.99729946820296922</v>
      </c>
      <c r="H3296" t="s">
        <v>93</v>
      </c>
      <c r="I3296">
        <v>0</v>
      </c>
      <c r="J3296">
        <v>0</v>
      </c>
      <c r="K3296">
        <v>0</v>
      </c>
    </row>
    <row r="3297" spans="1:11" x14ac:dyDescent="0.2">
      <c r="A3297" t="s">
        <v>16</v>
      </c>
      <c r="B3297" t="s">
        <v>4391</v>
      </c>
      <c r="C3297">
        <v>375</v>
      </c>
      <c r="D3297" t="s">
        <v>7720</v>
      </c>
      <c r="E3297" t="s">
        <v>49</v>
      </c>
      <c r="F3297">
        <v>14</v>
      </c>
      <c r="G3297">
        <v>0.99729946820296922</v>
      </c>
      <c r="H3297" t="s">
        <v>104</v>
      </c>
      <c r="I3297">
        <v>0</v>
      </c>
      <c r="J3297">
        <v>0</v>
      </c>
      <c r="K3297">
        <v>0</v>
      </c>
    </row>
    <row r="3298" spans="1:11" x14ac:dyDescent="0.2">
      <c r="A3298" t="s">
        <v>16</v>
      </c>
      <c r="B3298" t="s">
        <v>4392</v>
      </c>
      <c r="C3298">
        <v>525</v>
      </c>
      <c r="D3298" t="s">
        <v>7811</v>
      </c>
      <c r="E3298" t="s">
        <v>49</v>
      </c>
      <c r="F3298">
        <v>14</v>
      </c>
      <c r="G3298">
        <v>0.70731844894532481</v>
      </c>
      <c r="H3298" t="s">
        <v>96</v>
      </c>
      <c r="I3298">
        <v>0</v>
      </c>
      <c r="J3298">
        <v>0</v>
      </c>
      <c r="K3298">
        <v>0</v>
      </c>
    </row>
    <row r="3299" spans="1:11" x14ac:dyDescent="0.2">
      <c r="A3299" t="s">
        <v>16</v>
      </c>
      <c r="B3299" t="s">
        <v>4392</v>
      </c>
      <c r="C3299">
        <v>525</v>
      </c>
      <c r="D3299" t="s">
        <v>7798</v>
      </c>
      <c r="E3299" t="s">
        <v>49</v>
      </c>
      <c r="F3299">
        <v>14</v>
      </c>
      <c r="G3299">
        <v>0.70731844894532481</v>
      </c>
      <c r="H3299" t="s">
        <v>91</v>
      </c>
      <c r="I3299">
        <v>0</v>
      </c>
      <c r="J3299">
        <v>0</v>
      </c>
      <c r="K3299">
        <v>0</v>
      </c>
    </row>
    <row r="3300" spans="1:11" x14ac:dyDescent="0.2">
      <c r="A3300" t="s">
        <v>16</v>
      </c>
      <c r="B3300" t="s">
        <v>4392</v>
      </c>
      <c r="C3300">
        <v>525</v>
      </c>
      <c r="D3300" t="s">
        <v>7810</v>
      </c>
      <c r="E3300" t="s">
        <v>49</v>
      </c>
      <c r="F3300">
        <v>14</v>
      </c>
      <c r="G3300">
        <v>0.70731844894532481</v>
      </c>
      <c r="H3300" t="s">
        <v>96</v>
      </c>
      <c r="I3300">
        <v>0</v>
      </c>
      <c r="J3300">
        <v>0</v>
      </c>
      <c r="K3300">
        <v>0</v>
      </c>
    </row>
    <row r="3301" spans="1:11" x14ac:dyDescent="0.2">
      <c r="A3301" t="s">
        <v>16</v>
      </c>
      <c r="B3301" t="s">
        <v>4392</v>
      </c>
      <c r="C3301">
        <v>525</v>
      </c>
      <c r="D3301" t="s">
        <v>7827</v>
      </c>
      <c r="E3301" t="s">
        <v>49</v>
      </c>
      <c r="F3301">
        <v>14</v>
      </c>
      <c r="G3301">
        <v>0.70731844894532481</v>
      </c>
      <c r="H3301" t="s">
        <v>91</v>
      </c>
      <c r="I3301">
        <v>0</v>
      </c>
      <c r="J3301">
        <v>0</v>
      </c>
      <c r="K3301">
        <v>0</v>
      </c>
    </row>
    <row r="3302" spans="1:11" x14ac:dyDescent="0.2">
      <c r="A3302" t="s">
        <v>16</v>
      </c>
      <c r="B3302" t="s">
        <v>4392</v>
      </c>
      <c r="C3302">
        <v>525</v>
      </c>
      <c r="D3302" t="s">
        <v>7828</v>
      </c>
      <c r="E3302" t="s">
        <v>49</v>
      </c>
      <c r="F3302">
        <v>14</v>
      </c>
      <c r="G3302">
        <v>0.70731844894532481</v>
      </c>
      <c r="H3302" t="s">
        <v>96</v>
      </c>
      <c r="I3302">
        <v>0</v>
      </c>
      <c r="J3302">
        <v>0</v>
      </c>
      <c r="K3302">
        <v>0</v>
      </c>
    </row>
    <row r="3303" spans="1:11" x14ac:dyDescent="0.2">
      <c r="A3303" t="s">
        <v>16</v>
      </c>
      <c r="B3303" t="s">
        <v>4392</v>
      </c>
      <c r="C3303">
        <v>525</v>
      </c>
      <c r="D3303" t="s">
        <v>7826</v>
      </c>
      <c r="E3303" t="s">
        <v>49</v>
      </c>
      <c r="F3303">
        <v>14</v>
      </c>
      <c r="G3303">
        <v>0.70731844894532481</v>
      </c>
      <c r="H3303" t="s">
        <v>91</v>
      </c>
      <c r="I3303">
        <v>0</v>
      </c>
      <c r="J3303">
        <v>0</v>
      </c>
      <c r="K3303">
        <v>0</v>
      </c>
    </row>
    <row r="3304" spans="1:11" x14ac:dyDescent="0.2">
      <c r="A3304" t="s">
        <v>16</v>
      </c>
      <c r="B3304" t="s">
        <v>4392</v>
      </c>
      <c r="C3304">
        <v>525</v>
      </c>
      <c r="D3304" t="s">
        <v>7809</v>
      </c>
      <c r="E3304" t="s">
        <v>49</v>
      </c>
      <c r="F3304">
        <v>14</v>
      </c>
      <c r="G3304">
        <v>0.70731844894532481</v>
      </c>
      <c r="H3304" t="s">
        <v>96</v>
      </c>
      <c r="I3304">
        <v>0</v>
      </c>
      <c r="J3304">
        <v>0</v>
      </c>
      <c r="K3304">
        <v>0</v>
      </c>
    </row>
    <row r="3305" spans="1:11" x14ac:dyDescent="0.2">
      <c r="A3305" t="s">
        <v>16</v>
      </c>
      <c r="B3305" t="s">
        <v>4392</v>
      </c>
      <c r="C3305">
        <v>525</v>
      </c>
      <c r="D3305" t="s">
        <v>7831</v>
      </c>
      <c r="E3305" t="s">
        <v>49</v>
      </c>
      <c r="F3305">
        <v>14</v>
      </c>
      <c r="G3305">
        <v>0.70731844894532481</v>
      </c>
      <c r="H3305" t="s">
        <v>91</v>
      </c>
      <c r="I3305">
        <v>0</v>
      </c>
      <c r="J3305">
        <v>0</v>
      </c>
      <c r="K3305">
        <v>0</v>
      </c>
    </row>
    <row r="3306" spans="1:11" x14ac:dyDescent="0.2">
      <c r="A3306" t="s">
        <v>16</v>
      </c>
      <c r="B3306" t="s">
        <v>4392</v>
      </c>
      <c r="C3306">
        <v>525</v>
      </c>
      <c r="D3306" t="s">
        <v>7806</v>
      </c>
      <c r="E3306" t="s">
        <v>49</v>
      </c>
      <c r="F3306">
        <v>14</v>
      </c>
      <c r="G3306">
        <v>0.70731844894532481</v>
      </c>
      <c r="H3306" t="s">
        <v>96</v>
      </c>
      <c r="I3306">
        <v>0</v>
      </c>
      <c r="J3306">
        <v>0</v>
      </c>
      <c r="K3306">
        <v>0</v>
      </c>
    </row>
    <row r="3307" spans="1:11" x14ac:dyDescent="0.2">
      <c r="A3307" t="s">
        <v>16</v>
      </c>
      <c r="B3307" t="s">
        <v>4392</v>
      </c>
      <c r="C3307">
        <v>525</v>
      </c>
      <c r="D3307" t="s">
        <v>7813</v>
      </c>
      <c r="E3307" t="s">
        <v>49</v>
      </c>
      <c r="F3307">
        <v>14</v>
      </c>
      <c r="G3307">
        <v>0.70731844894532481</v>
      </c>
      <c r="H3307" t="s">
        <v>91</v>
      </c>
      <c r="I3307">
        <v>0</v>
      </c>
      <c r="J3307">
        <v>0</v>
      </c>
      <c r="K3307">
        <v>0</v>
      </c>
    </row>
    <row r="3308" spans="1:11" x14ac:dyDescent="0.2">
      <c r="A3308" t="s">
        <v>16</v>
      </c>
      <c r="B3308" t="s">
        <v>4392</v>
      </c>
      <c r="C3308">
        <v>525</v>
      </c>
      <c r="D3308" t="s">
        <v>7818</v>
      </c>
      <c r="E3308" t="s">
        <v>49</v>
      </c>
      <c r="F3308">
        <v>14</v>
      </c>
      <c r="G3308">
        <v>0.70731844894532481</v>
      </c>
      <c r="H3308" t="s">
        <v>95</v>
      </c>
      <c r="I3308">
        <v>0</v>
      </c>
      <c r="J3308">
        <v>0</v>
      </c>
      <c r="K3308">
        <v>0</v>
      </c>
    </row>
    <row r="3309" spans="1:11" x14ac:dyDescent="0.2">
      <c r="A3309" t="s">
        <v>16</v>
      </c>
      <c r="B3309" t="s">
        <v>4392</v>
      </c>
      <c r="C3309">
        <v>525</v>
      </c>
      <c r="D3309" t="s">
        <v>7802</v>
      </c>
      <c r="E3309" t="s">
        <v>49</v>
      </c>
      <c r="F3309">
        <v>14</v>
      </c>
      <c r="G3309">
        <v>0.70731844894532481</v>
      </c>
      <c r="H3309" t="s">
        <v>96</v>
      </c>
      <c r="I3309">
        <v>0</v>
      </c>
      <c r="J3309">
        <v>0</v>
      </c>
      <c r="K3309">
        <v>0</v>
      </c>
    </row>
    <row r="3310" spans="1:11" x14ac:dyDescent="0.2">
      <c r="A3310" t="s">
        <v>16</v>
      </c>
      <c r="B3310" t="s">
        <v>4392</v>
      </c>
      <c r="C3310">
        <v>525</v>
      </c>
      <c r="D3310" t="s">
        <v>7814</v>
      </c>
      <c r="E3310" t="s">
        <v>49</v>
      </c>
      <c r="F3310">
        <v>14</v>
      </c>
      <c r="G3310">
        <v>0.70731844894532481</v>
      </c>
      <c r="H3310" t="s">
        <v>91</v>
      </c>
      <c r="I3310">
        <v>0</v>
      </c>
      <c r="J3310">
        <v>0</v>
      </c>
      <c r="K3310">
        <v>0</v>
      </c>
    </row>
    <row r="3311" spans="1:11" x14ac:dyDescent="0.2">
      <c r="A3311" t="s">
        <v>16</v>
      </c>
      <c r="B3311" t="s">
        <v>4392</v>
      </c>
      <c r="C3311">
        <v>525</v>
      </c>
      <c r="D3311" t="s">
        <v>7803</v>
      </c>
      <c r="E3311" t="s">
        <v>49</v>
      </c>
      <c r="F3311">
        <v>14</v>
      </c>
      <c r="G3311">
        <v>0.70731844894532481</v>
      </c>
      <c r="H3311" t="s">
        <v>95</v>
      </c>
      <c r="I3311">
        <v>0</v>
      </c>
      <c r="J3311">
        <v>0</v>
      </c>
      <c r="K3311">
        <v>0</v>
      </c>
    </row>
    <row r="3312" spans="1:11" x14ac:dyDescent="0.2">
      <c r="A3312" t="s">
        <v>16</v>
      </c>
      <c r="B3312" t="s">
        <v>4392</v>
      </c>
      <c r="C3312">
        <v>525</v>
      </c>
      <c r="D3312" t="s">
        <v>7808</v>
      </c>
      <c r="E3312" t="s">
        <v>49</v>
      </c>
      <c r="F3312">
        <v>14</v>
      </c>
      <c r="G3312">
        <v>0.70731844894532481</v>
      </c>
      <c r="H3312" t="s">
        <v>96</v>
      </c>
      <c r="I3312">
        <v>0</v>
      </c>
      <c r="J3312">
        <v>0</v>
      </c>
      <c r="K3312">
        <v>0</v>
      </c>
    </row>
    <row r="3313" spans="1:11" x14ac:dyDescent="0.2">
      <c r="A3313" t="s">
        <v>16</v>
      </c>
      <c r="B3313" t="s">
        <v>4392</v>
      </c>
      <c r="C3313">
        <v>525</v>
      </c>
      <c r="D3313" t="s">
        <v>7807</v>
      </c>
      <c r="E3313" t="s">
        <v>49</v>
      </c>
      <c r="F3313">
        <v>14</v>
      </c>
      <c r="G3313">
        <v>0.70731844894532481</v>
      </c>
      <c r="H3313" t="s">
        <v>91</v>
      </c>
      <c r="I3313">
        <v>0</v>
      </c>
      <c r="J3313">
        <v>0</v>
      </c>
      <c r="K3313">
        <v>0</v>
      </c>
    </row>
    <row r="3314" spans="1:11" x14ac:dyDescent="0.2">
      <c r="A3314" t="s">
        <v>16</v>
      </c>
      <c r="B3314" t="s">
        <v>4392</v>
      </c>
      <c r="C3314">
        <v>525</v>
      </c>
      <c r="D3314" t="s">
        <v>7817</v>
      </c>
      <c r="E3314" t="s">
        <v>49</v>
      </c>
      <c r="F3314">
        <v>14</v>
      </c>
      <c r="G3314">
        <v>0.70731844894532481</v>
      </c>
      <c r="H3314" t="s">
        <v>94</v>
      </c>
      <c r="I3314">
        <v>0</v>
      </c>
      <c r="J3314">
        <v>0</v>
      </c>
      <c r="K3314">
        <v>0</v>
      </c>
    </row>
    <row r="3315" spans="1:11" x14ac:dyDescent="0.2">
      <c r="A3315" t="s">
        <v>16</v>
      </c>
      <c r="B3315" t="s">
        <v>4392</v>
      </c>
      <c r="C3315">
        <v>525</v>
      </c>
      <c r="D3315" t="s">
        <v>7804</v>
      </c>
      <c r="E3315" t="s">
        <v>49</v>
      </c>
      <c r="F3315">
        <v>14</v>
      </c>
      <c r="G3315">
        <v>0.70731844894532481</v>
      </c>
      <c r="H3315" t="s">
        <v>87</v>
      </c>
      <c r="I3315">
        <v>0</v>
      </c>
      <c r="J3315">
        <v>0</v>
      </c>
      <c r="K3315">
        <v>0</v>
      </c>
    </row>
    <row r="3316" spans="1:11" x14ac:dyDescent="0.2">
      <c r="A3316" t="s">
        <v>16</v>
      </c>
      <c r="B3316" t="s">
        <v>4392</v>
      </c>
      <c r="C3316">
        <v>525</v>
      </c>
      <c r="D3316" t="s">
        <v>7780</v>
      </c>
      <c r="E3316" t="s">
        <v>49</v>
      </c>
      <c r="F3316">
        <v>14</v>
      </c>
      <c r="G3316">
        <v>0.70731844894532481</v>
      </c>
      <c r="H3316" t="s">
        <v>105</v>
      </c>
      <c r="I3316">
        <v>0</v>
      </c>
      <c r="J3316">
        <v>0</v>
      </c>
      <c r="K3316">
        <v>0</v>
      </c>
    </row>
    <row r="3317" spans="1:11" x14ac:dyDescent="0.2">
      <c r="A3317" t="s">
        <v>16</v>
      </c>
      <c r="B3317" t="s">
        <v>4392</v>
      </c>
      <c r="C3317">
        <v>525</v>
      </c>
      <c r="D3317" t="s">
        <v>7785</v>
      </c>
      <c r="E3317" t="s">
        <v>49</v>
      </c>
      <c r="F3317">
        <v>14</v>
      </c>
      <c r="G3317">
        <v>0.70731844894532481</v>
      </c>
      <c r="H3317" t="s">
        <v>84</v>
      </c>
      <c r="I3317">
        <v>0</v>
      </c>
      <c r="J3317">
        <v>0</v>
      </c>
      <c r="K3317">
        <v>0</v>
      </c>
    </row>
    <row r="3318" spans="1:11" x14ac:dyDescent="0.2">
      <c r="A3318" t="s">
        <v>16</v>
      </c>
      <c r="B3318" t="s">
        <v>4392</v>
      </c>
      <c r="C3318">
        <v>175</v>
      </c>
      <c r="D3318" t="s">
        <v>7786</v>
      </c>
      <c r="E3318" t="s">
        <v>49</v>
      </c>
      <c r="F3318">
        <v>14</v>
      </c>
      <c r="G3318">
        <v>0.23577281631510827</v>
      </c>
      <c r="H3318" t="s">
        <v>89</v>
      </c>
      <c r="I3318">
        <v>0</v>
      </c>
      <c r="J3318">
        <v>0</v>
      </c>
      <c r="K3318">
        <v>0</v>
      </c>
    </row>
    <row r="3319" spans="1:11" x14ac:dyDescent="0.2">
      <c r="A3319" t="s">
        <v>16</v>
      </c>
      <c r="B3319" t="s">
        <v>4392</v>
      </c>
      <c r="C3319">
        <v>175</v>
      </c>
      <c r="D3319" t="s">
        <v>7791</v>
      </c>
      <c r="E3319" t="s">
        <v>49</v>
      </c>
      <c r="F3319">
        <v>14</v>
      </c>
      <c r="G3319">
        <v>0.23577281631510827</v>
      </c>
      <c r="H3319" t="s">
        <v>97</v>
      </c>
      <c r="I3319">
        <v>0</v>
      </c>
      <c r="J3319">
        <v>0</v>
      </c>
      <c r="K3319">
        <v>0</v>
      </c>
    </row>
    <row r="3320" spans="1:11" x14ac:dyDescent="0.2">
      <c r="A3320" t="s">
        <v>16</v>
      </c>
      <c r="B3320" t="s">
        <v>4392</v>
      </c>
      <c r="C3320">
        <v>525</v>
      </c>
      <c r="D3320" t="s">
        <v>7789</v>
      </c>
      <c r="E3320" t="s">
        <v>49</v>
      </c>
      <c r="F3320">
        <v>14</v>
      </c>
      <c r="G3320">
        <v>0.70731844894532481</v>
      </c>
      <c r="H3320" t="s">
        <v>95</v>
      </c>
      <c r="I3320">
        <v>0</v>
      </c>
      <c r="J3320">
        <v>0</v>
      </c>
      <c r="K3320">
        <v>0</v>
      </c>
    </row>
    <row r="3321" spans="1:11" x14ac:dyDescent="0.2">
      <c r="A3321" t="s">
        <v>16</v>
      </c>
      <c r="B3321" t="s">
        <v>4392</v>
      </c>
      <c r="C3321">
        <v>525</v>
      </c>
      <c r="D3321" t="s">
        <v>7782</v>
      </c>
      <c r="E3321" t="s">
        <v>49</v>
      </c>
      <c r="F3321">
        <v>14</v>
      </c>
      <c r="G3321">
        <v>0.70731844894532481</v>
      </c>
      <c r="H3321" t="s">
        <v>103</v>
      </c>
      <c r="I3321">
        <v>0</v>
      </c>
      <c r="J3321">
        <v>0</v>
      </c>
      <c r="K3321">
        <v>0</v>
      </c>
    </row>
    <row r="3322" spans="1:11" x14ac:dyDescent="0.2">
      <c r="A3322" t="s">
        <v>16</v>
      </c>
      <c r="B3322" t="s">
        <v>4392</v>
      </c>
      <c r="C3322">
        <v>525</v>
      </c>
      <c r="D3322" t="s">
        <v>7781</v>
      </c>
      <c r="E3322" t="s">
        <v>49</v>
      </c>
      <c r="F3322">
        <v>14</v>
      </c>
      <c r="G3322">
        <v>0.70731844894532481</v>
      </c>
      <c r="H3322" t="s">
        <v>88</v>
      </c>
      <c r="I3322">
        <v>0</v>
      </c>
      <c r="J3322">
        <v>0</v>
      </c>
      <c r="K3322">
        <v>0</v>
      </c>
    </row>
    <row r="3323" spans="1:11" x14ac:dyDescent="0.2">
      <c r="A3323" t="s">
        <v>16</v>
      </c>
      <c r="B3323" t="s">
        <v>4392</v>
      </c>
      <c r="C3323">
        <v>525</v>
      </c>
      <c r="D3323" t="s">
        <v>7801</v>
      </c>
      <c r="E3323" t="s">
        <v>49</v>
      </c>
      <c r="F3323">
        <v>14</v>
      </c>
      <c r="G3323">
        <v>0.70731844894532481</v>
      </c>
      <c r="H3323" t="s">
        <v>99</v>
      </c>
      <c r="I3323">
        <v>0</v>
      </c>
      <c r="J3323">
        <v>0</v>
      </c>
      <c r="K3323">
        <v>0</v>
      </c>
    </row>
    <row r="3324" spans="1:11" x14ac:dyDescent="0.2">
      <c r="A3324" t="s">
        <v>16</v>
      </c>
      <c r="B3324" t="s">
        <v>4392</v>
      </c>
      <c r="C3324">
        <v>525</v>
      </c>
      <c r="D3324" t="s">
        <v>7790</v>
      </c>
      <c r="E3324" t="s">
        <v>49</v>
      </c>
      <c r="F3324">
        <v>14</v>
      </c>
      <c r="G3324">
        <v>0.70731844894532481</v>
      </c>
      <c r="H3324" t="s">
        <v>101</v>
      </c>
      <c r="I3324">
        <v>0</v>
      </c>
      <c r="J3324">
        <v>0</v>
      </c>
      <c r="K3324">
        <v>0</v>
      </c>
    </row>
    <row r="3325" spans="1:11" x14ac:dyDescent="0.2">
      <c r="A3325" t="s">
        <v>16</v>
      </c>
      <c r="B3325" t="s">
        <v>4392</v>
      </c>
      <c r="C3325">
        <v>525</v>
      </c>
      <c r="D3325" t="s">
        <v>7788</v>
      </c>
      <c r="E3325" t="s">
        <v>49</v>
      </c>
      <c r="F3325">
        <v>14</v>
      </c>
      <c r="G3325">
        <v>0.70731844894532481</v>
      </c>
      <c r="H3325" t="s">
        <v>89</v>
      </c>
      <c r="I3325">
        <v>0</v>
      </c>
      <c r="J3325">
        <v>0</v>
      </c>
      <c r="K3325">
        <v>0</v>
      </c>
    </row>
    <row r="3326" spans="1:11" x14ac:dyDescent="0.2">
      <c r="A3326" t="s">
        <v>16</v>
      </c>
      <c r="B3326" t="s">
        <v>4392</v>
      </c>
      <c r="C3326">
        <v>525</v>
      </c>
      <c r="D3326" t="s">
        <v>7825</v>
      </c>
      <c r="E3326" t="s">
        <v>49</v>
      </c>
      <c r="F3326">
        <v>14</v>
      </c>
      <c r="G3326">
        <v>0.70731844894532481</v>
      </c>
      <c r="H3326" t="s">
        <v>97</v>
      </c>
      <c r="I3326">
        <v>0</v>
      </c>
      <c r="J3326">
        <v>0</v>
      </c>
      <c r="K3326">
        <v>0</v>
      </c>
    </row>
    <row r="3327" spans="1:11" x14ac:dyDescent="0.2">
      <c r="A3327" t="s">
        <v>16</v>
      </c>
      <c r="B3327" t="s">
        <v>4392</v>
      </c>
      <c r="C3327">
        <v>525</v>
      </c>
      <c r="D3327" t="s">
        <v>7821</v>
      </c>
      <c r="E3327" t="s">
        <v>49</v>
      </c>
      <c r="F3327">
        <v>14</v>
      </c>
      <c r="G3327">
        <v>0.70731844894532481</v>
      </c>
      <c r="H3327" t="s">
        <v>96</v>
      </c>
      <c r="I3327">
        <v>0</v>
      </c>
      <c r="J3327">
        <v>0</v>
      </c>
      <c r="K3327">
        <v>0</v>
      </c>
    </row>
    <row r="3328" spans="1:11" x14ac:dyDescent="0.2">
      <c r="A3328" t="s">
        <v>16</v>
      </c>
      <c r="B3328" t="s">
        <v>4392</v>
      </c>
      <c r="C3328">
        <v>525</v>
      </c>
      <c r="D3328" t="s">
        <v>7830</v>
      </c>
      <c r="E3328" t="s">
        <v>49</v>
      </c>
      <c r="F3328">
        <v>14</v>
      </c>
      <c r="G3328">
        <v>0.70731844894532481</v>
      </c>
      <c r="H3328" t="s">
        <v>91</v>
      </c>
      <c r="I3328">
        <v>0</v>
      </c>
      <c r="J3328">
        <v>0</v>
      </c>
      <c r="K3328">
        <v>0</v>
      </c>
    </row>
    <row r="3329" spans="1:11" x14ac:dyDescent="0.2">
      <c r="A3329" t="s">
        <v>16</v>
      </c>
      <c r="B3329" t="s">
        <v>4392</v>
      </c>
      <c r="C3329">
        <v>525</v>
      </c>
      <c r="D3329" t="s">
        <v>7829</v>
      </c>
      <c r="E3329" t="s">
        <v>49</v>
      </c>
      <c r="F3329">
        <v>14</v>
      </c>
      <c r="G3329">
        <v>0.70731844894532481</v>
      </c>
      <c r="H3329" t="s">
        <v>94</v>
      </c>
      <c r="I3329">
        <v>0</v>
      </c>
      <c r="J3329">
        <v>0</v>
      </c>
      <c r="K3329">
        <v>0</v>
      </c>
    </row>
    <row r="3330" spans="1:11" x14ac:dyDescent="0.2">
      <c r="A3330" t="s">
        <v>16</v>
      </c>
      <c r="B3330" t="s">
        <v>4392</v>
      </c>
      <c r="C3330">
        <v>525</v>
      </c>
      <c r="D3330" t="s">
        <v>7820</v>
      </c>
      <c r="E3330" t="s">
        <v>49</v>
      </c>
      <c r="F3330">
        <v>14</v>
      </c>
      <c r="G3330">
        <v>0.70731844894532481</v>
      </c>
      <c r="H3330" t="s">
        <v>98</v>
      </c>
      <c r="I3330">
        <v>0</v>
      </c>
      <c r="J3330">
        <v>0</v>
      </c>
      <c r="K3330">
        <v>0</v>
      </c>
    </row>
    <row r="3331" spans="1:11" x14ac:dyDescent="0.2">
      <c r="A3331" t="s">
        <v>16</v>
      </c>
      <c r="B3331" t="s">
        <v>4392</v>
      </c>
      <c r="C3331">
        <v>525</v>
      </c>
      <c r="D3331" t="s">
        <v>7822</v>
      </c>
      <c r="E3331" t="s">
        <v>49</v>
      </c>
      <c r="F3331">
        <v>14</v>
      </c>
      <c r="G3331">
        <v>0.70731844894532481</v>
      </c>
      <c r="H3331" t="s">
        <v>87</v>
      </c>
      <c r="I3331">
        <v>0</v>
      </c>
      <c r="J3331">
        <v>0</v>
      </c>
      <c r="K3331">
        <v>0</v>
      </c>
    </row>
    <row r="3332" spans="1:11" x14ac:dyDescent="0.2">
      <c r="A3332" t="s">
        <v>16</v>
      </c>
      <c r="B3332" t="s">
        <v>4392</v>
      </c>
      <c r="C3332">
        <v>525</v>
      </c>
      <c r="D3332" t="s">
        <v>7805</v>
      </c>
      <c r="E3332" t="s">
        <v>49</v>
      </c>
      <c r="F3332">
        <v>14</v>
      </c>
      <c r="G3332">
        <v>0.70731844894532481</v>
      </c>
      <c r="H3332" t="s">
        <v>105</v>
      </c>
      <c r="I3332">
        <v>0</v>
      </c>
      <c r="J3332">
        <v>0</v>
      </c>
      <c r="K3332">
        <v>0</v>
      </c>
    </row>
    <row r="3333" spans="1:11" x14ac:dyDescent="0.2">
      <c r="A3333" t="s">
        <v>16</v>
      </c>
      <c r="B3333" t="s">
        <v>4392</v>
      </c>
      <c r="C3333">
        <v>525</v>
      </c>
      <c r="D3333" t="s">
        <v>7819</v>
      </c>
      <c r="E3333" t="s">
        <v>49</v>
      </c>
      <c r="F3333">
        <v>14</v>
      </c>
      <c r="G3333">
        <v>0.70731844894532481</v>
      </c>
      <c r="H3333" t="s">
        <v>84</v>
      </c>
      <c r="I3333">
        <v>0</v>
      </c>
      <c r="J3333">
        <v>0</v>
      </c>
      <c r="K3333">
        <v>0</v>
      </c>
    </row>
    <row r="3334" spans="1:11" x14ac:dyDescent="0.2">
      <c r="A3334" t="s">
        <v>16</v>
      </c>
      <c r="B3334" t="s">
        <v>4392</v>
      </c>
      <c r="C3334">
        <v>525</v>
      </c>
      <c r="D3334" t="s">
        <v>7824</v>
      </c>
      <c r="E3334" t="s">
        <v>49</v>
      </c>
      <c r="F3334">
        <v>14</v>
      </c>
      <c r="G3334">
        <v>0.70731844894532481</v>
      </c>
      <c r="H3334" t="s">
        <v>95</v>
      </c>
      <c r="I3334">
        <v>0</v>
      </c>
      <c r="J3334">
        <v>0</v>
      </c>
      <c r="K3334">
        <v>0</v>
      </c>
    </row>
    <row r="3335" spans="1:11" x14ac:dyDescent="0.2">
      <c r="A3335" t="s">
        <v>16</v>
      </c>
      <c r="B3335" t="s">
        <v>4392</v>
      </c>
      <c r="C3335">
        <v>525</v>
      </c>
      <c r="D3335" t="s">
        <v>7815</v>
      </c>
      <c r="E3335" t="s">
        <v>49</v>
      </c>
      <c r="F3335">
        <v>14</v>
      </c>
      <c r="G3335">
        <v>0.70731844894532481</v>
      </c>
      <c r="H3335" t="s">
        <v>103</v>
      </c>
      <c r="I3335">
        <v>0</v>
      </c>
      <c r="J3335">
        <v>0</v>
      </c>
      <c r="K3335">
        <v>0</v>
      </c>
    </row>
    <row r="3336" spans="1:11" x14ac:dyDescent="0.2">
      <c r="A3336" t="s">
        <v>16</v>
      </c>
      <c r="B3336" t="s">
        <v>4392</v>
      </c>
      <c r="C3336">
        <v>525</v>
      </c>
      <c r="D3336" t="s">
        <v>7800</v>
      </c>
      <c r="E3336" t="s">
        <v>49</v>
      </c>
      <c r="F3336">
        <v>14</v>
      </c>
      <c r="G3336">
        <v>0.70731844894532481</v>
      </c>
      <c r="H3336" t="s">
        <v>88</v>
      </c>
      <c r="I3336">
        <v>0</v>
      </c>
      <c r="J3336">
        <v>0</v>
      </c>
      <c r="K3336">
        <v>0</v>
      </c>
    </row>
    <row r="3337" spans="1:11" x14ac:dyDescent="0.2">
      <c r="A3337" t="s">
        <v>16</v>
      </c>
      <c r="B3337" t="s">
        <v>4392</v>
      </c>
      <c r="C3337">
        <v>525</v>
      </c>
      <c r="D3337" t="s">
        <v>7812</v>
      </c>
      <c r="E3337" t="s">
        <v>49</v>
      </c>
      <c r="F3337">
        <v>14</v>
      </c>
      <c r="G3337">
        <v>0.70731844894532481</v>
      </c>
      <c r="H3337" t="s">
        <v>99</v>
      </c>
      <c r="I3337">
        <v>0</v>
      </c>
      <c r="J3337">
        <v>0</v>
      </c>
      <c r="K3337">
        <v>0</v>
      </c>
    </row>
    <row r="3338" spans="1:11" x14ac:dyDescent="0.2">
      <c r="A3338" t="s">
        <v>16</v>
      </c>
      <c r="B3338" t="s">
        <v>4392</v>
      </c>
      <c r="C3338">
        <v>525</v>
      </c>
      <c r="D3338" t="s">
        <v>7816</v>
      </c>
      <c r="E3338" t="s">
        <v>49</v>
      </c>
      <c r="F3338">
        <v>14</v>
      </c>
      <c r="G3338">
        <v>0.70731844894532481</v>
      </c>
      <c r="H3338" t="s">
        <v>101</v>
      </c>
      <c r="I3338">
        <v>0</v>
      </c>
      <c r="J3338">
        <v>0</v>
      </c>
      <c r="K3338">
        <v>0</v>
      </c>
    </row>
    <row r="3339" spans="1:11" x14ac:dyDescent="0.2">
      <c r="A3339" t="s">
        <v>16</v>
      </c>
      <c r="B3339" t="s">
        <v>4392</v>
      </c>
      <c r="C3339">
        <v>350</v>
      </c>
      <c r="D3339" t="s">
        <v>7823</v>
      </c>
      <c r="E3339" t="s">
        <v>49</v>
      </c>
      <c r="F3339">
        <v>14</v>
      </c>
      <c r="G3339">
        <v>0.47154563263021654</v>
      </c>
      <c r="H3339" t="s">
        <v>89</v>
      </c>
      <c r="I3339">
        <v>0</v>
      </c>
      <c r="J3339">
        <v>0</v>
      </c>
      <c r="K3339">
        <v>0</v>
      </c>
    </row>
    <row r="3340" spans="1:11" x14ac:dyDescent="0.2">
      <c r="A3340" t="s">
        <v>16</v>
      </c>
      <c r="B3340" t="s">
        <v>4392</v>
      </c>
      <c r="C3340">
        <v>525</v>
      </c>
      <c r="D3340" t="s">
        <v>7799</v>
      </c>
      <c r="E3340" t="s">
        <v>49</v>
      </c>
      <c r="F3340">
        <v>14</v>
      </c>
      <c r="G3340">
        <v>0.70731844894532481</v>
      </c>
      <c r="H3340" t="s">
        <v>97</v>
      </c>
      <c r="I3340">
        <v>0</v>
      </c>
      <c r="J3340">
        <v>0</v>
      </c>
      <c r="K3340">
        <v>0</v>
      </c>
    </row>
    <row r="3341" spans="1:11" x14ac:dyDescent="0.2">
      <c r="A3341" t="s">
        <v>16</v>
      </c>
      <c r="B3341" t="s">
        <v>4392</v>
      </c>
      <c r="C3341">
        <v>525</v>
      </c>
      <c r="D3341" t="s">
        <v>7783</v>
      </c>
      <c r="E3341" t="s">
        <v>49</v>
      </c>
      <c r="F3341">
        <v>14</v>
      </c>
      <c r="G3341">
        <v>0.70731844894532481</v>
      </c>
      <c r="H3341" t="s">
        <v>96</v>
      </c>
      <c r="I3341">
        <v>0</v>
      </c>
      <c r="J3341">
        <v>0</v>
      </c>
      <c r="K3341">
        <v>0</v>
      </c>
    </row>
    <row r="3342" spans="1:11" x14ac:dyDescent="0.2">
      <c r="A3342" t="s">
        <v>16</v>
      </c>
      <c r="B3342" t="s">
        <v>4392</v>
      </c>
      <c r="C3342">
        <v>525</v>
      </c>
      <c r="D3342" t="s">
        <v>7779</v>
      </c>
      <c r="E3342" t="s">
        <v>49</v>
      </c>
      <c r="F3342">
        <v>14</v>
      </c>
      <c r="G3342">
        <v>0.70731844894532481</v>
      </c>
      <c r="H3342" t="s">
        <v>91</v>
      </c>
      <c r="I3342">
        <v>0</v>
      </c>
      <c r="J3342">
        <v>0</v>
      </c>
      <c r="K3342">
        <v>0</v>
      </c>
    </row>
    <row r="3343" spans="1:11" x14ac:dyDescent="0.2">
      <c r="A3343" t="s">
        <v>16</v>
      </c>
      <c r="B3343" t="s">
        <v>4392</v>
      </c>
      <c r="C3343">
        <v>525</v>
      </c>
      <c r="D3343" t="s">
        <v>7784</v>
      </c>
      <c r="E3343" t="s">
        <v>49</v>
      </c>
      <c r="F3343">
        <v>14</v>
      </c>
      <c r="G3343">
        <v>0.70731844894532481</v>
      </c>
      <c r="H3343" t="s">
        <v>94</v>
      </c>
      <c r="I3343">
        <v>0</v>
      </c>
      <c r="J3343">
        <v>0</v>
      </c>
      <c r="K3343">
        <v>0</v>
      </c>
    </row>
    <row r="3344" spans="1:11" x14ac:dyDescent="0.2">
      <c r="A3344" t="s">
        <v>16</v>
      </c>
      <c r="B3344" t="s">
        <v>4392</v>
      </c>
      <c r="C3344">
        <v>525</v>
      </c>
      <c r="D3344" t="s">
        <v>7796</v>
      </c>
      <c r="E3344" t="s">
        <v>49</v>
      </c>
      <c r="F3344">
        <v>14</v>
      </c>
      <c r="G3344">
        <v>0.70731844894532481</v>
      </c>
      <c r="H3344" t="s">
        <v>98</v>
      </c>
      <c r="I3344">
        <v>0</v>
      </c>
      <c r="J3344">
        <v>0</v>
      </c>
      <c r="K3344">
        <v>0</v>
      </c>
    </row>
    <row r="3345" spans="1:11" x14ac:dyDescent="0.2">
      <c r="A3345" t="s">
        <v>16</v>
      </c>
      <c r="B3345" t="s">
        <v>4392</v>
      </c>
      <c r="C3345">
        <v>525</v>
      </c>
      <c r="D3345" t="s">
        <v>7797</v>
      </c>
      <c r="E3345" t="s">
        <v>49</v>
      </c>
      <c r="F3345">
        <v>14</v>
      </c>
      <c r="G3345">
        <v>0.70731844894532481</v>
      </c>
      <c r="H3345" t="s">
        <v>87</v>
      </c>
      <c r="I3345">
        <v>0</v>
      </c>
      <c r="J3345">
        <v>0</v>
      </c>
      <c r="K3345">
        <v>0</v>
      </c>
    </row>
    <row r="3346" spans="1:11" x14ac:dyDescent="0.2">
      <c r="A3346" t="s">
        <v>16</v>
      </c>
      <c r="B3346" t="s">
        <v>4392</v>
      </c>
      <c r="C3346">
        <v>525</v>
      </c>
      <c r="D3346" t="s">
        <v>7795</v>
      </c>
      <c r="E3346" t="s">
        <v>49</v>
      </c>
      <c r="F3346">
        <v>14</v>
      </c>
      <c r="G3346">
        <v>0.70731844894532481</v>
      </c>
      <c r="H3346" t="s">
        <v>105</v>
      </c>
      <c r="I3346">
        <v>0</v>
      </c>
      <c r="J3346">
        <v>0</v>
      </c>
      <c r="K3346">
        <v>0</v>
      </c>
    </row>
    <row r="3347" spans="1:11" x14ac:dyDescent="0.2">
      <c r="A3347" t="s">
        <v>16</v>
      </c>
      <c r="B3347" t="s">
        <v>4392</v>
      </c>
      <c r="C3347">
        <v>525</v>
      </c>
      <c r="D3347" t="s">
        <v>7778</v>
      </c>
      <c r="E3347" t="s">
        <v>49</v>
      </c>
      <c r="F3347">
        <v>14</v>
      </c>
      <c r="G3347">
        <v>0.70731844894532481</v>
      </c>
      <c r="H3347" t="s">
        <v>84</v>
      </c>
      <c r="I3347">
        <v>0</v>
      </c>
      <c r="J3347">
        <v>0</v>
      </c>
      <c r="K3347">
        <v>0</v>
      </c>
    </row>
    <row r="3348" spans="1:11" x14ac:dyDescent="0.2">
      <c r="A3348" t="s">
        <v>16</v>
      </c>
      <c r="B3348" t="s">
        <v>4392</v>
      </c>
      <c r="C3348">
        <v>525</v>
      </c>
      <c r="D3348" t="s">
        <v>7794</v>
      </c>
      <c r="E3348" t="s">
        <v>49</v>
      </c>
      <c r="F3348">
        <v>14</v>
      </c>
      <c r="G3348">
        <v>0.70731844894532481</v>
      </c>
      <c r="H3348" t="s">
        <v>89</v>
      </c>
      <c r="I3348">
        <v>0</v>
      </c>
      <c r="J3348">
        <v>0</v>
      </c>
      <c r="K3348">
        <v>0</v>
      </c>
    </row>
    <row r="3349" spans="1:11" x14ac:dyDescent="0.2">
      <c r="A3349" t="s">
        <v>16</v>
      </c>
      <c r="B3349" t="s">
        <v>4392</v>
      </c>
      <c r="C3349">
        <v>525</v>
      </c>
      <c r="D3349" t="s">
        <v>7787</v>
      </c>
      <c r="E3349" t="s">
        <v>49</v>
      </c>
      <c r="F3349">
        <v>14</v>
      </c>
      <c r="G3349">
        <v>0.70731844894532481</v>
      </c>
      <c r="H3349" t="s">
        <v>95</v>
      </c>
      <c r="I3349">
        <v>0</v>
      </c>
      <c r="J3349">
        <v>0</v>
      </c>
      <c r="K3349">
        <v>0</v>
      </c>
    </row>
    <row r="3350" spans="1:11" x14ac:dyDescent="0.2">
      <c r="A3350" t="s">
        <v>16</v>
      </c>
      <c r="B3350" t="s">
        <v>4392</v>
      </c>
      <c r="C3350">
        <v>525</v>
      </c>
      <c r="D3350" t="s">
        <v>7793</v>
      </c>
      <c r="E3350" t="s">
        <v>49</v>
      </c>
      <c r="F3350">
        <v>14</v>
      </c>
      <c r="G3350">
        <v>0.70731844894532481</v>
      </c>
      <c r="H3350" t="s">
        <v>103</v>
      </c>
      <c r="I3350">
        <v>0</v>
      </c>
      <c r="J3350">
        <v>0</v>
      </c>
      <c r="K3350">
        <v>0</v>
      </c>
    </row>
    <row r="3351" spans="1:11" x14ac:dyDescent="0.2">
      <c r="A3351" t="s">
        <v>16</v>
      </c>
      <c r="B3351" t="s">
        <v>4392</v>
      </c>
      <c r="C3351">
        <v>525</v>
      </c>
      <c r="D3351" t="s">
        <v>7792</v>
      </c>
      <c r="E3351" t="s">
        <v>49</v>
      </c>
      <c r="F3351">
        <v>14</v>
      </c>
      <c r="G3351">
        <v>0.70731844894532481</v>
      </c>
      <c r="H3351" t="s">
        <v>88</v>
      </c>
      <c r="I3351">
        <v>0</v>
      </c>
      <c r="J3351">
        <v>0</v>
      </c>
      <c r="K3351">
        <v>0</v>
      </c>
    </row>
    <row r="3352" spans="1:11" x14ac:dyDescent="0.2">
      <c r="A3352" t="s">
        <v>16</v>
      </c>
      <c r="B3352" t="s">
        <v>403</v>
      </c>
      <c r="C3352">
        <v>450</v>
      </c>
      <c r="D3352" t="s">
        <v>7832</v>
      </c>
      <c r="E3352" t="s">
        <v>49</v>
      </c>
      <c r="F3352">
        <v>4</v>
      </c>
      <c r="G3352">
        <v>0.50289223454833598</v>
      </c>
      <c r="H3352" t="s">
        <v>92</v>
      </c>
      <c r="I3352">
        <v>0</v>
      </c>
      <c r="J3352">
        <v>0</v>
      </c>
      <c r="K3352">
        <v>0</v>
      </c>
    </row>
    <row r="3353" spans="1:11" x14ac:dyDescent="0.2">
      <c r="A3353" t="s">
        <v>16</v>
      </c>
      <c r="B3353" t="s">
        <v>913</v>
      </c>
      <c r="C3353">
        <v>450</v>
      </c>
      <c r="D3353" t="s">
        <v>7833</v>
      </c>
      <c r="E3353" t="s">
        <v>49</v>
      </c>
      <c r="F3353">
        <v>4</v>
      </c>
      <c r="G3353">
        <v>1.1139677022138992</v>
      </c>
      <c r="H3353" t="s">
        <v>93</v>
      </c>
      <c r="I3353">
        <v>0</v>
      </c>
      <c r="J3353">
        <v>0</v>
      </c>
      <c r="K3353">
        <v>0</v>
      </c>
    </row>
    <row r="3354" spans="1:11" x14ac:dyDescent="0.2">
      <c r="A3354" t="s">
        <v>16</v>
      </c>
      <c r="B3354" t="s">
        <v>358</v>
      </c>
      <c r="C3354">
        <v>360</v>
      </c>
      <c r="D3354" t="s">
        <v>7837</v>
      </c>
      <c r="E3354" t="s">
        <v>49</v>
      </c>
      <c r="F3354">
        <v>2</v>
      </c>
      <c r="G3354">
        <v>1.1053973477882102</v>
      </c>
      <c r="H3354" t="s">
        <v>104</v>
      </c>
      <c r="I3354">
        <v>0</v>
      </c>
      <c r="J3354">
        <v>0</v>
      </c>
      <c r="K3354">
        <v>0</v>
      </c>
    </row>
    <row r="3355" spans="1:11" x14ac:dyDescent="0.2">
      <c r="A3355" t="s">
        <v>16</v>
      </c>
      <c r="B3355" t="s">
        <v>358</v>
      </c>
      <c r="C3355">
        <v>360</v>
      </c>
      <c r="D3355" t="s">
        <v>7836</v>
      </c>
      <c r="E3355" t="s">
        <v>49</v>
      </c>
      <c r="F3355">
        <v>2</v>
      </c>
      <c r="G3355">
        <v>1.1053973477882102</v>
      </c>
      <c r="H3355" t="s">
        <v>92</v>
      </c>
      <c r="I3355">
        <v>0</v>
      </c>
      <c r="J3355">
        <v>0</v>
      </c>
      <c r="K3355">
        <v>0</v>
      </c>
    </row>
    <row r="3356" spans="1:11" x14ac:dyDescent="0.2">
      <c r="A3356" t="s">
        <v>16</v>
      </c>
      <c r="B3356" t="s">
        <v>358</v>
      </c>
      <c r="C3356">
        <v>360</v>
      </c>
      <c r="D3356" t="s">
        <v>7834</v>
      </c>
      <c r="E3356" t="s">
        <v>49</v>
      </c>
      <c r="F3356">
        <v>2</v>
      </c>
      <c r="G3356">
        <v>1.1053973477882102</v>
      </c>
      <c r="H3356" t="s">
        <v>104</v>
      </c>
      <c r="I3356">
        <v>0</v>
      </c>
      <c r="J3356">
        <v>0</v>
      </c>
      <c r="K3356">
        <v>0</v>
      </c>
    </row>
    <row r="3357" spans="1:11" x14ac:dyDescent="0.2">
      <c r="A3357" t="s">
        <v>16</v>
      </c>
      <c r="B3357" t="s">
        <v>358</v>
      </c>
      <c r="C3357">
        <v>360</v>
      </c>
      <c r="D3357" t="s">
        <v>7838</v>
      </c>
      <c r="E3357" t="s">
        <v>49</v>
      </c>
      <c r="F3357">
        <v>2</v>
      </c>
      <c r="G3357">
        <v>1.1053973477882102</v>
      </c>
      <c r="H3357" t="s">
        <v>92</v>
      </c>
      <c r="I3357">
        <v>0</v>
      </c>
      <c r="J3357">
        <v>0</v>
      </c>
      <c r="K3357">
        <v>0</v>
      </c>
    </row>
    <row r="3358" spans="1:11" x14ac:dyDescent="0.2">
      <c r="A3358" t="s">
        <v>16</v>
      </c>
      <c r="B3358" t="s">
        <v>358</v>
      </c>
      <c r="C3358">
        <v>240</v>
      </c>
      <c r="D3358" t="s">
        <v>7835</v>
      </c>
      <c r="E3358" t="s">
        <v>49</v>
      </c>
      <c r="F3358">
        <v>2</v>
      </c>
      <c r="G3358">
        <v>0.73693156519214009</v>
      </c>
      <c r="H3358" t="s">
        <v>104</v>
      </c>
      <c r="I3358">
        <v>0</v>
      </c>
      <c r="J3358">
        <v>0</v>
      </c>
      <c r="K3358">
        <v>0</v>
      </c>
    </row>
    <row r="3359" spans="1:11" x14ac:dyDescent="0.2">
      <c r="A3359" t="s">
        <v>16</v>
      </c>
      <c r="B3359" t="s">
        <v>614</v>
      </c>
      <c r="C3359">
        <v>150</v>
      </c>
      <c r="D3359" t="s">
        <v>7839</v>
      </c>
      <c r="E3359" t="s">
        <v>49</v>
      </c>
      <c r="F3359">
        <v>7</v>
      </c>
      <c r="G3359">
        <v>0.13428519388002913</v>
      </c>
      <c r="H3359" t="s">
        <v>99</v>
      </c>
      <c r="I3359">
        <v>0</v>
      </c>
      <c r="J3359">
        <v>0</v>
      </c>
      <c r="K3359">
        <v>0</v>
      </c>
    </row>
    <row r="3360" spans="1:11" x14ac:dyDescent="0.2">
      <c r="A3360" t="s">
        <v>16</v>
      </c>
      <c r="B3360" t="s">
        <v>4947</v>
      </c>
      <c r="C3360">
        <v>120</v>
      </c>
      <c r="D3360" t="s">
        <v>7840</v>
      </c>
      <c r="E3360" t="s">
        <v>49</v>
      </c>
      <c r="F3360">
        <v>1</v>
      </c>
      <c r="G3360">
        <v>0.31679790026246718</v>
      </c>
      <c r="H3360" t="s">
        <v>101</v>
      </c>
      <c r="I3360">
        <v>0</v>
      </c>
      <c r="J3360">
        <v>0</v>
      </c>
      <c r="K3360">
        <v>0</v>
      </c>
    </row>
    <row r="3361" spans="1:11" x14ac:dyDescent="0.2">
      <c r="A3361" t="s">
        <v>16</v>
      </c>
      <c r="B3361" t="s">
        <v>4431</v>
      </c>
      <c r="C3361">
        <v>250</v>
      </c>
      <c r="D3361" t="s">
        <v>7841</v>
      </c>
      <c r="E3361" t="s">
        <v>49</v>
      </c>
      <c r="F3361">
        <v>3</v>
      </c>
      <c r="G3361">
        <v>0.58279220779220786</v>
      </c>
      <c r="H3361" t="s">
        <v>100</v>
      </c>
      <c r="I3361">
        <v>0</v>
      </c>
      <c r="J3361">
        <v>0</v>
      </c>
      <c r="K3361">
        <v>0</v>
      </c>
    </row>
    <row r="3362" spans="1:11" x14ac:dyDescent="0.2">
      <c r="A3362" t="s">
        <v>16</v>
      </c>
      <c r="B3362" t="s">
        <v>4433</v>
      </c>
      <c r="C3362">
        <v>120</v>
      </c>
      <c r="D3362" t="s">
        <v>7842</v>
      </c>
      <c r="E3362" t="s">
        <v>49</v>
      </c>
      <c r="F3362">
        <v>3</v>
      </c>
      <c r="G3362">
        <v>0.30536701368704749</v>
      </c>
      <c r="H3362" t="s">
        <v>97</v>
      </c>
      <c r="I3362">
        <v>0</v>
      </c>
      <c r="J3362">
        <v>0</v>
      </c>
      <c r="K3362">
        <v>0</v>
      </c>
    </row>
    <row r="3363" spans="1:11" x14ac:dyDescent="0.2">
      <c r="A3363" t="s">
        <v>16</v>
      </c>
      <c r="B3363" t="s">
        <v>810</v>
      </c>
      <c r="C3363">
        <v>600</v>
      </c>
      <c r="D3363" t="s">
        <v>7847</v>
      </c>
      <c r="E3363" t="s">
        <v>49</v>
      </c>
      <c r="F3363">
        <v>3</v>
      </c>
      <c r="G3363">
        <v>1.4318369960795339</v>
      </c>
      <c r="H3363" t="s">
        <v>90</v>
      </c>
      <c r="I3363">
        <v>0</v>
      </c>
      <c r="J3363">
        <v>0</v>
      </c>
      <c r="K3363">
        <v>0</v>
      </c>
    </row>
    <row r="3364" spans="1:11" x14ac:dyDescent="0.2">
      <c r="A3364" t="s">
        <v>16</v>
      </c>
      <c r="B3364" t="s">
        <v>810</v>
      </c>
      <c r="C3364">
        <v>600</v>
      </c>
      <c r="D3364" t="s">
        <v>7846</v>
      </c>
      <c r="E3364" t="s">
        <v>49</v>
      </c>
      <c r="F3364">
        <v>3</v>
      </c>
      <c r="G3364">
        <v>1.4318369960795339</v>
      </c>
      <c r="H3364" t="s">
        <v>96</v>
      </c>
      <c r="I3364">
        <v>0</v>
      </c>
      <c r="J3364">
        <v>0</v>
      </c>
      <c r="K3364">
        <v>0</v>
      </c>
    </row>
    <row r="3365" spans="1:11" x14ac:dyDescent="0.2">
      <c r="A3365" t="s">
        <v>16</v>
      </c>
      <c r="B3365" t="s">
        <v>810</v>
      </c>
      <c r="C3365">
        <v>600</v>
      </c>
      <c r="D3365" t="s">
        <v>7845</v>
      </c>
      <c r="E3365" t="s">
        <v>49</v>
      </c>
      <c r="F3365">
        <v>3</v>
      </c>
      <c r="G3365">
        <v>1.4318369960795339</v>
      </c>
      <c r="H3365" t="s">
        <v>99</v>
      </c>
      <c r="I3365">
        <v>0</v>
      </c>
      <c r="J3365">
        <v>0</v>
      </c>
      <c r="K3365">
        <v>0</v>
      </c>
    </row>
    <row r="3366" spans="1:11" x14ac:dyDescent="0.2">
      <c r="A3366" t="s">
        <v>16</v>
      </c>
      <c r="B3366" t="s">
        <v>810</v>
      </c>
      <c r="C3366">
        <v>600</v>
      </c>
      <c r="D3366" t="s">
        <v>7844</v>
      </c>
      <c r="E3366" t="s">
        <v>49</v>
      </c>
      <c r="F3366">
        <v>3</v>
      </c>
      <c r="G3366">
        <v>1.4318369960795339</v>
      </c>
      <c r="H3366" t="s">
        <v>90</v>
      </c>
      <c r="I3366">
        <v>0</v>
      </c>
      <c r="J3366">
        <v>0</v>
      </c>
      <c r="K3366">
        <v>0</v>
      </c>
    </row>
    <row r="3367" spans="1:11" x14ac:dyDescent="0.2">
      <c r="A3367" t="s">
        <v>16</v>
      </c>
      <c r="B3367" t="s">
        <v>810</v>
      </c>
      <c r="C3367">
        <v>200</v>
      </c>
      <c r="D3367" t="s">
        <v>7843</v>
      </c>
      <c r="E3367" t="s">
        <v>49</v>
      </c>
      <c r="F3367">
        <v>3</v>
      </c>
      <c r="G3367">
        <v>0.47727899869317797</v>
      </c>
      <c r="H3367" t="s">
        <v>96</v>
      </c>
      <c r="I3367">
        <v>0</v>
      </c>
      <c r="J3367">
        <v>0</v>
      </c>
      <c r="K3367">
        <v>0</v>
      </c>
    </row>
    <row r="3368" spans="1:11" x14ac:dyDescent="0.2">
      <c r="A3368" t="s">
        <v>16</v>
      </c>
      <c r="B3368" t="s">
        <v>795</v>
      </c>
      <c r="C3368">
        <v>270</v>
      </c>
      <c r="D3368" t="s">
        <v>7849</v>
      </c>
      <c r="E3368" t="s">
        <v>49</v>
      </c>
      <c r="F3368">
        <v>11</v>
      </c>
      <c r="G3368">
        <v>0.33191448870844964</v>
      </c>
      <c r="H3368" t="s">
        <v>93</v>
      </c>
      <c r="I3368">
        <v>0</v>
      </c>
      <c r="J3368">
        <v>0</v>
      </c>
      <c r="K3368">
        <v>0</v>
      </c>
    </row>
    <row r="3369" spans="1:11" x14ac:dyDescent="0.2">
      <c r="A3369" t="s">
        <v>16</v>
      </c>
      <c r="B3369" t="s">
        <v>795</v>
      </c>
      <c r="C3369">
        <v>810</v>
      </c>
      <c r="D3369" t="s">
        <v>7848</v>
      </c>
      <c r="E3369" t="s">
        <v>49</v>
      </c>
      <c r="F3369">
        <v>11</v>
      </c>
      <c r="G3369">
        <v>0.99574346612534892</v>
      </c>
      <c r="H3369" t="s">
        <v>91</v>
      </c>
      <c r="I3369">
        <v>0</v>
      </c>
      <c r="J3369">
        <v>0</v>
      </c>
      <c r="K3369">
        <v>0</v>
      </c>
    </row>
    <row r="3370" spans="1:11" x14ac:dyDescent="0.2">
      <c r="A3370" t="s">
        <v>16</v>
      </c>
      <c r="B3370" t="s">
        <v>795</v>
      </c>
      <c r="C3370">
        <v>810</v>
      </c>
      <c r="D3370" t="s">
        <v>7851</v>
      </c>
      <c r="E3370" t="s">
        <v>49</v>
      </c>
      <c r="F3370">
        <v>11</v>
      </c>
      <c r="G3370">
        <v>0.99574346612534892</v>
      </c>
      <c r="H3370" t="s">
        <v>94</v>
      </c>
      <c r="I3370">
        <v>0</v>
      </c>
      <c r="J3370">
        <v>0</v>
      </c>
      <c r="K3370">
        <v>0</v>
      </c>
    </row>
    <row r="3371" spans="1:11" x14ac:dyDescent="0.2">
      <c r="A3371" t="s">
        <v>16</v>
      </c>
      <c r="B3371" t="s">
        <v>795</v>
      </c>
      <c r="C3371">
        <v>810</v>
      </c>
      <c r="D3371" t="s">
        <v>7850</v>
      </c>
      <c r="E3371" t="s">
        <v>49</v>
      </c>
      <c r="F3371">
        <v>11</v>
      </c>
      <c r="G3371">
        <v>0.99574346612534892</v>
      </c>
      <c r="H3371" t="s">
        <v>98</v>
      </c>
      <c r="I3371">
        <v>0</v>
      </c>
      <c r="J3371">
        <v>0</v>
      </c>
      <c r="K3371">
        <v>0</v>
      </c>
    </row>
    <row r="3372" spans="1:11" x14ac:dyDescent="0.2">
      <c r="A3372" t="s">
        <v>16</v>
      </c>
      <c r="B3372" t="s">
        <v>796</v>
      </c>
      <c r="C3372">
        <v>2250</v>
      </c>
      <c r="D3372" t="s">
        <v>7852</v>
      </c>
      <c r="E3372" t="s">
        <v>49</v>
      </c>
      <c r="F3372">
        <v>10</v>
      </c>
      <c r="G3372">
        <v>1.6953850054291044</v>
      </c>
      <c r="H3372" t="s">
        <v>87</v>
      </c>
      <c r="I3372">
        <v>0</v>
      </c>
      <c r="J3372">
        <v>0</v>
      </c>
      <c r="K3372">
        <v>0</v>
      </c>
    </row>
    <row r="3373" spans="1:11" x14ac:dyDescent="0.2">
      <c r="A3373" t="s">
        <v>16</v>
      </c>
      <c r="B3373" t="s">
        <v>796</v>
      </c>
      <c r="C3373">
        <v>750</v>
      </c>
      <c r="D3373" t="s">
        <v>7853</v>
      </c>
      <c r="E3373" t="s">
        <v>49</v>
      </c>
      <c r="F3373">
        <v>10</v>
      </c>
      <c r="G3373">
        <v>0.56512833514303484</v>
      </c>
      <c r="H3373" t="s">
        <v>101</v>
      </c>
      <c r="I3373">
        <v>0</v>
      </c>
      <c r="J3373">
        <v>0</v>
      </c>
      <c r="K3373">
        <v>0</v>
      </c>
    </row>
    <row r="3374" spans="1:11" x14ac:dyDescent="0.2">
      <c r="A3374" t="s">
        <v>16</v>
      </c>
      <c r="B3374" t="s">
        <v>4435</v>
      </c>
      <c r="C3374">
        <v>570</v>
      </c>
      <c r="D3374" t="s">
        <v>7862</v>
      </c>
      <c r="E3374" t="s">
        <v>49</v>
      </c>
      <c r="F3374">
        <v>2</v>
      </c>
      <c r="G3374">
        <v>0.96800079742879475</v>
      </c>
      <c r="H3374" t="s">
        <v>97</v>
      </c>
      <c r="I3374">
        <v>0</v>
      </c>
      <c r="J3374">
        <v>0</v>
      </c>
      <c r="K3374">
        <v>0</v>
      </c>
    </row>
    <row r="3375" spans="1:11" x14ac:dyDescent="0.2">
      <c r="A3375" t="s">
        <v>16</v>
      </c>
      <c r="B3375" t="s">
        <v>4435</v>
      </c>
      <c r="C3375">
        <v>570</v>
      </c>
      <c r="D3375" t="s">
        <v>7857</v>
      </c>
      <c r="E3375" t="s">
        <v>49</v>
      </c>
      <c r="F3375">
        <v>2</v>
      </c>
      <c r="G3375">
        <v>0.96800079742879475</v>
      </c>
      <c r="H3375" t="s">
        <v>105</v>
      </c>
      <c r="I3375">
        <v>0</v>
      </c>
      <c r="J3375">
        <v>0</v>
      </c>
      <c r="K3375">
        <v>0</v>
      </c>
    </row>
    <row r="3376" spans="1:11" x14ac:dyDescent="0.2">
      <c r="A3376" t="s">
        <v>16</v>
      </c>
      <c r="B3376" t="s">
        <v>4435</v>
      </c>
      <c r="C3376">
        <v>570</v>
      </c>
      <c r="D3376" t="s">
        <v>7860</v>
      </c>
      <c r="E3376" t="s">
        <v>49</v>
      </c>
      <c r="F3376">
        <v>2</v>
      </c>
      <c r="G3376">
        <v>0.96800079742879475</v>
      </c>
      <c r="H3376" t="s">
        <v>97</v>
      </c>
      <c r="I3376">
        <v>0</v>
      </c>
      <c r="J3376">
        <v>0</v>
      </c>
      <c r="K3376">
        <v>0</v>
      </c>
    </row>
    <row r="3377" spans="1:11" x14ac:dyDescent="0.2">
      <c r="A3377" t="s">
        <v>16</v>
      </c>
      <c r="B3377" t="s">
        <v>4435</v>
      </c>
      <c r="C3377">
        <v>570</v>
      </c>
      <c r="D3377" t="s">
        <v>7856</v>
      </c>
      <c r="E3377" t="s">
        <v>49</v>
      </c>
      <c r="F3377">
        <v>2</v>
      </c>
      <c r="G3377">
        <v>0.96800079742879475</v>
      </c>
      <c r="H3377" t="s">
        <v>105</v>
      </c>
      <c r="I3377">
        <v>0</v>
      </c>
      <c r="J3377">
        <v>0</v>
      </c>
      <c r="K3377">
        <v>0</v>
      </c>
    </row>
    <row r="3378" spans="1:11" x14ac:dyDescent="0.2">
      <c r="A3378" t="s">
        <v>16</v>
      </c>
      <c r="B3378" t="s">
        <v>4435</v>
      </c>
      <c r="C3378">
        <v>570</v>
      </c>
      <c r="D3378" t="s">
        <v>7859</v>
      </c>
      <c r="E3378" t="s">
        <v>49</v>
      </c>
      <c r="F3378">
        <v>2</v>
      </c>
      <c r="G3378">
        <v>0.96800079742879475</v>
      </c>
      <c r="H3378" t="s">
        <v>97</v>
      </c>
      <c r="I3378">
        <v>0</v>
      </c>
      <c r="J3378">
        <v>0</v>
      </c>
      <c r="K3378">
        <v>0</v>
      </c>
    </row>
    <row r="3379" spans="1:11" x14ac:dyDescent="0.2">
      <c r="A3379" t="s">
        <v>16</v>
      </c>
      <c r="B3379" t="s">
        <v>4435</v>
      </c>
      <c r="C3379">
        <v>570</v>
      </c>
      <c r="D3379" t="s">
        <v>7861</v>
      </c>
      <c r="E3379" t="s">
        <v>49</v>
      </c>
      <c r="F3379">
        <v>2</v>
      </c>
      <c r="G3379">
        <v>0.96800079742879475</v>
      </c>
      <c r="H3379" t="s">
        <v>105</v>
      </c>
      <c r="I3379">
        <v>0</v>
      </c>
      <c r="J3379">
        <v>0</v>
      </c>
      <c r="K3379">
        <v>0</v>
      </c>
    </row>
    <row r="3380" spans="1:11" x14ac:dyDescent="0.2">
      <c r="A3380" t="s">
        <v>16</v>
      </c>
      <c r="B3380" t="s">
        <v>4435</v>
      </c>
      <c r="C3380">
        <v>190</v>
      </c>
      <c r="D3380" t="s">
        <v>7854</v>
      </c>
      <c r="E3380" t="s">
        <v>49</v>
      </c>
      <c r="F3380">
        <v>2</v>
      </c>
      <c r="G3380">
        <v>0.32266693247626493</v>
      </c>
      <c r="H3380" t="s">
        <v>97</v>
      </c>
      <c r="I3380">
        <v>0</v>
      </c>
      <c r="J3380">
        <v>0</v>
      </c>
      <c r="K3380">
        <v>0</v>
      </c>
    </row>
    <row r="3381" spans="1:11" x14ac:dyDescent="0.2">
      <c r="A3381" t="s">
        <v>16</v>
      </c>
      <c r="B3381" t="s">
        <v>4435</v>
      </c>
      <c r="C3381">
        <v>570</v>
      </c>
      <c r="D3381" t="s">
        <v>7858</v>
      </c>
      <c r="E3381" t="s">
        <v>49</v>
      </c>
      <c r="F3381">
        <v>2</v>
      </c>
      <c r="G3381">
        <v>0.96800079742879475</v>
      </c>
      <c r="H3381" t="s">
        <v>105</v>
      </c>
      <c r="I3381">
        <v>0</v>
      </c>
      <c r="J3381">
        <v>0</v>
      </c>
      <c r="K3381">
        <v>0</v>
      </c>
    </row>
    <row r="3382" spans="1:11" x14ac:dyDescent="0.2">
      <c r="A3382" t="s">
        <v>16</v>
      </c>
      <c r="B3382" t="s">
        <v>4435</v>
      </c>
      <c r="C3382">
        <v>380</v>
      </c>
      <c r="D3382" t="s">
        <v>7855</v>
      </c>
      <c r="E3382" t="s">
        <v>49</v>
      </c>
      <c r="F3382">
        <v>2</v>
      </c>
      <c r="G3382">
        <v>0.64533386495252987</v>
      </c>
      <c r="H3382" t="s">
        <v>97</v>
      </c>
      <c r="I3382">
        <v>0</v>
      </c>
      <c r="J3382">
        <v>0</v>
      </c>
      <c r="K3382">
        <v>0</v>
      </c>
    </row>
    <row r="3383" spans="1:11" x14ac:dyDescent="0.2">
      <c r="A3383" t="s">
        <v>16</v>
      </c>
      <c r="B3383" t="s">
        <v>4436</v>
      </c>
      <c r="C3383">
        <v>570</v>
      </c>
      <c r="D3383" t="s">
        <v>7864</v>
      </c>
      <c r="E3383" t="s">
        <v>49</v>
      </c>
      <c r="F3383">
        <v>4</v>
      </c>
      <c r="G3383">
        <v>0.83597728652715697</v>
      </c>
      <c r="H3383" t="s">
        <v>84</v>
      </c>
      <c r="I3383">
        <v>0</v>
      </c>
      <c r="J3383">
        <v>0</v>
      </c>
      <c r="K3383">
        <v>0</v>
      </c>
    </row>
    <row r="3384" spans="1:11" x14ac:dyDescent="0.2">
      <c r="A3384" t="s">
        <v>16</v>
      </c>
      <c r="B3384" t="s">
        <v>4436</v>
      </c>
      <c r="C3384">
        <v>570</v>
      </c>
      <c r="D3384" t="s">
        <v>7865</v>
      </c>
      <c r="E3384" t="s">
        <v>49</v>
      </c>
      <c r="F3384">
        <v>4</v>
      </c>
      <c r="G3384">
        <v>0.83597728652715697</v>
      </c>
      <c r="H3384" t="s">
        <v>89</v>
      </c>
      <c r="I3384">
        <v>0</v>
      </c>
      <c r="J3384">
        <v>0</v>
      </c>
      <c r="K3384">
        <v>0</v>
      </c>
    </row>
    <row r="3385" spans="1:11" x14ac:dyDescent="0.2">
      <c r="A3385" t="s">
        <v>16</v>
      </c>
      <c r="B3385" t="s">
        <v>4436</v>
      </c>
      <c r="C3385">
        <v>570</v>
      </c>
      <c r="D3385" t="s">
        <v>7870</v>
      </c>
      <c r="E3385" t="s">
        <v>49</v>
      </c>
      <c r="F3385">
        <v>4</v>
      </c>
      <c r="G3385">
        <v>0.83597728652715697</v>
      </c>
      <c r="H3385" t="s">
        <v>93</v>
      </c>
      <c r="I3385">
        <v>0</v>
      </c>
      <c r="J3385">
        <v>0</v>
      </c>
      <c r="K3385">
        <v>0</v>
      </c>
    </row>
    <row r="3386" spans="1:11" x14ac:dyDescent="0.2">
      <c r="A3386" t="s">
        <v>16</v>
      </c>
      <c r="B3386" t="s">
        <v>4436</v>
      </c>
      <c r="C3386">
        <v>380</v>
      </c>
      <c r="D3386" t="s">
        <v>7869</v>
      </c>
      <c r="E3386" t="s">
        <v>49</v>
      </c>
      <c r="F3386">
        <v>4</v>
      </c>
      <c r="G3386">
        <v>0.55731819101810465</v>
      </c>
      <c r="H3386" t="s">
        <v>95</v>
      </c>
      <c r="I3386">
        <v>0</v>
      </c>
      <c r="J3386">
        <v>0</v>
      </c>
      <c r="K3386">
        <v>0</v>
      </c>
    </row>
    <row r="3387" spans="1:11" x14ac:dyDescent="0.2">
      <c r="A3387" t="s">
        <v>16</v>
      </c>
      <c r="B3387" t="s">
        <v>4436</v>
      </c>
      <c r="C3387">
        <v>570</v>
      </c>
      <c r="D3387" t="s">
        <v>7866</v>
      </c>
      <c r="E3387" t="s">
        <v>49</v>
      </c>
      <c r="F3387">
        <v>4</v>
      </c>
      <c r="G3387">
        <v>0.83597728652715697</v>
      </c>
      <c r="H3387" t="s">
        <v>95</v>
      </c>
      <c r="I3387">
        <v>0</v>
      </c>
      <c r="J3387">
        <v>0</v>
      </c>
      <c r="K3387">
        <v>0</v>
      </c>
    </row>
    <row r="3388" spans="1:11" x14ac:dyDescent="0.2">
      <c r="A3388" t="s">
        <v>16</v>
      </c>
      <c r="B3388" t="s">
        <v>4436</v>
      </c>
      <c r="C3388">
        <v>570</v>
      </c>
      <c r="D3388" t="s">
        <v>7868</v>
      </c>
      <c r="E3388" t="s">
        <v>49</v>
      </c>
      <c r="F3388">
        <v>4</v>
      </c>
      <c r="G3388">
        <v>0.83597728652715697</v>
      </c>
      <c r="H3388" t="s">
        <v>84</v>
      </c>
      <c r="I3388">
        <v>0</v>
      </c>
      <c r="J3388">
        <v>0</v>
      </c>
      <c r="K3388">
        <v>0</v>
      </c>
    </row>
    <row r="3389" spans="1:11" x14ac:dyDescent="0.2">
      <c r="A3389" t="s">
        <v>16</v>
      </c>
      <c r="B3389" t="s">
        <v>4436</v>
      </c>
      <c r="C3389">
        <v>570</v>
      </c>
      <c r="D3389" t="s">
        <v>7871</v>
      </c>
      <c r="E3389" t="s">
        <v>49</v>
      </c>
      <c r="F3389">
        <v>4</v>
      </c>
      <c r="G3389">
        <v>0.83597728652715697</v>
      </c>
      <c r="H3389" t="s">
        <v>89</v>
      </c>
      <c r="I3389">
        <v>0</v>
      </c>
      <c r="J3389">
        <v>0</v>
      </c>
      <c r="K3389">
        <v>0</v>
      </c>
    </row>
    <row r="3390" spans="1:11" x14ac:dyDescent="0.2">
      <c r="A3390" t="s">
        <v>16</v>
      </c>
      <c r="B3390" t="s">
        <v>4436</v>
      </c>
      <c r="C3390">
        <v>570</v>
      </c>
      <c r="D3390" t="s">
        <v>7867</v>
      </c>
      <c r="E3390" t="s">
        <v>49</v>
      </c>
      <c r="F3390">
        <v>4</v>
      </c>
      <c r="G3390">
        <v>0.83597728652715697</v>
      </c>
      <c r="H3390" t="s">
        <v>93</v>
      </c>
      <c r="I3390">
        <v>0</v>
      </c>
      <c r="J3390">
        <v>0</v>
      </c>
      <c r="K3390">
        <v>0</v>
      </c>
    </row>
    <row r="3391" spans="1:11" x14ac:dyDescent="0.2">
      <c r="A3391" t="s">
        <v>16</v>
      </c>
      <c r="B3391" t="s">
        <v>4436</v>
      </c>
      <c r="C3391">
        <v>190</v>
      </c>
      <c r="D3391" t="s">
        <v>7863</v>
      </c>
      <c r="E3391" t="s">
        <v>49</v>
      </c>
      <c r="F3391">
        <v>4</v>
      </c>
      <c r="G3391">
        <v>0.27865909550905232</v>
      </c>
      <c r="H3391" t="s">
        <v>95</v>
      </c>
      <c r="I3391">
        <v>0</v>
      </c>
      <c r="J3391">
        <v>0</v>
      </c>
      <c r="K3391">
        <v>0</v>
      </c>
    </row>
    <row r="3392" spans="1:11" x14ac:dyDescent="0.2">
      <c r="A3392" t="s">
        <v>16</v>
      </c>
      <c r="B3392" t="s">
        <v>280</v>
      </c>
      <c r="C3392">
        <v>450</v>
      </c>
      <c r="D3392" t="s">
        <v>7874</v>
      </c>
      <c r="E3392" t="s">
        <v>49</v>
      </c>
      <c r="F3392">
        <v>4</v>
      </c>
      <c r="G3392">
        <v>0.42436800088701637</v>
      </c>
      <c r="H3392" t="s">
        <v>103</v>
      </c>
      <c r="I3392">
        <v>0</v>
      </c>
      <c r="J3392">
        <v>0</v>
      </c>
      <c r="K3392">
        <v>0</v>
      </c>
    </row>
    <row r="3393" spans="1:11" x14ac:dyDescent="0.2">
      <c r="A3393" t="s">
        <v>16</v>
      </c>
      <c r="B3393" t="s">
        <v>280</v>
      </c>
      <c r="C3393">
        <v>450</v>
      </c>
      <c r="D3393" t="s">
        <v>7872</v>
      </c>
      <c r="E3393" t="s">
        <v>49</v>
      </c>
      <c r="F3393">
        <v>4</v>
      </c>
      <c r="G3393">
        <v>0.42436800088701637</v>
      </c>
      <c r="H3393" t="s">
        <v>100</v>
      </c>
      <c r="I3393">
        <v>0</v>
      </c>
      <c r="J3393">
        <v>0</v>
      </c>
      <c r="K3393">
        <v>0</v>
      </c>
    </row>
    <row r="3394" spans="1:11" x14ac:dyDescent="0.2">
      <c r="A3394" t="s">
        <v>16</v>
      </c>
      <c r="B3394" t="s">
        <v>280</v>
      </c>
      <c r="C3394">
        <v>450</v>
      </c>
      <c r="D3394" t="s">
        <v>7873</v>
      </c>
      <c r="E3394" t="s">
        <v>49</v>
      </c>
      <c r="F3394">
        <v>4</v>
      </c>
      <c r="G3394">
        <v>0.42436800088701637</v>
      </c>
      <c r="H3394" t="s">
        <v>88</v>
      </c>
      <c r="I3394">
        <v>0</v>
      </c>
      <c r="J3394">
        <v>0</v>
      </c>
      <c r="K3394">
        <v>0</v>
      </c>
    </row>
    <row r="3395" spans="1:11" x14ac:dyDescent="0.2">
      <c r="A3395" t="s">
        <v>16</v>
      </c>
      <c r="B3395" t="s">
        <v>234</v>
      </c>
      <c r="C3395">
        <v>240</v>
      </c>
      <c r="D3395" t="s">
        <v>7878</v>
      </c>
      <c r="E3395" t="s">
        <v>49</v>
      </c>
      <c r="F3395">
        <v>2</v>
      </c>
      <c r="G3395">
        <v>0.64293091416608505</v>
      </c>
      <c r="H3395" t="s">
        <v>101</v>
      </c>
      <c r="I3395">
        <v>0</v>
      </c>
      <c r="J3395">
        <v>0</v>
      </c>
      <c r="K3395">
        <v>0</v>
      </c>
    </row>
    <row r="3396" spans="1:11" x14ac:dyDescent="0.2">
      <c r="A3396" t="s">
        <v>16</v>
      </c>
      <c r="B3396" t="s">
        <v>234</v>
      </c>
      <c r="C3396">
        <v>240</v>
      </c>
      <c r="D3396" t="s">
        <v>7880</v>
      </c>
      <c r="E3396" t="s">
        <v>49</v>
      </c>
      <c r="F3396">
        <v>2</v>
      </c>
      <c r="G3396">
        <v>0.64293091416608505</v>
      </c>
      <c r="H3396" t="s">
        <v>103</v>
      </c>
      <c r="I3396">
        <v>0</v>
      </c>
      <c r="J3396">
        <v>0</v>
      </c>
      <c r="K3396">
        <v>0</v>
      </c>
    </row>
    <row r="3397" spans="1:11" x14ac:dyDescent="0.2">
      <c r="A3397" t="s">
        <v>16</v>
      </c>
      <c r="B3397" t="s">
        <v>234</v>
      </c>
      <c r="C3397">
        <v>240</v>
      </c>
      <c r="D3397" t="s">
        <v>7876</v>
      </c>
      <c r="E3397" t="s">
        <v>49</v>
      </c>
      <c r="F3397">
        <v>2</v>
      </c>
      <c r="G3397">
        <v>0.64293091416608505</v>
      </c>
      <c r="H3397" t="s">
        <v>101</v>
      </c>
      <c r="I3397">
        <v>0</v>
      </c>
      <c r="J3397">
        <v>0</v>
      </c>
      <c r="K3397">
        <v>0</v>
      </c>
    </row>
    <row r="3398" spans="1:11" x14ac:dyDescent="0.2">
      <c r="A3398" t="s">
        <v>16</v>
      </c>
      <c r="B3398" t="s">
        <v>234</v>
      </c>
      <c r="C3398">
        <v>160</v>
      </c>
      <c r="D3398" t="s">
        <v>7879</v>
      </c>
      <c r="E3398" t="s">
        <v>49</v>
      </c>
      <c r="F3398">
        <v>2</v>
      </c>
      <c r="G3398">
        <v>0.42862060944405672</v>
      </c>
      <c r="H3398" t="s">
        <v>103</v>
      </c>
      <c r="I3398">
        <v>0</v>
      </c>
      <c r="J3398">
        <v>0</v>
      </c>
      <c r="K3398">
        <v>0</v>
      </c>
    </row>
    <row r="3399" spans="1:11" x14ac:dyDescent="0.2">
      <c r="A3399" t="s">
        <v>16</v>
      </c>
      <c r="B3399" t="s">
        <v>234</v>
      </c>
      <c r="C3399">
        <v>240</v>
      </c>
      <c r="D3399" t="s">
        <v>7875</v>
      </c>
      <c r="E3399" t="s">
        <v>49</v>
      </c>
      <c r="F3399">
        <v>2</v>
      </c>
      <c r="G3399">
        <v>0.64293091416608505</v>
      </c>
      <c r="H3399" t="s">
        <v>103</v>
      </c>
      <c r="I3399">
        <v>0</v>
      </c>
      <c r="J3399">
        <v>0</v>
      </c>
      <c r="K3399">
        <v>0</v>
      </c>
    </row>
    <row r="3400" spans="1:11" x14ac:dyDescent="0.2">
      <c r="A3400" t="s">
        <v>16</v>
      </c>
      <c r="B3400" t="s">
        <v>234</v>
      </c>
      <c r="C3400">
        <v>240</v>
      </c>
      <c r="D3400" t="s">
        <v>7877</v>
      </c>
      <c r="E3400" t="s">
        <v>49</v>
      </c>
      <c r="F3400">
        <v>2</v>
      </c>
      <c r="G3400">
        <v>0.64293091416608505</v>
      </c>
      <c r="H3400" t="s">
        <v>101</v>
      </c>
      <c r="I3400">
        <v>0</v>
      </c>
      <c r="J3400">
        <v>0</v>
      </c>
      <c r="K3400">
        <v>0</v>
      </c>
    </row>
    <row r="3401" spans="1:11" x14ac:dyDescent="0.2">
      <c r="A3401" t="s">
        <v>16</v>
      </c>
      <c r="B3401" t="s">
        <v>273</v>
      </c>
      <c r="C3401">
        <v>225</v>
      </c>
      <c r="D3401" t="s">
        <v>7901</v>
      </c>
      <c r="E3401" t="s">
        <v>49</v>
      </c>
      <c r="F3401">
        <v>3</v>
      </c>
      <c r="G3401">
        <v>0.46767017147201817</v>
      </c>
      <c r="H3401" t="s">
        <v>100</v>
      </c>
      <c r="I3401">
        <v>0</v>
      </c>
      <c r="J3401">
        <v>0</v>
      </c>
      <c r="K3401">
        <v>0</v>
      </c>
    </row>
    <row r="3402" spans="1:11" x14ac:dyDescent="0.2">
      <c r="A3402" t="s">
        <v>16</v>
      </c>
      <c r="B3402" t="s">
        <v>273</v>
      </c>
      <c r="C3402">
        <v>225</v>
      </c>
      <c r="D3402" t="s">
        <v>7895</v>
      </c>
      <c r="E3402" t="s">
        <v>49</v>
      </c>
      <c r="F3402">
        <v>3</v>
      </c>
      <c r="G3402">
        <v>0.46767017147201817</v>
      </c>
      <c r="H3402" t="s">
        <v>88</v>
      </c>
      <c r="I3402">
        <v>0</v>
      </c>
      <c r="J3402">
        <v>0</v>
      </c>
      <c r="K3402">
        <v>0</v>
      </c>
    </row>
    <row r="3403" spans="1:11" x14ac:dyDescent="0.2">
      <c r="A3403" t="s">
        <v>16</v>
      </c>
      <c r="B3403" t="s">
        <v>273</v>
      </c>
      <c r="C3403">
        <v>225</v>
      </c>
      <c r="D3403" t="s">
        <v>7898</v>
      </c>
      <c r="E3403" t="s">
        <v>49</v>
      </c>
      <c r="F3403">
        <v>3</v>
      </c>
      <c r="G3403">
        <v>0.46767017147201817</v>
      </c>
      <c r="H3403" t="s">
        <v>91</v>
      </c>
      <c r="I3403">
        <v>0</v>
      </c>
      <c r="J3403">
        <v>0</v>
      </c>
      <c r="K3403">
        <v>0</v>
      </c>
    </row>
    <row r="3404" spans="1:11" x14ac:dyDescent="0.2">
      <c r="A3404" t="s">
        <v>16</v>
      </c>
      <c r="B3404" t="s">
        <v>273</v>
      </c>
      <c r="C3404">
        <v>225</v>
      </c>
      <c r="D3404" t="s">
        <v>7905</v>
      </c>
      <c r="E3404" t="s">
        <v>49</v>
      </c>
      <c r="F3404">
        <v>3</v>
      </c>
      <c r="G3404">
        <v>0.46767017147201817</v>
      </c>
      <c r="H3404" t="s">
        <v>100</v>
      </c>
      <c r="I3404">
        <v>0</v>
      </c>
      <c r="J3404">
        <v>0</v>
      </c>
      <c r="K3404">
        <v>0</v>
      </c>
    </row>
    <row r="3405" spans="1:11" x14ac:dyDescent="0.2">
      <c r="A3405" t="s">
        <v>16</v>
      </c>
      <c r="B3405" t="s">
        <v>273</v>
      </c>
      <c r="C3405">
        <v>225</v>
      </c>
      <c r="D3405" t="s">
        <v>7894</v>
      </c>
      <c r="E3405" t="s">
        <v>49</v>
      </c>
      <c r="F3405">
        <v>3</v>
      </c>
      <c r="G3405">
        <v>0.46767017147201817</v>
      </c>
      <c r="H3405" t="s">
        <v>88</v>
      </c>
      <c r="I3405">
        <v>0</v>
      </c>
      <c r="J3405">
        <v>0</v>
      </c>
      <c r="K3405">
        <v>0</v>
      </c>
    </row>
    <row r="3406" spans="1:11" x14ac:dyDescent="0.2">
      <c r="A3406" t="s">
        <v>16</v>
      </c>
      <c r="B3406" t="s">
        <v>273</v>
      </c>
      <c r="C3406">
        <v>225</v>
      </c>
      <c r="D3406" t="s">
        <v>7897</v>
      </c>
      <c r="E3406" t="s">
        <v>49</v>
      </c>
      <c r="F3406">
        <v>3</v>
      </c>
      <c r="G3406">
        <v>0.46767017147201817</v>
      </c>
      <c r="H3406" t="s">
        <v>91</v>
      </c>
      <c r="I3406">
        <v>0</v>
      </c>
      <c r="J3406">
        <v>0</v>
      </c>
      <c r="K3406">
        <v>0</v>
      </c>
    </row>
    <row r="3407" spans="1:11" x14ac:dyDescent="0.2">
      <c r="A3407" t="s">
        <v>16</v>
      </c>
      <c r="B3407" t="s">
        <v>273</v>
      </c>
      <c r="C3407">
        <v>225</v>
      </c>
      <c r="D3407" t="s">
        <v>7893</v>
      </c>
      <c r="E3407" t="s">
        <v>49</v>
      </c>
      <c r="F3407">
        <v>3</v>
      </c>
      <c r="G3407">
        <v>0.46767017147201817</v>
      </c>
      <c r="H3407" t="s">
        <v>100</v>
      </c>
      <c r="I3407">
        <v>0</v>
      </c>
      <c r="J3407">
        <v>0</v>
      </c>
      <c r="K3407">
        <v>0</v>
      </c>
    </row>
    <row r="3408" spans="1:11" x14ac:dyDescent="0.2">
      <c r="A3408" t="s">
        <v>16</v>
      </c>
      <c r="B3408" t="s">
        <v>273</v>
      </c>
      <c r="C3408">
        <v>225</v>
      </c>
      <c r="D3408" t="s">
        <v>7900</v>
      </c>
      <c r="E3408" t="s">
        <v>49</v>
      </c>
      <c r="F3408">
        <v>3</v>
      </c>
      <c r="G3408">
        <v>0.46767017147201817</v>
      </c>
      <c r="H3408" t="s">
        <v>88</v>
      </c>
      <c r="I3408">
        <v>0</v>
      </c>
      <c r="J3408">
        <v>0</v>
      </c>
      <c r="K3408">
        <v>0</v>
      </c>
    </row>
    <row r="3409" spans="1:11" x14ac:dyDescent="0.2">
      <c r="A3409" t="s">
        <v>16</v>
      </c>
      <c r="B3409" t="s">
        <v>273</v>
      </c>
      <c r="C3409">
        <v>225</v>
      </c>
      <c r="D3409" t="s">
        <v>7891</v>
      </c>
      <c r="E3409" t="s">
        <v>49</v>
      </c>
      <c r="F3409">
        <v>3</v>
      </c>
      <c r="G3409">
        <v>0.46767017147201817</v>
      </c>
      <c r="H3409" t="s">
        <v>91</v>
      </c>
      <c r="I3409">
        <v>0</v>
      </c>
      <c r="J3409">
        <v>0</v>
      </c>
      <c r="K3409">
        <v>0</v>
      </c>
    </row>
    <row r="3410" spans="1:11" x14ac:dyDescent="0.2">
      <c r="A3410" t="s">
        <v>16</v>
      </c>
      <c r="B3410" t="s">
        <v>273</v>
      </c>
      <c r="C3410">
        <v>225</v>
      </c>
      <c r="D3410" t="s">
        <v>7899</v>
      </c>
      <c r="E3410" t="s">
        <v>49</v>
      </c>
      <c r="F3410">
        <v>3</v>
      </c>
      <c r="G3410">
        <v>0.46767017147201817</v>
      </c>
      <c r="H3410" t="s">
        <v>100</v>
      </c>
      <c r="I3410">
        <v>0</v>
      </c>
      <c r="J3410">
        <v>0</v>
      </c>
      <c r="K3410">
        <v>0</v>
      </c>
    </row>
    <row r="3411" spans="1:11" x14ac:dyDescent="0.2">
      <c r="A3411" t="s">
        <v>16</v>
      </c>
      <c r="B3411" t="s">
        <v>273</v>
      </c>
      <c r="C3411">
        <v>225</v>
      </c>
      <c r="D3411" t="s">
        <v>7883</v>
      </c>
      <c r="E3411" t="s">
        <v>49</v>
      </c>
      <c r="F3411">
        <v>3</v>
      </c>
      <c r="G3411">
        <v>0.46767017147201817</v>
      </c>
      <c r="H3411" t="s">
        <v>88</v>
      </c>
      <c r="I3411">
        <v>0</v>
      </c>
      <c r="J3411">
        <v>0</v>
      </c>
      <c r="K3411">
        <v>0</v>
      </c>
    </row>
    <row r="3412" spans="1:11" x14ac:dyDescent="0.2">
      <c r="A3412" t="s">
        <v>16</v>
      </c>
      <c r="B3412" t="s">
        <v>273</v>
      </c>
      <c r="C3412">
        <v>225</v>
      </c>
      <c r="D3412" t="s">
        <v>7896</v>
      </c>
      <c r="E3412" t="s">
        <v>49</v>
      </c>
      <c r="F3412">
        <v>3</v>
      </c>
      <c r="G3412">
        <v>0.46767017147201817</v>
      </c>
      <c r="H3412" t="s">
        <v>91</v>
      </c>
      <c r="I3412">
        <v>0</v>
      </c>
      <c r="J3412">
        <v>0</v>
      </c>
      <c r="K3412">
        <v>0</v>
      </c>
    </row>
    <row r="3413" spans="1:11" x14ac:dyDescent="0.2">
      <c r="A3413" t="s">
        <v>16</v>
      </c>
      <c r="B3413" t="s">
        <v>273</v>
      </c>
      <c r="C3413">
        <v>225</v>
      </c>
      <c r="D3413" t="s">
        <v>7906</v>
      </c>
      <c r="E3413" t="s">
        <v>49</v>
      </c>
      <c r="F3413">
        <v>3</v>
      </c>
      <c r="G3413">
        <v>0.46767017147201817</v>
      </c>
      <c r="H3413" t="s">
        <v>100</v>
      </c>
      <c r="I3413">
        <v>0</v>
      </c>
      <c r="J3413">
        <v>0</v>
      </c>
      <c r="K3413">
        <v>0</v>
      </c>
    </row>
    <row r="3414" spans="1:11" x14ac:dyDescent="0.2">
      <c r="A3414" t="s">
        <v>16</v>
      </c>
      <c r="B3414" t="s">
        <v>273</v>
      </c>
      <c r="C3414">
        <v>225</v>
      </c>
      <c r="D3414" t="s">
        <v>7886</v>
      </c>
      <c r="E3414" t="s">
        <v>49</v>
      </c>
      <c r="F3414">
        <v>3</v>
      </c>
      <c r="G3414">
        <v>0.46767017147201817</v>
      </c>
      <c r="H3414" t="s">
        <v>88</v>
      </c>
      <c r="I3414">
        <v>0</v>
      </c>
      <c r="J3414">
        <v>0</v>
      </c>
      <c r="K3414">
        <v>0</v>
      </c>
    </row>
    <row r="3415" spans="1:11" x14ac:dyDescent="0.2">
      <c r="A3415" t="s">
        <v>16</v>
      </c>
      <c r="B3415" t="s">
        <v>273</v>
      </c>
      <c r="C3415">
        <v>225</v>
      </c>
      <c r="D3415" t="s">
        <v>7904</v>
      </c>
      <c r="E3415" t="s">
        <v>49</v>
      </c>
      <c r="F3415">
        <v>3</v>
      </c>
      <c r="G3415">
        <v>0.46767017147201817</v>
      </c>
      <c r="H3415" t="s">
        <v>91</v>
      </c>
      <c r="I3415">
        <v>0</v>
      </c>
      <c r="J3415">
        <v>0</v>
      </c>
      <c r="K3415">
        <v>0</v>
      </c>
    </row>
    <row r="3416" spans="1:11" x14ac:dyDescent="0.2">
      <c r="A3416" t="s">
        <v>16</v>
      </c>
      <c r="B3416" t="s">
        <v>273</v>
      </c>
      <c r="C3416">
        <v>225</v>
      </c>
      <c r="D3416" t="s">
        <v>7887</v>
      </c>
      <c r="E3416" t="s">
        <v>49</v>
      </c>
      <c r="F3416">
        <v>3</v>
      </c>
      <c r="G3416">
        <v>0.46767017147201817</v>
      </c>
      <c r="H3416" t="s">
        <v>100</v>
      </c>
      <c r="I3416">
        <v>0</v>
      </c>
      <c r="J3416">
        <v>0</v>
      </c>
      <c r="K3416">
        <v>0</v>
      </c>
    </row>
    <row r="3417" spans="1:11" x14ac:dyDescent="0.2">
      <c r="A3417" t="s">
        <v>16</v>
      </c>
      <c r="B3417" t="s">
        <v>273</v>
      </c>
      <c r="C3417">
        <v>225</v>
      </c>
      <c r="D3417" t="s">
        <v>7888</v>
      </c>
      <c r="E3417" t="s">
        <v>49</v>
      </c>
      <c r="F3417">
        <v>3</v>
      </c>
      <c r="G3417">
        <v>0.46767017147201817</v>
      </c>
      <c r="H3417" t="s">
        <v>88</v>
      </c>
      <c r="I3417">
        <v>0</v>
      </c>
      <c r="J3417">
        <v>0</v>
      </c>
      <c r="K3417">
        <v>0</v>
      </c>
    </row>
    <row r="3418" spans="1:11" x14ac:dyDescent="0.2">
      <c r="A3418" t="s">
        <v>16</v>
      </c>
      <c r="B3418" t="s">
        <v>273</v>
      </c>
      <c r="C3418">
        <v>225</v>
      </c>
      <c r="D3418" t="s">
        <v>7890</v>
      </c>
      <c r="E3418" t="s">
        <v>49</v>
      </c>
      <c r="F3418">
        <v>3</v>
      </c>
      <c r="G3418">
        <v>0.46767017147201817</v>
      </c>
      <c r="H3418" t="s">
        <v>91</v>
      </c>
      <c r="I3418">
        <v>0</v>
      </c>
      <c r="J3418">
        <v>0</v>
      </c>
      <c r="K3418">
        <v>0</v>
      </c>
    </row>
    <row r="3419" spans="1:11" x14ac:dyDescent="0.2">
      <c r="A3419" t="s">
        <v>16</v>
      </c>
      <c r="B3419" t="s">
        <v>273</v>
      </c>
      <c r="C3419">
        <v>225</v>
      </c>
      <c r="D3419" t="s">
        <v>7881</v>
      </c>
      <c r="E3419" t="s">
        <v>49</v>
      </c>
      <c r="F3419">
        <v>3</v>
      </c>
      <c r="G3419">
        <v>0.46767017147201817</v>
      </c>
      <c r="H3419" t="s">
        <v>100</v>
      </c>
      <c r="I3419">
        <v>0</v>
      </c>
      <c r="J3419">
        <v>0</v>
      </c>
      <c r="K3419">
        <v>0</v>
      </c>
    </row>
    <row r="3420" spans="1:11" x14ac:dyDescent="0.2">
      <c r="A3420" t="s">
        <v>16</v>
      </c>
      <c r="B3420" t="s">
        <v>273</v>
      </c>
      <c r="C3420">
        <v>225</v>
      </c>
      <c r="D3420" t="s">
        <v>7892</v>
      </c>
      <c r="E3420" t="s">
        <v>49</v>
      </c>
      <c r="F3420">
        <v>3</v>
      </c>
      <c r="G3420">
        <v>0.46767017147201817</v>
      </c>
      <c r="H3420" t="s">
        <v>88</v>
      </c>
      <c r="I3420">
        <v>0</v>
      </c>
      <c r="J3420">
        <v>0</v>
      </c>
      <c r="K3420">
        <v>0</v>
      </c>
    </row>
    <row r="3421" spans="1:11" x14ac:dyDescent="0.2">
      <c r="A3421" t="s">
        <v>16</v>
      </c>
      <c r="B3421" t="s">
        <v>273</v>
      </c>
      <c r="C3421">
        <v>225</v>
      </c>
      <c r="D3421" t="s">
        <v>7902</v>
      </c>
      <c r="E3421" t="s">
        <v>49</v>
      </c>
      <c r="F3421">
        <v>3</v>
      </c>
      <c r="G3421">
        <v>0.46767017147201817</v>
      </c>
      <c r="H3421" t="s">
        <v>91</v>
      </c>
      <c r="I3421">
        <v>0</v>
      </c>
      <c r="J3421">
        <v>0</v>
      </c>
      <c r="K3421">
        <v>0</v>
      </c>
    </row>
    <row r="3422" spans="1:11" x14ac:dyDescent="0.2">
      <c r="A3422" t="s">
        <v>16</v>
      </c>
      <c r="B3422" t="s">
        <v>273</v>
      </c>
      <c r="C3422">
        <v>225</v>
      </c>
      <c r="D3422" t="s">
        <v>7889</v>
      </c>
      <c r="E3422" t="s">
        <v>49</v>
      </c>
      <c r="F3422">
        <v>3</v>
      </c>
      <c r="G3422">
        <v>0.46767017147201817</v>
      </c>
      <c r="H3422" t="s">
        <v>100</v>
      </c>
      <c r="I3422">
        <v>0</v>
      </c>
      <c r="J3422">
        <v>0</v>
      </c>
      <c r="K3422">
        <v>0</v>
      </c>
    </row>
    <row r="3423" spans="1:11" x14ac:dyDescent="0.2">
      <c r="A3423" t="s">
        <v>16</v>
      </c>
      <c r="B3423" t="s">
        <v>273</v>
      </c>
      <c r="C3423">
        <v>225</v>
      </c>
      <c r="D3423" t="s">
        <v>7903</v>
      </c>
      <c r="E3423" t="s">
        <v>49</v>
      </c>
      <c r="F3423">
        <v>3</v>
      </c>
      <c r="G3423">
        <v>0.46767017147201817</v>
      </c>
      <c r="H3423" t="s">
        <v>88</v>
      </c>
      <c r="I3423">
        <v>0</v>
      </c>
      <c r="J3423">
        <v>0</v>
      </c>
      <c r="K3423">
        <v>0</v>
      </c>
    </row>
    <row r="3424" spans="1:11" x14ac:dyDescent="0.2">
      <c r="A3424" t="s">
        <v>16</v>
      </c>
      <c r="B3424" t="s">
        <v>273</v>
      </c>
      <c r="C3424">
        <v>225</v>
      </c>
      <c r="D3424" t="s">
        <v>7884</v>
      </c>
      <c r="E3424" t="s">
        <v>49</v>
      </c>
      <c r="F3424">
        <v>3</v>
      </c>
      <c r="G3424">
        <v>0.46767017147201817</v>
      </c>
      <c r="H3424" t="s">
        <v>91</v>
      </c>
      <c r="I3424">
        <v>0</v>
      </c>
      <c r="J3424">
        <v>0</v>
      </c>
      <c r="K3424">
        <v>0</v>
      </c>
    </row>
    <row r="3425" spans="1:11" x14ac:dyDescent="0.2">
      <c r="A3425" t="s">
        <v>16</v>
      </c>
      <c r="B3425" t="s">
        <v>273</v>
      </c>
      <c r="C3425">
        <v>225</v>
      </c>
      <c r="D3425" t="s">
        <v>7882</v>
      </c>
      <c r="E3425" t="s">
        <v>49</v>
      </c>
      <c r="F3425">
        <v>3</v>
      </c>
      <c r="G3425">
        <v>0.46767017147201817</v>
      </c>
      <c r="H3425" t="s">
        <v>100</v>
      </c>
      <c r="I3425">
        <v>0</v>
      </c>
      <c r="J3425">
        <v>0</v>
      </c>
      <c r="K3425">
        <v>0</v>
      </c>
    </row>
    <row r="3426" spans="1:11" x14ac:dyDescent="0.2">
      <c r="A3426" t="s">
        <v>16</v>
      </c>
      <c r="B3426" t="s">
        <v>273</v>
      </c>
      <c r="C3426">
        <v>225</v>
      </c>
      <c r="D3426" t="s">
        <v>7885</v>
      </c>
      <c r="E3426" t="s">
        <v>49</v>
      </c>
      <c r="F3426">
        <v>3</v>
      </c>
      <c r="G3426">
        <v>0.46767017147201817</v>
      </c>
      <c r="H3426" t="s">
        <v>88</v>
      </c>
      <c r="I3426">
        <v>0</v>
      </c>
      <c r="J3426">
        <v>0</v>
      </c>
      <c r="K3426">
        <v>0</v>
      </c>
    </row>
    <row r="3427" spans="1:11" x14ac:dyDescent="0.2">
      <c r="A3427" t="s">
        <v>16</v>
      </c>
      <c r="B3427" t="s">
        <v>4485</v>
      </c>
      <c r="C3427">
        <v>225</v>
      </c>
      <c r="D3427" t="s">
        <v>7928</v>
      </c>
      <c r="E3427" t="s">
        <v>49</v>
      </c>
      <c r="F3427">
        <v>4</v>
      </c>
      <c r="G3427">
        <v>0.47327438722589255</v>
      </c>
      <c r="H3427" t="s">
        <v>94</v>
      </c>
      <c r="I3427">
        <v>0</v>
      </c>
      <c r="J3427">
        <v>0</v>
      </c>
      <c r="K3427">
        <v>0</v>
      </c>
    </row>
    <row r="3428" spans="1:11" x14ac:dyDescent="0.2">
      <c r="A3428" t="s">
        <v>16</v>
      </c>
      <c r="B3428" t="s">
        <v>4485</v>
      </c>
      <c r="C3428">
        <v>225</v>
      </c>
      <c r="D3428" t="s">
        <v>7911</v>
      </c>
      <c r="E3428" t="s">
        <v>49</v>
      </c>
      <c r="F3428">
        <v>4</v>
      </c>
      <c r="G3428">
        <v>0.47327438722589255</v>
      </c>
      <c r="H3428" t="s">
        <v>98</v>
      </c>
      <c r="I3428">
        <v>0</v>
      </c>
      <c r="J3428">
        <v>0</v>
      </c>
      <c r="K3428">
        <v>0</v>
      </c>
    </row>
    <row r="3429" spans="1:11" x14ac:dyDescent="0.2">
      <c r="A3429" t="s">
        <v>16</v>
      </c>
      <c r="B3429" t="s">
        <v>4485</v>
      </c>
      <c r="C3429">
        <v>225</v>
      </c>
      <c r="D3429" t="s">
        <v>7907</v>
      </c>
      <c r="E3429" t="s">
        <v>49</v>
      </c>
      <c r="F3429">
        <v>4</v>
      </c>
      <c r="G3429">
        <v>0.47327438722589255</v>
      </c>
      <c r="H3429" t="s">
        <v>99</v>
      </c>
      <c r="I3429">
        <v>0</v>
      </c>
      <c r="J3429">
        <v>0</v>
      </c>
      <c r="K3429">
        <v>0</v>
      </c>
    </row>
    <row r="3430" spans="1:11" x14ac:dyDescent="0.2">
      <c r="A3430" t="s">
        <v>16</v>
      </c>
      <c r="B3430" t="s">
        <v>4485</v>
      </c>
      <c r="C3430">
        <v>225</v>
      </c>
      <c r="D3430" t="s">
        <v>7915</v>
      </c>
      <c r="E3430" t="s">
        <v>49</v>
      </c>
      <c r="F3430">
        <v>4</v>
      </c>
      <c r="G3430">
        <v>0.47327438722589255</v>
      </c>
      <c r="H3430" t="s">
        <v>94</v>
      </c>
      <c r="I3430">
        <v>0</v>
      </c>
      <c r="J3430">
        <v>0</v>
      </c>
      <c r="K3430">
        <v>0</v>
      </c>
    </row>
    <row r="3431" spans="1:11" x14ac:dyDescent="0.2">
      <c r="A3431" t="s">
        <v>16</v>
      </c>
      <c r="B3431" t="s">
        <v>4485</v>
      </c>
      <c r="C3431">
        <v>225</v>
      </c>
      <c r="D3431" t="s">
        <v>7926</v>
      </c>
      <c r="E3431" t="s">
        <v>49</v>
      </c>
      <c r="F3431">
        <v>4</v>
      </c>
      <c r="G3431">
        <v>0.47327438722589255</v>
      </c>
      <c r="H3431" t="s">
        <v>92</v>
      </c>
      <c r="I3431">
        <v>0</v>
      </c>
      <c r="J3431">
        <v>0</v>
      </c>
      <c r="K3431">
        <v>0</v>
      </c>
    </row>
    <row r="3432" spans="1:11" x14ac:dyDescent="0.2">
      <c r="A3432" t="s">
        <v>16</v>
      </c>
      <c r="B3432" t="s">
        <v>4485</v>
      </c>
      <c r="C3432">
        <v>225</v>
      </c>
      <c r="D3432" t="s">
        <v>7917</v>
      </c>
      <c r="E3432" t="s">
        <v>49</v>
      </c>
      <c r="F3432">
        <v>4</v>
      </c>
      <c r="G3432">
        <v>0.47327438722589255</v>
      </c>
      <c r="H3432" t="s">
        <v>98</v>
      </c>
      <c r="I3432">
        <v>0</v>
      </c>
      <c r="J3432">
        <v>0</v>
      </c>
      <c r="K3432">
        <v>0</v>
      </c>
    </row>
    <row r="3433" spans="1:11" x14ac:dyDescent="0.2">
      <c r="A3433" t="s">
        <v>16</v>
      </c>
      <c r="B3433" t="s">
        <v>4485</v>
      </c>
      <c r="C3433">
        <v>225</v>
      </c>
      <c r="D3433" t="s">
        <v>7914</v>
      </c>
      <c r="E3433" t="s">
        <v>49</v>
      </c>
      <c r="F3433">
        <v>4</v>
      </c>
      <c r="G3433">
        <v>0.47327438722589255</v>
      </c>
      <c r="H3433" t="s">
        <v>99</v>
      </c>
      <c r="I3433">
        <v>0</v>
      </c>
      <c r="J3433">
        <v>0</v>
      </c>
      <c r="K3433">
        <v>0</v>
      </c>
    </row>
    <row r="3434" spans="1:11" x14ac:dyDescent="0.2">
      <c r="A3434" t="s">
        <v>16</v>
      </c>
      <c r="B3434" t="s">
        <v>4485</v>
      </c>
      <c r="C3434">
        <v>225</v>
      </c>
      <c r="D3434" t="s">
        <v>7910</v>
      </c>
      <c r="E3434" t="s">
        <v>49</v>
      </c>
      <c r="F3434">
        <v>4</v>
      </c>
      <c r="G3434">
        <v>0.47327438722589255</v>
      </c>
      <c r="H3434" t="s">
        <v>94</v>
      </c>
      <c r="I3434">
        <v>0</v>
      </c>
      <c r="J3434">
        <v>0</v>
      </c>
      <c r="K3434">
        <v>0</v>
      </c>
    </row>
    <row r="3435" spans="1:11" x14ac:dyDescent="0.2">
      <c r="A3435" t="s">
        <v>16</v>
      </c>
      <c r="B3435" t="s">
        <v>4485</v>
      </c>
      <c r="C3435">
        <v>225</v>
      </c>
      <c r="D3435" t="s">
        <v>7923</v>
      </c>
      <c r="E3435" t="s">
        <v>49</v>
      </c>
      <c r="F3435">
        <v>4</v>
      </c>
      <c r="G3435">
        <v>0.47327438722589255</v>
      </c>
      <c r="H3435" t="s">
        <v>92</v>
      </c>
      <c r="I3435">
        <v>0</v>
      </c>
      <c r="J3435">
        <v>0</v>
      </c>
      <c r="K3435">
        <v>0</v>
      </c>
    </row>
    <row r="3436" spans="1:11" x14ac:dyDescent="0.2">
      <c r="A3436" t="s">
        <v>16</v>
      </c>
      <c r="B3436" t="s">
        <v>4485</v>
      </c>
      <c r="C3436">
        <v>225</v>
      </c>
      <c r="D3436" t="s">
        <v>7922</v>
      </c>
      <c r="E3436" t="s">
        <v>49</v>
      </c>
      <c r="F3436">
        <v>4</v>
      </c>
      <c r="G3436">
        <v>0.47327438722589255</v>
      </c>
      <c r="H3436" t="s">
        <v>98</v>
      </c>
      <c r="I3436">
        <v>0</v>
      </c>
      <c r="J3436">
        <v>0</v>
      </c>
      <c r="K3436">
        <v>0</v>
      </c>
    </row>
    <row r="3437" spans="1:11" x14ac:dyDescent="0.2">
      <c r="A3437" t="s">
        <v>16</v>
      </c>
      <c r="B3437" t="s">
        <v>4485</v>
      </c>
      <c r="C3437">
        <v>225</v>
      </c>
      <c r="D3437" t="s">
        <v>7908</v>
      </c>
      <c r="E3437" t="s">
        <v>49</v>
      </c>
      <c r="F3437">
        <v>4</v>
      </c>
      <c r="G3437">
        <v>0.47327438722589255</v>
      </c>
      <c r="H3437" t="s">
        <v>99</v>
      </c>
      <c r="I3437">
        <v>0</v>
      </c>
      <c r="J3437">
        <v>0</v>
      </c>
      <c r="K3437">
        <v>0</v>
      </c>
    </row>
    <row r="3438" spans="1:11" x14ac:dyDescent="0.2">
      <c r="A3438" t="s">
        <v>16</v>
      </c>
      <c r="B3438" t="s">
        <v>4485</v>
      </c>
      <c r="C3438">
        <v>225</v>
      </c>
      <c r="D3438" t="s">
        <v>7929</v>
      </c>
      <c r="E3438" t="s">
        <v>49</v>
      </c>
      <c r="F3438">
        <v>4</v>
      </c>
      <c r="G3438">
        <v>0.47327438722589255</v>
      </c>
      <c r="H3438" t="s">
        <v>94</v>
      </c>
      <c r="I3438">
        <v>0</v>
      </c>
      <c r="J3438">
        <v>0</v>
      </c>
      <c r="K3438">
        <v>0</v>
      </c>
    </row>
    <row r="3439" spans="1:11" x14ac:dyDescent="0.2">
      <c r="A3439" t="s">
        <v>16</v>
      </c>
      <c r="B3439" t="s">
        <v>4485</v>
      </c>
      <c r="C3439">
        <v>225</v>
      </c>
      <c r="D3439" t="s">
        <v>7927</v>
      </c>
      <c r="E3439" t="s">
        <v>49</v>
      </c>
      <c r="F3439">
        <v>4</v>
      </c>
      <c r="G3439">
        <v>0.47327438722589255</v>
      </c>
      <c r="H3439" t="s">
        <v>92</v>
      </c>
      <c r="I3439">
        <v>0</v>
      </c>
      <c r="J3439">
        <v>0</v>
      </c>
      <c r="K3439">
        <v>0</v>
      </c>
    </row>
    <row r="3440" spans="1:11" x14ac:dyDescent="0.2">
      <c r="A3440" t="s">
        <v>16</v>
      </c>
      <c r="B3440" t="s">
        <v>4485</v>
      </c>
      <c r="C3440">
        <v>225</v>
      </c>
      <c r="D3440" t="s">
        <v>7912</v>
      </c>
      <c r="E3440" t="s">
        <v>49</v>
      </c>
      <c r="F3440">
        <v>4</v>
      </c>
      <c r="G3440">
        <v>0.47327438722589255</v>
      </c>
      <c r="H3440" t="s">
        <v>98</v>
      </c>
      <c r="I3440">
        <v>0</v>
      </c>
      <c r="J3440">
        <v>0</v>
      </c>
      <c r="K3440">
        <v>0</v>
      </c>
    </row>
    <row r="3441" spans="1:11" x14ac:dyDescent="0.2">
      <c r="A3441" t="s">
        <v>16</v>
      </c>
      <c r="B3441" t="s">
        <v>4485</v>
      </c>
      <c r="C3441">
        <v>225</v>
      </c>
      <c r="D3441" t="s">
        <v>7919</v>
      </c>
      <c r="E3441" t="s">
        <v>49</v>
      </c>
      <c r="F3441">
        <v>4</v>
      </c>
      <c r="G3441">
        <v>0.47327438722589255</v>
      </c>
      <c r="H3441" t="s">
        <v>99</v>
      </c>
      <c r="I3441">
        <v>0</v>
      </c>
      <c r="J3441">
        <v>0</v>
      </c>
      <c r="K3441">
        <v>0</v>
      </c>
    </row>
    <row r="3442" spans="1:11" x14ac:dyDescent="0.2">
      <c r="A3442" t="s">
        <v>16</v>
      </c>
      <c r="B3442" t="s">
        <v>4485</v>
      </c>
      <c r="C3442">
        <v>225</v>
      </c>
      <c r="D3442" t="s">
        <v>7913</v>
      </c>
      <c r="E3442" t="s">
        <v>49</v>
      </c>
      <c r="F3442">
        <v>4</v>
      </c>
      <c r="G3442">
        <v>0.47327438722589255</v>
      </c>
      <c r="H3442" t="s">
        <v>94</v>
      </c>
      <c r="I3442">
        <v>0</v>
      </c>
      <c r="J3442">
        <v>0</v>
      </c>
      <c r="K3442">
        <v>0</v>
      </c>
    </row>
    <row r="3443" spans="1:11" x14ac:dyDescent="0.2">
      <c r="A3443" t="s">
        <v>16</v>
      </c>
      <c r="B3443" t="s">
        <v>4485</v>
      </c>
      <c r="C3443">
        <v>225</v>
      </c>
      <c r="D3443" t="s">
        <v>7925</v>
      </c>
      <c r="E3443" t="s">
        <v>49</v>
      </c>
      <c r="F3443">
        <v>4</v>
      </c>
      <c r="G3443">
        <v>0.47327438722589255</v>
      </c>
      <c r="H3443" t="s">
        <v>92</v>
      </c>
      <c r="I3443">
        <v>0</v>
      </c>
      <c r="J3443">
        <v>0</v>
      </c>
      <c r="K3443">
        <v>0</v>
      </c>
    </row>
    <row r="3444" spans="1:11" x14ac:dyDescent="0.2">
      <c r="A3444" t="s">
        <v>16</v>
      </c>
      <c r="B3444" t="s">
        <v>4485</v>
      </c>
      <c r="C3444">
        <v>225</v>
      </c>
      <c r="D3444" t="s">
        <v>7920</v>
      </c>
      <c r="E3444" t="s">
        <v>49</v>
      </c>
      <c r="F3444">
        <v>4</v>
      </c>
      <c r="G3444">
        <v>0.47327438722589255</v>
      </c>
      <c r="H3444" t="s">
        <v>98</v>
      </c>
      <c r="I3444">
        <v>0</v>
      </c>
      <c r="J3444">
        <v>0</v>
      </c>
      <c r="K3444">
        <v>0</v>
      </c>
    </row>
    <row r="3445" spans="1:11" x14ac:dyDescent="0.2">
      <c r="A3445" t="s">
        <v>16</v>
      </c>
      <c r="B3445" t="s">
        <v>4485</v>
      </c>
      <c r="C3445">
        <v>225</v>
      </c>
      <c r="D3445" t="s">
        <v>7924</v>
      </c>
      <c r="E3445" t="s">
        <v>49</v>
      </c>
      <c r="F3445">
        <v>4</v>
      </c>
      <c r="G3445">
        <v>0.47327438722589255</v>
      </c>
      <c r="H3445" t="s">
        <v>99</v>
      </c>
      <c r="I3445">
        <v>0</v>
      </c>
      <c r="J3445">
        <v>0</v>
      </c>
      <c r="K3445">
        <v>0</v>
      </c>
    </row>
    <row r="3446" spans="1:11" x14ac:dyDescent="0.2">
      <c r="A3446" t="s">
        <v>16</v>
      </c>
      <c r="B3446" t="s">
        <v>4485</v>
      </c>
      <c r="C3446">
        <v>225</v>
      </c>
      <c r="D3446" t="s">
        <v>7921</v>
      </c>
      <c r="E3446" t="s">
        <v>49</v>
      </c>
      <c r="F3446">
        <v>4</v>
      </c>
      <c r="G3446">
        <v>0.47327438722589255</v>
      </c>
      <c r="H3446" t="s">
        <v>94</v>
      </c>
      <c r="I3446">
        <v>0</v>
      </c>
      <c r="J3446">
        <v>0</v>
      </c>
      <c r="K3446">
        <v>0</v>
      </c>
    </row>
    <row r="3447" spans="1:11" x14ac:dyDescent="0.2">
      <c r="A3447" t="s">
        <v>16</v>
      </c>
      <c r="B3447" t="s">
        <v>4485</v>
      </c>
      <c r="C3447">
        <v>225</v>
      </c>
      <c r="D3447" t="s">
        <v>7918</v>
      </c>
      <c r="E3447" t="s">
        <v>49</v>
      </c>
      <c r="F3447">
        <v>4</v>
      </c>
      <c r="G3447">
        <v>0.47327438722589255</v>
      </c>
      <c r="H3447" t="s">
        <v>92</v>
      </c>
      <c r="I3447">
        <v>0</v>
      </c>
      <c r="J3447">
        <v>0</v>
      </c>
      <c r="K3447">
        <v>0</v>
      </c>
    </row>
    <row r="3448" spans="1:11" x14ac:dyDescent="0.2">
      <c r="A3448" t="s">
        <v>16</v>
      </c>
      <c r="B3448" t="s">
        <v>4485</v>
      </c>
      <c r="C3448">
        <v>225</v>
      </c>
      <c r="D3448" t="s">
        <v>7909</v>
      </c>
      <c r="E3448" t="s">
        <v>49</v>
      </c>
      <c r="F3448">
        <v>4</v>
      </c>
      <c r="G3448">
        <v>0.47327438722589255</v>
      </c>
      <c r="H3448" t="s">
        <v>98</v>
      </c>
      <c r="I3448">
        <v>0</v>
      </c>
      <c r="J3448">
        <v>0</v>
      </c>
      <c r="K3448">
        <v>0</v>
      </c>
    </row>
    <row r="3449" spans="1:11" x14ac:dyDescent="0.2">
      <c r="A3449" t="s">
        <v>16</v>
      </c>
      <c r="B3449" t="s">
        <v>4485</v>
      </c>
      <c r="C3449">
        <v>225</v>
      </c>
      <c r="D3449" t="s">
        <v>7916</v>
      </c>
      <c r="E3449" t="s">
        <v>49</v>
      </c>
      <c r="F3449">
        <v>4</v>
      </c>
      <c r="G3449">
        <v>0.47327438722589255</v>
      </c>
      <c r="H3449" t="s">
        <v>99</v>
      </c>
      <c r="I3449">
        <v>0</v>
      </c>
      <c r="J3449">
        <v>0</v>
      </c>
      <c r="K3449">
        <v>0</v>
      </c>
    </row>
    <row r="3450" spans="1:11" x14ac:dyDescent="0.2">
      <c r="A3450" t="s">
        <v>16</v>
      </c>
      <c r="B3450" t="s">
        <v>4486</v>
      </c>
      <c r="C3450">
        <v>1080</v>
      </c>
      <c r="D3450" t="s">
        <v>7934</v>
      </c>
      <c r="E3450" t="s">
        <v>49</v>
      </c>
      <c r="F3450">
        <v>5</v>
      </c>
      <c r="G3450">
        <v>1.2436526736825757</v>
      </c>
      <c r="H3450" t="s">
        <v>87</v>
      </c>
      <c r="I3450">
        <v>0</v>
      </c>
      <c r="J3450">
        <v>0</v>
      </c>
      <c r="K3450">
        <v>0</v>
      </c>
    </row>
    <row r="3451" spans="1:11" x14ac:dyDescent="0.2">
      <c r="A3451" t="s">
        <v>16</v>
      </c>
      <c r="B3451" t="s">
        <v>4486</v>
      </c>
      <c r="C3451">
        <v>1080</v>
      </c>
      <c r="D3451" t="s">
        <v>7931</v>
      </c>
      <c r="E3451" t="s">
        <v>49</v>
      </c>
      <c r="F3451">
        <v>5</v>
      </c>
      <c r="G3451">
        <v>1.2436526736825757</v>
      </c>
      <c r="H3451" t="s">
        <v>104</v>
      </c>
      <c r="I3451">
        <v>0</v>
      </c>
      <c r="J3451">
        <v>0</v>
      </c>
      <c r="K3451">
        <v>0</v>
      </c>
    </row>
    <row r="3452" spans="1:11" x14ac:dyDescent="0.2">
      <c r="A3452" t="s">
        <v>16</v>
      </c>
      <c r="B3452" t="s">
        <v>4486</v>
      </c>
      <c r="C3452">
        <v>1080</v>
      </c>
      <c r="D3452" t="s">
        <v>7933</v>
      </c>
      <c r="E3452" t="s">
        <v>49</v>
      </c>
      <c r="F3452">
        <v>5</v>
      </c>
      <c r="G3452">
        <v>1.2436526736825757</v>
      </c>
      <c r="H3452" t="s">
        <v>96</v>
      </c>
      <c r="I3452">
        <v>0</v>
      </c>
      <c r="J3452">
        <v>0</v>
      </c>
      <c r="K3452">
        <v>0</v>
      </c>
    </row>
    <row r="3453" spans="1:11" x14ac:dyDescent="0.2">
      <c r="A3453" t="s">
        <v>16</v>
      </c>
      <c r="B3453" t="s">
        <v>4486</v>
      </c>
      <c r="C3453">
        <v>1080</v>
      </c>
      <c r="D3453" t="s">
        <v>7930</v>
      </c>
      <c r="E3453" t="s">
        <v>49</v>
      </c>
      <c r="F3453">
        <v>5</v>
      </c>
      <c r="G3453">
        <v>1.2436526736825757</v>
      </c>
      <c r="H3453" t="s">
        <v>84</v>
      </c>
      <c r="I3453">
        <v>0</v>
      </c>
      <c r="J3453">
        <v>0</v>
      </c>
      <c r="K3453">
        <v>0</v>
      </c>
    </row>
    <row r="3454" spans="1:11" x14ac:dyDescent="0.2">
      <c r="A3454" t="s">
        <v>16</v>
      </c>
      <c r="B3454" t="s">
        <v>4486</v>
      </c>
      <c r="C3454">
        <v>1080</v>
      </c>
      <c r="D3454" t="s">
        <v>7932</v>
      </c>
      <c r="E3454" t="s">
        <v>49</v>
      </c>
      <c r="F3454">
        <v>5</v>
      </c>
      <c r="G3454">
        <v>1.2436526736825757</v>
      </c>
      <c r="H3454" t="s">
        <v>89</v>
      </c>
      <c r="I3454">
        <v>0</v>
      </c>
      <c r="J3454">
        <v>0</v>
      </c>
      <c r="K3454">
        <v>0</v>
      </c>
    </row>
    <row r="3455" spans="1:11" x14ac:dyDescent="0.2">
      <c r="A3455" t="s">
        <v>16</v>
      </c>
      <c r="B3455" t="s">
        <v>4531</v>
      </c>
      <c r="C3455">
        <v>400</v>
      </c>
      <c r="D3455" t="s">
        <v>7935</v>
      </c>
      <c r="E3455" t="s">
        <v>49</v>
      </c>
      <c r="F3455">
        <v>6</v>
      </c>
      <c r="G3455">
        <v>0.35911478755069859</v>
      </c>
      <c r="H3455" t="s">
        <v>93</v>
      </c>
      <c r="I3455">
        <v>0</v>
      </c>
      <c r="J3455">
        <v>0</v>
      </c>
      <c r="K3455">
        <v>0</v>
      </c>
    </row>
    <row r="3456" spans="1:11" x14ac:dyDescent="0.2">
      <c r="A3456" t="s">
        <v>16</v>
      </c>
      <c r="B3456" t="s">
        <v>655</v>
      </c>
      <c r="C3456">
        <v>100</v>
      </c>
      <c r="D3456" t="s">
        <v>7936</v>
      </c>
      <c r="E3456" t="s">
        <v>49</v>
      </c>
      <c r="F3456">
        <v>3</v>
      </c>
      <c r="G3456">
        <v>0.19964173790533907</v>
      </c>
      <c r="H3456" t="s">
        <v>95</v>
      </c>
      <c r="I3456">
        <v>0</v>
      </c>
      <c r="J3456">
        <v>0</v>
      </c>
      <c r="K3456">
        <v>0</v>
      </c>
    </row>
    <row r="3457" spans="1:11" x14ac:dyDescent="0.2">
      <c r="A3457" t="s">
        <v>16</v>
      </c>
      <c r="B3457" t="s">
        <v>4563</v>
      </c>
      <c r="C3457">
        <v>440</v>
      </c>
      <c r="D3457" t="s">
        <v>7937</v>
      </c>
      <c r="E3457" t="s">
        <v>49</v>
      </c>
      <c r="F3457">
        <v>6</v>
      </c>
      <c r="G3457">
        <v>0.5475576034666505</v>
      </c>
      <c r="H3457" t="s">
        <v>95</v>
      </c>
      <c r="I3457">
        <v>0</v>
      </c>
      <c r="J3457">
        <v>0</v>
      </c>
      <c r="K3457">
        <v>0</v>
      </c>
    </row>
    <row r="3458" spans="1:11" x14ac:dyDescent="0.2">
      <c r="A3458" t="s">
        <v>16</v>
      </c>
      <c r="B3458" t="s">
        <v>660</v>
      </c>
      <c r="C3458">
        <v>380</v>
      </c>
      <c r="D3458" t="s">
        <v>7938</v>
      </c>
      <c r="E3458" t="s">
        <v>49</v>
      </c>
      <c r="F3458">
        <v>6</v>
      </c>
      <c r="G3458">
        <v>0.50499843785130105</v>
      </c>
      <c r="H3458" t="s">
        <v>93</v>
      </c>
      <c r="I3458">
        <v>0</v>
      </c>
      <c r="J3458">
        <v>0</v>
      </c>
      <c r="K3458">
        <v>0</v>
      </c>
    </row>
    <row r="3459" spans="1:11" x14ac:dyDescent="0.2">
      <c r="A3459" t="s">
        <v>16</v>
      </c>
      <c r="B3459" t="s">
        <v>604</v>
      </c>
      <c r="C3459">
        <v>360</v>
      </c>
      <c r="D3459" t="s">
        <v>7939</v>
      </c>
      <c r="E3459" t="s">
        <v>49</v>
      </c>
      <c r="F3459">
        <v>6</v>
      </c>
      <c r="G3459">
        <v>0.96480715334312017</v>
      </c>
      <c r="H3459" t="s">
        <v>103</v>
      </c>
      <c r="I3459">
        <v>0</v>
      </c>
      <c r="J3459">
        <v>0</v>
      </c>
      <c r="K3459">
        <v>0</v>
      </c>
    </row>
    <row r="3460" spans="1:11" x14ac:dyDescent="0.2">
      <c r="A3460" t="s">
        <v>16</v>
      </c>
      <c r="B3460" t="s">
        <v>4565</v>
      </c>
      <c r="C3460">
        <v>380</v>
      </c>
      <c r="D3460" t="s">
        <v>7940</v>
      </c>
      <c r="E3460" t="s">
        <v>49</v>
      </c>
      <c r="F3460">
        <v>8</v>
      </c>
      <c r="G3460">
        <v>0.59663147129726679</v>
      </c>
      <c r="H3460" t="s">
        <v>101</v>
      </c>
      <c r="I3460">
        <v>0</v>
      </c>
      <c r="J3460">
        <v>0</v>
      </c>
      <c r="K3460">
        <v>0</v>
      </c>
    </row>
    <row r="3461" spans="1:11" x14ac:dyDescent="0.2">
      <c r="A3461" t="s">
        <v>16</v>
      </c>
      <c r="B3461" t="s">
        <v>617</v>
      </c>
      <c r="C3461">
        <v>50</v>
      </c>
      <c r="D3461" t="s">
        <v>7941</v>
      </c>
      <c r="E3461" t="s">
        <v>49</v>
      </c>
      <c r="F3461">
        <v>1</v>
      </c>
      <c r="G3461">
        <v>0.16851743675501493</v>
      </c>
      <c r="H3461" t="s">
        <v>90</v>
      </c>
      <c r="I3461">
        <v>0</v>
      </c>
      <c r="J3461">
        <v>0</v>
      </c>
      <c r="K3461">
        <v>0</v>
      </c>
    </row>
    <row r="3462" spans="1:11" x14ac:dyDescent="0.2">
      <c r="A3462" t="s">
        <v>16</v>
      </c>
      <c r="B3462" t="s">
        <v>4583</v>
      </c>
      <c r="C3462">
        <v>50</v>
      </c>
      <c r="D3462" t="s">
        <v>7942</v>
      </c>
      <c r="E3462" t="s">
        <v>49</v>
      </c>
      <c r="F3462">
        <v>2</v>
      </c>
      <c r="G3462">
        <v>0.16851743675501493</v>
      </c>
      <c r="H3462" t="s">
        <v>95</v>
      </c>
      <c r="I3462">
        <v>0</v>
      </c>
      <c r="J3462">
        <v>0</v>
      </c>
      <c r="K3462">
        <v>0</v>
      </c>
    </row>
    <row r="3463" spans="1:11" x14ac:dyDescent="0.2">
      <c r="A3463" t="s">
        <v>16</v>
      </c>
      <c r="B3463" t="s">
        <v>4589</v>
      </c>
      <c r="C3463">
        <v>50</v>
      </c>
      <c r="D3463" t="s">
        <v>7943</v>
      </c>
      <c r="E3463" t="s">
        <v>49</v>
      </c>
      <c r="F3463">
        <v>2</v>
      </c>
      <c r="G3463">
        <v>0.16851743675501493</v>
      </c>
      <c r="H3463" t="s">
        <v>93</v>
      </c>
      <c r="I3463">
        <v>0</v>
      </c>
      <c r="J3463">
        <v>0</v>
      </c>
      <c r="K3463">
        <v>0</v>
      </c>
    </row>
    <row r="3464" spans="1:11" x14ac:dyDescent="0.2">
      <c r="A3464" t="s">
        <v>16</v>
      </c>
      <c r="B3464" t="s">
        <v>225</v>
      </c>
      <c r="C3464">
        <v>150</v>
      </c>
      <c r="D3464" t="s">
        <v>7949</v>
      </c>
      <c r="E3464" t="s">
        <v>49</v>
      </c>
      <c r="F3464">
        <v>5</v>
      </c>
      <c r="G3464">
        <v>0.38806921208388923</v>
      </c>
      <c r="H3464" t="s">
        <v>90</v>
      </c>
      <c r="I3464">
        <v>0</v>
      </c>
      <c r="J3464">
        <v>0</v>
      </c>
      <c r="K3464">
        <v>0</v>
      </c>
    </row>
    <row r="3465" spans="1:11" x14ac:dyDescent="0.2">
      <c r="A3465" t="s">
        <v>16</v>
      </c>
      <c r="B3465" t="s">
        <v>225</v>
      </c>
      <c r="C3465">
        <v>150</v>
      </c>
      <c r="D3465" t="s">
        <v>7944</v>
      </c>
      <c r="E3465" t="s">
        <v>49</v>
      </c>
      <c r="F3465">
        <v>5</v>
      </c>
      <c r="G3465">
        <v>0.38806921208388923</v>
      </c>
      <c r="H3465" t="s">
        <v>95</v>
      </c>
      <c r="I3465">
        <v>0</v>
      </c>
      <c r="J3465">
        <v>0</v>
      </c>
      <c r="K3465">
        <v>0</v>
      </c>
    </row>
    <row r="3466" spans="1:11" x14ac:dyDescent="0.2">
      <c r="A3466" t="s">
        <v>16</v>
      </c>
      <c r="B3466" t="s">
        <v>225</v>
      </c>
      <c r="C3466">
        <v>150</v>
      </c>
      <c r="D3466" t="s">
        <v>7945</v>
      </c>
      <c r="E3466" t="s">
        <v>49</v>
      </c>
      <c r="F3466">
        <v>5</v>
      </c>
      <c r="G3466">
        <v>0.38806921208388923</v>
      </c>
      <c r="H3466" t="s">
        <v>93</v>
      </c>
      <c r="I3466">
        <v>0</v>
      </c>
      <c r="J3466">
        <v>0</v>
      </c>
      <c r="K3466">
        <v>0</v>
      </c>
    </row>
    <row r="3467" spans="1:11" x14ac:dyDescent="0.2">
      <c r="A3467" t="s">
        <v>16</v>
      </c>
      <c r="B3467" t="s">
        <v>225</v>
      </c>
      <c r="C3467">
        <v>150</v>
      </c>
      <c r="D3467" t="s">
        <v>7946</v>
      </c>
      <c r="E3467" t="s">
        <v>49</v>
      </c>
      <c r="F3467">
        <v>5</v>
      </c>
      <c r="G3467">
        <v>0.38806921208388923</v>
      </c>
      <c r="H3467" t="s">
        <v>87</v>
      </c>
      <c r="I3467">
        <v>0</v>
      </c>
      <c r="J3467">
        <v>0</v>
      </c>
      <c r="K3467">
        <v>0</v>
      </c>
    </row>
    <row r="3468" spans="1:11" x14ac:dyDescent="0.2">
      <c r="A3468" t="s">
        <v>16</v>
      </c>
      <c r="B3468" t="s">
        <v>225</v>
      </c>
      <c r="C3468">
        <v>150</v>
      </c>
      <c r="D3468" t="s">
        <v>7947</v>
      </c>
      <c r="E3468" t="s">
        <v>49</v>
      </c>
      <c r="F3468">
        <v>5</v>
      </c>
      <c r="G3468">
        <v>0.38806921208388923</v>
      </c>
      <c r="H3468" t="s">
        <v>104</v>
      </c>
      <c r="I3468">
        <v>0</v>
      </c>
      <c r="J3468">
        <v>0</v>
      </c>
      <c r="K3468">
        <v>0</v>
      </c>
    </row>
    <row r="3469" spans="1:11" x14ac:dyDescent="0.2">
      <c r="A3469" t="s">
        <v>16</v>
      </c>
      <c r="B3469" t="s">
        <v>225</v>
      </c>
      <c r="C3469">
        <v>150</v>
      </c>
      <c r="D3469" t="s">
        <v>7948</v>
      </c>
      <c r="E3469" t="s">
        <v>49</v>
      </c>
      <c r="F3469">
        <v>5</v>
      </c>
      <c r="G3469">
        <v>0.38806921208388923</v>
      </c>
      <c r="H3469" t="s">
        <v>90</v>
      </c>
      <c r="I3469">
        <v>0</v>
      </c>
      <c r="J3469">
        <v>0</v>
      </c>
      <c r="K3469">
        <v>0</v>
      </c>
    </row>
    <row r="3470" spans="1:11" x14ac:dyDescent="0.2">
      <c r="A3470" t="s">
        <v>16</v>
      </c>
      <c r="B3470" t="s">
        <v>226</v>
      </c>
      <c r="C3470">
        <v>300</v>
      </c>
      <c r="D3470" t="s">
        <v>7951</v>
      </c>
      <c r="E3470" t="s">
        <v>49</v>
      </c>
      <c r="F3470">
        <v>11</v>
      </c>
      <c r="G3470">
        <v>0.40596601602408988</v>
      </c>
      <c r="H3470" t="s">
        <v>96</v>
      </c>
      <c r="I3470">
        <v>0</v>
      </c>
      <c r="J3470">
        <v>0</v>
      </c>
      <c r="K3470">
        <v>0</v>
      </c>
    </row>
    <row r="3471" spans="1:11" x14ac:dyDescent="0.2">
      <c r="A3471" t="s">
        <v>16</v>
      </c>
      <c r="B3471" t="s">
        <v>226</v>
      </c>
      <c r="C3471">
        <v>300</v>
      </c>
      <c r="D3471" t="s">
        <v>7952</v>
      </c>
      <c r="E3471" t="s">
        <v>49</v>
      </c>
      <c r="F3471">
        <v>11</v>
      </c>
      <c r="G3471">
        <v>0.40596601602408988</v>
      </c>
      <c r="H3471" t="s">
        <v>84</v>
      </c>
      <c r="I3471">
        <v>0</v>
      </c>
      <c r="J3471">
        <v>0</v>
      </c>
      <c r="K3471">
        <v>0</v>
      </c>
    </row>
    <row r="3472" spans="1:11" x14ac:dyDescent="0.2">
      <c r="A3472" t="s">
        <v>16</v>
      </c>
      <c r="B3472" t="s">
        <v>226</v>
      </c>
      <c r="C3472">
        <v>300</v>
      </c>
      <c r="D3472" t="s">
        <v>7950</v>
      </c>
      <c r="E3472" t="s">
        <v>49</v>
      </c>
      <c r="F3472">
        <v>11</v>
      </c>
      <c r="G3472">
        <v>0.40596601602408988</v>
      </c>
      <c r="H3472" t="s">
        <v>89</v>
      </c>
      <c r="I3472">
        <v>0</v>
      </c>
      <c r="J3472">
        <v>0</v>
      </c>
      <c r="K3472">
        <v>0</v>
      </c>
    </row>
    <row r="3473" spans="1:11" x14ac:dyDescent="0.2">
      <c r="A3473" t="s">
        <v>16</v>
      </c>
      <c r="B3473" t="s">
        <v>4607</v>
      </c>
      <c r="C3473">
        <v>100</v>
      </c>
      <c r="D3473" t="s">
        <v>7953</v>
      </c>
      <c r="E3473" t="s">
        <v>49</v>
      </c>
      <c r="F3473">
        <v>8</v>
      </c>
      <c r="G3473">
        <v>0.14935339781343995</v>
      </c>
      <c r="H3473" t="s">
        <v>101</v>
      </c>
      <c r="I3473">
        <v>0</v>
      </c>
      <c r="J3473">
        <v>0</v>
      </c>
      <c r="K3473">
        <v>0</v>
      </c>
    </row>
    <row r="3474" spans="1:11" x14ac:dyDescent="0.2">
      <c r="A3474" t="s">
        <v>16</v>
      </c>
      <c r="B3474" t="s">
        <v>326</v>
      </c>
      <c r="C3474">
        <v>225</v>
      </c>
      <c r="D3474" t="s">
        <v>7959</v>
      </c>
      <c r="E3474" t="s">
        <v>49</v>
      </c>
      <c r="F3474">
        <v>8</v>
      </c>
      <c r="G3474">
        <v>0.42722029105579767</v>
      </c>
      <c r="H3474" t="s">
        <v>95</v>
      </c>
      <c r="I3474">
        <v>0</v>
      </c>
      <c r="J3474">
        <v>0</v>
      </c>
      <c r="K3474">
        <v>0</v>
      </c>
    </row>
    <row r="3475" spans="1:11" x14ac:dyDescent="0.2">
      <c r="A3475" t="s">
        <v>16</v>
      </c>
      <c r="B3475" t="s">
        <v>326</v>
      </c>
      <c r="C3475">
        <v>225</v>
      </c>
      <c r="D3475" t="s">
        <v>7979</v>
      </c>
      <c r="E3475" t="s">
        <v>49</v>
      </c>
      <c r="F3475">
        <v>8</v>
      </c>
      <c r="G3475">
        <v>0.42722029105579767</v>
      </c>
      <c r="H3475" t="s">
        <v>101</v>
      </c>
      <c r="I3475">
        <v>0</v>
      </c>
      <c r="J3475">
        <v>0</v>
      </c>
      <c r="K3475">
        <v>0</v>
      </c>
    </row>
    <row r="3476" spans="1:11" x14ac:dyDescent="0.2">
      <c r="A3476" t="s">
        <v>16</v>
      </c>
      <c r="B3476" t="s">
        <v>326</v>
      </c>
      <c r="C3476">
        <v>225</v>
      </c>
      <c r="D3476" t="s">
        <v>7961</v>
      </c>
      <c r="E3476" t="s">
        <v>49</v>
      </c>
      <c r="F3476">
        <v>8</v>
      </c>
      <c r="G3476">
        <v>0.42722029105579767</v>
      </c>
      <c r="H3476" t="s">
        <v>93</v>
      </c>
      <c r="I3476">
        <v>0</v>
      </c>
      <c r="J3476">
        <v>0</v>
      </c>
      <c r="K3476">
        <v>0</v>
      </c>
    </row>
    <row r="3477" spans="1:11" x14ac:dyDescent="0.2">
      <c r="A3477" t="s">
        <v>16</v>
      </c>
      <c r="B3477" t="s">
        <v>326</v>
      </c>
      <c r="C3477">
        <v>225</v>
      </c>
      <c r="D3477" t="s">
        <v>7960</v>
      </c>
      <c r="E3477" t="s">
        <v>49</v>
      </c>
      <c r="F3477">
        <v>8</v>
      </c>
      <c r="G3477">
        <v>0.42722029105579767</v>
      </c>
      <c r="H3477" t="s">
        <v>87</v>
      </c>
      <c r="I3477">
        <v>0</v>
      </c>
      <c r="J3477">
        <v>0</v>
      </c>
      <c r="K3477">
        <v>0</v>
      </c>
    </row>
    <row r="3478" spans="1:11" x14ac:dyDescent="0.2">
      <c r="A3478" t="s">
        <v>16</v>
      </c>
      <c r="B3478" t="s">
        <v>326</v>
      </c>
      <c r="C3478">
        <v>225</v>
      </c>
      <c r="D3478" t="s">
        <v>7997</v>
      </c>
      <c r="E3478" t="s">
        <v>49</v>
      </c>
      <c r="F3478">
        <v>8</v>
      </c>
      <c r="G3478">
        <v>0.42722029105579767</v>
      </c>
      <c r="H3478" t="s">
        <v>103</v>
      </c>
      <c r="I3478">
        <v>0</v>
      </c>
      <c r="J3478">
        <v>0</v>
      </c>
      <c r="K3478">
        <v>0</v>
      </c>
    </row>
    <row r="3479" spans="1:11" x14ac:dyDescent="0.2">
      <c r="A3479" t="s">
        <v>16</v>
      </c>
      <c r="B3479" t="s">
        <v>326</v>
      </c>
      <c r="C3479">
        <v>225</v>
      </c>
      <c r="D3479" t="s">
        <v>7995</v>
      </c>
      <c r="E3479" t="s">
        <v>49</v>
      </c>
      <c r="F3479">
        <v>8</v>
      </c>
      <c r="G3479">
        <v>0.42722029105579767</v>
      </c>
      <c r="H3479" t="s">
        <v>104</v>
      </c>
      <c r="I3479">
        <v>0</v>
      </c>
      <c r="J3479">
        <v>0</v>
      </c>
      <c r="K3479">
        <v>0</v>
      </c>
    </row>
    <row r="3480" spans="1:11" x14ac:dyDescent="0.2">
      <c r="A3480" t="s">
        <v>16</v>
      </c>
      <c r="B3480" t="s">
        <v>326</v>
      </c>
      <c r="C3480">
        <v>225</v>
      </c>
      <c r="D3480" t="s">
        <v>7978</v>
      </c>
      <c r="E3480" t="s">
        <v>49</v>
      </c>
      <c r="F3480">
        <v>8</v>
      </c>
      <c r="G3480">
        <v>0.42722029105579767</v>
      </c>
      <c r="H3480" t="s">
        <v>96</v>
      </c>
      <c r="I3480">
        <v>0</v>
      </c>
      <c r="J3480">
        <v>0</v>
      </c>
      <c r="K3480">
        <v>0</v>
      </c>
    </row>
    <row r="3481" spans="1:11" x14ac:dyDescent="0.2">
      <c r="A3481" t="s">
        <v>16</v>
      </c>
      <c r="B3481" t="s">
        <v>326</v>
      </c>
      <c r="C3481">
        <v>225</v>
      </c>
      <c r="D3481" t="s">
        <v>7983</v>
      </c>
      <c r="E3481" t="s">
        <v>49</v>
      </c>
      <c r="F3481">
        <v>8</v>
      </c>
      <c r="G3481">
        <v>0.42722029105579767</v>
      </c>
      <c r="H3481" t="s">
        <v>84</v>
      </c>
      <c r="I3481">
        <v>0</v>
      </c>
      <c r="J3481">
        <v>0</v>
      </c>
      <c r="K3481">
        <v>0</v>
      </c>
    </row>
    <row r="3482" spans="1:11" x14ac:dyDescent="0.2">
      <c r="A3482" t="s">
        <v>16</v>
      </c>
      <c r="B3482" t="s">
        <v>326</v>
      </c>
      <c r="C3482">
        <v>225</v>
      </c>
      <c r="D3482" t="s">
        <v>7981</v>
      </c>
      <c r="E3482" t="s">
        <v>49</v>
      </c>
      <c r="F3482">
        <v>8</v>
      </c>
      <c r="G3482">
        <v>0.42722029105579767</v>
      </c>
      <c r="H3482" t="s">
        <v>95</v>
      </c>
      <c r="I3482">
        <v>0</v>
      </c>
      <c r="J3482">
        <v>0</v>
      </c>
      <c r="K3482">
        <v>0</v>
      </c>
    </row>
    <row r="3483" spans="1:11" x14ac:dyDescent="0.2">
      <c r="A3483" t="s">
        <v>16</v>
      </c>
      <c r="B3483" t="s">
        <v>326</v>
      </c>
      <c r="C3483">
        <v>225</v>
      </c>
      <c r="D3483" t="s">
        <v>7990</v>
      </c>
      <c r="E3483" t="s">
        <v>49</v>
      </c>
      <c r="F3483">
        <v>8</v>
      </c>
      <c r="G3483">
        <v>0.42722029105579767</v>
      </c>
      <c r="H3483" t="s">
        <v>101</v>
      </c>
      <c r="I3483">
        <v>0</v>
      </c>
      <c r="J3483">
        <v>0</v>
      </c>
      <c r="K3483">
        <v>0</v>
      </c>
    </row>
    <row r="3484" spans="1:11" x14ac:dyDescent="0.2">
      <c r="A3484" t="s">
        <v>16</v>
      </c>
      <c r="B3484" t="s">
        <v>326</v>
      </c>
      <c r="C3484">
        <v>225</v>
      </c>
      <c r="D3484" t="s">
        <v>8002</v>
      </c>
      <c r="E3484" t="s">
        <v>49</v>
      </c>
      <c r="F3484">
        <v>8</v>
      </c>
      <c r="G3484">
        <v>0.42722029105579767</v>
      </c>
      <c r="H3484" t="s">
        <v>93</v>
      </c>
      <c r="I3484">
        <v>0</v>
      </c>
      <c r="J3484">
        <v>0</v>
      </c>
      <c r="K3484">
        <v>0</v>
      </c>
    </row>
    <row r="3485" spans="1:11" x14ac:dyDescent="0.2">
      <c r="A3485" t="s">
        <v>16</v>
      </c>
      <c r="B3485" t="s">
        <v>326</v>
      </c>
      <c r="C3485">
        <v>225</v>
      </c>
      <c r="D3485" t="s">
        <v>7986</v>
      </c>
      <c r="E3485" t="s">
        <v>49</v>
      </c>
      <c r="F3485">
        <v>8</v>
      </c>
      <c r="G3485">
        <v>0.42722029105579767</v>
      </c>
      <c r="H3485" t="s">
        <v>87</v>
      </c>
      <c r="I3485">
        <v>0</v>
      </c>
      <c r="J3485">
        <v>0</v>
      </c>
      <c r="K3485">
        <v>0</v>
      </c>
    </row>
    <row r="3486" spans="1:11" x14ac:dyDescent="0.2">
      <c r="A3486" t="s">
        <v>16</v>
      </c>
      <c r="B3486" t="s">
        <v>326</v>
      </c>
      <c r="C3486">
        <v>225</v>
      </c>
      <c r="D3486" t="s">
        <v>7955</v>
      </c>
      <c r="E3486" t="s">
        <v>49</v>
      </c>
      <c r="F3486">
        <v>8</v>
      </c>
      <c r="G3486">
        <v>0.42722029105579767</v>
      </c>
      <c r="H3486" t="s">
        <v>103</v>
      </c>
      <c r="I3486">
        <v>0</v>
      </c>
      <c r="J3486">
        <v>0</v>
      </c>
      <c r="K3486">
        <v>0</v>
      </c>
    </row>
    <row r="3487" spans="1:11" x14ac:dyDescent="0.2">
      <c r="A3487" t="s">
        <v>16</v>
      </c>
      <c r="B3487" t="s">
        <v>326</v>
      </c>
      <c r="C3487">
        <v>225</v>
      </c>
      <c r="D3487" t="s">
        <v>7963</v>
      </c>
      <c r="E3487" t="s">
        <v>49</v>
      </c>
      <c r="F3487">
        <v>8</v>
      </c>
      <c r="G3487">
        <v>0.42722029105579767</v>
      </c>
      <c r="H3487" t="s">
        <v>104</v>
      </c>
      <c r="I3487">
        <v>0</v>
      </c>
      <c r="J3487">
        <v>0</v>
      </c>
      <c r="K3487">
        <v>0</v>
      </c>
    </row>
    <row r="3488" spans="1:11" x14ac:dyDescent="0.2">
      <c r="A3488" t="s">
        <v>16</v>
      </c>
      <c r="B3488" t="s">
        <v>326</v>
      </c>
      <c r="C3488">
        <v>225</v>
      </c>
      <c r="D3488" t="s">
        <v>7993</v>
      </c>
      <c r="E3488" t="s">
        <v>49</v>
      </c>
      <c r="F3488">
        <v>8</v>
      </c>
      <c r="G3488">
        <v>0.42722029105579767</v>
      </c>
      <c r="H3488" t="s">
        <v>96</v>
      </c>
      <c r="I3488">
        <v>0</v>
      </c>
      <c r="J3488">
        <v>0</v>
      </c>
      <c r="K3488">
        <v>0</v>
      </c>
    </row>
    <row r="3489" spans="1:11" x14ac:dyDescent="0.2">
      <c r="A3489" t="s">
        <v>16</v>
      </c>
      <c r="B3489" t="s">
        <v>326</v>
      </c>
      <c r="C3489">
        <v>75</v>
      </c>
      <c r="D3489" t="s">
        <v>7989</v>
      </c>
      <c r="E3489" t="s">
        <v>49</v>
      </c>
      <c r="F3489">
        <v>8</v>
      </c>
      <c r="G3489">
        <v>0.14240676368526589</v>
      </c>
      <c r="H3489" t="s">
        <v>84</v>
      </c>
      <c r="I3489">
        <v>0</v>
      </c>
      <c r="J3489">
        <v>0</v>
      </c>
      <c r="K3489">
        <v>0</v>
      </c>
    </row>
    <row r="3490" spans="1:11" x14ac:dyDescent="0.2">
      <c r="A3490" t="s">
        <v>16</v>
      </c>
      <c r="B3490" t="s">
        <v>326</v>
      </c>
      <c r="C3490">
        <v>225</v>
      </c>
      <c r="D3490" t="s">
        <v>7996</v>
      </c>
      <c r="E3490" t="s">
        <v>49</v>
      </c>
      <c r="F3490">
        <v>8</v>
      </c>
      <c r="G3490">
        <v>0.42722029105579767</v>
      </c>
      <c r="H3490" t="s">
        <v>84</v>
      </c>
      <c r="I3490">
        <v>0</v>
      </c>
      <c r="J3490">
        <v>0</v>
      </c>
      <c r="K3490">
        <v>0</v>
      </c>
    </row>
    <row r="3491" spans="1:11" x14ac:dyDescent="0.2">
      <c r="A3491" t="s">
        <v>16</v>
      </c>
      <c r="B3491" t="s">
        <v>326</v>
      </c>
      <c r="C3491">
        <v>225</v>
      </c>
      <c r="D3491" t="s">
        <v>7992</v>
      </c>
      <c r="E3491" t="s">
        <v>49</v>
      </c>
      <c r="F3491">
        <v>8</v>
      </c>
      <c r="G3491">
        <v>0.42722029105579767</v>
      </c>
      <c r="H3491" t="s">
        <v>95</v>
      </c>
      <c r="I3491">
        <v>0</v>
      </c>
      <c r="J3491">
        <v>0</v>
      </c>
      <c r="K3491">
        <v>0</v>
      </c>
    </row>
    <row r="3492" spans="1:11" x14ac:dyDescent="0.2">
      <c r="A3492" t="s">
        <v>16</v>
      </c>
      <c r="B3492" t="s">
        <v>326</v>
      </c>
      <c r="C3492">
        <v>225</v>
      </c>
      <c r="D3492" t="s">
        <v>7988</v>
      </c>
      <c r="E3492" t="s">
        <v>49</v>
      </c>
      <c r="F3492">
        <v>8</v>
      </c>
      <c r="G3492">
        <v>0.42722029105579767</v>
      </c>
      <c r="H3492" t="s">
        <v>101</v>
      </c>
      <c r="I3492">
        <v>0</v>
      </c>
      <c r="J3492">
        <v>0</v>
      </c>
      <c r="K3492">
        <v>0</v>
      </c>
    </row>
    <row r="3493" spans="1:11" x14ac:dyDescent="0.2">
      <c r="A3493" t="s">
        <v>16</v>
      </c>
      <c r="B3493" t="s">
        <v>326</v>
      </c>
      <c r="C3493">
        <v>225</v>
      </c>
      <c r="D3493" t="s">
        <v>7954</v>
      </c>
      <c r="E3493" t="s">
        <v>49</v>
      </c>
      <c r="F3493">
        <v>8</v>
      </c>
      <c r="G3493">
        <v>0.42722029105579767</v>
      </c>
      <c r="H3493" t="s">
        <v>93</v>
      </c>
      <c r="I3493">
        <v>0</v>
      </c>
      <c r="J3493">
        <v>0</v>
      </c>
      <c r="K3493">
        <v>0</v>
      </c>
    </row>
    <row r="3494" spans="1:11" x14ac:dyDescent="0.2">
      <c r="A3494" t="s">
        <v>16</v>
      </c>
      <c r="B3494" t="s">
        <v>326</v>
      </c>
      <c r="C3494">
        <v>225</v>
      </c>
      <c r="D3494" t="s">
        <v>7991</v>
      </c>
      <c r="E3494" t="s">
        <v>49</v>
      </c>
      <c r="F3494">
        <v>8</v>
      </c>
      <c r="G3494">
        <v>0.42722029105579767</v>
      </c>
      <c r="H3494" t="s">
        <v>87</v>
      </c>
      <c r="I3494">
        <v>0</v>
      </c>
      <c r="J3494">
        <v>0</v>
      </c>
      <c r="K3494">
        <v>0</v>
      </c>
    </row>
    <row r="3495" spans="1:11" x14ac:dyDescent="0.2">
      <c r="A3495" t="s">
        <v>16</v>
      </c>
      <c r="B3495" t="s">
        <v>326</v>
      </c>
      <c r="C3495">
        <v>225</v>
      </c>
      <c r="D3495" t="s">
        <v>7958</v>
      </c>
      <c r="E3495" t="s">
        <v>49</v>
      </c>
      <c r="F3495">
        <v>8</v>
      </c>
      <c r="G3495">
        <v>0.42722029105579767</v>
      </c>
      <c r="H3495" t="s">
        <v>103</v>
      </c>
      <c r="I3495">
        <v>0</v>
      </c>
      <c r="J3495">
        <v>0</v>
      </c>
      <c r="K3495">
        <v>0</v>
      </c>
    </row>
    <row r="3496" spans="1:11" x14ac:dyDescent="0.2">
      <c r="A3496" t="s">
        <v>16</v>
      </c>
      <c r="B3496" t="s">
        <v>326</v>
      </c>
      <c r="C3496">
        <v>225</v>
      </c>
      <c r="D3496" t="s">
        <v>7975</v>
      </c>
      <c r="E3496" t="s">
        <v>49</v>
      </c>
      <c r="F3496">
        <v>8</v>
      </c>
      <c r="G3496">
        <v>0.42722029105579767</v>
      </c>
      <c r="H3496" t="s">
        <v>104</v>
      </c>
      <c r="I3496">
        <v>0</v>
      </c>
      <c r="J3496">
        <v>0</v>
      </c>
      <c r="K3496">
        <v>0</v>
      </c>
    </row>
    <row r="3497" spans="1:11" x14ac:dyDescent="0.2">
      <c r="A3497" t="s">
        <v>16</v>
      </c>
      <c r="B3497" t="s">
        <v>326</v>
      </c>
      <c r="C3497">
        <v>225</v>
      </c>
      <c r="D3497" t="s">
        <v>7987</v>
      </c>
      <c r="E3497" t="s">
        <v>49</v>
      </c>
      <c r="F3497">
        <v>8</v>
      </c>
      <c r="G3497">
        <v>0.42722029105579767</v>
      </c>
      <c r="H3497" t="s">
        <v>96</v>
      </c>
      <c r="I3497">
        <v>0</v>
      </c>
      <c r="J3497">
        <v>0</v>
      </c>
      <c r="K3497">
        <v>0</v>
      </c>
    </row>
    <row r="3498" spans="1:11" x14ac:dyDescent="0.2">
      <c r="A3498" t="s">
        <v>16</v>
      </c>
      <c r="B3498" t="s">
        <v>326</v>
      </c>
      <c r="C3498">
        <v>225</v>
      </c>
      <c r="D3498" t="s">
        <v>7964</v>
      </c>
      <c r="E3498" t="s">
        <v>49</v>
      </c>
      <c r="F3498">
        <v>8</v>
      </c>
      <c r="G3498">
        <v>0.42722029105579767</v>
      </c>
      <c r="H3498" t="s">
        <v>84</v>
      </c>
      <c r="I3498">
        <v>0</v>
      </c>
      <c r="J3498">
        <v>0</v>
      </c>
      <c r="K3498">
        <v>0</v>
      </c>
    </row>
    <row r="3499" spans="1:11" x14ac:dyDescent="0.2">
      <c r="A3499" t="s">
        <v>16</v>
      </c>
      <c r="B3499" t="s">
        <v>326</v>
      </c>
      <c r="C3499">
        <v>225</v>
      </c>
      <c r="D3499" t="s">
        <v>7977</v>
      </c>
      <c r="E3499" t="s">
        <v>49</v>
      </c>
      <c r="F3499">
        <v>8</v>
      </c>
      <c r="G3499">
        <v>0.42722029105579767</v>
      </c>
      <c r="H3499" t="s">
        <v>95</v>
      </c>
      <c r="I3499">
        <v>0</v>
      </c>
      <c r="J3499">
        <v>0</v>
      </c>
      <c r="K3499">
        <v>0</v>
      </c>
    </row>
    <row r="3500" spans="1:11" x14ac:dyDescent="0.2">
      <c r="A3500" t="s">
        <v>16</v>
      </c>
      <c r="B3500" t="s">
        <v>326</v>
      </c>
      <c r="C3500">
        <v>225</v>
      </c>
      <c r="D3500" t="s">
        <v>7976</v>
      </c>
      <c r="E3500" t="s">
        <v>49</v>
      </c>
      <c r="F3500">
        <v>8</v>
      </c>
      <c r="G3500">
        <v>0.42722029105579767</v>
      </c>
      <c r="H3500" t="s">
        <v>101</v>
      </c>
      <c r="I3500">
        <v>0</v>
      </c>
      <c r="J3500">
        <v>0</v>
      </c>
      <c r="K3500">
        <v>0</v>
      </c>
    </row>
    <row r="3501" spans="1:11" x14ac:dyDescent="0.2">
      <c r="A3501" t="s">
        <v>16</v>
      </c>
      <c r="B3501" t="s">
        <v>326</v>
      </c>
      <c r="C3501">
        <v>225</v>
      </c>
      <c r="D3501" t="s">
        <v>7998</v>
      </c>
      <c r="E3501" t="s">
        <v>49</v>
      </c>
      <c r="F3501">
        <v>8</v>
      </c>
      <c r="G3501">
        <v>0.42722029105579767</v>
      </c>
      <c r="H3501" t="s">
        <v>93</v>
      </c>
      <c r="I3501">
        <v>0</v>
      </c>
      <c r="J3501">
        <v>0</v>
      </c>
      <c r="K3501">
        <v>0</v>
      </c>
    </row>
    <row r="3502" spans="1:11" x14ac:dyDescent="0.2">
      <c r="A3502" t="s">
        <v>16</v>
      </c>
      <c r="B3502" t="s">
        <v>326</v>
      </c>
      <c r="C3502">
        <v>225</v>
      </c>
      <c r="D3502" t="s">
        <v>7980</v>
      </c>
      <c r="E3502" t="s">
        <v>49</v>
      </c>
      <c r="F3502">
        <v>8</v>
      </c>
      <c r="G3502">
        <v>0.42722029105579767</v>
      </c>
      <c r="H3502" t="s">
        <v>87</v>
      </c>
      <c r="I3502">
        <v>0</v>
      </c>
      <c r="J3502">
        <v>0</v>
      </c>
      <c r="K3502">
        <v>0</v>
      </c>
    </row>
    <row r="3503" spans="1:11" x14ac:dyDescent="0.2">
      <c r="A3503" t="s">
        <v>16</v>
      </c>
      <c r="B3503" t="s">
        <v>326</v>
      </c>
      <c r="C3503">
        <v>225</v>
      </c>
      <c r="D3503" t="s">
        <v>8001</v>
      </c>
      <c r="E3503" t="s">
        <v>49</v>
      </c>
      <c r="F3503">
        <v>8</v>
      </c>
      <c r="G3503">
        <v>0.42722029105579767</v>
      </c>
      <c r="H3503" t="s">
        <v>103</v>
      </c>
      <c r="I3503">
        <v>0</v>
      </c>
      <c r="J3503">
        <v>0</v>
      </c>
      <c r="K3503">
        <v>0</v>
      </c>
    </row>
    <row r="3504" spans="1:11" x14ac:dyDescent="0.2">
      <c r="A3504" t="s">
        <v>16</v>
      </c>
      <c r="B3504" t="s">
        <v>326</v>
      </c>
      <c r="C3504">
        <v>225</v>
      </c>
      <c r="D3504" t="s">
        <v>7982</v>
      </c>
      <c r="E3504" t="s">
        <v>49</v>
      </c>
      <c r="F3504">
        <v>8</v>
      </c>
      <c r="G3504">
        <v>0.42722029105579767</v>
      </c>
      <c r="H3504" t="s">
        <v>104</v>
      </c>
      <c r="I3504">
        <v>0</v>
      </c>
      <c r="J3504">
        <v>0</v>
      </c>
      <c r="K3504">
        <v>0</v>
      </c>
    </row>
    <row r="3505" spans="1:11" x14ac:dyDescent="0.2">
      <c r="A3505" t="s">
        <v>16</v>
      </c>
      <c r="B3505" t="s">
        <v>326</v>
      </c>
      <c r="C3505">
        <v>225</v>
      </c>
      <c r="D3505" t="s">
        <v>7985</v>
      </c>
      <c r="E3505" t="s">
        <v>49</v>
      </c>
      <c r="F3505">
        <v>8</v>
      </c>
      <c r="G3505">
        <v>0.42722029105579767</v>
      </c>
      <c r="H3505" t="s">
        <v>96</v>
      </c>
      <c r="I3505">
        <v>0</v>
      </c>
      <c r="J3505">
        <v>0</v>
      </c>
      <c r="K3505">
        <v>0</v>
      </c>
    </row>
    <row r="3506" spans="1:11" x14ac:dyDescent="0.2">
      <c r="A3506" t="s">
        <v>16</v>
      </c>
      <c r="B3506" t="s">
        <v>326</v>
      </c>
      <c r="C3506">
        <v>225</v>
      </c>
      <c r="D3506" t="s">
        <v>7984</v>
      </c>
      <c r="E3506" t="s">
        <v>49</v>
      </c>
      <c r="F3506">
        <v>8</v>
      </c>
      <c r="G3506">
        <v>0.42722029105579767</v>
      </c>
      <c r="H3506" t="s">
        <v>84</v>
      </c>
      <c r="I3506">
        <v>0</v>
      </c>
      <c r="J3506">
        <v>0</v>
      </c>
      <c r="K3506">
        <v>0</v>
      </c>
    </row>
    <row r="3507" spans="1:11" x14ac:dyDescent="0.2">
      <c r="A3507" t="s">
        <v>16</v>
      </c>
      <c r="B3507" t="s">
        <v>326</v>
      </c>
      <c r="C3507">
        <v>225</v>
      </c>
      <c r="D3507" t="s">
        <v>7973</v>
      </c>
      <c r="E3507" t="s">
        <v>49</v>
      </c>
      <c r="F3507">
        <v>8</v>
      </c>
      <c r="G3507">
        <v>0.42722029105579767</v>
      </c>
      <c r="H3507" t="s">
        <v>95</v>
      </c>
      <c r="I3507">
        <v>0</v>
      </c>
      <c r="J3507">
        <v>0</v>
      </c>
      <c r="K3507">
        <v>0</v>
      </c>
    </row>
    <row r="3508" spans="1:11" x14ac:dyDescent="0.2">
      <c r="A3508" t="s">
        <v>16</v>
      </c>
      <c r="B3508" t="s">
        <v>326</v>
      </c>
      <c r="C3508">
        <v>225</v>
      </c>
      <c r="D3508" t="s">
        <v>7970</v>
      </c>
      <c r="E3508" t="s">
        <v>49</v>
      </c>
      <c r="F3508">
        <v>8</v>
      </c>
      <c r="G3508">
        <v>0.42722029105579767</v>
      </c>
      <c r="H3508" t="s">
        <v>101</v>
      </c>
      <c r="I3508">
        <v>0</v>
      </c>
      <c r="J3508">
        <v>0</v>
      </c>
      <c r="K3508">
        <v>0</v>
      </c>
    </row>
    <row r="3509" spans="1:11" x14ac:dyDescent="0.2">
      <c r="A3509" t="s">
        <v>16</v>
      </c>
      <c r="B3509" t="s">
        <v>326</v>
      </c>
      <c r="C3509">
        <v>225</v>
      </c>
      <c r="D3509" t="s">
        <v>7968</v>
      </c>
      <c r="E3509" t="s">
        <v>49</v>
      </c>
      <c r="F3509">
        <v>8</v>
      </c>
      <c r="G3509">
        <v>0.42722029105579767</v>
      </c>
      <c r="H3509" t="s">
        <v>93</v>
      </c>
      <c r="I3509">
        <v>0</v>
      </c>
      <c r="J3509">
        <v>0</v>
      </c>
      <c r="K3509">
        <v>0</v>
      </c>
    </row>
    <row r="3510" spans="1:11" x14ac:dyDescent="0.2">
      <c r="A3510" t="s">
        <v>16</v>
      </c>
      <c r="B3510" t="s">
        <v>326</v>
      </c>
      <c r="C3510">
        <v>225</v>
      </c>
      <c r="D3510" t="s">
        <v>7972</v>
      </c>
      <c r="E3510" t="s">
        <v>49</v>
      </c>
      <c r="F3510">
        <v>8</v>
      </c>
      <c r="G3510">
        <v>0.42722029105579767</v>
      </c>
      <c r="H3510" t="s">
        <v>87</v>
      </c>
      <c r="I3510">
        <v>0</v>
      </c>
      <c r="J3510">
        <v>0</v>
      </c>
      <c r="K3510">
        <v>0</v>
      </c>
    </row>
    <row r="3511" spans="1:11" x14ac:dyDescent="0.2">
      <c r="A3511" t="s">
        <v>16</v>
      </c>
      <c r="B3511" t="s">
        <v>326</v>
      </c>
      <c r="C3511">
        <v>225</v>
      </c>
      <c r="D3511" t="s">
        <v>7966</v>
      </c>
      <c r="E3511" t="s">
        <v>49</v>
      </c>
      <c r="F3511">
        <v>8</v>
      </c>
      <c r="G3511">
        <v>0.42722029105579767</v>
      </c>
      <c r="H3511" t="s">
        <v>103</v>
      </c>
      <c r="I3511">
        <v>0</v>
      </c>
      <c r="J3511">
        <v>0</v>
      </c>
      <c r="K3511">
        <v>0</v>
      </c>
    </row>
    <row r="3512" spans="1:11" x14ac:dyDescent="0.2">
      <c r="A3512" t="s">
        <v>16</v>
      </c>
      <c r="B3512" t="s">
        <v>326</v>
      </c>
      <c r="C3512">
        <v>225</v>
      </c>
      <c r="D3512" t="s">
        <v>7974</v>
      </c>
      <c r="E3512" t="s">
        <v>49</v>
      </c>
      <c r="F3512">
        <v>8</v>
      </c>
      <c r="G3512">
        <v>0.42722029105579767</v>
      </c>
      <c r="H3512" t="s">
        <v>104</v>
      </c>
      <c r="I3512">
        <v>0</v>
      </c>
      <c r="J3512">
        <v>0</v>
      </c>
      <c r="K3512">
        <v>0</v>
      </c>
    </row>
    <row r="3513" spans="1:11" x14ac:dyDescent="0.2">
      <c r="A3513" t="s">
        <v>16</v>
      </c>
      <c r="B3513" t="s">
        <v>326</v>
      </c>
      <c r="C3513">
        <v>225</v>
      </c>
      <c r="D3513" t="s">
        <v>7957</v>
      </c>
      <c r="E3513" t="s">
        <v>49</v>
      </c>
      <c r="F3513">
        <v>8</v>
      </c>
      <c r="G3513">
        <v>0.42722029105579767</v>
      </c>
      <c r="H3513" t="s">
        <v>96</v>
      </c>
      <c r="I3513">
        <v>0</v>
      </c>
      <c r="J3513">
        <v>0</v>
      </c>
      <c r="K3513">
        <v>0</v>
      </c>
    </row>
    <row r="3514" spans="1:11" x14ac:dyDescent="0.2">
      <c r="A3514" t="s">
        <v>16</v>
      </c>
      <c r="B3514" t="s">
        <v>326</v>
      </c>
      <c r="C3514">
        <v>225</v>
      </c>
      <c r="D3514" t="s">
        <v>7965</v>
      </c>
      <c r="E3514" t="s">
        <v>49</v>
      </c>
      <c r="F3514">
        <v>8</v>
      </c>
      <c r="G3514">
        <v>0.42722029105579767</v>
      </c>
      <c r="H3514" t="s">
        <v>84</v>
      </c>
      <c r="I3514">
        <v>0</v>
      </c>
      <c r="J3514">
        <v>0</v>
      </c>
      <c r="K3514">
        <v>0</v>
      </c>
    </row>
    <row r="3515" spans="1:11" x14ac:dyDescent="0.2">
      <c r="A3515" t="s">
        <v>16</v>
      </c>
      <c r="B3515" t="s">
        <v>326</v>
      </c>
      <c r="C3515">
        <v>225</v>
      </c>
      <c r="D3515" t="s">
        <v>7969</v>
      </c>
      <c r="E3515" t="s">
        <v>49</v>
      </c>
      <c r="F3515">
        <v>8</v>
      </c>
      <c r="G3515">
        <v>0.42722029105579767</v>
      </c>
      <c r="H3515" t="s">
        <v>95</v>
      </c>
      <c r="I3515">
        <v>0</v>
      </c>
      <c r="J3515">
        <v>0</v>
      </c>
      <c r="K3515">
        <v>0</v>
      </c>
    </row>
    <row r="3516" spans="1:11" x14ac:dyDescent="0.2">
      <c r="A3516" t="s">
        <v>16</v>
      </c>
      <c r="B3516" t="s">
        <v>326</v>
      </c>
      <c r="C3516">
        <v>225</v>
      </c>
      <c r="D3516" t="s">
        <v>7956</v>
      </c>
      <c r="E3516" t="s">
        <v>49</v>
      </c>
      <c r="F3516">
        <v>8</v>
      </c>
      <c r="G3516">
        <v>0.42722029105579767</v>
      </c>
      <c r="H3516" t="s">
        <v>101</v>
      </c>
      <c r="I3516">
        <v>0</v>
      </c>
      <c r="J3516">
        <v>0</v>
      </c>
      <c r="K3516">
        <v>0</v>
      </c>
    </row>
    <row r="3517" spans="1:11" x14ac:dyDescent="0.2">
      <c r="A3517" t="s">
        <v>16</v>
      </c>
      <c r="B3517" t="s">
        <v>326</v>
      </c>
      <c r="C3517">
        <v>225</v>
      </c>
      <c r="D3517" t="s">
        <v>7967</v>
      </c>
      <c r="E3517" t="s">
        <v>49</v>
      </c>
      <c r="F3517">
        <v>8</v>
      </c>
      <c r="G3517">
        <v>0.42722029105579767</v>
      </c>
      <c r="H3517" t="s">
        <v>93</v>
      </c>
      <c r="I3517">
        <v>0</v>
      </c>
      <c r="J3517">
        <v>0</v>
      </c>
      <c r="K3517">
        <v>0</v>
      </c>
    </row>
    <row r="3518" spans="1:11" x14ac:dyDescent="0.2">
      <c r="A3518" t="s">
        <v>16</v>
      </c>
      <c r="B3518" t="s">
        <v>326</v>
      </c>
      <c r="C3518">
        <v>225</v>
      </c>
      <c r="D3518" t="s">
        <v>8000</v>
      </c>
      <c r="E3518" t="s">
        <v>49</v>
      </c>
      <c r="F3518">
        <v>8</v>
      </c>
      <c r="G3518">
        <v>0.42722029105579767</v>
      </c>
      <c r="H3518" t="s">
        <v>87</v>
      </c>
      <c r="I3518">
        <v>0</v>
      </c>
      <c r="J3518">
        <v>0</v>
      </c>
      <c r="K3518">
        <v>0</v>
      </c>
    </row>
    <row r="3519" spans="1:11" x14ac:dyDescent="0.2">
      <c r="A3519" t="s">
        <v>16</v>
      </c>
      <c r="B3519" t="s">
        <v>326</v>
      </c>
      <c r="C3519">
        <v>225</v>
      </c>
      <c r="D3519" t="s">
        <v>7962</v>
      </c>
      <c r="E3519" t="s">
        <v>49</v>
      </c>
      <c r="F3519">
        <v>8</v>
      </c>
      <c r="G3519">
        <v>0.42722029105579767</v>
      </c>
      <c r="H3519" t="s">
        <v>103</v>
      </c>
      <c r="I3519">
        <v>0</v>
      </c>
      <c r="J3519">
        <v>0</v>
      </c>
      <c r="K3519">
        <v>0</v>
      </c>
    </row>
    <row r="3520" spans="1:11" x14ac:dyDescent="0.2">
      <c r="A3520" t="s">
        <v>16</v>
      </c>
      <c r="B3520" t="s">
        <v>326</v>
      </c>
      <c r="C3520">
        <v>225</v>
      </c>
      <c r="D3520" t="s">
        <v>7994</v>
      </c>
      <c r="E3520" t="s">
        <v>49</v>
      </c>
      <c r="F3520">
        <v>8</v>
      </c>
      <c r="G3520">
        <v>0.42722029105579767</v>
      </c>
      <c r="H3520" t="s">
        <v>104</v>
      </c>
      <c r="I3520">
        <v>0</v>
      </c>
      <c r="J3520">
        <v>0</v>
      </c>
      <c r="K3520">
        <v>0</v>
      </c>
    </row>
    <row r="3521" spans="1:11" x14ac:dyDescent="0.2">
      <c r="A3521" t="s">
        <v>16</v>
      </c>
      <c r="B3521" t="s">
        <v>326</v>
      </c>
      <c r="C3521">
        <v>225</v>
      </c>
      <c r="D3521" t="s">
        <v>7999</v>
      </c>
      <c r="E3521" t="s">
        <v>49</v>
      </c>
      <c r="F3521">
        <v>8</v>
      </c>
      <c r="G3521">
        <v>0.42722029105579767</v>
      </c>
      <c r="H3521" t="s">
        <v>96</v>
      </c>
      <c r="I3521">
        <v>0</v>
      </c>
      <c r="J3521">
        <v>0</v>
      </c>
      <c r="K3521">
        <v>0</v>
      </c>
    </row>
    <row r="3522" spans="1:11" x14ac:dyDescent="0.2">
      <c r="A3522" t="s">
        <v>16</v>
      </c>
      <c r="B3522" t="s">
        <v>326</v>
      </c>
      <c r="C3522">
        <v>225</v>
      </c>
      <c r="D3522" t="s">
        <v>7971</v>
      </c>
      <c r="E3522" t="s">
        <v>49</v>
      </c>
      <c r="F3522">
        <v>8</v>
      </c>
      <c r="G3522">
        <v>0.42722029105579767</v>
      </c>
      <c r="H3522" t="s">
        <v>84</v>
      </c>
      <c r="I3522">
        <v>0</v>
      </c>
      <c r="J3522">
        <v>0</v>
      </c>
      <c r="K3522">
        <v>0</v>
      </c>
    </row>
    <row r="3523" spans="1:11" x14ac:dyDescent="0.2">
      <c r="A3523" t="s">
        <v>16</v>
      </c>
      <c r="B3523" t="s">
        <v>365</v>
      </c>
      <c r="C3523">
        <v>360</v>
      </c>
      <c r="D3523" t="s">
        <v>8003</v>
      </c>
      <c r="E3523" t="s">
        <v>49</v>
      </c>
      <c r="F3523">
        <v>4</v>
      </c>
      <c r="G3523">
        <v>0.48015320888983304</v>
      </c>
      <c r="H3523" t="s">
        <v>89</v>
      </c>
      <c r="I3523">
        <v>0</v>
      </c>
      <c r="J3523">
        <v>0</v>
      </c>
      <c r="K3523">
        <v>0</v>
      </c>
    </row>
    <row r="3524" spans="1:11" x14ac:dyDescent="0.2">
      <c r="A3524" t="s">
        <v>16</v>
      </c>
      <c r="B3524" t="s">
        <v>365</v>
      </c>
      <c r="C3524">
        <v>240</v>
      </c>
      <c r="D3524" t="s">
        <v>8004</v>
      </c>
      <c r="E3524" t="s">
        <v>49</v>
      </c>
      <c r="F3524">
        <v>4</v>
      </c>
      <c r="G3524">
        <v>0.32010213925988867</v>
      </c>
      <c r="H3524" t="s">
        <v>90</v>
      </c>
      <c r="I3524">
        <v>0</v>
      </c>
      <c r="J3524">
        <v>0</v>
      </c>
      <c r="K3524">
        <v>0</v>
      </c>
    </row>
    <row r="3525" spans="1:11" x14ac:dyDescent="0.2">
      <c r="A3525" t="s">
        <v>16</v>
      </c>
      <c r="B3525" t="s">
        <v>299</v>
      </c>
      <c r="C3525">
        <v>360</v>
      </c>
      <c r="D3525" t="s">
        <v>8005</v>
      </c>
      <c r="E3525" t="s">
        <v>49</v>
      </c>
      <c r="F3525">
        <v>2</v>
      </c>
      <c r="G3525">
        <v>0.54462741869081921</v>
      </c>
      <c r="H3525" t="s">
        <v>94</v>
      </c>
      <c r="I3525">
        <v>0</v>
      </c>
      <c r="J3525">
        <v>0</v>
      </c>
      <c r="K3525">
        <v>0</v>
      </c>
    </row>
    <row r="3526" spans="1:11" x14ac:dyDescent="0.2">
      <c r="A3526" t="s">
        <v>16</v>
      </c>
      <c r="B3526" t="s">
        <v>299</v>
      </c>
      <c r="C3526">
        <v>120</v>
      </c>
      <c r="D3526" t="s">
        <v>8006</v>
      </c>
      <c r="E3526" t="s">
        <v>49</v>
      </c>
      <c r="F3526">
        <v>2</v>
      </c>
      <c r="G3526">
        <v>0.18154247289693973</v>
      </c>
      <c r="H3526" t="s">
        <v>92</v>
      </c>
      <c r="I3526">
        <v>0</v>
      </c>
      <c r="J3526">
        <v>0</v>
      </c>
      <c r="K3526">
        <v>0</v>
      </c>
    </row>
    <row r="3527" spans="1:11" x14ac:dyDescent="0.2">
      <c r="A3527" t="s">
        <v>16</v>
      </c>
      <c r="B3527" t="s">
        <v>304</v>
      </c>
      <c r="C3527">
        <v>195</v>
      </c>
      <c r="D3527" t="s">
        <v>8008</v>
      </c>
      <c r="E3527" t="s">
        <v>49</v>
      </c>
      <c r="F3527">
        <v>22</v>
      </c>
      <c r="G3527">
        <v>0.35609695603803232</v>
      </c>
      <c r="H3527" t="s">
        <v>98</v>
      </c>
      <c r="I3527">
        <v>0</v>
      </c>
      <c r="J3527">
        <v>0</v>
      </c>
      <c r="K3527">
        <v>0</v>
      </c>
    </row>
    <row r="3528" spans="1:11" x14ac:dyDescent="0.2">
      <c r="A3528" t="s">
        <v>16</v>
      </c>
      <c r="B3528" t="s">
        <v>304</v>
      </c>
      <c r="C3528">
        <v>195</v>
      </c>
      <c r="D3528" t="s">
        <v>8014</v>
      </c>
      <c r="E3528" t="s">
        <v>49</v>
      </c>
      <c r="F3528">
        <v>22</v>
      </c>
      <c r="G3528">
        <v>0.35609695603803232</v>
      </c>
      <c r="H3528" t="s">
        <v>90</v>
      </c>
      <c r="I3528">
        <v>0</v>
      </c>
      <c r="J3528">
        <v>0</v>
      </c>
      <c r="K3528">
        <v>0</v>
      </c>
    </row>
    <row r="3529" spans="1:11" x14ac:dyDescent="0.2">
      <c r="A3529" t="s">
        <v>16</v>
      </c>
      <c r="B3529" t="s">
        <v>304</v>
      </c>
      <c r="C3529">
        <v>195</v>
      </c>
      <c r="D3529" t="s">
        <v>8009</v>
      </c>
      <c r="E3529" t="s">
        <v>49</v>
      </c>
      <c r="F3529">
        <v>22</v>
      </c>
      <c r="G3529">
        <v>0.35609695603803232</v>
      </c>
      <c r="H3529" t="s">
        <v>97</v>
      </c>
      <c r="I3529">
        <v>0</v>
      </c>
      <c r="J3529">
        <v>0</v>
      </c>
      <c r="K3529">
        <v>0</v>
      </c>
    </row>
    <row r="3530" spans="1:11" x14ac:dyDescent="0.2">
      <c r="A3530" t="s">
        <v>16</v>
      </c>
      <c r="B3530" t="s">
        <v>304</v>
      </c>
      <c r="C3530">
        <v>65</v>
      </c>
      <c r="D3530" t="s">
        <v>8021</v>
      </c>
      <c r="E3530" t="s">
        <v>49</v>
      </c>
      <c r="F3530">
        <v>22</v>
      </c>
      <c r="G3530">
        <v>0.11869898534601077</v>
      </c>
      <c r="H3530" t="s">
        <v>105</v>
      </c>
      <c r="I3530">
        <v>0</v>
      </c>
      <c r="J3530">
        <v>0</v>
      </c>
      <c r="K3530">
        <v>0</v>
      </c>
    </row>
    <row r="3531" spans="1:11" x14ac:dyDescent="0.2">
      <c r="A3531" t="s">
        <v>16</v>
      </c>
      <c r="B3531" t="s">
        <v>304</v>
      </c>
      <c r="C3531">
        <v>195</v>
      </c>
      <c r="D3531" t="s">
        <v>8023</v>
      </c>
      <c r="E3531" t="s">
        <v>49</v>
      </c>
      <c r="F3531">
        <v>22</v>
      </c>
      <c r="G3531">
        <v>0.35609695603803232</v>
      </c>
      <c r="H3531" t="s">
        <v>89</v>
      </c>
      <c r="I3531">
        <v>0</v>
      </c>
      <c r="J3531">
        <v>0</v>
      </c>
      <c r="K3531">
        <v>0</v>
      </c>
    </row>
    <row r="3532" spans="1:11" x14ac:dyDescent="0.2">
      <c r="A3532" t="s">
        <v>16</v>
      </c>
      <c r="B3532" t="s">
        <v>304</v>
      </c>
      <c r="C3532">
        <v>195</v>
      </c>
      <c r="D3532" t="s">
        <v>8016</v>
      </c>
      <c r="E3532" t="s">
        <v>49</v>
      </c>
      <c r="F3532">
        <v>22</v>
      </c>
      <c r="G3532">
        <v>0.35609695603803232</v>
      </c>
      <c r="H3532" t="s">
        <v>92</v>
      </c>
      <c r="I3532">
        <v>0</v>
      </c>
      <c r="J3532">
        <v>0</v>
      </c>
      <c r="K3532">
        <v>0</v>
      </c>
    </row>
    <row r="3533" spans="1:11" x14ac:dyDescent="0.2">
      <c r="A3533" t="s">
        <v>16</v>
      </c>
      <c r="B3533" t="s">
        <v>304</v>
      </c>
      <c r="C3533">
        <v>195</v>
      </c>
      <c r="D3533" t="s">
        <v>8015</v>
      </c>
      <c r="E3533" t="s">
        <v>49</v>
      </c>
      <c r="F3533">
        <v>22</v>
      </c>
      <c r="G3533">
        <v>0.35609695603803232</v>
      </c>
      <c r="H3533" t="s">
        <v>105</v>
      </c>
      <c r="I3533">
        <v>0</v>
      </c>
      <c r="J3533">
        <v>0</v>
      </c>
      <c r="K3533">
        <v>0</v>
      </c>
    </row>
    <row r="3534" spans="1:11" x14ac:dyDescent="0.2">
      <c r="A3534" t="s">
        <v>16</v>
      </c>
      <c r="B3534" t="s">
        <v>304</v>
      </c>
      <c r="C3534">
        <v>195</v>
      </c>
      <c r="D3534" t="s">
        <v>8019</v>
      </c>
      <c r="E3534" t="s">
        <v>49</v>
      </c>
      <c r="F3534">
        <v>22</v>
      </c>
      <c r="G3534">
        <v>0.35609695603803232</v>
      </c>
      <c r="H3534" t="s">
        <v>99</v>
      </c>
      <c r="I3534">
        <v>0</v>
      </c>
      <c r="J3534">
        <v>0</v>
      </c>
      <c r="K3534">
        <v>0</v>
      </c>
    </row>
    <row r="3535" spans="1:11" x14ac:dyDescent="0.2">
      <c r="A3535" t="s">
        <v>16</v>
      </c>
      <c r="B3535" t="s">
        <v>304</v>
      </c>
      <c r="C3535">
        <v>195</v>
      </c>
      <c r="D3535" t="s">
        <v>8007</v>
      </c>
      <c r="E3535" t="s">
        <v>49</v>
      </c>
      <c r="F3535">
        <v>22</v>
      </c>
      <c r="G3535">
        <v>0.35609695603803232</v>
      </c>
      <c r="H3535" t="s">
        <v>98</v>
      </c>
      <c r="I3535">
        <v>0</v>
      </c>
      <c r="J3535">
        <v>0</v>
      </c>
      <c r="K3535">
        <v>0</v>
      </c>
    </row>
    <row r="3536" spans="1:11" x14ac:dyDescent="0.2">
      <c r="A3536" t="s">
        <v>16</v>
      </c>
      <c r="B3536" t="s">
        <v>304</v>
      </c>
      <c r="C3536">
        <v>195</v>
      </c>
      <c r="D3536" t="s">
        <v>8018</v>
      </c>
      <c r="E3536" t="s">
        <v>49</v>
      </c>
      <c r="F3536">
        <v>22</v>
      </c>
      <c r="G3536">
        <v>0.35609695603803232</v>
      </c>
      <c r="H3536" t="s">
        <v>90</v>
      </c>
      <c r="I3536">
        <v>0</v>
      </c>
      <c r="J3536">
        <v>0</v>
      </c>
      <c r="K3536">
        <v>0</v>
      </c>
    </row>
    <row r="3537" spans="1:11" x14ac:dyDescent="0.2">
      <c r="A3537" t="s">
        <v>16</v>
      </c>
      <c r="B3537" t="s">
        <v>304</v>
      </c>
      <c r="C3537">
        <v>195</v>
      </c>
      <c r="D3537" t="s">
        <v>8011</v>
      </c>
      <c r="E3537" t="s">
        <v>49</v>
      </c>
      <c r="F3537">
        <v>22</v>
      </c>
      <c r="G3537">
        <v>0.35609695603803232</v>
      </c>
      <c r="H3537" t="s">
        <v>97</v>
      </c>
      <c r="I3537">
        <v>0</v>
      </c>
      <c r="J3537">
        <v>0</v>
      </c>
      <c r="K3537">
        <v>0</v>
      </c>
    </row>
    <row r="3538" spans="1:11" x14ac:dyDescent="0.2">
      <c r="A3538" t="s">
        <v>16</v>
      </c>
      <c r="B3538" t="s">
        <v>304</v>
      </c>
      <c r="C3538">
        <v>195</v>
      </c>
      <c r="D3538" t="s">
        <v>8012</v>
      </c>
      <c r="E3538" t="s">
        <v>49</v>
      </c>
      <c r="F3538">
        <v>22</v>
      </c>
      <c r="G3538">
        <v>0.35609695603803232</v>
      </c>
      <c r="H3538" t="s">
        <v>89</v>
      </c>
      <c r="I3538">
        <v>0</v>
      </c>
      <c r="J3538">
        <v>0</v>
      </c>
      <c r="K3538">
        <v>0</v>
      </c>
    </row>
    <row r="3539" spans="1:11" x14ac:dyDescent="0.2">
      <c r="A3539" t="s">
        <v>16</v>
      </c>
      <c r="B3539" t="s">
        <v>304</v>
      </c>
      <c r="C3539">
        <v>195</v>
      </c>
      <c r="D3539" t="s">
        <v>8010</v>
      </c>
      <c r="E3539" t="s">
        <v>49</v>
      </c>
      <c r="F3539">
        <v>22</v>
      </c>
      <c r="G3539">
        <v>0.35609695603803232</v>
      </c>
      <c r="H3539" t="s">
        <v>94</v>
      </c>
      <c r="I3539">
        <v>0</v>
      </c>
      <c r="J3539">
        <v>0</v>
      </c>
      <c r="K3539">
        <v>0</v>
      </c>
    </row>
    <row r="3540" spans="1:11" x14ac:dyDescent="0.2">
      <c r="A3540" t="s">
        <v>16</v>
      </c>
      <c r="B3540" t="s">
        <v>304</v>
      </c>
      <c r="C3540">
        <v>195</v>
      </c>
      <c r="D3540" t="s">
        <v>8024</v>
      </c>
      <c r="E3540" t="s">
        <v>49</v>
      </c>
      <c r="F3540">
        <v>22</v>
      </c>
      <c r="G3540">
        <v>0.35609695603803232</v>
      </c>
      <c r="H3540" t="s">
        <v>92</v>
      </c>
      <c r="I3540">
        <v>0</v>
      </c>
      <c r="J3540">
        <v>0</v>
      </c>
      <c r="K3540">
        <v>0</v>
      </c>
    </row>
    <row r="3541" spans="1:11" x14ac:dyDescent="0.2">
      <c r="A3541" t="s">
        <v>16</v>
      </c>
      <c r="B3541" t="s">
        <v>304</v>
      </c>
      <c r="C3541">
        <v>195</v>
      </c>
      <c r="D3541" t="s">
        <v>8020</v>
      </c>
      <c r="E3541" t="s">
        <v>49</v>
      </c>
      <c r="F3541">
        <v>22</v>
      </c>
      <c r="G3541">
        <v>0.35609695603803232</v>
      </c>
      <c r="H3541" t="s">
        <v>105</v>
      </c>
      <c r="I3541">
        <v>0</v>
      </c>
      <c r="J3541">
        <v>0</v>
      </c>
      <c r="K3541">
        <v>0</v>
      </c>
    </row>
    <row r="3542" spans="1:11" x14ac:dyDescent="0.2">
      <c r="A3542" t="s">
        <v>16</v>
      </c>
      <c r="B3542" t="s">
        <v>304</v>
      </c>
      <c r="C3542">
        <v>195</v>
      </c>
      <c r="D3542" t="s">
        <v>8025</v>
      </c>
      <c r="E3542" t="s">
        <v>49</v>
      </c>
      <c r="F3542">
        <v>22</v>
      </c>
      <c r="G3542">
        <v>0.35609695603803232</v>
      </c>
      <c r="H3542" t="s">
        <v>99</v>
      </c>
      <c r="I3542">
        <v>0</v>
      </c>
      <c r="J3542">
        <v>0</v>
      </c>
      <c r="K3542">
        <v>0</v>
      </c>
    </row>
    <row r="3543" spans="1:11" x14ac:dyDescent="0.2">
      <c r="A3543" t="s">
        <v>16</v>
      </c>
      <c r="B3543" t="s">
        <v>304</v>
      </c>
      <c r="C3543">
        <v>65</v>
      </c>
      <c r="D3543" t="s">
        <v>8022</v>
      </c>
      <c r="E3543" t="s">
        <v>49</v>
      </c>
      <c r="F3543">
        <v>22</v>
      </c>
      <c r="G3543">
        <v>0.11869898534601077</v>
      </c>
      <c r="H3543" t="s">
        <v>98</v>
      </c>
      <c r="I3543">
        <v>0</v>
      </c>
      <c r="J3543">
        <v>0</v>
      </c>
      <c r="K3543">
        <v>0</v>
      </c>
    </row>
    <row r="3544" spans="1:11" x14ac:dyDescent="0.2">
      <c r="A3544" t="s">
        <v>16</v>
      </c>
      <c r="B3544" t="s">
        <v>304</v>
      </c>
      <c r="C3544">
        <v>195</v>
      </c>
      <c r="D3544" t="s">
        <v>8013</v>
      </c>
      <c r="E3544" t="s">
        <v>49</v>
      </c>
      <c r="F3544">
        <v>22</v>
      </c>
      <c r="G3544">
        <v>0.35609695603803232</v>
      </c>
      <c r="H3544" t="s">
        <v>90</v>
      </c>
      <c r="I3544">
        <v>0</v>
      </c>
      <c r="J3544">
        <v>0</v>
      </c>
      <c r="K3544">
        <v>0</v>
      </c>
    </row>
    <row r="3545" spans="1:11" x14ac:dyDescent="0.2">
      <c r="A3545" t="s">
        <v>16</v>
      </c>
      <c r="B3545" t="s">
        <v>304</v>
      </c>
      <c r="C3545">
        <v>195</v>
      </c>
      <c r="D3545" t="s">
        <v>8017</v>
      </c>
      <c r="E3545" t="s">
        <v>49</v>
      </c>
      <c r="F3545">
        <v>22</v>
      </c>
      <c r="G3545">
        <v>0.35609695603803232</v>
      </c>
      <c r="H3545" t="s">
        <v>97</v>
      </c>
      <c r="I3545">
        <v>0</v>
      </c>
      <c r="J3545">
        <v>0</v>
      </c>
      <c r="K3545">
        <v>0</v>
      </c>
    </row>
    <row r="3546" spans="1:11" x14ac:dyDescent="0.2">
      <c r="A3546" t="s">
        <v>16</v>
      </c>
      <c r="B3546" t="s">
        <v>819</v>
      </c>
      <c r="C3546">
        <v>510</v>
      </c>
      <c r="D3546" t="s">
        <v>8027</v>
      </c>
      <c r="E3546" t="s">
        <v>49</v>
      </c>
      <c r="F3546">
        <v>3</v>
      </c>
      <c r="G3546">
        <v>0.64565243648022486</v>
      </c>
      <c r="H3546" t="s">
        <v>98</v>
      </c>
      <c r="I3546">
        <v>0</v>
      </c>
      <c r="J3546">
        <v>0</v>
      </c>
      <c r="K3546">
        <v>0</v>
      </c>
    </row>
    <row r="3547" spans="1:11" x14ac:dyDescent="0.2">
      <c r="A3547" t="s">
        <v>16</v>
      </c>
      <c r="B3547" t="s">
        <v>819</v>
      </c>
      <c r="C3547">
        <v>170</v>
      </c>
      <c r="D3547" t="s">
        <v>8026</v>
      </c>
      <c r="E3547" t="s">
        <v>49</v>
      </c>
      <c r="F3547">
        <v>3</v>
      </c>
      <c r="G3547">
        <v>0.21521747882674161</v>
      </c>
      <c r="H3547" t="s">
        <v>91</v>
      </c>
      <c r="I3547">
        <v>0</v>
      </c>
      <c r="J3547">
        <v>0</v>
      </c>
      <c r="K3547">
        <v>0</v>
      </c>
    </row>
    <row r="3548" spans="1:11" x14ac:dyDescent="0.2">
      <c r="A3548" t="s">
        <v>16</v>
      </c>
      <c r="B3548" t="s">
        <v>820</v>
      </c>
      <c r="C3548">
        <v>300</v>
      </c>
      <c r="D3548" t="s">
        <v>8029</v>
      </c>
      <c r="E3548" t="s">
        <v>49</v>
      </c>
      <c r="F3548">
        <v>8</v>
      </c>
      <c r="G3548">
        <v>0.45439594671357636</v>
      </c>
      <c r="H3548" t="s">
        <v>89</v>
      </c>
      <c r="I3548">
        <v>0</v>
      </c>
      <c r="J3548">
        <v>0</v>
      </c>
      <c r="K3548">
        <v>0</v>
      </c>
    </row>
    <row r="3549" spans="1:11" x14ac:dyDescent="0.2">
      <c r="A3549" t="s">
        <v>16</v>
      </c>
      <c r="B3549" t="s">
        <v>820</v>
      </c>
      <c r="C3549">
        <v>450</v>
      </c>
      <c r="D3549" t="s">
        <v>8028</v>
      </c>
      <c r="E3549" t="s">
        <v>49</v>
      </c>
      <c r="F3549">
        <v>8</v>
      </c>
      <c r="G3549">
        <v>0.68159392007036457</v>
      </c>
      <c r="H3549" t="s">
        <v>94</v>
      </c>
      <c r="I3549">
        <v>0</v>
      </c>
      <c r="J3549">
        <v>0</v>
      </c>
      <c r="K3549">
        <v>0</v>
      </c>
    </row>
    <row r="3550" spans="1:11" x14ac:dyDescent="0.2">
      <c r="A3550" t="s">
        <v>16</v>
      </c>
      <c r="B3550" t="s">
        <v>4652</v>
      </c>
      <c r="C3550">
        <v>100</v>
      </c>
      <c r="D3550" t="s">
        <v>8030</v>
      </c>
      <c r="E3550" t="s">
        <v>49</v>
      </c>
      <c r="F3550">
        <v>3</v>
      </c>
      <c r="G3550">
        <v>0.20095794287620181</v>
      </c>
      <c r="H3550" t="s">
        <v>92</v>
      </c>
      <c r="I3550">
        <v>0</v>
      </c>
      <c r="J3550">
        <v>0</v>
      </c>
      <c r="K3550">
        <v>0</v>
      </c>
    </row>
    <row r="3551" spans="1:11" x14ac:dyDescent="0.2">
      <c r="A3551" t="s">
        <v>16</v>
      </c>
      <c r="B3551" t="s">
        <v>231</v>
      </c>
      <c r="C3551">
        <v>80</v>
      </c>
      <c r="D3551" t="s">
        <v>8031</v>
      </c>
      <c r="E3551" t="s">
        <v>49</v>
      </c>
      <c r="F3551">
        <v>4</v>
      </c>
      <c r="G3551">
        <v>0.1352555984663743</v>
      </c>
      <c r="H3551" t="s">
        <v>105</v>
      </c>
      <c r="I3551">
        <v>0</v>
      </c>
      <c r="J3551">
        <v>0</v>
      </c>
      <c r="K3551">
        <v>0</v>
      </c>
    </row>
    <row r="3552" spans="1:11" x14ac:dyDescent="0.2">
      <c r="A3552" t="s">
        <v>16</v>
      </c>
      <c r="B3552" t="s">
        <v>466</v>
      </c>
      <c r="C3552">
        <v>360</v>
      </c>
      <c r="D3552" t="s">
        <v>8033</v>
      </c>
      <c r="E3552" t="s">
        <v>49</v>
      </c>
      <c r="F3552">
        <v>11</v>
      </c>
      <c r="G3552">
        <v>0.47510419560989159</v>
      </c>
      <c r="H3552" t="s">
        <v>99</v>
      </c>
      <c r="I3552">
        <v>0</v>
      </c>
      <c r="J3552">
        <v>0</v>
      </c>
      <c r="K3552">
        <v>0</v>
      </c>
    </row>
    <row r="3553" spans="1:11" x14ac:dyDescent="0.2">
      <c r="A3553" t="s">
        <v>16</v>
      </c>
      <c r="B3553" t="s">
        <v>466</v>
      </c>
      <c r="C3553">
        <v>180</v>
      </c>
      <c r="D3553" t="s">
        <v>8034</v>
      </c>
      <c r="E3553" t="s">
        <v>49</v>
      </c>
      <c r="F3553">
        <v>11</v>
      </c>
      <c r="G3553">
        <v>0.23755209780494579</v>
      </c>
      <c r="H3553" t="s">
        <v>91</v>
      </c>
      <c r="I3553">
        <v>0</v>
      </c>
      <c r="J3553">
        <v>0</v>
      </c>
      <c r="K3553">
        <v>0</v>
      </c>
    </row>
    <row r="3554" spans="1:11" x14ac:dyDescent="0.2">
      <c r="A3554" t="s">
        <v>16</v>
      </c>
      <c r="B3554" t="s">
        <v>466</v>
      </c>
      <c r="C3554">
        <v>540</v>
      </c>
      <c r="D3554" t="s">
        <v>8032</v>
      </c>
      <c r="E3554" t="s">
        <v>49</v>
      </c>
      <c r="F3554">
        <v>11</v>
      </c>
      <c r="G3554">
        <v>0.71265629341483738</v>
      </c>
      <c r="H3554" t="s">
        <v>105</v>
      </c>
      <c r="I3554">
        <v>0</v>
      </c>
      <c r="J3554">
        <v>0</v>
      </c>
      <c r="K3554">
        <v>0</v>
      </c>
    </row>
    <row r="3555" spans="1:11" x14ac:dyDescent="0.2">
      <c r="A3555" t="s">
        <v>16</v>
      </c>
      <c r="B3555" t="s">
        <v>468</v>
      </c>
      <c r="C3555">
        <v>540</v>
      </c>
      <c r="D3555" t="s">
        <v>8036</v>
      </c>
      <c r="E3555" t="s">
        <v>49</v>
      </c>
      <c r="F3555">
        <v>5</v>
      </c>
      <c r="G3555">
        <v>0.65033973685836055</v>
      </c>
      <c r="H3555" t="s">
        <v>92</v>
      </c>
      <c r="I3555">
        <v>0</v>
      </c>
      <c r="J3555">
        <v>0</v>
      </c>
      <c r="K3555">
        <v>0</v>
      </c>
    </row>
    <row r="3556" spans="1:11" x14ac:dyDescent="0.2">
      <c r="A3556" t="s">
        <v>16</v>
      </c>
      <c r="B3556" t="s">
        <v>468</v>
      </c>
      <c r="C3556">
        <v>540</v>
      </c>
      <c r="D3556" t="s">
        <v>8035</v>
      </c>
      <c r="E3556" t="s">
        <v>49</v>
      </c>
      <c r="F3556">
        <v>5</v>
      </c>
      <c r="G3556">
        <v>0.65033973685836055</v>
      </c>
      <c r="H3556" t="s">
        <v>100</v>
      </c>
      <c r="I3556">
        <v>0</v>
      </c>
      <c r="J3556">
        <v>0</v>
      </c>
      <c r="K3556">
        <v>0</v>
      </c>
    </row>
    <row r="3557" spans="1:11" x14ac:dyDescent="0.2">
      <c r="A3557" t="s">
        <v>16</v>
      </c>
      <c r="B3557" t="s">
        <v>232</v>
      </c>
      <c r="C3557">
        <v>75</v>
      </c>
      <c r="D3557" t="s">
        <v>8038</v>
      </c>
      <c r="E3557" t="s">
        <v>49</v>
      </c>
      <c r="F3557">
        <v>4</v>
      </c>
      <c r="G3557">
        <v>0.16992223449291369</v>
      </c>
      <c r="H3557" t="s">
        <v>90</v>
      </c>
      <c r="I3557">
        <v>0</v>
      </c>
      <c r="J3557">
        <v>0</v>
      </c>
      <c r="K3557">
        <v>0</v>
      </c>
    </row>
    <row r="3558" spans="1:11" x14ac:dyDescent="0.2">
      <c r="A3558" t="s">
        <v>16</v>
      </c>
      <c r="B3558" t="s">
        <v>232</v>
      </c>
      <c r="C3558">
        <v>225</v>
      </c>
      <c r="D3558" t="s">
        <v>8039</v>
      </c>
      <c r="E3558" t="s">
        <v>49</v>
      </c>
      <c r="F3558">
        <v>4</v>
      </c>
      <c r="G3558">
        <v>0.50976670347874109</v>
      </c>
      <c r="H3558" t="s">
        <v>97</v>
      </c>
      <c r="I3558">
        <v>0</v>
      </c>
      <c r="J3558">
        <v>0</v>
      </c>
      <c r="K3558">
        <v>0</v>
      </c>
    </row>
    <row r="3559" spans="1:11" x14ac:dyDescent="0.2">
      <c r="A3559" t="s">
        <v>16</v>
      </c>
      <c r="B3559" t="s">
        <v>232</v>
      </c>
      <c r="C3559">
        <v>150</v>
      </c>
      <c r="D3559" t="s">
        <v>8037</v>
      </c>
      <c r="E3559" t="s">
        <v>49</v>
      </c>
      <c r="F3559">
        <v>4</v>
      </c>
      <c r="G3559">
        <v>0.33984446898582737</v>
      </c>
      <c r="H3559" t="s">
        <v>88</v>
      </c>
      <c r="I3559">
        <v>0</v>
      </c>
      <c r="J3559">
        <v>0</v>
      </c>
      <c r="K3559">
        <v>0</v>
      </c>
    </row>
    <row r="3560" spans="1:11" x14ac:dyDescent="0.2">
      <c r="A3560" t="s">
        <v>16</v>
      </c>
      <c r="B3560" t="s">
        <v>236</v>
      </c>
      <c r="C3560">
        <v>255</v>
      </c>
      <c r="D3560" t="s">
        <v>8057</v>
      </c>
      <c r="E3560" t="s">
        <v>49</v>
      </c>
      <c r="F3560">
        <v>3</v>
      </c>
      <c r="G3560">
        <v>0.29253390714658323</v>
      </c>
      <c r="H3560" t="s">
        <v>90</v>
      </c>
      <c r="I3560">
        <v>0</v>
      </c>
      <c r="J3560">
        <v>0</v>
      </c>
      <c r="K3560">
        <v>0</v>
      </c>
    </row>
    <row r="3561" spans="1:11" x14ac:dyDescent="0.2">
      <c r="A3561" t="s">
        <v>16</v>
      </c>
      <c r="B3561" t="s">
        <v>236</v>
      </c>
      <c r="C3561">
        <v>255</v>
      </c>
      <c r="D3561" t="s">
        <v>8053</v>
      </c>
      <c r="E3561" t="s">
        <v>49</v>
      </c>
      <c r="F3561">
        <v>3</v>
      </c>
      <c r="G3561">
        <v>0.29253390714658323</v>
      </c>
      <c r="H3561" t="s">
        <v>91</v>
      </c>
      <c r="I3561">
        <v>0</v>
      </c>
      <c r="J3561">
        <v>0</v>
      </c>
      <c r="K3561">
        <v>0</v>
      </c>
    </row>
    <row r="3562" spans="1:11" x14ac:dyDescent="0.2">
      <c r="A3562" t="s">
        <v>16</v>
      </c>
      <c r="B3562" t="s">
        <v>236</v>
      </c>
      <c r="C3562">
        <v>255</v>
      </c>
      <c r="D3562" t="s">
        <v>8050</v>
      </c>
      <c r="E3562" t="s">
        <v>49</v>
      </c>
      <c r="F3562">
        <v>3</v>
      </c>
      <c r="G3562">
        <v>0.29253390714658323</v>
      </c>
      <c r="H3562" t="s">
        <v>89</v>
      </c>
      <c r="I3562">
        <v>0</v>
      </c>
      <c r="J3562">
        <v>0</v>
      </c>
      <c r="K3562">
        <v>0</v>
      </c>
    </row>
    <row r="3563" spans="1:11" x14ac:dyDescent="0.2">
      <c r="A3563" t="s">
        <v>16</v>
      </c>
      <c r="B3563" t="s">
        <v>236</v>
      </c>
      <c r="C3563">
        <v>170</v>
      </c>
      <c r="D3563" t="s">
        <v>8051</v>
      </c>
      <c r="E3563" t="s">
        <v>49</v>
      </c>
      <c r="F3563">
        <v>3</v>
      </c>
      <c r="G3563">
        <v>0.19502260476438882</v>
      </c>
      <c r="H3563" t="s">
        <v>90</v>
      </c>
      <c r="I3563">
        <v>0</v>
      </c>
      <c r="J3563">
        <v>0</v>
      </c>
      <c r="K3563">
        <v>0</v>
      </c>
    </row>
    <row r="3564" spans="1:11" x14ac:dyDescent="0.2">
      <c r="A3564" t="s">
        <v>16</v>
      </c>
      <c r="B3564" t="s">
        <v>236</v>
      </c>
      <c r="C3564">
        <v>170</v>
      </c>
      <c r="D3564" t="s">
        <v>8041</v>
      </c>
      <c r="E3564" t="s">
        <v>49</v>
      </c>
      <c r="F3564">
        <v>3</v>
      </c>
      <c r="G3564">
        <v>0.19502260476438882</v>
      </c>
      <c r="H3564" t="s">
        <v>91</v>
      </c>
      <c r="I3564">
        <v>0</v>
      </c>
      <c r="J3564">
        <v>0</v>
      </c>
      <c r="K3564">
        <v>0</v>
      </c>
    </row>
    <row r="3565" spans="1:11" x14ac:dyDescent="0.2">
      <c r="A3565" t="s">
        <v>16</v>
      </c>
      <c r="B3565" t="s">
        <v>236</v>
      </c>
      <c r="C3565">
        <v>255</v>
      </c>
      <c r="D3565" t="s">
        <v>8055</v>
      </c>
      <c r="E3565" t="s">
        <v>49</v>
      </c>
      <c r="F3565">
        <v>3</v>
      </c>
      <c r="G3565">
        <v>0.29253390714658323</v>
      </c>
      <c r="H3565" t="s">
        <v>89</v>
      </c>
      <c r="I3565">
        <v>0</v>
      </c>
      <c r="J3565">
        <v>0</v>
      </c>
      <c r="K3565">
        <v>0</v>
      </c>
    </row>
    <row r="3566" spans="1:11" x14ac:dyDescent="0.2">
      <c r="A3566" t="s">
        <v>16</v>
      </c>
      <c r="B3566" t="s">
        <v>236</v>
      </c>
      <c r="C3566">
        <v>255</v>
      </c>
      <c r="D3566" t="s">
        <v>8056</v>
      </c>
      <c r="E3566" t="s">
        <v>49</v>
      </c>
      <c r="F3566">
        <v>3</v>
      </c>
      <c r="G3566">
        <v>0.29253390714658323</v>
      </c>
      <c r="H3566" t="s">
        <v>90</v>
      </c>
      <c r="I3566">
        <v>0</v>
      </c>
      <c r="J3566">
        <v>0</v>
      </c>
      <c r="K3566">
        <v>0</v>
      </c>
    </row>
    <row r="3567" spans="1:11" x14ac:dyDescent="0.2">
      <c r="A3567" t="s">
        <v>16</v>
      </c>
      <c r="B3567" t="s">
        <v>236</v>
      </c>
      <c r="C3567">
        <v>170</v>
      </c>
      <c r="D3567" t="s">
        <v>8042</v>
      </c>
      <c r="E3567" t="s">
        <v>49</v>
      </c>
      <c r="F3567">
        <v>3</v>
      </c>
      <c r="G3567">
        <v>0.19502260476438882</v>
      </c>
      <c r="H3567" t="s">
        <v>91</v>
      </c>
      <c r="I3567">
        <v>0</v>
      </c>
      <c r="J3567">
        <v>0</v>
      </c>
      <c r="K3567">
        <v>0</v>
      </c>
    </row>
    <row r="3568" spans="1:11" x14ac:dyDescent="0.2">
      <c r="A3568" t="s">
        <v>16</v>
      </c>
      <c r="B3568" t="s">
        <v>236</v>
      </c>
      <c r="C3568">
        <v>255</v>
      </c>
      <c r="D3568" t="s">
        <v>8054</v>
      </c>
      <c r="E3568" t="s">
        <v>49</v>
      </c>
      <c r="F3568">
        <v>3</v>
      </c>
      <c r="G3568">
        <v>0.29253390714658323</v>
      </c>
      <c r="H3568" t="s">
        <v>89</v>
      </c>
      <c r="I3568">
        <v>0</v>
      </c>
      <c r="J3568">
        <v>0</v>
      </c>
      <c r="K3568">
        <v>0</v>
      </c>
    </row>
    <row r="3569" spans="1:11" x14ac:dyDescent="0.2">
      <c r="A3569" t="s">
        <v>16</v>
      </c>
      <c r="B3569" t="s">
        <v>236</v>
      </c>
      <c r="C3569">
        <v>255</v>
      </c>
      <c r="D3569" t="s">
        <v>8045</v>
      </c>
      <c r="E3569" t="s">
        <v>49</v>
      </c>
      <c r="F3569">
        <v>3</v>
      </c>
      <c r="G3569">
        <v>0.29253390714658323</v>
      </c>
      <c r="H3569" t="s">
        <v>91</v>
      </c>
      <c r="I3569">
        <v>0</v>
      </c>
      <c r="J3569">
        <v>0</v>
      </c>
      <c r="K3569">
        <v>0</v>
      </c>
    </row>
    <row r="3570" spans="1:11" x14ac:dyDescent="0.2">
      <c r="A3570" t="s">
        <v>16</v>
      </c>
      <c r="B3570" t="s">
        <v>236</v>
      </c>
      <c r="C3570">
        <v>255</v>
      </c>
      <c r="D3570" t="s">
        <v>8044</v>
      </c>
      <c r="E3570" t="s">
        <v>49</v>
      </c>
      <c r="F3570">
        <v>3</v>
      </c>
      <c r="G3570">
        <v>0.29253390714658323</v>
      </c>
      <c r="H3570" t="s">
        <v>90</v>
      </c>
      <c r="I3570">
        <v>0</v>
      </c>
      <c r="J3570">
        <v>0</v>
      </c>
      <c r="K3570">
        <v>0</v>
      </c>
    </row>
    <row r="3571" spans="1:11" x14ac:dyDescent="0.2">
      <c r="A3571" t="s">
        <v>16</v>
      </c>
      <c r="B3571" t="s">
        <v>236</v>
      </c>
      <c r="C3571">
        <v>85</v>
      </c>
      <c r="D3571" t="s">
        <v>8046</v>
      </c>
      <c r="E3571" t="s">
        <v>49</v>
      </c>
      <c r="F3571">
        <v>3</v>
      </c>
      <c r="G3571">
        <v>9.7511302382194409E-2</v>
      </c>
      <c r="H3571" t="s">
        <v>89</v>
      </c>
      <c r="I3571">
        <v>0</v>
      </c>
      <c r="J3571">
        <v>0</v>
      </c>
      <c r="K3571">
        <v>0</v>
      </c>
    </row>
    <row r="3572" spans="1:11" x14ac:dyDescent="0.2">
      <c r="A3572" t="s">
        <v>16</v>
      </c>
      <c r="B3572" t="s">
        <v>236</v>
      </c>
      <c r="C3572">
        <v>255</v>
      </c>
      <c r="D3572" t="s">
        <v>8048</v>
      </c>
      <c r="E3572" t="s">
        <v>49</v>
      </c>
      <c r="F3572">
        <v>3</v>
      </c>
      <c r="G3572">
        <v>0.29253390714658323</v>
      </c>
      <c r="H3572" t="s">
        <v>91</v>
      </c>
      <c r="I3572">
        <v>0</v>
      </c>
      <c r="J3572">
        <v>0</v>
      </c>
      <c r="K3572">
        <v>0</v>
      </c>
    </row>
    <row r="3573" spans="1:11" x14ac:dyDescent="0.2">
      <c r="A3573" t="s">
        <v>16</v>
      </c>
      <c r="B3573" t="s">
        <v>236</v>
      </c>
      <c r="C3573">
        <v>255</v>
      </c>
      <c r="D3573" t="s">
        <v>8047</v>
      </c>
      <c r="E3573" t="s">
        <v>49</v>
      </c>
      <c r="F3573">
        <v>3</v>
      </c>
      <c r="G3573">
        <v>0.29253390714658323</v>
      </c>
      <c r="H3573" t="s">
        <v>89</v>
      </c>
      <c r="I3573">
        <v>0</v>
      </c>
      <c r="J3573">
        <v>0</v>
      </c>
      <c r="K3573">
        <v>0</v>
      </c>
    </row>
    <row r="3574" spans="1:11" x14ac:dyDescent="0.2">
      <c r="A3574" t="s">
        <v>16</v>
      </c>
      <c r="B3574" t="s">
        <v>236</v>
      </c>
      <c r="C3574">
        <v>255</v>
      </c>
      <c r="D3574" t="s">
        <v>8040</v>
      </c>
      <c r="E3574" t="s">
        <v>49</v>
      </c>
      <c r="F3574">
        <v>3</v>
      </c>
      <c r="G3574">
        <v>0.29253390714658323</v>
      </c>
      <c r="H3574" t="s">
        <v>90</v>
      </c>
      <c r="I3574">
        <v>0</v>
      </c>
      <c r="J3574">
        <v>0</v>
      </c>
      <c r="K3574">
        <v>0</v>
      </c>
    </row>
    <row r="3575" spans="1:11" x14ac:dyDescent="0.2">
      <c r="A3575" t="s">
        <v>16</v>
      </c>
      <c r="B3575" t="s">
        <v>236</v>
      </c>
      <c r="C3575">
        <v>255</v>
      </c>
      <c r="D3575" t="s">
        <v>8043</v>
      </c>
      <c r="E3575" t="s">
        <v>49</v>
      </c>
      <c r="F3575">
        <v>3</v>
      </c>
      <c r="G3575">
        <v>0.29253390714658323</v>
      </c>
      <c r="H3575" t="s">
        <v>91</v>
      </c>
      <c r="I3575">
        <v>0</v>
      </c>
      <c r="J3575">
        <v>0</v>
      </c>
      <c r="K3575">
        <v>0</v>
      </c>
    </row>
    <row r="3576" spans="1:11" x14ac:dyDescent="0.2">
      <c r="A3576" t="s">
        <v>16</v>
      </c>
      <c r="B3576" t="s">
        <v>236</v>
      </c>
      <c r="C3576">
        <v>255</v>
      </c>
      <c r="D3576" t="s">
        <v>8052</v>
      </c>
      <c r="E3576" t="s">
        <v>49</v>
      </c>
      <c r="F3576">
        <v>3</v>
      </c>
      <c r="G3576">
        <v>0.29253390714658323</v>
      </c>
      <c r="H3576" t="s">
        <v>89</v>
      </c>
      <c r="I3576">
        <v>0</v>
      </c>
      <c r="J3576">
        <v>0</v>
      </c>
      <c r="K3576">
        <v>0</v>
      </c>
    </row>
    <row r="3577" spans="1:11" x14ac:dyDescent="0.2">
      <c r="A3577" t="s">
        <v>16</v>
      </c>
      <c r="B3577" t="s">
        <v>236</v>
      </c>
      <c r="C3577">
        <v>255</v>
      </c>
      <c r="D3577" t="s">
        <v>8049</v>
      </c>
      <c r="E3577" t="s">
        <v>49</v>
      </c>
      <c r="F3577">
        <v>3</v>
      </c>
      <c r="G3577">
        <v>0.29253390714658323</v>
      </c>
      <c r="H3577" t="s">
        <v>90</v>
      </c>
      <c r="I3577">
        <v>0</v>
      </c>
      <c r="J3577">
        <v>0</v>
      </c>
      <c r="K3577">
        <v>0</v>
      </c>
    </row>
    <row r="3578" spans="1:11" x14ac:dyDescent="0.2">
      <c r="A3578" t="s">
        <v>16</v>
      </c>
      <c r="B3578" t="s">
        <v>4684</v>
      </c>
      <c r="C3578">
        <v>300</v>
      </c>
      <c r="D3578" t="s">
        <v>8076</v>
      </c>
      <c r="E3578" t="s">
        <v>49</v>
      </c>
      <c r="F3578">
        <v>6</v>
      </c>
      <c r="G3578">
        <v>0.3962353254760167</v>
      </c>
      <c r="H3578" t="s">
        <v>99</v>
      </c>
      <c r="I3578">
        <v>0</v>
      </c>
      <c r="J3578">
        <v>0</v>
      </c>
      <c r="K3578">
        <v>0</v>
      </c>
    </row>
    <row r="3579" spans="1:11" x14ac:dyDescent="0.2">
      <c r="A3579" t="s">
        <v>16</v>
      </c>
      <c r="B3579" t="s">
        <v>4684</v>
      </c>
      <c r="C3579">
        <v>300</v>
      </c>
      <c r="D3579" t="s">
        <v>8069</v>
      </c>
      <c r="E3579" t="s">
        <v>49</v>
      </c>
      <c r="F3579">
        <v>6</v>
      </c>
      <c r="G3579">
        <v>0.3962353254760167</v>
      </c>
      <c r="H3579" t="s">
        <v>98</v>
      </c>
      <c r="I3579">
        <v>0</v>
      </c>
      <c r="J3579">
        <v>0</v>
      </c>
      <c r="K3579">
        <v>0</v>
      </c>
    </row>
    <row r="3580" spans="1:11" x14ac:dyDescent="0.2">
      <c r="A3580" t="s">
        <v>16</v>
      </c>
      <c r="B3580" t="s">
        <v>4684</v>
      </c>
      <c r="C3580">
        <v>300</v>
      </c>
      <c r="D3580" t="s">
        <v>8091</v>
      </c>
      <c r="E3580" t="s">
        <v>49</v>
      </c>
      <c r="F3580">
        <v>6</v>
      </c>
      <c r="G3580">
        <v>0.3962353254760167</v>
      </c>
      <c r="H3580" t="s">
        <v>88</v>
      </c>
      <c r="I3580">
        <v>0</v>
      </c>
      <c r="J3580">
        <v>0</v>
      </c>
      <c r="K3580">
        <v>0</v>
      </c>
    </row>
    <row r="3581" spans="1:11" x14ac:dyDescent="0.2">
      <c r="A3581" t="s">
        <v>16</v>
      </c>
      <c r="B3581" t="s">
        <v>4684</v>
      </c>
      <c r="C3581">
        <v>300</v>
      </c>
      <c r="D3581" t="s">
        <v>8064</v>
      </c>
      <c r="E3581" t="s">
        <v>49</v>
      </c>
      <c r="F3581">
        <v>6</v>
      </c>
      <c r="G3581">
        <v>0.3962353254760167</v>
      </c>
      <c r="H3581" t="s">
        <v>94</v>
      </c>
      <c r="I3581">
        <v>0</v>
      </c>
      <c r="J3581">
        <v>0</v>
      </c>
      <c r="K3581">
        <v>0</v>
      </c>
    </row>
    <row r="3582" spans="1:11" x14ac:dyDescent="0.2">
      <c r="A3582" t="s">
        <v>16</v>
      </c>
      <c r="B3582" t="s">
        <v>4684</v>
      </c>
      <c r="C3582">
        <v>300</v>
      </c>
      <c r="D3582" t="s">
        <v>8073</v>
      </c>
      <c r="E3582" t="s">
        <v>49</v>
      </c>
      <c r="F3582">
        <v>6</v>
      </c>
      <c r="G3582">
        <v>0.3962353254760167</v>
      </c>
      <c r="H3582" t="s">
        <v>97</v>
      </c>
      <c r="I3582">
        <v>0</v>
      </c>
      <c r="J3582">
        <v>0</v>
      </c>
      <c r="K3582">
        <v>0</v>
      </c>
    </row>
    <row r="3583" spans="1:11" x14ac:dyDescent="0.2">
      <c r="A3583" t="s">
        <v>16</v>
      </c>
      <c r="B3583" t="s">
        <v>4684</v>
      </c>
      <c r="C3583">
        <v>300</v>
      </c>
      <c r="D3583" t="s">
        <v>8085</v>
      </c>
      <c r="E3583" t="s">
        <v>49</v>
      </c>
      <c r="F3583">
        <v>6</v>
      </c>
      <c r="G3583">
        <v>0.3962353254760167</v>
      </c>
      <c r="H3583" t="s">
        <v>92</v>
      </c>
      <c r="I3583">
        <v>0</v>
      </c>
      <c r="J3583">
        <v>0</v>
      </c>
      <c r="K3583">
        <v>0</v>
      </c>
    </row>
    <row r="3584" spans="1:11" x14ac:dyDescent="0.2">
      <c r="A3584" t="s">
        <v>16</v>
      </c>
      <c r="B3584" t="s">
        <v>4684</v>
      </c>
      <c r="C3584">
        <v>300</v>
      </c>
      <c r="D3584" t="s">
        <v>8092</v>
      </c>
      <c r="E3584" t="s">
        <v>49</v>
      </c>
      <c r="F3584">
        <v>6</v>
      </c>
      <c r="G3584">
        <v>0.3962353254760167</v>
      </c>
      <c r="H3584" t="s">
        <v>99</v>
      </c>
      <c r="I3584">
        <v>0</v>
      </c>
      <c r="J3584">
        <v>0</v>
      </c>
      <c r="K3584">
        <v>0</v>
      </c>
    </row>
    <row r="3585" spans="1:11" x14ac:dyDescent="0.2">
      <c r="A3585" t="s">
        <v>16</v>
      </c>
      <c r="B3585" t="s">
        <v>4684</v>
      </c>
      <c r="C3585">
        <v>300</v>
      </c>
      <c r="D3585" t="s">
        <v>8086</v>
      </c>
      <c r="E3585" t="s">
        <v>49</v>
      </c>
      <c r="F3585">
        <v>6</v>
      </c>
      <c r="G3585">
        <v>0.3962353254760167</v>
      </c>
      <c r="H3585" t="s">
        <v>98</v>
      </c>
      <c r="I3585">
        <v>0</v>
      </c>
      <c r="J3585">
        <v>0</v>
      </c>
      <c r="K3585">
        <v>0</v>
      </c>
    </row>
    <row r="3586" spans="1:11" x14ac:dyDescent="0.2">
      <c r="A3586" t="s">
        <v>16</v>
      </c>
      <c r="B3586" t="s">
        <v>4684</v>
      </c>
      <c r="C3586">
        <v>300</v>
      </c>
      <c r="D3586" t="s">
        <v>8080</v>
      </c>
      <c r="E3586" t="s">
        <v>49</v>
      </c>
      <c r="F3586">
        <v>6</v>
      </c>
      <c r="G3586">
        <v>0.3962353254760167</v>
      </c>
      <c r="H3586" t="s">
        <v>88</v>
      </c>
      <c r="I3586">
        <v>0</v>
      </c>
      <c r="J3586">
        <v>0</v>
      </c>
      <c r="K3586">
        <v>0</v>
      </c>
    </row>
    <row r="3587" spans="1:11" x14ac:dyDescent="0.2">
      <c r="A3587" t="s">
        <v>16</v>
      </c>
      <c r="B3587" t="s">
        <v>4684</v>
      </c>
      <c r="C3587">
        <v>300</v>
      </c>
      <c r="D3587" t="s">
        <v>8077</v>
      </c>
      <c r="E3587" t="s">
        <v>49</v>
      </c>
      <c r="F3587">
        <v>6</v>
      </c>
      <c r="G3587">
        <v>0.3962353254760167</v>
      </c>
      <c r="H3587" t="s">
        <v>94</v>
      </c>
      <c r="I3587">
        <v>0</v>
      </c>
      <c r="J3587">
        <v>0</v>
      </c>
      <c r="K3587">
        <v>0</v>
      </c>
    </row>
    <row r="3588" spans="1:11" x14ac:dyDescent="0.2">
      <c r="A3588" t="s">
        <v>16</v>
      </c>
      <c r="B3588" t="s">
        <v>4684</v>
      </c>
      <c r="C3588">
        <v>300</v>
      </c>
      <c r="D3588" t="s">
        <v>8058</v>
      </c>
      <c r="E3588" t="s">
        <v>49</v>
      </c>
      <c r="F3588">
        <v>6</v>
      </c>
      <c r="G3588">
        <v>0.3962353254760167</v>
      </c>
      <c r="H3588" t="s">
        <v>97</v>
      </c>
      <c r="I3588">
        <v>0</v>
      </c>
      <c r="J3588">
        <v>0</v>
      </c>
      <c r="K3588">
        <v>0</v>
      </c>
    </row>
    <row r="3589" spans="1:11" x14ac:dyDescent="0.2">
      <c r="A3589" t="s">
        <v>16</v>
      </c>
      <c r="B3589" t="s">
        <v>4684</v>
      </c>
      <c r="C3589">
        <v>300</v>
      </c>
      <c r="D3589" t="s">
        <v>8094</v>
      </c>
      <c r="E3589" t="s">
        <v>49</v>
      </c>
      <c r="F3589">
        <v>6</v>
      </c>
      <c r="G3589">
        <v>0.3962353254760167</v>
      </c>
      <c r="H3589" t="s">
        <v>92</v>
      </c>
      <c r="I3589">
        <v>0</v>
      </c>
      <c r="J3589">
        <v>0</v>
      </c>
      <c r="K3589">
        <v>0</v>
      </c>
    </row>
    <row r="3590" spans="1:11" x14ac:dyDescent="0.2">
      <c r="A3590" t="s">
        <v>16</v>
      </c>
      <c r="B3590" t="s">
        <v>4684</v>
      </c>
      <c r="C3590">
        <v>300</v>
      </c>
      <c r="D3590" t="s">
        <v>8067</v>
      </c>
      <c r="E3590" t="s">
        <v>49</v>
      </c>
      <c r="F3590">
        <v>6</v>
      </c>
      <c r="G3590">
        <v>0.3962353254760167</v>
      </c>
      <c r="H3590" t="s">
        <v>99</v>
      </c>
      <c r="I3590">
        <v>0</v>
      </c>
      <c r="J3590">
        <v>0</v>
      </c>
      <c r="K3590">
        <v>0</v>
      </c>
    </row>
    <row r="3591" spans="1:11" x14ac:dyDescent="0.2">
      <c r="A3591" t="s">
        <v>16</v>
      </c>
      <c r="B3591" t="s">
        <v>4684</v>
      </c>
      <c r="C3591">
        <v>300</v>
      </c>
      <c r="D3591" t="s">
        <v>8079</v>
      </c>
      <c r="E3591" t="s">
        <v>49</v>
      </c>
      <c r="F3591">
        <v>6</v>
      </c>
      <c r="G3591">
        <v>0.3962353254760167</v>
      </c>
      <c r="H3591" t="s">
        <v>98</v>
      </c>
      <c r="I3591">
        <v>0</v>
      </c>
      <c r="J3591">
        <v>0</v>
      </c>
      <c r="K3591">
        <v>0</v>
      </c>
    </row>
    <row r="3592" spans="1:11" x14ac:dyDescent="0.2">
      <c r="A3592" t="s">
        <v>16</v>
      </c>
      <c r="B3592" t="s">
        <v>4684</v>
      </c>
      <c r="C3592">
        <v>300</v>
      </c>
      <c r="D3592" t="s">
        <v>8071</v>
      </c>
      <c r="E3592" t="s">
        <v>49</v>
      </c>
      <c r="F3592">
        <v>6</v>
      </c>
      <c r="G3592">
        <v>0.3962353254760167</v>
      </c>
      <c r="H3592" t="s">
        <v>88</v>
      </c>
      <c r="I3592">
        <v>0</v>
      </c>
      <c r="J3592">
        <v>0</v>
      </c>
      <c r="K3592">
        <v>0</v>
      </c>
    </row>
    <row r="3593" spans="1:11" x14ac:dyDescent="0.2">
      <c r="A3593" t="s">
        <v>16</v>
      </c>
      <c r="B3593" t="s">
        <v>4684</v>
      </c>
      <c r="C3593">
        <v>300</v>
      </c>
      <c r="D3593" t="s">
        <v>8078</v>
      </c>
      <c r="E3593" t="s">
        <v>49</v>
      </c>
      <c r="F3593">
        <v>6</v>
      </c>
      <c r="G3593">
        <v>0.3962353254760167</v>
      </c>
      <c r="H3593" t="s">
        <v>94</v>
      </c>
      <c r="I3593">
        <v>0</v>
      </c>
      <c r="J3593">
        <v>0</v>
      </c>
      <c r="K3593">
        <v>0</v>
      </c>
    </row>
    <row r="3594" spans="1:11" x14ac:dyDescent="0.2">
      <c r="A3594" t="s">
        <v>16</v>
      </c>
      <c r="B3594" t="s">
        <v>4684</v>
      </c>
      <c r="C3594">
        <v>300</v>
      </c>
      <c r="D3594" t="s">
        <v>8075</v>
      </c>
      <c r="E3594" t="s">
        <v>49</v>
      </c>
      <c r="F3594">
        <v>6</v>
      </c>
      <c r="G3594">
        <v>0.3962353254760167</v>
      </c>
      <c r="H3594" t="s">
        <v>97</v>
      </c>
      <c r="I3594">
        <v>0</v>
      </c>
      <c r="J3594">
        <v>0</v>
      </c>
      <c r="K3594">
        <v>0</v>
      </c>
    </row>
    <row r="3595" spans="1:11" x14ac:dyDescent="0.2">
      <c r="A3595" t="s">
        <v>16</v>
      </c>
      <c r="B3595" t="s">
        <v>4684</v>
      </c>
      <c r="C3595">
        <v>300</v>
      </c>
      <c r="D3595" t="s">
        <v>8096</v>
      </c>
      <c r="E3595" t="s">
        <v>49</v>
      </c>
      <c r="F3595">
        <v>6</v>
      </c>
      <c r="G3595">
        <v>0.3962353254760167</v>
      </c>
      <c r="H3595" t="s">
        <v>92</v>
      </c>
      <c r="I3595">
        <v>0</v>
      </c>
      <c r="J3595">
        <v>0</v>
      </c>
      <c r="K3595">
        <v>0</v>
      </c>
    </row>
    <row r="3596" spans="1:11" x14ac:dyDescent="0.2">
      <c r="A3596" t="s">
        <v>16</v>
      </c>
      <c r="B3596" t="s">
        <v>4684</v>
      </c>
      <c r="C3596">
        <v>300</v>
      </c>
      <c r="D3596" t="s">
        <v>8089</v>
      </c>
      <c r="E3596" t="s">
        <v>49</v>
      </c>
      <c r="F3596">
        <v>6</v>
      </c>
      <c r="G3596">
        <v>0.3962353254760167</v>
      </c>
      <c r="H3596" t="s">
        <v>99</v>
      </c>
      <c r="I3596">
        <v>0</v>
      </c>
      <c r="J3596">
        <v>0</v>
      </c>
      <c r="K3596">
        <v>0</v>
      </c>
    </row>
    <row r="3597" spans="1:11" x14ac:dyDescent="0.2">
      <c r="A3597" t="s">
        <v>16</v>
      </c>
      <c r="B3597" t="s">
        <v>4684</v>
      </c>
      <c r="C3597">
        <v>200</v>
      </c>
      <c r="D3597" t="s">
        <v>8093</v>
      </c>
      <c r="E3597" t="s">
        <v>49</v>
      </c>
      <c r="F3597">
        <v>6</v>
      </c>
      <c r="G3597">
        <v>0.2641568836506778</v>
      </c>
      <c r="H3597" t="s">
        <v>98</v>
      </c>
      <c r="I3597">
        <v>0</v>
      </c>
      <c r="J3597">
        <v>0</v>
      </c>
      <c r="K3597">
        <v>0</v>
      </c>
    </row>
    <row r="3598" spans="1:11" x14ac:dyDescent="0.2">
      <c r="A3598" t="s">
        <v>16</v>
      </c>
      <c r="B3598" t="s">
        <v>4684</v>
      </c>
      <c r="C3598">
        <v>300</v>
      </c>
      <c r="D3598" t="s">
        <v>8084</v>
      </c>
      <c r="E3598" t="s">
        <v>49</v>
      </c>
      <c r="F3598">
        <v>6</v>
      </c>
      <c r="G3598">
        <v>0.3962353254760167</v>
      </c>
      <c r="H3598" t="s">
        <v>88</v>
      </c>
      <c r="I3598">
        <v>0</v>
      </c>
      <c r="J3598">
        <v>0</v>
      </c>
      <c r="K3598">
        <v>0</v>
      </c>
    </row>
    <row r="3599" spans="1:11" x14ac:dyDescent="0.2">
      <c r="A3599" t="s">
        <v>16</v>
      </c>
      <c r="B3599" t="s">
        <v>4684</v>
      </c>
      <c r="C3599">
        <v>300</v>
      </c>
      <c r="D3599" t="s">
        <v>8066</v>
      </c>
      <c r="E3599" t="s">
        <v>49</v>
      </c>
      <c r="F3599">
        <v>6</v>
      </c>
      <c r="G3599">
        <v>0.3962353254760167</v>
      </c>
      <c r="H3599" t="s">
        <v>94</v>
      </c>
      <c r="I3599">
        <v>0</v>
      </c>
      <c r="J3599">
        <v>0</v>
      </c>
      <c r="K3599">
        <v>0</v>
      </c>
    </row>
    <row r="3600" spans="1:11" x14ac:dyDescent="0.2">
      <c r="A3600" t="s">
        <v>16</v>
      </c>
      <c r="B3600" t="s">
        <v>4684</v>
      </c>
      <c r="C3600">
        <v>300</v>
      </c>
      <c r="D3600" t="s">
        <v>8090</v>
      </c>
      <c r="E3600" t="s">
        <v>49</v>
      </c>
      <c r="F3600">
        <v>6</v>
      </c>
      <c r="G3600">
        <v>0.3962353254760167</v>
      </c>
      <c r="H3600" t="s">
        <v>97</v>
      </c>
      <c r="I3600">
        <v>0</v>
      </c>
      <c r="J3600">
        <v>0</v>
      </c>
      <c r="K3600">
        <v>0</v>
      </c>
    </row>
    <row r="3601" spans="1:11" x14ac:dyDescent="0.2">
      <c r="A3601" t="s">
        <v>16</v>
      </c>
      <c r="B3601" t="s">
        <v>4684</v>
      </c>
      <c r="C3601">
        <v>300</v>
      </c>
      <c r="D3601" t="s">
        <v>8095</v>
      </c>
      <c r="E3601" t="s">
        <v>49</v>
      </c>
      <c r="F3601">
        <v>6</v>
      </c>
      <c r="G3601">
        <v>0.3962353254760167</v>
      </c>
      <c r="H3601" t="s">
        <v>98</v>
      </c>
      <c r="I3601">
        <v>0</v>
      </c>
      <c r="J3601">
        <v>0</v>
      </c>
      <c r="K3601">
        <v>0</v>
      </c>
    </row>
    <row r="3602" spans="1:11" x14ac:dyDescent="0.2">
      <c r="A3602" t="s">
        <v>16</v>
      </c>
      <c r="B3602" t="s">
        <v>4684</v>
      </c>
      <c r="C3602">
        <v>300</v>
      </c>
      <c r="D3602" t="s">
        <v>8074</v>
      </c>
      <c r="E3602" t="s">
        <v>49</v>
      </c>
      <c r="F3602">
        <v>6</v>
      </c>
      <c r="G3602">
        <v>0.3962353254760167</v>
      </c>
      <c r="H3602" t="s">
        <v>92</v>
      </c>
      <c r="I3602">
        <v>0</v>
      </c>
      <c r="J3602">
        <v>0</v>
      </c>
      <c r="K3602">
        <v>0</v>
      </c>
    </row>
    <row r="3603" spans="1:11" x14ac:dyDescent="0.2">
      <c r="A3603" t="s">
        <v>16</v>
      </c>
      <c r="B3603" t="s">
        <v>4684</v>
      </c>
      <c r="C3603">
        <v>300</v>
      </c>
      <c r="D3603" t="s">
        <v>8065</v>
      </c>
      <c r="E3603" t="s">
        <v>49</v>
      </c>
      <c r="F3603">
        <v>6</v>
      </c>
      <c r="G3603">
        <v>0.3962353254760167</v>
      </c>
      <c r="H3603" t="s">
        <v>99</v>
      </c>
      <c r="I3603">
        <v>0</v>
      </c>
      <c r="J3603">
        <v>0</v>
      </c>
      <c r="K3603">
        <v>0</v>
      </c>
    </row>
    <row r="3604" spans="1:11" x14ac:dyDescent="0.2">
      <c r="A3604" t="s">
        <v>16</v>
      </c>
      <c r="B3604" t="s">
        <v>4684</v>
      </c>
      <c r="C3604">
        <v>300</v>
      </c>
      <c r="D3604" t="s">
        <v>8070</v>
      </c>
      <c r="E3604" t="s">
        <v>49</v>
      </c>
      <c r="F3604">
        <v>6</v>
      </c>
      <c r="G3604">
        <v>0.3962353254760167</v>
      </c>
      <c r="H3604" t="s">
        <v>88</v>
      </c>
      <c r="I3604">
        <v>0</v>
      </c>
      <c r="J3604">
        <v>0</v>
      </c>
      <c r="K3604">
        <v>0</v>
      </c>
    </row>
    <row r="3605" spans="1:11" x14ac:dyDescent="0.2">
      <c r="A3605" t="s">
        <v>16</v>
      </c>
      <c r="B3605" t="s">
        <v>4684</v>
      </c>
      <c r="C3605">
        <v>300</v>
      </c>
      <c r="D3605" t="s">
        <v>8072</v>
      </c>
      <c r="E3605" t="s">
        <v>49</v>
      </c>
      <c r="F3605">
        <v>6</v>
      </c>
      <c r="G3605">
        <v>0.3962353254760167</v>
      </c>
      <c r="H3605" t="s">
        <v>94</v>
      </c>
      <c r="I3605">
        <v>0</v>
      </c>
      <c r="J3605">
        <v>0</v>
      </c>
      <c r="K3605">
        <v>0</v>
      </c>
    </row>
    <row r="3606" spans="1:11" x14ac:dyDescent="0.2">
      <c r="A3606" t="s">
        <v>16</v>
      </c>
      <c r="B3606" t="s">
        <v>4684</v>
      </c>
      <c r="C3606">
        <v>300</v>
      </c>
      <c r="D3606" t="s">
        <v>8083</v>
      </c>
      <c r="E3606" t="s">
        <v>49</v>
      </c>
      <c r="F3606">
        <v>6</v>
      </c>
      <c r="G3606">
        <v>0.3962353254760167</v>
      </c>
      <c r="H3606" t="s">
        <v>97</v>
      </c>
      <c r="I3606">
        <v>0</v>
      </c>
      <c r="J3606">
        <v>0</v>
      </c>
      <c r="K3606">
        <v>0</v>
      </c>
    </row>
    <row r="3607" spans="1:11" x14ac:dyDescent="0.2">
      <c r="A3607" t="s">
        <v>16</v>
      </c>
      <c r="B3607" t="s">
        <v>4684</v>
      </c>
      <c r="C3607">
        <v>300</v>
      </c>
      <c r="D3607" t="s">
        <v>8060</v>
      </c>
      <c r="E3607" t="s">
        <v>49</v>
      </c>
      <c r="F3607">
        <v>6</v>
      </c>
      <c r="G3607">
        <v>0.3962353254760167</v>
      </c>
      <c r="H3607" t="s">
        <v>98</v>
      </c>
      <c r="I3607">
        <v>0</v>
      </c>
      <c r="J3607">
        <v>0</v>
      </c>
      <c r="K3607">
        <v>0</v>
      </c>
    </row>
    <row r="3608" spans="1:11" x14ac:dyDescent="0.2">
      <c r="A3608" t="s">
        <v>16</v>
      </c>
      <c r="B3608" t="s">
        <v>4684</v>
      </c>
      <c r="C3608">
        <v>200</v>
      </c>
      <c r="D3608" t="s">
        <v>8081</v>
      </c>
      <c r="E3608" t="s">
        <v>49</v>
      </c>
      <c r="F3608">
        <v>6</v>
      </c>
      <c r="G3608">
        <v>0.2641568836506778</v>
      </c>
      <c r="H3608" t="s">
        <v>92</v>
      </c>
      <c r="I3608">
        <v>0</v>
      </c>
      <c r="J3608">
        <v>0</v>
      </c>
      <c r="K3608">
        <v>0</v>
      </c>
    </row>
    <row r="3609" spans="1:11" x14ac:dyDescent="0.2">
      <c r="A3609" t="s">
        <v>16</v>
      </c>
      <c r="B3609" t="s">
        <v>4684</v>
      </c>
      <c r="C3609">
        <v>300</v>
      </c>
      <c r="D3609" t="s">
        <v>8082</v>
      </c>
      <c r="E3609" t="s">
        <v>49</v>
      </c>
      <c r="F3609">
        <v>6</v>
      </c>
      <c r="G3609">
        <v>0.3962353254760167</v>
      </c>
      <c r="H3609" t="s">
        <v>99</v>
      </c>
      <c r="I3609">
        <v>0</v>
      </c>
      <c r="J3609">
        <v>0</v>
      </c>
      <c r="K3609">
        <v>0</v>
      </c>
    </row>
    <row r="3610" spans="1:11" x14ac:dyDescent="0.2">
      <c r="A3610" t="s">
        <v>16</v>
      </c>
      <c r="B3610" t="s">
        <v>4684</v>
      </c>
      <c r="C3610">
        <v>300</v>
      </c>
      <c r="D3610" t="s">
        <v>8059</v>
      </c>
      <c r="E3610" t="s">
        <v>49</v>
      </c>
      <c r="F3610">
        <v>6</v>
      </c>
      <c r="G3610">
        <v>0.3962353254760167</v>
      </c>
      <c r="H3610" t="s">
        <v>88</v>
      </c>
      <c r="I3610">
        <v>0</v>
      </c>
      <c r="J3610">
        <v>0</v>
      </c>
      <c r="K3610">
        <v>0</v>
      </c>
    </row>
    <row r="3611" spans="1:11" x14ac:dyDescent="0.2">
      <c r="A3611" t="s">
        <v>16</v>
      </c>
      <c r="B3611" t="s">
        <v>4684</v>
      </c>
      <c r="C3611">
        <v>300</v>
      </c>
      <c r="D3611" t="s">
        <v>8061</v>
      </c>
      <c r="E3611" t="s">
        <v>49</v>
      </c>
      <c r="F3611">
        <v>6</v>
      </c>
      <c r="G3611">
        <v>0.3962353254760167</v>
      </c>
      <c r="H3611" t="s">
        <v>94</v>
      </c>
      <c r="I3611">
        <v>0</v>
      </c>
      <c r="J3611">
        <v>0</v>
      </c>
      <c r="K3611">
        <v>0</v>
      </c>
    </row>
    <row r="3612" spans="1:11" x14ac:dyDescent="0.2">
      <c r="A3612" t="s">
        <v>16</v>
      </c>
      <c r="B3612" t="s">
        <v>4684</v>
      </c>
      <c r="C3612">
        <v>300</v>
      </c>
      <c r="D3612" t="s">
        <v>8088</v>
      </c>
      <c r="E3612" t="s">
        <v>49</v>
      </c>
      <c r="F3612">
        <v>6</v>
      </c>
      <c r="G3612">
        <v>0.3962353254760167</v>
      </c>
      <c r="H3612" t="s">
        <v>92</v>
      </c>
      <c r="I3612">
        <v>0</v>
      </c>
      <c r="J3612">
        <v>0</v>
      </c>
      <c r="K3612">
        <v>0</v>
      </c>
    </row>
    <row r="3613" spans="1:11" x14ac:dyDescent="0.2">
      <c r="A3613" t="s">
        <v>16</v>
      </c>
      <c r="B3613" t="s">
        <v>4684</v>
      </c>
      <c r="C3613">
        <v>300</v>
      </c>
      <c r="D3613" t="s">
        <v>8062</v>
      </c>
      <c r="E3613" t="s">
        <v>49</v>
      </c>
      <c r="F3613">
        <v>6</v>
      </c>
      <c r="G3613">
        <v>0.3962353254760167</v>
      </c>
      <c r="H3613" t="s">
        <v>97</v>
      </c>
      <c r="I3613">
        <v>0</v>
      </c>
      <c r="J3613">
        <v>0</v>
      </c>
      <c r="K3613">
        <v>0</v>
      </c>
    </row>
    <row r="3614" spans="1:11" x14ac:dyDescent="0.2">
      <c r="A3614" t="s">
        <v>16</v>
      </c>
      <c r="B3614" t="s">
        <v>4684</v>
      </c>
      <c r="C3614">
        <v>300</v>
      </c>
      <c r="D3614" t="s">
        <v>8068</v>
      </c>
      <c r="E3614" t="s">
        <v>49</v>
      </c>
      <c r="F3614">
        <v>6</v>
      </c>
      <c r="G3614">
        <v>0.3962353254760167</v>
      </c>
      <c r="H3614" t="s">
        <v>98</v>
      </c>
      <c r="I3614">
        <v>0</v>
      </c>
      <c r="J3614">
        <v>0</v>
      </c>
      <c r="K3614">
        <v>0</v>
      </c>
    </row>
    <row r="3615" spans="1:11" x14ac:dyDescent="0.2">
      <c r="A3615" t="s">
        <v>16</v>
      </c>
      <c r="B3615" t="s">
        <v>4684</v>
      </c>
      <c r="C3615">
        <v>300</v>
      </c>
      <c r="D3615" t="s">
        <v>8063</v>
      </c>
      <c r="E3615" t="s">
        <v>49</v>
      </c>
      <c r="F3615">
        <v>6</v>
      </c>
      <c r="G3615">
        <v>0.3962353254760167</v>
      </c>
      <c r="H3615" t="s">
        <v>99</v>
      </c>
      <c r="I3615">
        <v>0</v>
      </c>
      <c r="J3615">
        <v>0</v>
      </c>
      <c r="K3615">
        <v>0</v>
      </c>
    </row>
    <row r="3616" spans="1:11" x14ac:dyDescent="0.2">
      <c r="A3616" t="s">
        <v>16</v>
      </c>
      <c r="B3616" t="s">
        <v>4684</v>
      </c>
      <c r="C3616">
        <v>300</v>
      </c>
      <c r="D3616" t="s">
        <v>8087</v>
      </c>
      <c r="E3616" t="s">
        <v>49</v>
      </c>
      <c r="F3616">
        <v>6</v>
      </c>
      <c r="G3616">
        <v>0.3962353254760167</v>
      </c>
      <c r="H3616" t="s">
        <v>88</v>
      </c>
      <c r="I3616">
        <v>0</v>
      </c>
      <c r="J3616">
        <v>0</v>
      </c>
      <c r="K3616">
        <v>0</v>
      </c>
    </row>
    <row r="3617" spans="1:11" x14ac:dyDescent="0.2">
      <c r="A3617" t="s">
        <v>16</v>
      </c>
      <c r="B3617" t="s">
        <v>787</v>
      </c>
      <c r="C3617">
        <v>180</v>
      </c>
      <c r="D3617" t="s">
        <v>8112</v>
      </c>
      <c r="E3617" t="s">
        <v>49</v>
      </c>
      <c r="F3617">
        <v>3</v>
      </c>
      <c r="G3617">
        <v>0.24790126925567132</v>
      </c>
      <c r="H3617" t="s">
        <v>100</v>
      </c>
      <c r="I3617">
        <v>0</v>
      </c>
      <c r="J3617">
        <v>0</v>
      </c>
      <c r="K3617">
        <v>0</v>
      </c>
    </row>
    <row r="3618" spans="1:11" x14ac:dyDescent="0.2">
      <c r="A3618" t="s">
        <v>16</v>
      </c>
      <c r="B3618" t="s">
        <v>787</v>
      </c>
      <c r="C3618">
        <v>180</v>
      </c>
      <c r="D3618" t="s">
        <v>8115</v>
      </c>
      <c r="E3618" t="s">
        <v>49</v>
      </c>
      <c r="F3618">
        <v>3</v>
      </c>
      <c r="G3618">
        <v>0.24790126925567132</v>
      </c>
      <c r="H3618" t="s">
        <v>105</v>
      </c>
      <c r="I3618">
        <v>0</v>
      </c>
      <c r="J3618">
        <v>0</v>
      </c>
      <c r="K3618">
        <v>0</v>
      </c>
    </row>
    <row r="3619" spans="1:11" x14ac:dyDescent="0.2">
      <c r="A3619" t="s">
        <v>16</v>
      </c>
      <c r="B3619" t="s">
        <v>787</v>
      </c>
      <c r="C3619">
        <v>180</v>
      </c>
      <c r="D3619" t="s">
        <v>8111</v>
      </c>
      <c r="E3619" t="s">
        <v>49</v>
      </c>
      <c r="F3619">
        <v>3</v>
      </c>
      <c r="G3619">
        <v>0.24790126925567132</v>
      </c>
      <c r="H3619" t="s">
        <v>95</v>
      </c>
      <c r="I3619">
        <v>0</v>
      </c>
      <c r="J3619">
        <v>0</v>
      </c>
      <c r="K3619">
        <v>0</v>
      </c>
    </row>
    <row r="3620" spans="1:11" x14ac:dyDescent="0.2">
      <c r="A3620" t="s">
        <v>16</v>
      </c>
      <c r="B3620" t="s">
        <v>787</v>
      </c>
      <c r="C3620">
        <v>180</v>
      </c>
      <c r="D3620" t="s">
        <v>8108</v>
      </c>
      <c r="E3620" t="s">
        <v>49</v>
      </c>
      <c r="F3620">
        <v>3</v>
      </c>
      <c r="G3620">
        <v>0.24790126925567132</v>
      </c>
      <c r="H3620" t="s">
        <v>100</v>
      </c>
      <c r="I3620">
        <v>0</v>
      </c>
      <c r="J3620">
        <v>0</v>
      </c>
      <c r="K3620">
        <v>0</v>
      </c>
    </row>
    <row r="3621" spans="1:11" x14ac:dyDescent="0.2">
      <c r="A3621" t="s">
        <v>16</v>
      </c>
      <c r="B3621" t="s">
        <v>787</v>
      </c>
      <c r="C3621">
        <v>180</v>
      </c>
      <c r="D3621" t="s">
        <v>8104</v>
      </c>
      <c r="E3621" t="s">
        <v>49</v>
      </c>
      <c r="F3621">
        <v>3</v>
      </c>
      <c r="G3621">
        <v>0.24790126925567132</v>
      </c>
      <c r="H3621" t="s">
        <v>105</v>
      </c>
      <c r="I3621">
        <v>0</v>
      </c>
      <c r="J3621">
        <v>0</v>
      </c>
      <c r="K3621">
        <v>0</v>
      </c>
    </row>
    <row r="3622" spans="1:11" x14ac:dyDescent="0.2">
      <c r="A3622" t="s">
        <v>16</v>
      </c>
      <c r="B3622" t="s">
        <v>787</v>
      </c>
      <c r="C3622">
        <v>180</v>
      </c>
      <c r="D3622" t="s">
        <v>8116</v>
      </c>
      <c r="E3622" t="s">
        <v>49</v>
      </c>
      <c r="F3622">
        <v>3</v>
      </c>
      <c r="G3622">
        <v>0.24790126925567132</v>
      </c>
      <c r="H3622" t="s">
        <v>95</v>
      </c>
      <c r="I3622">
        <v>0</v>
      </c>
      <c r="J3622">
        <v>0</v>
      </c>
      <c r="K3622">
        <v>0</v>
      </c>
    </row>
    <row r="3623" spans="1:11" x14ac:dyDescent="0.2">
      <c r="A3623" t="s">
        <v>16</v>
      </c>
      <c r="B3623" t="s">
        <v>787</v>
      </c>
      <c r="C3623">
        <v>180</v>
      </c>
      <c r="D3623" t="s">
        <v>8103</v>
      </c>
      <c r="E3623" t="s">
        <v>49</v>
      </c>
      <c r="F3623">
        <v>3</v>
      </c>
      <c r="G3623">
        <v>0.24790126925567132</v>
      </c>
      <c r="H3623" t="s">
        <v>100</v>
      </c>
      <c r="I3623">
        <v>0</v>
      </c>
      <c r="J3623">
        <v>0</v>
      </c>
      <c r="K3623">
        <v>0</v>
      </c>
    </row>
    <row r="3624" spans="1:11" x14ac:dyDescent="0.2">
      <c r="A3624" t="s">
        <v>16</v>
      </c>
      <c r="B3624" t="s">
        <v>787</v>
      </c>
      <c r="C3624">
        <v>180</v>
      </c>
      <c r="D3624" t="s">
        <v>8113</v>
      </c>
      <c r="E3624" t="s">
        <v>49</v>
      </c>
      <c r="F3624">
        <v>3</v>
      </c>
      <c r="G3624">
        <v>0.24790126925567132</v>
      </c>
      <c r="H3624" t="s">
        <v>105</v>
      </c>
      <c r="I3624">
        <v>0</v>
      </c>
      <c r="J3624">
        <v>0</v>
      </c>
      <c r="K3624">
        <v>0</v>
      </c>
    </row>
    <row r="3625" spans="1:11" x14ac:dyDescent="0.2">
      <c r="A3625" t="s">
        <v>16</v>
      </c>
      <c r="B3625" t="s">
        <v>787</v>
      </c>
      <c r="C3625">
        <v>180</v>
      </c>
      <c r="D3625" t="s">
        <v>8105</v>
      </c>
      <c r="E3625" t="s">
        <v>49</v>
      </c>
      <c r="F3625">
        <v>3</v>
      </c>
      <c r="G3625">
        <v>0.24790126925567132</v>
      </c>
      <c r="H3625" t="s">
        <v>95</v>
      </c>
      <c r="I3625">
        <v>0</v>
      </c>
      <c r="J3625">
        <v>0</v>
      </c>
      <c r="K3625">
        <v>0</v>
      </c>
    </row>
    <row r="3626" spans="1:11" x14ac:dyDescent="0.2">
      <c r="A3626" t="s">
        <v>16</v>
      </c>
      <c r="B3626" t="s">
        <v>787</v>
      </c>
      <c r="C3626">
        <v>180</v>
      </c>
      <c r="D3626" t="s">
        <v>8100</v>
      </c>
      <c r="E3626" t="s">
        <v>49</v>
      </c>
      <c r="F3626">
        <v>3</v>
      </c>
      <c r="G3626">
        <v>0.24790126925567132</v>
      </c>
      <c r="H3626" t="s">
        <v>100</v>
      </c>
      <c r="I3626">
        <v>0</v>
      </c>
      <c r="J3626">
        <v>0</v>
      </c>
      <c r="K3626">
        <v>0</v>
      </c>
    </row>
    <row r="3627" spans="1:11" x14ac:dyDescent="0.2">
      <c r="A3627" t="s">
        <v>16</v>
      </c>
      <c r="B3627" t="s">
        <v>787</v>
      </c>
      <c r="C3627">
        <v>180</v>
      </c>
      <c r="D3627" t="s">
        <v>8107</v>
      </c>
      <c r="E3627" t="s">
        <v>49</v>
      </c>
      <c r="F3627">
        <v>3</v>
      </c>
      <c r="G3627">
        <v>0.24790126925567132</v>
      </c>
      <c r="H3627" t="s">
        <v>105</v>
      </c>
      <c r="I3627">
        <v>0</v>
      </c>
      <c r="J3627">
        <v>0</v>
      </c>
      <c r="K3627">
        <v>0</v>
      </c>
    </row>
    <row r="3628" spans="1:11" x14ac:dyDescent="0.2">
      <c r="A3628" t="s">
        <v>16</v>
      </c>
      <c r="B3628" t="s">
        <v>787</v>
      </c>
      <c r="C3628">
        <v>120</v>
      </c>
      <c r="D3628" t="s">
        <v>8110</v>
      </c>
      <c r="E3628" t="s">
        <v>49</v>
      </c>
      <c r="F3628">
        <v>3</v>
      </c>
      <c r="G3628">
        <v>0.16526751283711422</v>
      </c>
      <c r="H3628" t="s">
        <v>95</v>
      </c>
      <c r="I3628">
        <v>0</v>
      </c>
      <c r="J3628">
        <v>0</v>
      </c>
      <c r="K3628">
        <v>0</v>
      </c>
    </row>
    <row r="3629" spans="1:11" x14ac:dyDescent="0.2">
      <c r="A3629" t="s">
        <v>16</v>
      </c>
      <c r="B3629" t="s">
        <v>787</v>
      </c>
      <c r="C3629">
        <v>180</v>
      </c>
      <c r="D3629" t="s">
        <v>8123</v>
      </c>
      <c r="E3629" t="s">
        <v>49</v>
      </c>
      <c r="F3629">
        <v>3</v>
      </c>
      <c r="G3629">
        <v>0.24790126925567132</v>
      </c>
      <c r="H3629" t="s">
        <v>100</v>
      </c>
      <c r="I3629">
        <v>0</v>
      </c>
      <c r="J3629">
        <v>0</v>
      </c>
      <c r="K3629">
        <v>0</v>
      </c>
    </row>
    <row r="3630" spans="1:11" x14ac:dyDescent="0.2">
      <c r="A3630" t="s">
        <v>16</v>
      </c>
      <c r="B3630" t="s">
        <v>787</v>
      </c>
      <c r="C3630">
        <v>180</v>
      </c>
      <c r="D3630" t="s">
        <v>8125</v>
      </c>
      <c r="E3630" t="s">
        <v>49</v>
      </c>
      <c r="F3630">
        <v>3</v>
      </c>
      <c r="G3630">
        <v>0.24790126925567132</v>
      </c>
      <c r="H3630" t="s">
        <v>105</v>
      </c>
      <c r="I3630">
        <v>0</v>
      </c>
      <c r="J3630">
        <v>0</v>
      </c>
      <c r="K3630">
        <v>0</v>
      </c>
    </row>
    <row r="3631" spans="1:11" x14ac:dyDescent="0.2">
      <c r="A3631" t="s">
        <v>16</v>
      </c>
      <c r="B3631" t="s">
        <v>787</v>
      </c>
      <c r="C3631">
        <v>180</v>
      </c>
      <c r="D3631" t="s">
        <v>8130</v>
      </c>
      <c r="E3631" t="s">
        <v>49</v>
      </c>
      <c r="F3631">
        <v>3</v>
      </c>
      <c r="G3631">
        <v>0.24790126925567132</v>
      </c>
      <c r="H3631" t="s">
        <v>95</v>
      </c>
      <c r="I3631">
        <v>0</v>
      </c>
      <c r="J3631">
        <v>0</v>
      </c>
      <c r="K3631">
        <v>0</v>
      </c>
    </row>
    <row r="3632" spans="1:11" x14ac:dyDescent="0.2">
      <c r="A3632" t="s">
        <v>16</v>
      </c>
      <c r="B3632" t="s">
        <v>787</v>
      </c>
      <c r="C3632">
        <v>60</v>
      </c>
      <c r="D3632" t="s">
        <v>8131</v>
      </c>
      <c r="E3632" t="s">
        <v>49</v>
      </c>
      <c r="F3632">
        <v>3</v>
      </c>
      <c r="G3632">
        <v>8.2633756418557108E-2</v>
      </c>
      <c r="H3632" t="s">
        <v>100</v>
      </c>
      <c r="I3632">
        <v>0</v>
      </c>
      <c r="J3632">
        <v>0</v>
      </c>
      <c r="K3632">
        <v>0</v>
      </c>
    </row>
    <row r="3633" spans="1:11" x14ac:dyDescent="0.2">
      <c r="A3633" t="s">
        <v>16</v>
      </c>
      <c r="B3633" t="s">
        <v>787</v>
      </c>
      <c r="C3633">
        <v>180</v>
      </c>
      <c r="D3633" t="s">
        <v>8122</v>
      </c>
      <c r="E3633" t="s">
        <v>49</v>
      </c>
      <c r="F3633">
        <v>3</v>
      </c>
      <c r="G3633">
        <v>0.24790126925567132</v>
      </c>
      <c r="H3633" t="s">
        <v>105</v>
      </c>
      <c r="I3633">
        <v>0</v>
      </c>
      <c r="J3633">
        <v>0</v>
      </c>
      <c r="K3633">
        <v>0</v>
      </c>
    </row>
    <row r="3634" spans="1:11" x14ac:dyDescent="0.2">
      <c r="A3634" t="s">
        <v>16</v>
      </c>
      <c r="B3634" t="s">
        <v>787</v>
      </c>
      <c r="C3634">
        <v>120</v>
      </c>
      <c r="D3634" t="s">
        <v>8126</v>
      </c>
      <c r="E3634" t="s">
        <v>49</v>
      </c>
      <c r="F3634">
        <v>3</v>
      </c>
      <c r="G3634">
        <v>0.16526751283711422</v>
      </c>
      <c r="H3634" t="s">
        <v>95</v>
      </c>
      <c r="I3634">
        <v>0</v>
      </c>
      <c r="J3634">
        <v>0</v>
      </c>
      <c r="K3634">
        <v>0</v>
      </c>
    </row>
    <row r="3635" spans="1:11" x14ac:dyDescent="0.2">
      <c r="A3635" t="s">
        <v>16</v>
      </c>
      <c r="B3635" t="s">
        <v>787</v>
      </c>
      <c r="C3635">
        <v>180</v>
      </c>
      <c r="D3635" t="s">
        <v>8127</v>
      </c>
      <c r="E3635" t="s">
        <v>49</v>
      </c>
      <c r="F3635">
        <v>3</v>
      </c>
      <c r="G3635">
        <v>0.24790126925567132</v>
      </c>
      <c r="H3635" t="s">
        <v>100</v>
      </c>
      <c r="I3635">
        <v>0</v>
      </c>
      <c r="J3635">
        <v>0</v>
      </c>
      <c r="K3635">
        <v>0</v>
      </c>
    </row>
    <row r="3636" spans="1:11" x14ac:dyDescent="0.2">
      <c r="A3636" t="s">
        <v>16</v>
      </c>
      <c r="B3636" t="s">
        <v>787</v>
      </c>
      <c r="C3636">
        <v>180</v>
      </c>
      <c r="D3636" t="s">
        <v>8117</v>
      </c>
      <c r="E3636" t="s">
        <v>49</v>
      </c>
      <c r="F3636">
        <v>3</v>
      </c>
      <c r="G3636">
        <v>0.24790126925567132</v>
      </c>
      <c r="H3636" t="s">
        <v>95</v>
      </c>
      <c r="I3636">
        <v>0</v>
      </c>
      <c r="J3636">
        <v>0</v>
      </c>
      <c r="K3636">
        <v>0</v>
      </c>
    </row>
    <row r="3637" spans="1:11" x14ac:dyDescent="0.2">
      <c r="A3637" t="s">
        <v>16</v>
      </c>
      <c r="B3637" t="s">
        <v>787</v>
      </c>
      <c r="C3637">
        <v>180</v>
      </c>
      <c r="D3637" t="s">
        <v>8101</v>
      </c>
      <c r="E3637" t="s">
        <v>49</v>
      </c>
      <c r="F3637">
        <v>3</v>
      </c>
      <c r="G3637">
        <v>0.24790126925567132</v>
      </c>
      <c r="H3637" t="s">
        <v>105</v>
      </c>
      <c r="I3637">
        <v>0</v>
      </c>
      <c r="J3637">
        <v>0</v>
      </c>
      <c r="K3637">
        <v>0</v>
      </c>
    </row>
    <row r="3638" spans="1:11" x14ac:dyDescent="0.2">
      <c r="A3638" t="s">
        <v>16</v>
      </c>
      <c r="B3638" t="s">
        <v>787</v>
      </c>
      <c r="C3638">
        <v>180</v>
      </c>
      <c r="D3638" t="s">
        <v>8121</v>
      </c>
      <c r="E3638" t="s">
        <v>49</v>
      </c>
      <c r="F3638">
        <v>3</v>
      </c>
      <c r="G3638">
        <v>0.24790126925567132</v>
      </c>
      <c r="H3638" t="s">
        <v>100</v>
      </c>
      <c r="I3638">
        <v>0</v>
      </c>
      <c r="J3638">
        <v>0</v>
      </c>
      <c r="K3638">
        <v>0</v>
      </c>
    </row>
    <row r="3639" spans="1:11" x14ac:dyDescent="0.2">
      <c r="A3639" t="s">
        <v>16</v>
      </c>
      <c r="B3639" t="s">
        <v>787</v>
      </c>
      <c r="C3639">
        <v>180</v>
      </c>
      <c r="D3639" t="s">
        <v>8106</v>
      </c>
      <c r="E3639" t="s">
        <v>49</v>
      </c>
      <c r="F3639">
        <v>3</v>
      </c>
      <c r="G3639">
        <v>0.24790126925567132</v>
      </c>
      <c r="H3639" t="s">
        <v>95</v>
      </c>
      <c r="I3639">
        <v>0</v>
      </c>
      <c r="J3639">
        <v>0</v>
      </c>
      <c r="K3639">
        <v>0</v>
      </c>
    </row>
    <row r="3640" spans="1:11" x14ac:dyDescent="0.2">
      <c r="A3640" t="s">
        <v>16</v>
      </c>
      <c r="B3640" t="s">
        <v>787</v>
      </c>
      <c r="C3640">
        <v>180</v>
      </c>
      <c r="D3640" t="s">
        <v>8114</v>
      </c>
      <c r="E3640" t="s">
        <v>49</v>
      </c>
      <c r="F3640">
        <v>3</v>
      </c>
      <c r="G3640">
        <v>0.24790126925567132</v>
      </c>
      <c r="H3640" t="s">
        <v>105</v>
      </c>
      <c r="I3640">
        <v>0</v>
      </c>
      <c r="J3640">
        <v>0</v>
      </c>
      <c r="K3640">
        <v>0</v>
      </c>
    </row>
    <row r="3641" spans="1:11" x14ac:dyDescent="0.2">
      <c r="A3641" t="s">
        <v>16</v>
      </c>
      <c r="B3641" t="s">
        <v>787</v>
      </c>
      <c r="C3641">
        <v>180</v>
      </c>
      <c r="D3641" t="s">
        <v>8119</v>
      </c>
      <c r="E3641" t="s">
        <v>49</v>
      </c>
      <c r="F3641">
        <v>3</v>
      </c>
      <c r="G3641">
        <v>0.24790126925567132</v>
      </c>
      <c r="H3641" t="s">
        <v>100</v>
      </c>
      <c r="I3641">
        <v>0</v>
      </c>
      <c r="J3641">
        <v>0</v>
      </c>
      <c r="K3641">
        <v>0</v>
      </c>
    </row>
    <row r="3642" spans="1:11" x14ac:dyDescent="0.2">
      <c r="A3642" t="s">
        <v>16</v>
      </c>
      <c r="B3642" t="s">
        <v>787</v>
      </c>
      <c r="C3642">
        <v>180</v>
      </c>
      <c r="D3642" t="s">
        <v>8118</v>
      </c>
      <c r="E3642" t="s">
        <v>49</v>
      </c>
      <c r="F3642">
        <v>3</v>
      </c>
      <c r="G3642">
        <v>0.24790126925567132</v>
      </c>
      <c r="H3642" t="s">
        <v>95</v>
      </c>
      <c r="I3642">
        <v>0</v>
      </c>
      <c r="J3642">
        <v>0</v>
      </c>
      <c r="K3642">
        <v>0</v>
      </c>
    </row>
    <row r="3643" spans="1:11" x14ac:dyDescent="0.2">
      <c r="A3643" t="s">
        <v>16</v>
      </c>
      <c r="B3643" t="s">
        <v>787</v>
      </c>
      <c r="C3643">
        <v>180</v>
      </c>
      <c r="D3643" t="s">
        <v>8120</v>
      </c>
      <c r="E3643" t="s">
        <v>49</v>
      </c>
      <c r="F3643">
        <v>3</v>
      </c>
      <c r="G3643">
        <v>0.24790126925567132</v>
      </c>
      <c r="H3643" t="s">
        <v>105</v>
      </c>
      <c r="I3643">
        <v>0</v>
      </c>
      <c r="J3643">
        <v>0</v>
      </c>
      <c r="K3643">
        <v>0</v>
      </c>
    </row>
    <row r="3644" spans="1:11" x14ac:dyDescent="0.2">
      <c r="A3644" t="s">
        <v>16</v>
      </c>
      <c r="B3644" t="s">
        <v>787</v>
      </c>
      <c r="C3644">
        <v>180</v>
      </c>
      <c r="D3644" t="s">
        <v>8098</v>
      </c>
      <c r="E3644" t="s">
        <v>49</v>
      </c>
      <c r="F3644">
        <v>3</v>
      </c>
      <c r="G3644">
        <v>0.24790126925567132</v>
      </c>
      <c r="H3644" t="s">
        <v>100</v>
      </c>
      <c r="I3644">
        <v>0</v>
      </c>
      <c r="J3644">
        <v>0</v>
      </c>
      <c r="K3644">
        <v>0</v>
      </c>
    </row>
    <row r="3645" spans="1:11" x14ac:dyDescent="0.2">
      <c r="A3645" t="s">
        <v>16</v>
      </c>
      <c r="B3645" t="s">
        <v>787</v>
      </c>
      <c r="C3645">
        <v>180</v>
      </c>
      <c r="D3645" t="s">
        <v>8102</v>
      </c>
      <c r="E3645" t="s">
        <v>49</v>
      </c>
      <c r="F3645">
        <v>3</v>
      </c>
      <c r="G3645">
        <v>0.24790126925567132</v>
      </c>
      <c r="H3645" t="s">
        <v>95</v>
      </c>
      <c r="I3645">
        <v>0</v>
      </c>
      <c r="J3645">
        <v>0</v>
      </c>
      <c r="K3645">
        <v>0</v>
      </c>
    </row>
    <row r="3646" spans="1:11" x14ac:dyDescent="0.2">
      <c r="A3646" t="s">
        <v>16</v>
      </c>
      <c r="B3646" t="s">
        <v>787</v>
      </c>
      <c r="C3646">
        <v>180</v>
      </c>
      <c r="D3646" t="s">
        <v>8124</v>
      </c>
      <c r="E3646" t="s">
        <v>49</v>
      </c>
      <c r="F3646">
        <v>3</v>
      </c>
      <c r="G3646">
        <v>0.24790126925567132</v>
      </c>
      <c r="H3646" t="s">
        <v>105</v>
      </c>
      <c r="I3646">
        <v>0</v>
      </c>
      <c r="J3646">
        <v>0</v>
      </c>
      <c r="K3646">
        <v>0</v>
      </c>
    </row>
    <row r="3647" spans="1:11" x14ac:dyDescent="0.2">
      <c r="A3647" t="s">
        <v>16</v>
      </c>
      <c r="B3647" t="s">
        <v>787</v>
      </c>
      <c r="C3647">
        <v>180</v>
      </c>
      <c r="D3647" t="s">
        <v>8099</v>
      </c>
      <c r="E3647" t="s">
        <v>49</v>
      </c>
      <c r="F3647">
        <v>3</v>
      </c>
      <c r="G3647">
        <v>0.24790126925567132</v>
      </c>
      <c r="H3647" t="s">
        <v>100</v>
      </c>
      <c r="I3647">
        <v>0</v>
      </c>
      <c r="J3647">
        <v>0</v>
      </c>
      <c r="K3647">
        <v>0</v>
      </c>
    </row>
    <row r="3648" spans="1:11" x14ac:dyDescent="0.2">
      <c r="A3648" t="s">
        <v>16</v>
      </c>
      <c r="B3648" t="s">
        <v>787</v>
      </c>
      <c r="C3648">
        <v>180</v>
      </c>
      <c r="D3648" t="s">
        <v>8109</v>
      </c>
      <c r="E3648" t="s">
        <v>49</v>
      </c>
      <c r="F3648">
        <v>3</v>
      </c>
      <c r="G3648">
        <v>0.24790126925567132</v>
      </c>
      <c r="H3648" t="s">
        <v>95</v>
      </c>
      <c r="I3648">
        <v>0</v>
      </c>
      <c r="J3648">
        <v>0</v>
      </c>
      <c r="K3648">
        <v>0</v>
      </c>
    </row>
    <row r="3649" spans="1:11" x14ac:dyDescent="0.2">
      <c r="A3649" t="s">
        <v>16</v>
      </c>
      <c r="B3649" t="s">
        <v>787</v>
      </c>
      <c r="C3649">
        <v>180</v>
      </c>
      <c r="D3649" t="s">
        <v>8128</v>
      </c>
      <c r="E3649" t="s">
        <v>49</v>
      </c>
      <c r="F3649">
        <v>3</v>
      </c>
      <c r="G3649">
        <v>0.24790126925567132</v>
      </c>
      <c r="H3649" t="s">
        <v>105</v>
      </c>
      <c r="I3649">
        <v>0</v>
      </c>
      <c r="J3649">
        <v>0</v>
      </c>
      <c r="K3649">
        <v>0</v>
      </c>
    </row>
    <row r="3650" spans="1:11" x14ac:dyDescent="0.2">
      <c r="A3650" t="s">
        <v>16</v>
      </c>
      <c r="B3650" t="s">
        <v>787</v>
      </c>
      <c r="C3650">
        <v>180</v>
      </c>
      <c r="D3650" t="s">
        <v>8097</v>
      </c>
      <c r="E3650" t="s">
        <v>49</v>
      </c>
      <c r="F3650">
        <v>3</v>
      </c>
      <c r="G3650">
        <v>0.24790126925567132</v>
      </c>
      <c r="H3650" t="s">
        <v>100</v>
      </c>
      <c r="I3650">
        <v>0</v>
      </c>
      <c r="J3650">
        <v>0</v>
      </c>
      <c r="K3650">
        <v>0</v>
      </c>
    </row>
    <row r="3651" spans="1:11" x14ac:dyDescent="0.2">
      <c r="A3651" t="s">
        <v>16</v>
      </c>
      <c r="B3651" t="s">
        <v>787</v>
      </c>
      <c r="C3651">
        <v>180</v>
      </c>
      <c r="D3651" t="s">
        <v>8129</v>
      </c>
      <c r="E3651" t="s">
        <v>49</v>
      </c>
      <c r="F3651">
        <v>3</v>
      </c>
      <c r="G3651">
        <v>0.24790126925567132</v>
      </c>
      <c r="H3651" t="s">
        <v>95</v>
      </c>
      <c r="I3651">
        <v>0</v>
      </c>
      <c r="J3651">
        <v>0</v>
      </c>
      <c r="K3651">
        <v>0</v>
      </c>
    </row>
    <row r="3652" spans="1:11" x14ac:dyDescent="0.2">
      <c r="A3652" t="s">
        <v>16</v>
      </c>
      <c r="B3652" t="s">
        <v>364</v>
      </c>
      <c r="C3652">
        <v>1140</v>
      </c>
      <c r="D3652" t="s">
        <v>8135</v>
      </c>
      <c r="E3652" t="s">
        <v>49</v>
      </c>
      <c r="F3652">
        <v>5</v>
      </c>
      <c r="G3652">
        <v>1.185802614405266</v>
      </c>
      <c r="H3652" t="s">
        <v>101</v>
      </c>
      <c r="I3652">
        <v>0</v>
      </c>
      <c r="J3652">
        <v>0</v>
      </c>
      <c r="K3652">
        <v>0</v>
      </c>
    </row>
    <row r="3653" spans="1:11" x14ac:dyDescent="0.2">
      <c r="A3653" t="s">
        <v>16</v>
      </c>
      <c r="B3653" t="s">
        <v>364</v>
      </c>
      <c r="C3653">
        <v>380</v>
      </c>
      <c r="D3653" t="s">
        <v>8136</v>
      </c>
      <c r="E3653" t="s">
        <v>49</v>
      </c>
      <c r="F3653">
        <v>5</v>
      </c>
      <c r="G3653">
        <v>0.39526753813508864</v>
      </c>
      <c r="H3653" t="s">
        <v>93</v>
      </c>
      <c r="I3653">
        <v>0</v>
      </c>
      <c r="J3653">
        <v>0</v>
      </c>
      <c r="K3653">
        <v>0</v>
      </c>
    </row>
    <row r="3654" spans="1:11" x14ac:dyDescent="0.2">
      <c r="A3654" t="s">
        <v>16</v>
      </c>
      <c r="B3654" t="s">
        <v>364</v>
      </c>
      <c r="C3654">
        <v>380</v>
      </c>
      <c r="D3654" t="s">
        <v>8134</v>
      </c>
      <c r="E3654" t="s">
        <v>49</v>
      </c>
      <c r="F3654">
        <v>5</v>
      </c>
      <c r="G3654">
        <v>0.39526753813508864</v>
      </c>
      <c r="H3654" t="s">
        <v>87</v>
      </c>
      <c r="I3654">
        <v>0</v>
      </c>
      <c r="J3654">
        <v>0</v>
      </c>
      <c r="K3654">
        <v>0</v>
      </c>
    </row>
    <row r="3655" spans="1:11" x14ac:dyDescent="0.2">
      <c r="A3655" t="s">
        <v>16</v>
      </c>
      <c r="B3655" t="s">
        <v>364</v>
      </c>
      <c r="C3655">
        <v>1140</v>
      </c>
      <c r="D3655" t="s">
        <v>8132</v>
      </c>
      <c r="E3655" t="s">
        <v>49</v>
      </c>
      <c r="F3655">
        <v>5</v>
      </c>
      <c r="G3655">
        <v>1.185802614405266</v>
      </c>
      <c r="H3655" t="s">
        <v>103</v>
      </c>
      <c r="I3655">
        <v>0</v>
      </c>
      <c r="J3655">
        <v>0</v>
      </c>
      <c r="K3655">
        <v>0</v>
      </c>
    </row>
    <row r="3656" spans="1:11" x14ac:dyDescent="0.2">
      <c r="A3656" t="s">
        <v>16</v>
      </c>
      <c r="B3656" t="s">
        <v>364</v>
      </c>
      <c r="C3656">
        <v>1140</v>
      </c>
      <c r="D3656" t="s">
        <v>8133</v>
      </c>
      <c r="E3656" t="s">
        <v>49</v>
      </c>
      <c r="F3656">
        <v>5</v>
      </c>
      <c r="G3656">
        <v>1.185802614405266</v>
      </c>
      <c r="H3656" t="s">
        <v>104</v>
      </c>
      <c r="I3656">
        <v>0</v>
      </c>
      <c r="J3656">
        <v>0</v>
      </c>
      <c r="K3656">
        <v>0</v>
      </c>
    </row>
    <row r="3657" spans="1:11" x14ac:dyDescent="0.2">
      <c r="A3657" t="s">
        <v>16</v>
      </c>
      <c r="B3657" t="s">
        <v>364</v>
      </c>
      <c r="C3657">
        <v>1140</v>
      </c>
      <c r="D3657" t="s">
        <v>8137</v>
      </c>
      <c r="E3657" t="s">
        <v>49</v>
      </c>
      <c r="F3657">
        <v>5</v>
      </c>
      <c r="G3657">
        <v>1.185802614405266</v>
      </c>
      <c r="H3657" t="s">
        <v>93</v>
      </c>
      <c r="I3657">
        <v>0</v>
      </c>
      <c r="J3657">
        <v>0</v>
      </c>
      <c r="K3657">
        <v>0</v>
      </c>
    </row>
    <row r="3658" spans="1:11" x14ac:dyDescent="0.2">
      <c r="A3658" t="s">
        <v>16</v>
      </c>
      <c r="B3658" t="s">
        <v>364</v>
      </c>
      <c r="C3658">
        <v>760</v>
      </c>
      <c r="D3658" t="s">
        <v>8138</v>
      </c>
      <c r="E3658" t="s">
        <v>49</v>
      </c>
      <c r="F3658">
        <v>5</v>
      </c>
      <c r="G3658">
        <v>0.79053507627017727</v>
      </c>
      <c r="H3658" t="s">
        <v>87</v>
      </c>
      <c r="I3658">
        <v>0</v>
      </c>
      <c r="J3658">
        <v>0</v>
      </c>
      <c r="K3658">
        <v>0</v>
      </c>
    </row>
    <row r="3659" spans="1:11" x14ac:dyDescent="0.2">
      <c r="A3659" t="s">
        <v>16</v>
      </c>
      <c r="B3659" t="s">
        <v>542</v>
      </c>
      <c r="C3659">
        <v>225</v>
      </c>
      <c r="D3659" t="s">
        <v>8148</v>
      </c>
      <c r="E3659" t="s">
        <v>49</v>
      </c>
      <c r="F3659">
        <v>30</v>
      </c>
      <c r="G3659">
        <v>0.58150453648409661</v>
      </c>
      <c r="H3659" t="s">
        <v>96</v>
      </c>
      <c r="I3659">
        <v>0</v>
      </c>
      <c r="J3659">
        <v>0</v>
      </c>
      <c r="K3659">
        <v>0</v>
      </c>
    </row>
    <row r="3660" spans="1:11" x14ac:dyDescent="0.2">
      <c r="A3660" t="s">
        <v>16</v>
      </c>
      <c r="B3660" t="s">
        <v>542</v>
      </c>
      <c r="C3660">
        <v>225</v>
      </c>
      <c r="D3660" t="s">
        <v>8156</v>
      </c>
      <c r="E3660" t="s">
        <v>49</v>
      </c>
      <c r="F3660">
        <v>30</v>
      </c>
      <c r="G3660">
        <v>0.58150453648409661</v>
      </c>
      <c r="H3660" t="s">
        <v>84</v>
      </c>
      <c r="I3660">
        <v>0</v>
      </c>
      <c r="J3660">
        <v>0</v>
      </c>
      <c r="K3660">
        <v>0</v>
      </c>
    </row>
    <row r="3661" spans="1:11" x14ac:dyDescent="0.2">
      <c r="A3661" t="s">
        <v>16</v>
      </c>
      <c r="B3661" t="s">
        <v>542</v>
      </c>
      <c r="C3661">
        <v>225</v>
      </c>
      <c r="D3661" t="s">
        <v>8152</v>
      </c>
      <c r="E3661" t="s">
        <v>49</v>
      </c>
      <c r="F3661">
        <v>30</v>
      </c>
      <c r="G3661">
        <v>0.58150453648409661</v>
      </c>
      <c r="H3661" t="s">
        <v>96</v>
      </c>
      <c r="I3661">
        <v>0</v>
      </c>
      <c r="J3661">
        <v>0</v>
      </c>
      <c r="K3661">
        <v>0</v>
      </c>
    </row>
    <row r="3662" spans="1:11" x14ac:dyDescent="0.2">
      <c r="A3662" t="s">
        <v>16</v>
      </c>
      <c r="B3662" t="s">
        <v>542</v>
      </c>
      <c r="C3662">
        <v>225</v>
      </c>
      <c r="D3662" t="s">
        <v>8145</v>
      </c>
      <c r="E3662" t="s">
        <v>49</v>
      </c>
      <c r="F3662">
        <v>30</v>
      </c>
      <c r="G3662">
        <v>0.58150453648409661</v>
      </c>
      <c r="H3662" t="s">
        <v>91</v>
      </c>
      <c r="I3662">
        <v>0</v>
      </c>
      <c r="J3662">
        <v>0</v>
      </c>
      <c r="K3662">
        <v>0</v>
      </c>
    </row>
    <row r="3663" spans="1:11" x14ac:dyDescent="0.2">
      <c r="A3663" t="s">
        <v>16</v>
      </c>
      <c r="B3663" t="s">
        <v>542</v>
      </c>
      <c r="C3663">
        <v>225</v>
      </c>
      <c r="D3663" t="s">
        <v>8143</v>
      </c>
      <c r="E3663" t="s">
        <v>49</v>
      </c>
      <c r="F3663">
        <v>30</v>
      </c>
      <c r="G3663">
        <v>0.58150453648409661</v>
      </c>
      <c r="H3663" t="s">
        <v>84</v>
      </c>
      <c r="I3663">
        <v>0</v>
      </c>
      <c r="J3663">
        <v>0</v>
      </c>
      <c r="K3663">
        <v>0</v>
      </c>
    </row>
    <row r="3664" spans="1:11" x14ac:dyDescent="0.2">
      <c r="A3664" t="s">
        <v>16</v>
      </c>
      <c r="B3664" t="s">
        <v>542</v>
      </c>
      <c r="C3664">
        <v>225</v>
      </c>
      <c r="D3664" t="s">
        <v>8153</v>
      </c>
      <c r="E3664" t="s">
        <v>49</v>
      </c>
      <c r="F3664">
        <v>30</v>
      </c>
      <c r="G3664">
        <v>0.58150453648409661</v>
      </c>
      <c r="H3664" t="s">
        <v>89</v>
      </c>
      <c r="I3664">
        <v>0</v>
      </c>
      <c r="J3664">
        <v>0</v>
      </c>
      <c r="K3664">
        <v>0</v>
      </c>
    </row>
    <row r="3665" spans="1:11" x14ac:dyDescent="0.2">
      <c r="A3665" t="s">
        <v>16</v>
      </c>
      <c r="B3665" t="s">
        <v>542</v>
      </c>
      <c r="C3665">
        <v>225</v>
      </c>
      <c r="D3665" t="s">
        <v>8144</v>
      </c>
      <c r="E3665" t="s">
        <v>49</v>
      </c>
      <c r="F3665">
        <v>30</v>
      </c>
      <c r="G3665">
        <v>0.58150453648409661</v>
      </c>
      <c r="H3665" t="s">
        <v>90</v>
      </c>
      <c r="I3665">
        <v>0</v>
      </c>
      <c r="J3665">
        <v>0</v>
      </c>
      <c r="K3665">
        <v>0</v>
      </c>
    </row>
    <row r="3666" spans="1:11" x14ac:dyDescent="0.2">
      <c r="A3666" t="s">
        <v>16</v>
      </c>
      <c r="B3666" t="s">
        <v>542</v>
      </c>
      <c r="C3666">
        <v>225</v>
      </c>
      <c r="D3666" t="s">
        <v>8162</v>
      </c>
      <c r="E3666" t="s">
        <v>49</v>
      </c>
      <c r="F3666">
        <v>30</v>
      </c>
      <c r="G3666">
        <v>0.58150453648409661</v>
      </c>
      <c r="H3666" t="s">
        <v>101</v>
      </c>
      <c r="I3666">
        <v>0</v>
      </c>
      <c r="J3666">
        <v>0</v>
      </c>
      <c r="K3666">
        <v>0</v>
      </c>
    </row>
    <row r="3667" spans="1:11" x14ac:dyDescent="0.2">
      <c r="A3667" t="s">
        <v>16</v>
      </c>
      <c r="B3667" t="s">
        <v>542</v>
      </c>
      <c r="C3667">
        <v>225</v>
      </c>
      <c r="D3667" t="s">
        <v>8161</v>
      </c>
      <c r="E3667" t="s">
        <v>49</v>
      </c>
      <c r="F3667">
        <v>30</v>
      </c>
      <c r="G3667">
        <v>0.58150453648409661</v>
      </c>
      <c r="H3667" t="s">
        <v>87</v>
      </c>
      <c r="I3667">
        <v>0</v>
      </c>
      <c r="J3667">
        <v>0</v>
      </c>
      <c r="K3667">
        <v>0</v>
      </c>
    </row>
    <row r="3668" spans="1:11" x14ac:dyDescent="0.2">
      <c r="A3668" t="s">
        <v>16</v>
      </c>
      <c r="B3668" t="s">
        <v>542</v>
      </c>
      <c r="C3668">
        <v>225</v>
      </c>
      <c r="D3668" t="s">
        <v>8159</v>
      </c>
      <c r="E3668" t="s">
        <v>49</v>
      </c>
      <c r="F3668">
        <v>30</v>
      </c>
      <c r="G3668">
        <v>0.58150453648409661</v>
      </c>
      <c r="H3668" t="s">
        <v>103</v>
      </c>
      <c r="I3668">
        <v>0</v>
      </c>
      <c r="J3668">
        <v>0</v>
      </c>
      <c r="K3668">
        <v>0</v>
      </c>
    </row>
    <row r="3669" spans="1:11" x14ac:dyDescent="0.2">
      <c r="A3669" t="s">
        <v>16</v>
      </c>
      <c r="B3669" t="s">
        <v>542</v>
      </c>
      <c r="C3669">
        <v>225</v>
      </c>
      <c r="D3669" t="s">
        <v>8157</v>
      </c>
      <c r="E3669" t="s">
        <v>49</v>
      </c>
      <c r="F3669">
        <v>30</v>
      </c>
      <c r="G3669">
        <v>0.58150453648409661</v>
      </c>
      <c r="H3669" t="s">
        <v>104</v>
      </c>
      <c r="I3669">
        <v>0</v>
      </c>
      <c r="J3669">
        <v>0</v>
      </c>
      <c r="K3669">
        <v>0</v>
      </c>
    </row>
    <row r="3670" spans="1:11" x14ac:dyDescent="0.2">
      <c r="A3670" t="s">
        <v>16</v>
      </c>
      <c r="B3670" t="s">
        <v>542</v>
      </c>
      <c r="C3670">
        <v>225</v>
      </c>
      <c r="D3670" t="s">
        <v>8155</v>
      </c>
      <c r="E3670" t="s">
        <v>49</v>
      </c>
      <c r="F3670">
        <v>30</v>
      </c>
      <c r="G3670">
        <v>0.58150453648409661</v>
      </c>
      <c r="H3670" t="s">
        <v>96</v>
      </c>
      <c r="I3670">
        <v>0</v>
      </c>
      <c r="J3670">
        <v>0</v>
      </c>
      <c r="K3670">
        <v>0</v>
      </c>
    </row>
    <row r="3671" spans="1:11" x14ac:dyDescent="0.2">
      <c r="A3671" t="s">
        <v>16</v>
      </c>
      <c r="B3671" t="s">
        <v>542</v>
      </c>
      <c r="C3671">
        <v>75</v>
      </c>
      <c r="D3671" t="s">
        <v>8149</v>
      </c>
      <c r="E3671" t="s">
        <v>49</v>
      </c>
      <c r="F3671">
        <v>30</v>
      </c>
      <c r="G3671">
        <v>0.19383484549469887</v>
      </c>
      <c r="H3671" t="s">
        <v>91</v>
      </c>
      <c r="I3671">
        <v>0</v>
      </c>
      <c r="J3671">
        <v>0</v>
      </c>
      <c r="K3671">
        <v>0</v>
      </c>
    </row>
    <row r="3672" spans="1:11" x14ac:dyDescent="0.2">
      <c r="A3672" t="s">
        <v>16</v>
      </c>
      <c r="B3672" t="s">
        <v>542</v>
      </c>
      <c r="C3672">
        <v>225</v>
      </c>
      <c r="D3672" t="s">
        <v>8163</v>
      </c>
      <c r="E3672" t="s">
        <v>49</v>
      </c>
      <c r="F3672">
        <v>30</v>
      </c>
      <c r="G3672">
        <v>0.58150453648409661</v>
      </c>
      <c r="H3672" t="s">
        <v>84</v>
      </c>
      <c r="I3672">
        <v>0</v>
      </c>
      <c r="J3672">
        <v>0</v>
      </c>
      <c r="K3672">
        <v>0</v>
      </c>
    </row>
    <row r="3673" spans="1:11" x14ac:dyDescent="0.2">
      <c r="A3673" t="s">
        <v>16</v>
      </c>
      <c r="B3673" t="s">
        <v>542</v>
      </c>
      <c r="C3673">
        <v>225</v>
      </c>
      <c r="D3673" t="s">
        <v>8158</v>
      </c>
      <c r="E3673" t="s">
        <v>49</v>
      </c>
      <c r="F3673">
        <v>30</v>
      </c>
      <c r="G3673">
        <v>0.58150453648409661</v>
      </c>
      <c r="H3673" t="s">
        <v>89</v>
      </c>
      <c r="I3673">
        <v>0</v>
      </c>
      <c r="J3673">
        <v>0</v>
      </c>
      <c r="K3673">
        <v>0</v>
      </c>
    </row>
    <row r="3674" spans="1:11" x14ac:dyDescent="0.2">
      <c r="A3674" t="s">
        <v>16</v>
      </c>
      <c r="B3674" t="s">
        <v>542</v>
      </c>
      <c r="C3674">
        <v>225</v>
      </c>
      <c r="D3674" t="s">
        <v>8147</v>
      </c>
      <c r="E3674" t="s">
        <v>49</v>
      </c>
      <c r="F3674">
        <v>30</v>
      </c>
      <c r="G3674">
        <v>0.58150453648409661</v>
      </c>
      <c r="H3674" t="s">
        <v>90</v>
      </c>
      <c r="I3674">
        <v>0</v>
      </c>
      <c r="J3674">
        <v>0</v>
      </c>
      <c r="K3674">
        <v>0</v>
      </c>
    </row>
    <row r="3675" spans="1:11" x14ac:dyDescent="0.2">
      <c r="A3675" t="s">
        <v>16</v>
      </c>
      <c r="B3675" t="s">
        <v>542</v>
      </c>
      <c r="C3675">
        <v>225</v>
      </c>
      <c r="D3675" t="s">
        <v>8160</v>
      </c>
      <c r="E3675" t="s">
        <v>49</v>
      </c>
      <c r="F3675">
        <v>30</v>
      </c>
      <c r="G3675">
        <v>0.58150453648409661</v>
      </c>
      <c r="H3675" t="s">
        <v>93</v>
      </c>
      <c r="I3675">
        <v>0</v>
      </c>
      <c r="J3675">
        <v>0</v>
      </c>
      <c r="K3675">
        <v>0</v>
      </c>
    </row>
    <row r="3676" spans="1:11" x14ac:dyDescent="0.2">
      <c r="A3676" t="s">
        <v>16</v>
      </c>
      <c r="B3676" t="s">
        <v>542</v>
      </c>
      <c r="C3676">
        <v>225</v>
      </c>
      <c r="D3676" t="s">
        <v>8140</v>
      </c>
      <c r="E3676" t="s">
        <v>49</v>
      </c>
      <c r="F3676">
        <v>30</v>
      </c>
      <c r="G3676">
        <v>0.58150453648409661</v>
      </c>
      <c r="H3676" t="s">
        <v>91</v>
      </c>
      <c r="I3676">
        <v>0</v>
      </c>
      <c r="J3676">
        <v>0</v>
      </c>
      <c r="K3676">
        <v>0</v>
      </c>
    </row>
    <row r="3677" spans="1:11" x14ac:dyDescent="0.2">
      <c r="A3677" t="s">
        <v>16</v>
      </c>
      <c r="B3677" t="s">
        <v>542</v>
      </c>
      <c r="C3677">
        <v>225</v>
      </c>
      <c r="D3677" t="s">
        <v>8141</v>
      </c>
      <c r="E3677" t="s">
        <v>49</v>
      </c>
      <c r="F3677">
        <v>30</v>
      </c>
      <c r="G3677">
        <v>0.58150453648409661</v>
      </c>
      <c r="H3677" t="s">
        <v>101</v>
      </c>
      <c r="I3677">
        <v>0</v>
      </c>
      <c r="J3677">
        <v>0</v>
      </c>
      <c r="K3677">
        <v>0</v>
      </c>
    </row>
    <row r="3678" spans="1:11" x14ac:dyDescent="0.2">
      <c r="A3678" t="s">
        <v>16</v>
      </c>
      <c r="B3678" t="s">
        <v>542</v>
      </c>
      <c r="C3678">
        <v>225</v>
      </c>
      <c r="D3678" t="s">
        <v>8164</v>
      </c>
      <c r="E3678" t="s">
        <v>49</v>
      </c>
      <c r="F3678">
        <v>30</v>
      </c>
      <c r="G3678">
        <v>0.58150453648409661</v>
      </c>
      <c r="H3678" t="s">
        <v>87</v>
      </c>
      <c r="I3678">
        <v>0</v>
      </c>
      <c r="J3678">
        <v>0</v>
      </c>
      <c r="K3678">
        <v>0</v>
      </c>
    </row>
    <row r="3679" spans="1:11" x14ac:dyDescent="0.2">
      <c r="A3679" t="s">
        <v>16</v>
      </c>
      <c r="B3679" t="s">
        <v>542</v>
      </c>
      <c r="C3679">
        <v>150</v>
      </c>
      <c r="D3679" t="s">
        <v>8139</v>
      </c>
      <c r="E3679" t="s">
        <v>49</v>
      </c>
      <c r="F3679">
        <v>30</v>
      </c>
      <c r="G3679">
        <v>0.38766969098939774</v>
      </c>
      <c r="H3679" t="s">
        <v>103</v>
      </c>
      <c r="I3679">
        <v>0</v>
      </c>
      <c r="J3679">
        <v>0</v>
      </c>
      <c r="K3679">
        <v>0</v>
      </c>
    </row>
    <row r="3680" spans="1:11" x14ac:dyDescent="0.2">
      <c r="A3680" t="s">
        <v>16</v>
      </c>
      <c r="B3680" t="s">
        <v>542</v>
      </c>
      <c r="C3680">
        <v>225</v>
      </c>
      <c r="D3680" t="s">
        <v>8151</v>
      </c>
      <c r="E3680" t="s">
        <v>49</v>
      </c>
      <c r="F3680">
        <v>30</v>
      </c>
      <c r="G3680">
        <v>0.58150453648409661</v>
      </c>
      <c r="H3680" t="s">
        <v>104</v>
      </c>
      <c r="I3680">
        <v>0</v>
      </c>
      <c r="J3680">
        <v>0</v>
      </c>
      <c r="K3680">
        <v>0</v>
      </c>
    </row>
    <row r="3681" spans="1:11" x14ac:dyDescent="0.2">
      <c r="A3681" t="s">
        <v>16</v>
      </c>
      <c r="B3681" t="s">
        <v>542</v>
      </c>
      <c r="C3681">
        <v>225</v>
      </c>
      <c r="D3681" t="s">
        <v>8146</v>
      </c>
      <c r="E3681" t="s">
        <v>49</v>
      </c>
      <c r="F3681">
        <v>30</v>
      </c>
      <c r="G3681">
        <v>0.58150453648409661</v>
      </c>
      <c r="H3681" t="s">
        <v>96</v>
      </c>
      <c r="I3681">
        <v>0</v>
      </c>
      <c r="J3681">
        <v>0</v>
      </c>
      <c r="K3681">
        <v>0</v>
      </c>
    </row>
    <row r="3682" spans="1:11" x14ac:dyDescent="0.2">
      <c r="A3682" t="s">
        <v>16</v>
      </c>
      <c r="B3682" t="s">
        <v>542</v>
      </c>
      <c r="C3682">
        <v>225</v>
      </c>
      <c r="D3682" t="s">
        <v>8154</v>
      </c>
      <c r="E3682" t="s">
        <v>49</v>
      </c>
      <c r="F3682">
        <v>30</v>
      </c>
      <c r="G3682">
        <v>0.58150453648409661</v>
      </c>
      <c r="H3682" t="s">
        <v>94</v>
      </c>
      <c r="I3682">
        <v>0</v>
      </c>
      <c r="J3682">
        <v>0</v>
      </c>
      <c r="K3682">
        <v>0</v>
      </c>
    </row>
    <row r="3683" spans="1:11" x14ac:dyDescent="0.2">
      <c r="A3683" t="s">
        <v>16</v>
      </c>
      <c r="B3683" t="s">
        <v>542</v>
      </c>
      <c r="C3683">
        <v>75</v>
      </c>
      <c r="D3683" t="s">
        <v>8150</v>
      </c>
      <c r="E3683" t="s">
        <v>49</v>
      </c>
      <c r="F3683">
        <v>30</v>
      </c>
      <c r="G3683">
        <v>0.19383484549469887</v>
      </c>
      <c r="H3683" t="s">
        <v>92</v>
      </c>
      <c r="I3683">
        <v>0</v>
      </c>
      <c r="J3683">
        <v>0</v>
      </c>
      <c r="K3683">
        <v>0</v>
      </c>
    </row>
    <row r="3684" spans="1:11" x14ac:dyDescent="0.2">
      <c r="A3684" t="s">
        <v>16</v>
      </c>
      <c r="B3684" t="s">
        <v>542</v>
      </c>
      <c r="C3684">
        <v>225</v>
      </c>
      <c r="D3684" t="s">
        <v>8165</v>
      </c>
      <c r="E3684" t="s">
        <v>49</v>
      </c>
      <c r="F3684">
        <v>30</v>
      </c>
      <c r="G3684">
        <v>0.58150453648409661</v>
      </c>
      <c r="H3684" t="s">
        <v>84</v>
      </c>
      <c r="I3684">
        <v>0</v>
      </c>
      <c r="J3684">
        <v>0</v>
      </c>
      <c r="K3684">
        <v>0</v>
      </c>
    </row>
    <row r="3685" spans="1:11" x14ac:dyDescent="0.2">
      <c r="A3685" t="s">
        <v>16</v>
      </c>
      <c r="B3685" t="s">
        <v>542</v>
      </c>
      <c r="C3685">
        <v>225</v>
      </c>
      <c r="D3685" t="s">
        <v>8142</v>
      </c>
      <c r="E3685" t="s">
        <v>49</v>
      </c>
      <c r="F3685">
        <v>30</v>
      </c>
      <c r="G3685">
        <v>0.58150453648409661</v>
      </c>
      <c r="H3685" t="s">
        <v>89</v>
      </c>
      <c r="I3685">
        <v>0</v>
      </c>
      <c r="J3685">
        <v>0</v>
      </c>
      <c r="K3685">
        <v>0</v>
      </c>
    </row>
    <row r="3686" spans="1:11" x14ac:dyDescent="0.2">
      <c r="A3686" t="s">
        <v>16</v>
      </c>
      <c r="B3686" t="s">
        <v>544</v>
      </c>
      <c r="C3686">
        <v>1080</v>
      </c>
      <c r="D3686" t="s">
        <v>8168</v>
      </c>
      <c r="E3686" t="s">
        <v>49</v>
      </c>
      <c r="F3686">
        <v>1</v>
      </c>
      <c r="G3686">
        <v>0.45791931659538637</v>
      </c>
      <c r="H3686" t="s">
        <v>97</v>
      </c>
      <c r="I3686">
        <v>0</v>
      </c>
      <c r="J3686">
        <v>0</v>
      </c>
      <c r="K3686">
        <v>0</v>
      </c>
    </row>
    <row r="3687" spans="1:11" x14ac:dyDescent="0.2">
      <c r="A3687" t="s">
        <v>16</v>
      </c>
      <c r="B3687" t="s">
        <v>544</v>
      </c>
      <c r="C3687">
        <v>1080</v>
      </c>
      <c r="D3687" t="s">
        <v>8167</v>
      </c>
      <c r="E3687" t="s">
        <v>49</v>
      </c>
      <c r="F3687">
        <v>1</v>
      </c>
      <c r="G3687">
        <v>0.45791931659538637</v>
      </c>
      <c r="H3687" t="s">
        <v>97</v>
      </c>
      <c r="I3687">
        <v>0</v>
      </c>
      <c r="J3687">
        <v>0</v>
      </c>
      <c r="K3687">
        <v>0</v>
      </c>
    </row>
    <row r="3688" spans="1:11" x14ac:dyDescent="0.2">
      <c r="A3688" t="s">
        <v>16</v>
      </c>
      <c r="B3688" t="s">
        <v>544</v>
      </c>
      <c r="C3688">
        <v>1080</v>
      </c>
      <c r="D3688" t="s">
        <v>8170</v>
      </c>
      <c r="E3688" t="s">
        <v>49</v>
      </c>
      <c r="F3688">
        <v>1</v>
      </c>
      <c r="G3688">
        <v>0.45791931659538637</v>
      </c>
      <c r="H3688" t="s">
        <v>97</v>
      </c>
      <c r="I3688">
        <v>0</v>
      </c>
      <c r="J3688">
        <v>0</v>
      </c>
      <c r="K3688">
        <v>0</v>
      </c>
    </row>
    <row r="3689" spans="1:11" x14ac:dyDescent="0.2">
      <c r="A3689" t="s">
        <v>16</v>
      </c>
      <c r="B3689" t="s">
        <v>544</v>
      </c>
      <c r="C3689">
        <v>720</v>
      </c>
      <c r="D3689" t="s">
        <v>8171</v>
      </c>
      <c r="E3689" t="s">
        <v>49</v>
      </c>
      <c r="F3689">
        <v>1</v>
      </c>
      <c r="G3689">
        <v>0.30527954439692423</v>
      </c>
      <c r="H3689" t="s">
        <v>97</v>
      </c>
      <c r="I3689">
        <v>0</v>
      </c>
      <c r="J3689">
        <v>0</v>
      </c>
      <c r="K3689">
        <v>0</v>
      </c>
    </row>
    <row r="3690" spans="1:11" x14ac:dyDescent="0.2">
      <c r="A3690" t="s">
        <v>16</v>
      </c>
      <c r="B3690" t="s">
        <v>544</v>
      </c>
      <c r="C3690">
        <v>1080</v>
      </c>
      <c r="D3690" t="s">
        <v>8166</v>
      </c>
      <c r="E3690" t="s">
        <v>49</v>
      </c>
      <c r="F3690">
        <v>1</v>
      </c>
      <c r="G3690">
        <v>0.45791931659538637</v>
      </c>
      <c r="H3690" t="s">
        <v>97</v>
      </c>
      <c r="I3690">
        <v>0</v>
      </c>
      <c r="J3690">
        <v>0</v>
      </c>
      <c r="K3690">
        <v>0</v>
      </c>
    </row>
    <row r="3691" spans="1:11" x14ac:dyDescent="0.2">
      <c r="A3691" t="s">
        <v>16</v>
      </c>
      <c r="B3691" t="s">
        <v>544</v>
      </c>
      <c r="C3691">
        <v>1080</v>
      </c>
      <c r="D3691" t="s">
        <v>8169</v>
      </c>
      <c r="E3691" t="s">
        <v>49</v>
      </c>
      <c r="F3691">
        <v>1</v>
      </c>
      <c r="G3691">
        <v>0.45791931659538637</v>
      </c>
      <c r="H3691" t="s">
        <v>97</v>
      </c>
      <c r="I3691">
        <v>0</v>
      </c>
      <c r="J3691">
        <v>0</v>
      </c>
      <c r="K3691">
        <v>0</v>
      </c>
    </row>
    <row r="3692" spans="1:11" x14ac:dyDescent="0.2">
      <c r="A3692" t="s">
        <v>16</v>
      </c>
      <c r="B3692" t="s">
        <v>554</v>
      </c>
      <c r="C3692">
        <v>330</v>
      </c>
      <c r="D3692" t="s">
        <v>8173</v>
      </c>
      <c r="E3692" t="s">
        <v>49</v>
      </c>
      <c r="F3692">
        <v>2</v>
      </c>
      <c r="G3692">
        <v>0.8571108562494093</v>
      </c>
      <c r="H3692" t="s">
        <v>98</v>
      </c>
      <c r="I3692">
        <v>0</v>
      </c>
      <c r="J3692">
        <v>0</v>
      </c>
      <c r="K3692">
        <v>0</v>
      </c>
    </row>
    <row r="3693" spans="1:11" x14ac:dyDescent="0.2">
      <c r="A3693" t="s">
        <v>16</v>
      </c>
      <c r="B3693" t="s">
        <v>554</v>
      </c>
      <c r="C3693">
        <v>110</v>
      </c>
      <c r="D3693" t="s">
        <v>8172</v>
      </c>
      <c r="E3693" t="s">
        <v>49</v>
      </c>
      <c r="F3693">
        <v>2</v>
      </c>
      <c r="G3693">
        <v>0.2857036187498031</v>
      </c>
      <c r="H3693" t="s">
        <v>90</v>
      </c>
      <c r="I3693">
        <v>0</v>
      </c>
      <c r="J3693">
        <v>0</v>
      </c>
      <c r="K3693">
        <v>0</v>
      </c>
    </row>
    <row r="3694" spans="1:11" x14ac:dyDescent="0.2">
      <c r="A3694" t="s">
        <v>16</v>
      </c>
      <c r="B3694" t="s">
        <v>554</v>
      </c>
      <c r="C3694">
        <v>330</v>
      </c>
      <c r="D3694" t="s">
        <v>8174</v>
      </c>
      <c r="E3694" t="s">
        <v>49</v>
      </c>
      <c r="F3694">
        <v>2</v>
      </c>
      <c r="G3694">
        <v>0.8571108562494093</v>
      </c>
      <c r="H3694" t="s">
        <v>90</v>
      </c>
      <c r="I3694">
        <v>0</v>
      </c>
      <c r="J3694">
        <v>0</v>
      </c>
      <c r="K3694">
        <v>0</v>
      </c>
    </row>
    <row r="3695" spans="1:11" x14ac:dyDescent="0.2">
      <c r="A3695" t="s">
        <v>16</v>
      </c>
      <c r="B3695" t="s">
        <v>4675</v>
      </c>
      <c r="C3695">
        <v>110</v>
      </c>
      <c r="D3695" t="s">
        <v>8175</v>
      </c>
      <c r="E3695" t="s">
        <v>49</v>
      </c>
      <c r="F3695">
        <v>2</v>
      </c>
      <c r="G3695">
        <v>0.31853042320346997</v>
      </c>
      <c r="H3695" t="s">
        <v>92</v>
      </c>
      <c r="I3695">
        <v>0</v>
      </c>
      <c r="J3695">
        <v>0</v>
      </c>
      <c r="K3695">
        <v>0</v>
      </c>
    </row>
    <row r="3696" spans="1:11" x14ac:dyDescent="0.2">
      <c r="A3696" t="s">
        <v>16</v>
      </c>
      <c r="B3696" t="s">
        <v>4675</v>
      </c>
      <c r="C3696">
        <v>110</v>
      </c>
      <c r="D3696" t="s">
        <v>8176</v>
      </c>
      <c r="E3696" t="s">
        <v>49</v>
      </c>
      <c r="F3696">
        <v>2</v>
      </c>
      <c r="G3696">
        <v>0.31853042320346997</v>
      </c>
      <c r="H3696" t="s">
        <v>93</v>
      </c>
      <c r="I3696">
        <v>0</v>
      </c>
      <c r="J3696">
        <v>0</v>
      </c>
      <c r="K3696">
        <v>0</v>
      </c>
    </row>
    <row r="3697" spans="1:11" x14ac:dyDescent="0.2">
      <c r="A3697" t="s">
        <v>16</v>
      </c>
      <c r="B3697" t="s">
        <v>540</v>
      </c>
      <c r="C3697">
        <v>1080</v>
      </c>
      <c r="D3697" t="s">
        <v>8183</v>
      </c>
      <c r="E3697" t="s">
        <v>49</v>
      </c>
      <c r="F3697">
        <v>9</v>
      </c>
      <c r="G3697">
        <v>0.27615019835644566</v>
      </c>
      <c r="H3697" t="s">
        <v>103</v>
      </c>
      <c r="I3697">
        <v>0</v>
      </c>
      <c r="J3697">
        <v>0</v>
      </c>
      <c r="K3697">
        <v>0</v>
      </c>
    </row>
    <row r="3698" spans="1:11" x14ac:dyDescent="0.2">
      <c r="A3698" t="s">
        <v>16</v>
      </c>
      <c r="B3698" t="s">
        <v>540</v>
      </c>
      <c r="C3698">
        <v>1080</v>
      </c>
      <c r="D3698" t="s">
        <v>8181</v>
      </c>
      <c r="E3698" t="s">
        <v>49</v>
      </c>
      <c r="F3698">
        <v>9</v>
      </c>
      <c r="G3698">
        <v>0.27615019835644566</v>
      </c>
      <c r="H3698" t="s">
        <v>91</v>
      </c>
      <c r="I3698">
        <v>0</v>
      </c>
      <c r="J3698">
        <v>0</v>
      </c>
      <c r="K3698">
        <v>0</v>
      </c>
    </row>
    <row r="3699" spans="1:11" x14ac:dyDescent="0.2">
      <c r="A3699" t="s">
        <v>16</v>
      </c>
      <c r="B3699" t="s">
        <v>540</v>
      </c>
      <c r="C3699">
        <v>1080</v>
      </c>
      <c r="D3699" t="s">
        <v>8180</v>
      </c>
      <c r="E3699" t="s">
        <v>49</v>
      </c>
      <c r="F3699">
        <v>9</v>
      </c>
      <c r="G3699">
        <v>0.27615019835644566</v>
      </c>
      <c r="H3699" t="s">
        <v>99</v>
      </c>
      <c r="I3699">
        <v>0</v>
      </c>
      <c r="J3699">
        <v>0</v>
      </c>
      <c r="K3699">
        <v>0</v>
      </c>
    </row>
    <row r="3700" spans="1:11" x14ac:dyDescent="0.2">
      <c r="A3700" t="s">
        <v>16</v>
      </c>
      <c r="B3700" t="s">
        <v>540</v>
      </c>
      <c r="C3700">
        <v>1080</v>
      </c>
      <c r="D3700" t="s">
        <v>8182</v>
      </c>
      <c r="E3700" t="s">
        <v>49</v>
      </c>
      <c r="F3700">
        <v>9</v>
      </c>
      <c r="G3700">
        <v>0.27615019835644566</v>
      </c>
      <c r="H3700" t="s">
        <v>88</v>
      </c>
      <c r="I3700">
        <v>0</v>
      </c>
      <c r="J3700">
        <v>0</v>
      </c>
      <c r="K3700">
        <v>0</v>
      </c>
    </row>
    <row r="3701" spans="1:11" x14ac:dyDescent="0.2">
      <c r="A3701" t="s">
        <v>16</v>
      </c>
      <c r="B3701" t="s">
        <v>540</v>
      </c>
      <c r="C3701">
        <v>1080</v>
      </c>
      <c r="D3701" t="s">
        <v>8177</v>
      </c>
      <c r="E3701" t="s">
        <v>49</v>
      </c>
      <c r="F3701">
        <v>9</v>
      </c>
      <c r="G3701">
        <v>0.27615019835644566</v>
      </c>
      <c r="H3701" t="s">
        <v>101</v>
      </c>
      <c r="I3701">
        <v>0</v>
      </c>
      <c r="J3701">
        <v>0</v>
      </c>
      <c r="K3701">
        <v>0</v>
      </c>
    </row>
    <row r="3702" spans="1:11" x14ac:dyDescent="0.2">
      <c r="A3702" t="s">
        <v>16</v>
      </c>
      <c r="B3702" t="s">
        <v>540</v>
      </c>
      <c r="C3702">
        <v>1080</v>
      </c>
      <c r="D3702" t="s">
        <v>8184</v>
      </c>
      <c r="E3702" t="s">
        <v>49</v>
      </c>
      <c r="F3702">
        <v>9</v>
      </c>
      <c r="G3702">
        <v>0.27615019835644566</v>
      </c>
      <c r="H3702" t="s">
        <v>87</v>
      </c>
      <c r="I3702">
        <v>0</v>
      </c>
      <c r="J3702">
        <v>0</v>
      </c>
      <c r="K3702">
        <v>0</v>
      </c>
    </row>
    <row r="3703" spans="1:11" x14ac:dyDescent="0.2">
      <c r="A3703" t="s">
        <v>16</v>
      </c>
      <c r="B3703" t="s">
        <v>540</v>
      </c>
      <c r="C3703">
        <v>720</v>
      </c>
      <c r="D3703" t="s">
        <v>8178</v>
      </c>
      <c r="E3703" t="s">
        <v>49</v>
      </c>
      <c r="F3703">
        <v>9</v>
      </c>
      <c r="G3703">
        <v>0.18410013223763042</v>
      </c>
      <c r="H3703" t="s">
        <v>104</v>
      </c>
      <c r="I3703">
        <v>0</v>
      </c>
      <c r="J3703">
        <v>0</v>
      </c>
      <c r="K3703">
        <v>0</v>
      </c>
    </row>
    <row r="3704" spans="1:11" x14ac:dyDescent="0.2">
      <c r="A3704" t="s">
        <v>16</v>
      </c>
      <c r="B3704" t="s">
        <v>540</v>
      </c>
      <c r="C3704">
        <v>1080</v>
      </c>
      <c r="D3704" t="s">
        <v>8185</v>
      </c>
      <c r="E3704" t="s">
        <v>49</v>
      </c>
      <c r="F3704">
        <v>9</v>
      </c>
      <c r="G3704">
        <v>0.27615019835644566</v>
      </c>
      <c r="H3704" t="s">
        <v>96</v>
      </c>
      <c r="I3704">
        <v>0</v>
      </c>
      <c r="J3704">
        <v>0</v>
      </c>
      <c r="K3704">
        <v>0</v>
      </c>
    </row>
    <row r="3705" spans="1:11" x14ac:dyDescent="0.2">
      <c r="A3705" t="s">
        <v>16</v>
      </c>
      <c r="B3705" t="s">
        <v>540</v>
      </c>
      <c r="C3705">
        <v>1080</v>
      </c>
      <c r="D3705" t="s">
        <v>8186</v>
      </c>
      <c r="E3705" t="s">
        <v>49</v>
      </c>
      <c r="F3705">
        <v>9</v>
      </c>
      <c r="G3705">
        <v>0.27615019835644566</v>
      </c>
      <c r="H3705" t="s">
        <v>92</v>
      </c>
      <c r="I3705">
        <v>0</v>
      </c>
      <c r="J3705">
        <v>0</v>
      </c>
      <c r="K3705">
        <v>0</v>
      </c>
    </row>
    <row r="3706" spans="1:11" x14ac:dyDescent="0.2">
      <c r="A3706" t="s">
        <v>16</v>
      </c>
      <c r="B3706" t="s">
        <v>540</v>
      </c>
      <c r="C3706">
        <v>1080</v>
      </c>
      <c r="D3706" t="s">
        <v>8179</v>
      </c>
      <c r="E3706" t="s">
        <v>49</v>
      </c>
      <c r="F3706">
        <v>9</v>
      </c>
      <c r="G3706">
        <v>0.27615019835644566</v>
      </c>
      <c r="H3706" t="s">
        <v>103</v>
      </c>
      <c r="I3706">
        <v>0</v>
      </c>
      <c r="J3706">
        <v>0</v>
      </c>
      <c r="K3706">
        <v>0</v>
      </c>
    </row>
    <row r="3707" spans="1:11" x14ac:dyDescent="0.2">
      <c r="A3707" t="s">
        <v>16</v>
      </c>
      <c r="B3707" t="s">
        <v>589</v>
      </c>
      <c r="C3707">
        <v>300</v>
      </c>
      <c r="D3707" t="s">
        <v>8188</v>
      </c>
      <c r="E3707" t="s">
        <v>49</v>
      </c>
      <c r="F3707">
        <v>5</v>
      </c>
      <c r="G3707">
        <v>0.57946534119794435</v>
      </c>
      <c r="H3707" t="s">
        <v>91</v>
      </c>
      <c r="I3707">
        <v>0</v>
      </c>
      <c r="J3707">
        <v>0</v>
      </c>
      <c r="K3707">
        <v>0</v>
      </c>
    </row>
    <row r="3708" spans="1:11" x14ac:dyDescent="0.2">
      <c r="A3708" t="s">
        <v>16</v>
      </c>
      <c r="B3708" t="s">
        <v>589</v>
      </c>
      <c r="C3708">
        <v>300</v>
      </c>
      <c r="D3708" t="s">
        <v>8204</v>
      </c>
      <c r="E3708" t="s">
        <v>49</v>
      </c>
      <c r="F3708">
        <v>5</v>
      </c>
      <c r="G3708">
        <v>0.57946534119794435</v>
      </c>
      <c r="H3708" t="s">
        <v>99</v>
      </c>
      <c r="I3708">
        <v>0</v>
      </c>
      <c r="J3708">
        <v>0</v>
      </c>
      <c r="K3708">
        <v>0</v>
      </c>
    </row>
    <row r="3709" spans="1:11" x14ac:dyDescent="0.2">
      <c r="A3709" t="s">
        <v>16</v>
      </c>
      <c r="B3709" t="s">
        <v>589</v>
      </c>
      <c r="C3709">
        <v>300</v>
      </c>
      <c r="D3709" t="s">
        <v>8196</v>
      </c>
      <c r="E3709" t="s">
        <v>49</v>
      </c>
      <c r="F3709">
        <v>5</v>
      </c>
      <c r="G3709">
        <v>0.57946534119794435</v>
      </c>
      <c r="H3709" t="s">
        <v>93</v>
      </c>
      <c r="I3709">
        <v>0</v>
      </c>
      <c r="J3709">
        <v>0</v>
      </c>
      <c r="K3709">
        <v>0</v>
      </c>
    </row>
    <row r="3710" spans="1:11" x14ac:dyDescent="0.2">
      <c r="A3710" t="s">
        <v>16</v>
      </c>
      <c r="B3710" t="s">
        <v>589</v>
      </c>
      <c r="C3710">
        <v>300</v>
      </c>
      <c r="D3710" t="s">
        <v>8198</v>
      </c>
      <c r="E3710" t="s">
        <v>49</v>
      </c>
      <c r="F3710">
        <v>5</v>
      </c>
      <c r="G3710">
        <v>0.57946534119794435</v>
      </c>
      <c r="H3710" t="s">
        <v>94</v>
      </c>
      <c r="I3710">
        <v>0</v>
      </c>
      <c r="J3710">
        <v>0</v>
      </c>
      <c r="K3710">
        <v>0</v>
      </c>
    </row>
    <row r="3711" spans="1:11" x14ac:dyDescent="0.2">
      <c r="A3711" t="s">
        <v>16</v>
      </c>
      <c r="B3711" t="s">
        <v>589</v>
      </c>
      <c r="C3711">
        <v>100</v>
      </c>
      <c r="D3711" t="s">
        <v>8199</v>
      </c>
      <c r="E3711" t="s">
        <v>49</v>
      </c>
      <c r="F3711">
        <v>5</v>
      </c>
      <c r="G3711">
        <v>0.19315511373264813</v>
      </c>
      <c r="H3711" t="s">
        <v>105</v>
      </c>
      <c r="I3711">
        <v>0</v>
      </c>
      <c r="J3711">
        <v>0</v>
      </c>
      <c r="K3711">
        <v>0</v>
      </c>
    </row>
    <row r="3712" spans="1:11" x14ac:dyDescent="0.2">
      <c r="A3712" t="s">
        <v>16</v>
      </c>
      <c r="B3712" t="s">
        <v>589</v>
      </c>
      <c r="C3712">
        <v>300</v>
      </c>
      <c r="D3712" t="s">
        <v>8194</v>
      </c>
      <c r="E3712" t="s">
        <v>49</v>
      </c>
      <c r="F3712">
        <v>5</v>
      </c>
      <c r="G3712">
        <v>0.57946534119794435</v>
      </c>
      <c r="H3712" t="s">
        <v>105</v>
      </c>
      <c r="I3712">
        <v>0</v>
      </c>
      <c r="J3712">
        <v>0</v>
      </c>
      <c r="K3712">
        <v>0</v>
      </c>
    </row>
    <row r="3713" spans="1:11" x14ac:dyDescent="0.2">
      <c r="A3713" t="s">
        <v>16</v>
      </c>
      <c r="B3713" t="s">
        <v>589</v>
      </c>
      <c r="C3713">
        <v>300</v>
      </c>
      <c r="D3713" t="s">
        <v>8193</v>
      </c>
      <c r="E3713" t="s">
        <v>49</v>
      </c>
      <c r="F3713">
        <v>5</v>
      </c>
      <c r="G3713">
        <v>0.57946534119794435</v>
      </c>
      <c r="H3713" t="s">
        <v>91</v>
      </c>
      <c r="I3713">
        <v>0</v>
      </c>
      <c r="J3713">
        <v>0</v>
      </c>
      <c r="K3713">
        <v>0</v>
      </c>
    </row>
    <row r="3714" spans="1:11" x14ac:dyDescent="0.2">
      <c r="A3714" t="s">
        <v>16</v>
      </c>
      <c r="B3714" t="s">
        <v>589</v>
      </c>
      <c r="C3714">
        <v>300</v>
      </c>
      <c r="D3714" t="s">
        <v>8187</v>
      </c>
      <c r="E3714" t="s">
        <v>49</v>
      </c>
      <c r="F3714">
        <v>5</v>
      </c>
      <c r="G3714">
        <v>0.57946534119794435</v>
      </c>
      <c r="H3714" t="s">
        <v>99</v>
      </c>
      <c r="I3714">
        <v>0</v>
      </c>
      <c r="J3714">
        <v>0</v>
      </c>
      <c r="K3714">
        <v>0</v>
      </c>
    </row>
    <row r="3715" spans="1:11" x14ac:dyDescent="0.2">
      <c r="A3715" t="s">
        <v>16</v>
      </c>
      <c r="B3715" t="s">
        <v>589</v>
      </c>
      <c r="C3715">
        <v>300</v>
      </c>
      <c r="D3715" t="s">
        <v>8201</v>
      </c>
      <c r="E3715" t="s">
        <v>49</v>
      </c>
      <c r="F3715">
        <v>5</v>
      </c>
      <c r="G3715">
        <v>0.57946534119794435</v>
      </c>
      <c r="H3715" t="s">
        <v>93</v>
      </c>
      <c r="I3715">
        <v>0</v>
      </c>
      <c r="J3715">
        <v>0</v>
      </c>
      <c r="K3715">
        <v>0</v>
      </c>
    </row>
    <row r="3716" spans="1:11" x14ac:dyDescent="0.2">
      <c r="A3716" t="s">
        <v>16</v>
      </c>
      <c r="B3716" t="s">
        <v>589</v>
      </c>
      <c r="C3716">
        <v>300</v>
      </c>
      <c r="D3716" t="s">
        <v>8189</v>
      </c>
      <c r="E3716" t="s">
        <v>49</v>
      </c>
      <c r="F3716">
        <v>5</v>
      </c>
      <c r="G3716">
        <v>0.57946534119794435</v>
      </c>
      <c r="H3716" t="s">
        <v>94</v>
      </c>
      <c r="I3716">
        <v>0</v>
      </c>
      <c r="J3716">
        <v>0</v>
      </c>
      <c r="K3716">
        <v>0</v>
      </c>
    </row>
    <row r="3717" spans="1:11" x14ac:dyDescent="0.2">
      <c r="A3717" t="s">
        <v>16</v>
      </c>
      <c r="B3717" t="s">
        <v>589</v>
      </c>
      <c r="C3717">
        <v>300</v>
      </c>
      <c r="D3717" t="s">
        <v>8203</v>
      </c>
      <c r="E3717" t="s">
        <v>49</v>
      </c>
      <c r="F3717">
        <v>5</v>
      </c>
      <c r="G3717">
        <v>0.57946534119794435</v>
      </c>
      <c r="H3717" t="s">
        <v>105</v>
      </c>
      <c r="I3717">
        <v>0</v>
      </c>
      <c r="J3717">
        <v>0</v>
      </c>
      <c r="K3717">
        <v>0</v>
      </c>
    </row>
    <row r="3718" spans="1:11" x14ac:dyDescent="0.2">
      <c r="A3718" t="s">
        <v>16</v>
      </c>
      <c r="B3718" t="s">
        <v>589</v>
      </c>
      <c r="C3718">
        <v>300</v>
      </c>
      <c r="D3718" t="s">
        <v>8206</v>
      </c>
      <c r="E3718" t="s">
        <v>49</v>
      </c>
      <c r="F3718">
        <v>5</v>
      </c>
      <c r="G3718">
        <v>0.57946534119794435</v>
      </c>
      <c r="H3718" t="s">
        <v>91</v>
      </c>
      <c r="I3718">
        <v>0</v>
      </c>
      <c r="J3718">
        <v>0</v>
      </c>
      <c r="K3718">
        <v>0</v>
      </c>
    </row>
    <row r="3719" spans="1:11" x14ac:dyDescent="0.2">
      <c r="A3719" t="s">
        <v>16</v>
      </c>
      <c r="B3719" t="s">
        <v>589</v>
      </c>
      <c r="C3719">
        <v>300</v>
      </c>
      <c r="D3719" t="s">
        <v>8205</v>
      </c>
      <c r="E3719" t="s">
        <v>49</v>
      </c>
      <c r="F3719">
        <v>5</v>
      </c>
      <c r="G3719">
        <v>0.57946534119794435</v>
      </c>
      <c r="H3719" t="s">
        <v>99</v>
      </c>
      <c r="I3719">
        <v>0</v>
      </c>
      <c r="J3719">
        <v>0</v>
      </c>
      <c r="K3719">
        <v>0</v>
      </c>
    </row>
    <row r="3720" spans="1:11" x14ac:dyDescent="0.2">
      <c r="A3720" t="s">
        <v>16</v>
      </c>
      <c r="B3720" t="s">
        <v>589</v>
      </c>
      <c r="C3720">
        <v>300</v>
      </c>
      <c r="D3720" t="s">
        <v>8195</v>
      </c>
      <c r="E3720" t="s">
        <v>49</v>
      </c>
      <c r="F3720">
        <v>5</v>
      </c>
      <c r="G3720">
        <v>0.57946534119794435</v>
      </c>
      <c r="H3720" t="s">
        <v>93</v>
      </c>
      <c r="I3720">
        <v>0</v>
      </c>
      <c r="J3720">
        <v>0</v>
      </c>
      <c r="K3720">
        <v>0</v>
      </c>
    </row>
    <row r="3721" spans="1:11" x14ac:dyDescent="0.2">
      <c r="A3721" t="s">
        <v>16</v>
      </c>
      <c r="B3721" t="s">
        <v>589</v>
      </c>
      <c r="C3721">
        <v>300</v>
      </c>
      <c r="D3721" t="s">
        <v>8202</v>
      </c>
      <c r="E3721" t="s">
        <v>49</v>
      </c>
      <c r="F3721">
        <v>5</v>
      </c>
      <c r="G3721">
        <v>0.57946534119794435</v>
      </c>
      <c r="H3721" t="s">
        <v>94</v>
      </c>
      <c r="I3721">
        <v>0</v>
      </c>
      <c r="J3721">
        <v>0</v>
      </c>
      <c r="K3721">
        <v>0</v>
      </c>
    </row>
    <row r="3722" spans="1:11" x14ac:dyDescent="0.2">
      <c r="A3722" t="s">
        <v>16</v>
      </c>
      <c r="B3722" t="s">
        <v>589</v>
      </c>
      <c r="C3722">
        <v>100</v>
      </c>
      <c r="D3722" t="s">
        <v>8192</v>
      </c>
      <c r="E3722" t="s">
        <v>49</v>
      </c>
      <c r="F3722">
        <v>5</v>
      </c>
      <c r="G3722">
        <v>0.19315511373264813</v>
      </c>
      <c r="H3722" t="s">
        <v>105</v>
      </c>
      <c r="I3722">
        <v>0</v>
      </c>
      <c r="J3722">
        <v>0</v>
      </c>
      <c r="K3722">
        <v>0</v>
      </c>
    </row>
    <row r="3723" spans="1:11" x14ac:dyDescent="0.2">
      <c r="A3723" t="s">
        <v>16</v>
      </c>
      <c r="B3723" t="s">
        <v>589</v>
      </c>
      <c r="C3723">
        <v>300</v>
      </c>
      <c r="D3723" t="s">
        <v>8191</v>
      </c>
      <c r="E3723" t="s">
        <v>49</v>
      </c>
      <c r="F3723">
        <v>5</v>
      </c>
      <c r="G3723">
        <v>0.57946534119794435</v>
      </c>
      <c r="H3723" t="s">
        <v>105</v>
      </c>
      <c r="I3723">
        <v>0</v>
      </c>
      <c r="J3723">
        <v>0</v>
      </c>
      <c r="K3723">
        <v>0</v>
      </c>
    </row>
    <row r="3724" spans="1:11" x14ac:dyDescent="0.2">
      <c r="A3724" t="s">
        <v>16</v>
      </c>
      <c r="B3724" t="s">
        <v>589</v>
      </c>
      <c r="C3724">
        <v>300</v>
      </c>
      <c r="D3724" t="s">
        <v>8190</v>
      </c>
      <c r="E3724" t="s">
        <v>49</v>
      </c>
      <c r="F3724">
        <v>5</v>
      </c>
      <c r="G3724">
        <v>0.57946534119794435</v>
      </c>
      <c r="H3724" t="s">
        <v>91</v>
      </c>
      <c r="I3724">
        <v>0</v>
      </c>
      <c r="J3724">
        <v>0</v>
      </c>
      <c r="K3724">
        <v>0</v>
      </c>
    </row>
    <row r="3725" spans="1:11" x14ac:dyDescent="0.2">
      <c r="A3725" t="s">
        <v>16</v>
      </c>
      <c r="B3725" t="s">
        <v>589</v>
      </c>
      <c r="C3725">
        <v>300</v>
      </c>
      <c r="D3725" t="s">
        <v>8200</v>
      </c>
      <c r="E3725" t="s">
        <v>49</v>
      </c>
      <c r="F3725">
        <v>5</v>
      </c>
      <c r="G3725">
        <v>0.57946534119794435</v>
      </c>
      <c r="H3725" t="s">
        <v>99</v>
      </c>
      <c r="I3725">
        <v>0</v>
      </c>
      <c r="J3725">
        <v>0</v>
      </c>
      <c r="K3725">
        <v>0</v>
      </c>
    </row>
    <row r="3726" spans="1:11" x14ac:dyDescent="0.2">
      <c r="A3726" t="s">
        <v>16</v>
      </c>
      <c r="B3726" t="s">
        <v>589</v>
      </c>
      <c r="C3726">
        <v>300</v>
      </c>
      <c r="D3726" t="s">
        <v>8197</v>
      </c>
      <c r="E3726" t="s">
        <v>49</v>
      </c>
      <c r="F3726">
        <v>5</v>
      </c>
      <c r="G3726">
        <v>0.57946534119794435</v>
      </c>
      <c r="H3726" t="s">
        <v>93</v>
      </c>
      <c r="I3726">
        <v>0</v>
      </c>
      <c r="J3726">
        <v>0</v>
      </c>
      <c r="K3726">
        <v>0</v>
      </c>
    </row>
    <row r="3727" spans="1:11" x14ac:dyDescent="0.2">
      <c r="A3727" t="s">
        <v>16</v>
      </c>
      <c r="B3727" t="s">
        <v>587</v>
      </c>
      <c r="C3727">
        <v>660</v>
      </c>
      <c r="D3727" t="s">
        <v>8210</v>
      </c>
      <c r="E3727" t="s">
        <v>49</v>
      </c>
      <c r="F3727">
        <v>10</v>
      </c>
      <c r="G3727">
        <v>0.40790839460294986</v>
      </c>
      <c r="H3727" t="s">
        <v>88</v>
      </c>
      <c r="I3727">
        <v>0</v>
      </c>
      <c r="J3727">
        <v>0</v>
      </c>
      <c r="K3727">
        <v>0</v>
      </c>
    </row>
    <row r="3728" spans="1:11" x14ac:dyDescent="0.2">
      <c r="A3728" t="s">
        <v>16</v>
      </c>
      <c r="B3728" t="s">
        <v>587</v>
      </c>
      <c r="C3728">
        <v>220</v>
      </c>
      <c r="D3728" t="s">
        <v>8208</v>
      </c>
      <c r="E3728" t="s">
        <v>49</v>
      </c>
      <c r="F3728">
        <v>10</v>
      </c>
      <c r="G3728">
        <v>0.13596946486764994</v>
      </c>
      <c r="H3728" t="s">
        <v>100</v>
      </c>
      <c r="I3728">
        <v>0</v>
      </c>
      <c r="J3728">
        <v>0</v>
      </c>
      <c r="K3728">
        <v>0</v>
      </c>
    </row>
    <row r="3729" spans="1:11" x14ac:dyDescent="0.2">
      <c r="A3729" t="s">
        <v>16</v>
      </c>
      <c r="B3729" t="s">
        <v>587</v>
      </c>
      <c r="C3729">
        <v>660</v>
      </c>
      <c r="D3729" t="s">
        <v>8212</v>
      </c>
      <c r="E3729" t="s">
        <v>49</v>
      </c>
      <c r="F3729">
        <v>10</v>
      </c>
      <c r="G3729">
        <v>0.40790839460294986</v>
      </c>
      <c r="H3729" t="s">
        <v>101</v>
      </c>
      <c r="I3729">
        <v>0</v>
      </c>
      <c r="J3729">
        <v>0</v>
      </c>
      <c r="K3729">
        <v>0</v>
      </c>
    </row>
    <row r="3730" spans="1:11" x14ac:dyDescent="0.2">
      <c r="A3730" t="s">
        <v>16</v>
      </c>
      <c r="B3730" t="s">
        <v>587</v>
      </c>
      <c r="C3730">
        <v>660</v>
      </c>
      <c r="D3730" t="s">
        <v>8213</v>
      </c>
      <c r="E3730" t="s">
        <v>49</v>
      </c>
      <c r="F3730">
        <v>10</v>
      </c>
      <c r="G3730">
        <v>0.40790839460294986</v>
      </c>
      <c r="H3730" t="s">
        <v>104</v>
      </c>
      <c r="I3730">
        <v>0</v>
      </c>
      <c r="J3730">
        <v>0</v>
      </c>
      <c r="K3730">
        <v>0</v>
      </c>
    </row>
    <row r="3731" spans="1:11" x14ac:dyDescent="0.2">
      <c r="A3731" t="s">
        <v>16</v>
      </c>
      <c r="B3731" t="s">
        <v>587</v>
      </c>
      <c r="C3731">
        <v>660</v>
      </c>
      <c r="D3731" t="s">
        <v>8211</v>
      </c>
      <c r="E3731" t="s">
        <v>49</v>
      </c>
      <c r="F3731">
        <v>10</v>
      </c>
      <c r="G3731">
        <v>0.40790839460294986</v>
      </c>
      <c r="H3731" t="s">
        <v>84</v>
      </c>
      <c r="I3731">
        <v>0</v>
      </c>
      <c r="J3731">
        <v>0</v>
      </c>
      <c r="K3731">
        <v>0</v>
      </c>
    </row>
    <row r="3732" spans="1:11" x14ac:dyDescent="0.2">
      <c r="A3732" t="s">
        <v>16</v>
      </c>
      <c r="B3732" t="s">
        <v>587</v>
      </c>
      <c r="C3732">
        <v>660</v>
      </c>
      <c r="D3732" t="s">
        <v>8215</v>
      </c>
      <c r="E3732" t="s">
        <v>49</v>
      </c>
      <c r="F3732">
        <v>10</v>
      </c>
      <c r="G3732">
        <v>0.40790839460294986</v>
      </c>
      <c r="H3732" t="s">
        <v>89</v>
      </c>
      <c r="I3732">
        <v>0</v>
      </c>
      <c r="J3732">
        <v>0</v>
      </c>
      <c r="K3732">
        <v>0</v>
      </c>
    </row>
    <row r="3733" spans="1:11" x14ac:dyDescent="0.2">
      <c r="A3733" t="s">
        <v>16</v>
      </c>
      <c r="B3733" t="s">
        <v>587</v>
      </c>
      <c r="C3733">
        <v>660</v>
      </c>
      <c r="D3733" t="s">
        <v>8214</v>
      </c>
      <c r="E3733" t="s">
        <v>49</v>
      </c>
      <c r="F3733">
        <v>10</v>
      </c>
      <c r="G3733">
        <v>0.40790839460294986</v>
      </c>
      <c r="H3733" t="s">
        <v>87</v>
      </c>
      <c r="I3733">
        <v>0</v>
      </c>
      <c r="J3733">
        <v>0</v>
      </c>
      <c r="K3733">
        <v>0</v>
      </c>
    </row>
    <row r="3734" spans="1:11" x14ac:dyDescent="0.2">
      <c r="A3734" t="s">
        <v>16</v>
      </c>
      <c r="B3734" t="s">
        <v>587</v>
      </c>
      <c r="C3734">
        <v>660</v>
      </c>
      <c r="D3734" t="s">
        <v>8207</v>
      </c>
      <c r="E3734" t="s">
        <v>49</v>
      </c>
      <c r="F3734">
        <v>10</v>
      </c>
      <c r="G3734">
        <v>0.40790839460294986</v>
      </c>
      <c r="H3734" t="s">
        <v>96</v>
      </c>
      <c r="I3734">
        <v>0</v>
      </c>
      <c r="J3734">
        <v>0</v>
      </c>
      <c r="K3734">
        <v>0</v>
      </c>
    </row>
    <row r="3735" spans="1:11" x14ac:dyDescent="0.2">
      <c r="A3735" t="s">
        <v>16</v>
      </c>
      <c r="B3735" t="s">
        <v>587</v>
      </c>
      <c r="C3735">
        <v>220</v>
      </c>
      <c r="D3735" t="s">
        <v>8209</v>
      </c>
      <c r="E3735" t="s">
        <v>49</v>
      </c>
      <c r="F3735">
        <v>10</v>
      </c>
      <c r="G3735">
        <v>0.13596946486764994</v>
      </c>
      <c r="H3735" t="s">
        <v>100</v>
      </c>
      <c r="I3735">
        <v>0</v>
      </c>
      <c r="J3735">
        <v>0</v>
      </c>
      <c r="K3735">
        <v>0</v>
      </c>
    </row>
    <row r="3736" spans="1:11" x14ac:dyDescent="0.2">
      <c r="A3736" t="s">
        <v>16</v>
      </c>
      <c r="B3736" t="s">
        <v>587</v>
      </c>
      <c r="C3736">
        <v>660</v>
      </c>
      <c r="D3736" t="s">
        <v>8216</v>
      </c>
      <c r="E3736" t="s">
        <v>49</v>
      </c>
      <c r="F3736">
        <v>10</v>
      </c>
      <c r="G3736">
        <v>0.40790839460294986</v>
      </c>
      <c r="H3736" t="s">
        <v>95</v>
      </c>
      <c r="I3736">
        <v>0</v>
      </c>
      <c r="J3736">
        <v>0</v>
      </c>
      <c r="K3736">
        <v>0</v>
      </c>
    </row>
    <row r="3737" spans="1:11" x14ac:dyDescent="0.2">
      <c r="A3737" t="s">
        <v>16</v>
      </c>
      <c r="B3737" t="s">
        <v>639</v>
      </c>
      <c r="C3737">
        <v>360</v>
      </c>
      <c r="D3737" t="s">
        <v>8220</v>
      </c>
      <c r="E3737" t="s">
        <v>49</v>
      </c>
      <c r="F3737">
        <v>4</v>
      </c>
      <c r="G3737">
        <v>0.48569132789714903</v>
      </c>
      <c r="H3737" t="s">
        <v>92</v>
      </c>
      <c r="I3737">
        <v>0</v>
      </c>
      <c r="J3737">
        <v>0</v>
      </c>
      <c r="K3737">
        <v>0</v>
      </c>
    </row>
    <row r="3738" spans="1:11" x14ac:dyDescent="0.2">
      <c r="A3738" t="s">
        <v>16</v>
      </c>
      <c r="B3738" t="s">
        <v>639</v>
      </c>
      <c r="C3738">
        <v>120</v>
      </c>
      <c r="D3738" t="s">
        <v>8218</v>
      </c>
      <c r="E3738" t="s">
        <v>49</v>
      </c>
      <c r="F3738">
        <v>4</v>
      </c>
      <c r="G3738">
        <v>0.16189710929904969</v>
      </c>
      <c r="H3738" t="s">
        <v>103</v>
      </c>
      <c r="I3738">
        <v>0</v>
      </c>
      <c r="J3738">
        <v>0</v>
      </c>
      <c r="K3738">
        <v>0</v>
      </c>
    </row>
    <row r="3739" spans="1:11" x14ac:dyDescent="0.2">
      <c r="A3739" t="s">
        <v>16</v>
      </c>
      <c r="B3739" t="s">
        <v>639</v>
      </c>
      <c r="C3739">
        <v>120</v>
      </c>
      <c r="D3739" t="s">
        <v>8217</v>
      </c>
      <c r="E3739" t="s">
        <v>49</v>
      </c>
      <c r="F3739">
        <v>4</v>
      </c>
      <c r="G3739">
        <v>0.16189710929904969</v>
      </c>
      <c r="H3739" t="s">
        <v>100</v>
      </c>
      <c r="I3739">
        <v>0</v>
      </c>
      <c r="J3739">
        <v>0</v>
      </c>
      <c r="K3739">
        <v>0</v>
      </c>
    </row>
    <row r="3740" spans="1:11" x14ac:dyDescent="0.2">
      <c r="A3740" t="s">
        <v>16</v>
      </c>
      <c r="B3740" t="s">
        <v>639</v>
      </c>
      <c r="C3740">
        <v>360</v>
      </c>
      <c r="D3740" t="s">
        <v>8219</v>
      </c>
      <c r="E3740" t="s">
        <v>49</v>
      </c>
      <c r="F3740">
        <v>4</v>
      </c>
      <c r="G3740">
        <v>0.48569132789714903</v>
      </c>
      <c r="H3740" t="s">
        <v>103</v>
      </c>
      <c r="I3740">
        <v>0</v>
      </c>
      <c r="J3740">
        <v>0</v>
      </c>
      <c r="K3740">
        <v>0</v>
      </c>
    </row>
    <row r="3741" spans="1:11" x14ac:dyDescent="0.2">
      <c r="A3741" t="s">
        <v>16</v>
      </c>
      <c r="B3741" t="s">
        <v>624</v>
      </c>
      <c r="C3741">
        <v>540</v>
      </c>
      <c r="D3741" t="s">
        <v>8228</v>
      </c>
      <c r="E3741" t="s">
        <v>49</v>
      </c>
      <c r="F3741">
        <v>2</v>
      </c>
      <c r="G3741">
        <v>0.49556068287341526</v>
      </c>
      <c r="H3741" t="s">
        <v>98</v>
      </c>
      <c r="I3741">
        <v>0</v>
      </c>
      <c r="J3741">
        <v>0</v>
      </c>
      <c r="K3741">
        <v>0</v>
      </c>
    </row>
    <row r="3742" spans="1:11" x14ac:dyDescent="0.2">
      <c r="A3742" t="s">
        <v>16</v>
      </c>
      <c r="B3742" t="s">
        <v>624</v>
      </c>
      <c r="C3742">
        <v>540</v>
      </c>
      <c r="D3742" t="s">
        <v>8223</v>
      </c>
      <c r="E3742" t="s">
        <v>49</v>
      </c>
      <c r="F3742">
        <v>2</v>
      </c>
      <c r="G3742">
        <v>0.49556068287341526</v>
      </c>
      <c r="H3742" t="s">
        <v>88</v>
      </c>
      <c r="I3742">
        <v>0</v>
      </c>
      <c r="J3742">
        <v>0</v>
      </c>
      <c r="K3742">
        <v>0</v>
      </c>
    </row>
    <row r="3743" spans="1:11" x14ac:dyDescent="0.2">
      <c r="A3743" t="s">
        <v>16</v>
      </c>
      <c r="B3743" t="s">
        <v>624</v>
      </c>
      <c r="C3743">
        <v>540</v>
      </c>
      <c r="D3743" t="s">
        <v>8224</v>
      </c>
      <c r="E3743" t="s">
        <v>49</v>
      </c>
      <c r="F3743">
        <v>2</v>
      </c>
      <c r="G3743">
        <v>0.49556068287341526</v>
      </c>
      <c r="H3743" t="s">
        <v>98</v>
      </c>
      <c r="I3743">
        <v>0</v>
      </c>
      <c r="J3743">
        <v>0</v>
      </c>
      <c r="K3743">
        <v>0</v>
      </c>
    </row>
    <row r="3744" spans="1:11" x14ac:dyDescent="0.2">
      <c r="A3744" t="s">
        <v>16</v>
      </c>
      <c r="B3744" t="s">
        <v>624</v>
      </c>
      <c r="C3744">
        <v>540</v>
      </c>
      <c r="D3744" t="s">
        <v>8221</v>
      </c>
      <c r="E3744" t="s">
        <v>49</v>
      </c>
      <c r="F3744">
        <v>2</v>
      </c>
      <c r="G3744">
        <v>0.49556068287341526</v>
      </c>
      <c r="H3744" t="s">
        <v>88</v>
      </c>
      <c r="I3744">
        <v>0</v>
      </c>
      <c r="J3744">
        <v>0</v>
      </c>
      <c r="K3744">
        <v>0</v>
      </c>
    </row>
    <row r="3745" spans="1:11" x14ac:dyDescent="0.2">
      <c r="A3745" t="s">
        <v>16</v>
      </c>
      <c r="B3745" t="s">
        <v>624</v>
      </c>
      <c r="C3745">
        <v>540</v>
      </c>
      <c r="D3745" t="s">
        <v>8227</v>
      </c>
      <c r="E3745" t="s">
        <v>49</v>
      </c>
      <c r="F3745">
        <v>2</v>
      </c>
      <c r="G3745">
        <v>0.49556068287341526</v>
      </c>
      <c r="H3745" t="s">
        <v>98</v>
      </c>
      <c r="I3745">
        <v>0</v>
      </c>
      <c r="J3745">
        <v>0</v>
      </c>
      <c r="K3745">
        <v>0</v>
      </c>
    </row>
    <row r="3746" spans="1:11" x14ac:dyDescent="0.2">
      <c r="A3746" t="s">
        <v>16</v>
      </c>
      <c r="B3746" t="s">
        <v>624</v>
      </c>
      <c r="C3746">
        <v>540</v>
      </c>
      <c r="D3746" t="s">
        <v>8230</v>
      </c>
      <c r="E3746" t="s">
        <v>49</v>
      </c>
      <c r="F3746">
        <v>2</v>
      </c>
      <c r="G3746">
        <v>0.49556068287341526</v>
      </c>
      <c r="H3746" t="s">
        <v>88</v>
      </c>
      <c r="I3746">
        <v>0</v>
      </c>
      <c r="J3746">
        <v>0</v>
      </c>
      <c r="K3746">
        <v>0</v>
      </c>
    </row>
    <row r="3747" spans="1:11" x14ac:dyDescent="0.2">
      <c r="A3747" t="s">
        <v>16</v>
      </c>
      <c r="B3747" t="s">
        <v>624</v>
      </c>
      <c r="C3747">
        <v>540</v>
      </c>
      <c r="D3747" t="s">
        <v>8222</v>
      </c>
      <c r="E3747" t="s">
        <v>49</v>
      </c>
      <c r="F3747">
        <v>2</v>
      </c>
      <c r="G3747">
        <v>0.49556068287341526</v>
      </c>
      <c r="H3747" t="s">
        <v>98</v>
      </c>
      <c r="I3747">
        <v>0</v>
      </c>
      <c r="J3747">
        <v>0</v>
      </c>
      <c r="K3747">
        <v>0</v>
      </c>
    </row>
    <row r="3748" spans="1:11" x14ac:dyDescent="0.2">
      <c r="A3748" t="s">
        <v>16</v>
      </c>
      <c r="B3748" t="s">
        <v>624</v>
      </c>
      <c r="C3748">
        <v>540</v>
      </c>
      <c r="D3748" t="s">
        <v>8226</v>
      </c>
      <c r="E3748" t="s">
        <v>49</v>
      </c>
      <c r="F3748">
        <v>2</v>
      </c>
      <c r="G3748">
        <v>0.49556068287341526</v>
      </c>
      <c r="H3748" t="s">
        <v>88</v>
      </c>
      <c r="I3748">
        <v>0</v>
      </c>
      <c r="J3748">
        <v>0</v>
      </c>
      <c r="K3748">
        <v>0</v>
      </c>
    </row>
    <row r="3749" spans="1:11" x14ac:dyDescent="0.2">
      <c r="A3749" t="s">
        <v>16</v>
      </c>
      <c r="B3749" t="s">
        <v>624</v>
      </c>
      <c r="C3749">
        <v>540</v>
      </c>
      <c r="D3749" t="s">
        <v>8225</v>
      </c>
      <c r="E3749" t="s">
        <v>49</v>
      </c>
      <c r="F3749">
        <v>2</v>
      </c>
      <c r="G3749">
        <v>0.49556068287341526</v>
      </c>
      <c r="H3749" t="s">
        <v>98</v>
      </c>
      <c r="I3749">
        <v>0</v>
      </c>
      <c r="J3749">
        <v>0</v>
      </c>
      <c r="K3749">
        <v>0</v>
      </c>
    </row>
    <row r="3750" spans="1:11" x14ac:dyDescent="0.2">
      <c r="A3750" t="s">
        <v>16</v>
      </c>
      <c r="B3750" t="s">
        <v>624</v>
      </c>
      <c r="C3750">
        <v>540</v>
      </c>
      <c r="D3750" t="s">
        <v>8229</v>
      </c>
      <c r="E3750" t="s">
        <v>49</v>
      </c>
      <c r="F3750">
        <v>2</v>
      </c>
      <c r="G3750">
        <v>0.49556068287341526</v>
      </c>
      <c r="H3750" t="s">
        <v>88</v>
      </c>
      <c r="I3750">
        <v>0</v>
      </c>
      <c r="J3750">
        <v>0</v>
      </c>
      <c r="K3750">
        <v>0</v>
      </c>
    </row>
    <row r="3751" spans="1:11" x14ac:dyDescent="0.2">
      <c r="A3751" t="s">
        <v>16</v>
      </c>
      <c r="B3751" t="s">
        <v>624</v>
      </c>
      <c r="C3751">
        <v>180</v>
      </c>
      <c r="D3751" t="s">
        <v>8232</v>
      </c>
      <c r="E3751" t="s">
        <v>49</v>
      </c>
      <c r="F3751">
        <v>2</v>
      </c>
      <c r="G3751">
        <v>0.16518689429113842</v>
      </c>
      <c r="H3751" t="s">
        <v>98</v>
      </c>
      <c r="I3751">
        <v>0</v>
      </c>
      <c r="J3751">
        <v>0</v>
      </c>
      <c r="K3751">
        <v>0</v>
      </c>
    </row>
    <row r="3752" spans="1:11" x14ac:dyDescent="0.2">
      <c r="A3752" t="s">
        <v>16</v>
      </c>
      <c r="B3752" t="s">
        <v>624</v>
      </c>
      <c r="C3752">
        <v>540</v>
      </c>
      <c r="D3752" t="s">
        <v>8231</v>
      </c>
      <c r="E3752" t="s">
        <v>49</v>
      </c>
      <c r="F3752">
        <v>2</v>
      </c>
      <c r="G3752">
        <v>0.49556068287341526</v>
      </c>
      <c r="H3752" t="s">
        <v>88</v>
      </c>
      <c r="I3752">
        <v>0</v>
      </c>
      <c r="J3752">
        <v>0</v>
      </c>
      <c r="K3752">
        <v>0</v>
      </c>
    </row>
    <row r="3753" spans="1:11" x14ac:dyDescent="0.2">
      <c r="A3753" t="s">
        <v>16</v>
      </c>
      <c r="B3753" t="s">
        <v>4950</v>
      </c>
      <c r="C3753">
        <v>270</v>
      </c>
      <c r="D3753" t="s">
        <v>8234</v>
      </c>
      <c r="E3753" t="s">
        <v>49</v>
      </c>
      <c r="F3753">
        <v>1</v>
      </c>
      <c r="G3753">
        <v>0.91927767354596612</v>
      </c>
      <c r="H3753" t="s">
        <v>100</v>
      </c>
      <c r="I3753">
        <v>0</v>
      </c>
      <c r="J3753">
        <v>0</v>
      </c>
      <c r="K3753">
        <v>0</v>
      </c>
    </row>
    <row r="3754" spans="1:11" x14ac:dyDescent="0.2">
      <c r="A3754" t="s">
        <v>16</v>
      </c>
      <c r="B3754" t="s">
        <v>4950</v>
      </c>
      <c r="C3754">
        <v>270</v>
      </c>
      <c r="D3754" t="s">
        <v>8236</v>
      </c>
      <c r="E3754" t="s">
        <v>49</v>
      </c>
      <c r="F3754">
        <v>1</v>
      </c>
      <c r="G3754">
        <v>0.91927767354596612</v>
      </c>
      <c r="H3754" t="s">
        <v>100</v>
      </c>
      <c r="I3754">
        <v>0</v>
      </c>
      <c r="J3754">
        <v>0</v>
      </c>
      <c r="K3754">
        <v>0</v>
      </c>
    </row>
    <row r="3755" spans="1:11" x14ac:dyDescent="0.2">
      <c r="A3755" t="s">
        <v>16</v>
      </c>
      <c r="B3755" t="s">
        <v>4950</v>
      </c>
      <c r="C3755">
        <v>270</v>
      </c>
      <c r="D3755" t="s">
        <v>8233</v>
      </c>
      <c r="E3755" t="s">
        <v>49</v>
      </c>
      <c r="F3755">
        <v>1</v>
      </c>
      <c r="G3755">
        <v>0.91927767354596612</v>
      </c>
      <c r="H3755" t="s">
        <v>100</v>
      </c>
      <c r="I3755">
        <v>0</v>
      </c>
      <c r="J3755">
        <v>0</v>
      </c>
      <c r="K3755">
        <v>0</v>
      </c>
    </row>
    <row r="3756" spans="1:11" x14ac:dyDescent="0.2">
      <c r="A3756" t="s">
        <v>16</v>
      </c>
      <c r="B3756" t="s">
        <v>4950</v>
      </c>
      <c r="C3756">
        <v>270</v>
      </c>
      <c r="D3756" t="s">
        <v>8235</v>
      </c>
      <c r="E3756" t="s">
        <v>49</v>
      </c>
      <c r="F3756">
        <v>1</v>
      </c>
      <c r="G3756">
        <v>0.91927767354596612</v>
      </c>
      <c r="H3756" t="s">
        <v>100</v>
      </c>
      <c r="I3756">
        <v>0</v>
      </c>
      <c r="J3756">
        <v>0</v>
      </c>
      <c r="K3756">
        <v>0</v>
      </c>
    </row>
    <row r="3757" spans="1:11" x14ac:dyDescent="0.2">
      <c r="A3757" t="s">
        <v>16</v>
      </c>
      <c r="B3757" t="s">
        <v>832</v>
      </c>
      <c r="C3757">
        <v>440</v>
      </c>
      <c r="D3757" t="s">
        <v>8237</v>
      </c>
      <c r="E3757" t="s">
        <v>49</v>
      </c>
      <c r="F3757">
        <v>6</v>
      </c>
      <c r="G3757">
        <v>0.63225627279093921</v>
      </c>
      <c r="H3757" t="s">
        <v>101</v>
      </c>
      <c r="I3757">
        <v>0</v>
      </c>
      <c r="J3757">
        <v>0</v>
      </c>
      <c r="K3757">
        <v>0</v>
      </c>
    </row>
    <row r="3758" spans="1:11" x14ac:dyDescent="0.2">
      <c r="A3758" t="s">
        <v>16</v>
      </c>
      <c r="B3758" t="s">
        <v>628</v>
      </c>
      <c r="C3758">
        <v>600</v>
      </c>
      <c r="D3758" t="s">
        <v>8239</v>
      </c>
      <c r="E3758" t="s">
        <v>49</v>
      </c>
      <c r="F3758">
        <v>3</v>
      </c>
      <c r="G3758">
        <v>1.1222835704678982</v>
      </c>
      <c r="H3758" t="s">
        <v>104</v>
      </c>
      <c r="I3758">
        <v>0</v>
      </c>
      <c r="J3758">
        <v>0</v>
      </c>
      <c r="K3758">
        <v>0</v>
      </c>
    </row>
    <row r="3759" spans="1:11" x14ac:dyDescent="0.2">
      <c r="A3759" t="s">
        <v>16</v>
      </c>
      <c r="B3759" t="s">
        <v>628</v>
      </c>
      <c r="C3759">
        <v>200</v>
      </c>
      <c r="D3759" t="s">
        <v>8240</v>
      </c>
      <c r="E3759" t="s">
        <v>49</v>
      </c>
      <c r="F3759">
        <v>3</v>
      </c>
      <c r="G3759">
        <v>0.37409452348929945</v>
      </c>
      <c r="H3759" t="s">
        <v>84</v>
      </c>
      <c r="I3759">
        <v>0</v>
      </c>
      <c r="J3759">
        <v>0</v>
      </c>
      <c r="K3759">
        <v>0</v>
      </c>
    </row>
    <row r="3760" spans="1:11" x14ac:dyDescent="0.2">
      <c r="A3760" t="s">
        <v>16</v>
      </c>
      <c r="B3760" t="s">
        <v>628</v>
      </c>
      <c r="C3760">
        <v>600</v>
      </c>
      <c r="D3760" t="s">
        <v>8238</v>
      </c>
      <c r="E3760" t="s">
        <v>49</v>
      </c>
      <c r="F3760">
        <v>3</v>
      </c>
      <c r="G3760">
        <v>1.1222835704678982</v>
      </c>
      <c r="H3760" t="s">
        <v>89</v>
      </c>
      <c r="I3760">
        <v>0</v>
      </c>
      <c r="J3760">
        <v>0</v>
      </c>
      <c r="K3760">
        <v>0</v>
      </c>
    </row>
    <row r="3761" spans="1:11" x14ac:dyDescent="0.2">
      <c r="A3761" t="s">
        <v>16</v>
      </c>
      <c r="B3761" t="s">
        <v>609</v>
      </c>
      <c r="C3761">
        <v>600</v>
      </c>
      <c r="D3761" t="s">
        <v>8242</v>
      </c>
      <c r="E3761" t="s">
        <v>49</v>
      </c>
      <c r="F3761">
        <v>9</v>
      </c>
      <c r="G3761">
        <v>0.60856385117171807</v>
      </c>
      <c r="H3761" t="s">
        <v>87</v>
      </c>
      <c r="I3761">
        <v>0</v>
      </c>
      <c r="J3761">
        <v>0</v>
      </c>
      <c r="K3761">
        <v>0</v>
      </c>
    </row>
    <row r="3762" spans="1:11" x14ac:dyDescent="0.2">
      <c r="A3762" t="s">
        <v>16</v>
      </c>
      <c r="B3762" t="s">
        <v>609</v>
      </c>
      <c r="C3762">
        <v>600</v>
      </c>
      <c r="D3762" t="s">
        <v>8241</v>
      </c>
      <c r="E3762" t="s">
        <v>49</v>
      </c>
      <c r="F3762">
        <v>9</v>
      </c>
      <c r="G3762">
        <v>0.60856385117171807</v>
      </c>
      <c r="H3762" t="s">
        <v>96</v>
      </c>
      <c r="I3762">
        <v>0</v>
      </c>
      <c r="J3762">
        <v>0</v>
      </c>
      <c r="K3762">
        <v>0</v>
      </c>
    </row>
    <row r="3763" spans="1:11" x14ac:dyDescent="0.2">
      <c r="A3763" t="s">
        <v>16</v>
      </c>
      <c r="B3763" t="s">
        <v>814</v>
      </c>
      <c r="C3763">
        <v>900</v>
      </c>
      <c r="D3763" t="s">
        <v>8244</v>
      </c>
      <c r="E3763" t="s">
        <v>49</v>
      </c>
      <c r="F3763">
        <v>10</v>
      </c>
      <c r="G3763">
        <v>0.42599998885185231</v>
      </c>
      <c r="H3763" t="s">
        <v>95</v>
      </c>
      <c r="I3763">
        <v>0</v>
      </c>
      <c r="J3763">
        <v>0</v>
      </c>
      <c r="K3763">
        <v>0</v>
      </c>
    </row>
    <row r="3764" spans="1:11" x14ac:dyDescent="0.2">
      <c r="A3764" t="s">
        <v>16</v>
      </c>
      <c r="B3764" t="s">
        <v>814</v>
      </c>
      <c r="C3764">
        <v>300</v>
      </c>
      <c r="D3764" t="s">
        <v>8243</v>
      </c>
      <c r="E3764" t="s">
        <v>49</v>
      </c>
      <c r="F3764">
        <v>10</v>
      </c>
      <c r="G3764">
        <v>0.14199999628395077</v>
      </c>
      <c r="H3764" t="s">
        <v>92</v>
      </c>
      <c r="I3764">
        <v>0</v>
      </c>
      <c r="J3764">
        <v>0</v>
      </c>
      <c r="K3764">
        <v>0</v>
      </c>
    </row>
    <row r="3765" spans="1:11" x14ac:dyDescent="0.2">
      <c r="A3765" t="s">
        <v>16</v>
      </c>
      <c r="B3765" t="s">
        <v>808</v>
      </c>
      <c r="C3765">
        <v>900</v>
      </c>
      <c r="D3765" t="s">
        <v>8245</v>
      </c>
      <c r="E3765" t="s">
        <v>49</v>
      </c>
      <c r="F3765">
        <v>10</v>
      </c>
      <c r="G3765">
        <v>0.50895722432108303</v>
      </c>
      <c r="H3765" t="s">
        <v>90</v>
      </c>
      <c r="I3765">
        <v>0</v>
      </c>
      <c r="J3765">
        <v>0</v>
      </c>
      <c r="K3765">
        <v>0</v>
      </c>
    </row>
    <row r="3766" spans="1:11" x14ac:dyDescent="0.2">
      <c r="A3766" t="s">
        <v>16</v>
      </c>
      <c r="B3766" t="s">
        <v>808</v>
      </c>
      <c r="C3766">
        <v>300</v>
      </c>
      <c r="D3766" t="s">
        <v>8246</v>
      </c>
      <c r="E3766" t="s">
        <v>49</v>
      </c>
      <c r="F3766">
        <v>10</v>
      </c>
      <c r="G3766">
        <v>0.16965240810702767</v>
      </c>
      <c r="H3766" t="s">
        <v>92</v>
      </c>
      <c r="I3766">
        <v>0</v>
      </c>
      <c r="J3766">
        <v>0</v>
      </c>
      <c r="K3766">
        <v>0</v>
      </c>
    </row>
    <row r="3767" spans="1:11" x14ac:dyDescent="0.2">
      <c r="A3767" t="s">
        <v>16</v>
      </c>
      <c r="B3767" t="s">
        <v>621</v>
      </c>
      <c r="C3767">
        <v>60</v>
      </c>
      <c r="D3767" t="s">
        <v>8248</v>
      </c>
      <c r="E3767" t="s">
        <v>49</v>
      </c>
      <c r="F3767">
        <v>3</v>
      </c>
      <c r="G3767">
        <v>0.15583116425705917</v>
      </c>
      <c r="H3767" t="s">
        <v>84</v>
      </c>
      <c r="I3767">
        <v>0</v>
      </c>
      <c r="J3767">
        <v>0</v>
      </c>
      <c r="K3767">
        <v>0</v>
      </c>
    </row>
    <row r="3768" spans="1:11" x14ac:dyDescent="0.2">
      <c r="A3768" t="s">
        <v>16</v>
      </c>
      <c r="B3768" t="s">
        <v>621</v>
      </c>
      <c r="C3768">
        <v>120</v>
      </c>
      <c r="D3768" t="s">
        <v>8247</v>
      </c>
      <c r="E3768" t="s">
        <v>49</v>
      </c>
      <c r="F3768">
        <v>3</v>
      </c>
      <c r="G3768">
        <v>0.31166232851411835</v>
      </c>
      <c r="H3768" t="s">
        <v>103</v>
      </c>
      <c r="I3768">
        <v>0</v>
      </c>
      <c r="J3768">
        <v>0</v>
      </c>
      <c r="K3768">
        <v>0</v>
      </c>
    </row>
    <row r="3769" spans="1:11" x14ac:dyDescent="0.2">
      <c r="A3769" t="s">
        <v>16</v>
      </c>
      <c r="B3769" t="s">
        <v>600</v>
      </c>
      <c r="C3769">
        <v>180</v>
      </c>
      <c r="D3769" t="s">
        <v>8249</v>
      </c>
      <c r="E3769" t="s">
        <v>49</v>
      </c>
      <c r="F3769">
        <v>4</v>
      </c>
      <c r="G3769">
        <v>0.55999527782150171</v>
      </c>
      <c r="H3769" t="s">
        <v>84</v>
      </c>
      <c r="I3769">
        <v>0</v>
      </c>
      <c r="J3769">
        <v>0</v>
      </c>
      <c r="K3769">
        <v>0</v>
      </c>
    </row>
    <row r="3770" spans="1:11" x14ac:dyDescent="0.2">
      <c r="A3770" t="s">
        <v>16</v>
      </c>
      <c r="B3770" t="s">
        <v>864</v>
      </c>
      <c r="C3770">
        <v>750</v>
      </c>
      <c r="D3770" t="s">
        <v>8250</v>
      </c>
      <c r="E3770" t="s">
        <v>49</v>
      </c>
      <c r="F3770">
        <v>5</v>
      </c>
      <c r="G3770">
        <v>0.91058052434456938</v>
      </c>
      <c r="H3770" t="s">
        <v>95</v>
      </c>
      <c r="I3770">
        <v>0</v>
      </c>
      <c r="J3770">
        <v>0</v>
      </c>
      <c r="K3770">
        <v>0</v>
      </c>
    </row>
    <row r="3771" spans="1:11" x14ac:dyDescent="0.2">
      <c r="A3771" t="s">
        <v>16</v>
      </c>
      <c r="B3771" t="s">
        <v>886</v>
      </c>
      <c r="C3771">
        <v>1080</v>
      </c>
      <c r="D3771" t="s">
        <v>8251</v>
      </c>
      <c r="E3771" t="s">
        <v>49</v>
      </c>
      <c r="F3771">
        <v>3</v>
      </c>
      <c r="G3771">
        <v>1.5538639035221387</v>
      </c>
      <c r="H3771" t="s">
        <v>92</v>
      </c>
      <c r="I3771">
        <v>0</v>
      </c>
      <c r="J3771">
        <v>0</v>
      </c>
      <c r="K3771">
        <v>0</v>
      </c>
    </row>
    <row r="3772" spans="1:11" x14ac:dyDescent="0.2">
      <c r="A3772" t="s">
        <v>16</v>
      </c>
      <c r="B3772" t="s">
        <v>816</v>
      </c>
      <c r="C3772">
        <v>100</v>
      </c>
      <c r="D3772" t="s">
        <v>8252</v>
      </c>
      <c r="E3772" t="s">
        <v>49</v>
      </c>
      <c r="F3772">
        <v>5</v>
      </c>
      <c r="G3772">
        <v>0.25899759074664014</v>
      </c>
      <c r="H3772" t="s">
        <v>101</v>
      </c>
      <c r="I3772">
        <v>0</v>
      </c>
      <c r="J3772">
        <v>0</v>
      </c>
      <c r="K3772">
        <v>0</v>
      </c>
    </row>
    <row r="3773" spans="1:11" x14ac:dyDescent="0.2">
      <c r="A3773" t="s">
        <v>16</v>
      </c>
      <c r="B3773" t="s">
        <v>371</v>
      </c>
      <c r="C3773">
        <v>50</v>
      </c>
      <c r="D3773" t="s">
        <v>8253</v>
      </c>
      <c r="E3773" t="s">
        <v>49</v>
      </c>
      <c r="F3773">
        <v>4</v>
      </c>
      <c r="G3773">
        <v>0.12054165119543263</v>
      </c>
      <c r="H3773" t="s">
        <v>87</v>
      </c>
      <c r="I3773">
        <v>0</v>
      </c>
      <c r="J3773">
        <v>0</v>
      </c>
      <c r="K3773">
        <v>0</v>
      </c>
    </row>
    <row r="3774" spans="1:11" x14ac:dyDescent="0.2">
      <c r="A3774" t="s">
        <v>16</v>
      </c>
      <c r="B3774" t="s">
        <v>371</v>
      </c>
      <c r="C3774">
        <v>150</v>
      </c>
      <c r="D3774" t="s">
        <v>8254</v>
      </c>
      <c r="E3774" t="s">
        <v>49</v>
      </c>
      <c r="F3774">
        <v>4</v>
      </c>
      <c r="G3774">
        <v>0.36162495358629787</v>
      </c>
      <c r="H3774" t="s">
        <v>103</v>
      </c>
      <c r="I3774">
        <v>0</v>
      </c>
      <c r="J3774">
        <v>0</v>
      </c>
      <c r="K3774">
        <v>0</v>
      </c>
    </row>
    <row r="3775" spans="1:11" x14ac:dyDescent="0.2">
      <c r="A3775" t="s">
        <v>16</v>
      </c>
      <c r="B3775" t="s">
        <v>645</v>
      </c>
      <c r="C3775">
        <v>200</v>
      </c>
      <c r="D3775" t="s">
        <v>8255</v>
      </c>
      <c r="E3775" t="s">
        <v>49</v>
      </c>
      <c r="F3775">
        <v>5</v>
      </c>
      <c r="G3775">
        <v>0.19457960671640639</v>
      </c>
      <c r="H3775" t="s">
        <v>96</v>
      </c>
      <c r="I3775">
        <v>0</v>
      </c>
      <c r="J3775">
        <v>0</v>
      </c>
      <c r="K3775">
        <v>0</v>
      </c>
    </row>
    <row r="3776" spans="1:11" x14ac:dyDescent="0.2">
      <c r="A3776" t="s">
        <v>16</v>
      </c>
      <c r="B3776" t="s">
        <v>529</v>
      </c>
      <c r="C3776">
        <v>110</v>
      </c>
      <c r="D3776" t="s">
        <v>8258</v>
      </c>
      <c r="E3776" t="s">
        <v>49</v>
      </c>
      <c r="F3776">
        <v>8</v>
      </c>
      <c r="G3776">
        <v>0.36528641841733539</v>
      </c>
      <c r="H3776" t="s">
        <v>90</v>
      </c>
      <c r="I3776">
        <v>0</v>
      </c>
      <c r="J3776">
        <v>0</v>
      </c>
      <c r="K3776">
        <v>0</v>
      </c>
    </row>
    <row r="3777" spans="1:11" x14ac:dyDescent="0.2">
      <c r="A3777" t="s">
        <v>16</v>
      </c>
      <c r="B3777" t="s">
        <v>529</v>
      </c>
      <c r="C3777">
        <v>330</v>
      </c>
      <c r="D3777" t="s">
        <v>8260</v>
      </c>
      <c r="E3777" t="s">
        <v>49</v>
      </c>
      <c r="F3777">
        <v>8</v>
      </c>
      <c r="G3777">
        <v>1.0958592552520061</v>
      </c>
      <c r="H3777" t="s">
        <v>87</v>
      </c>
      <c r="I3777">
        <v>0</v>
      </c>
      <c r="J3777">
        <v>0</v>
      </c>
      <c r="K3777">
        <v>0</v>
      </c>
    </row>
    <row r="3778" spans="1:11" x14ac:dyDescent="0.2">
      <c r="A3778" t="s">
        <v>16</v>
      </c>
      <c r="B3778" t="s">
        <v>529</v>
      </c>
      <c r="C3778">
        <v>110</v>
      </c>
      <c r="D3778" t="s">
        <v>8256</v>
      </c>
      <c r="E3778" t="s">
        <v>49</v>
      </c>
      <c r="F3778">
        <v>8</v>
      </c>
      <c r="G3778">
        <v>0.36528641841733539</v>
      </c>
      <c r="H3778" t="s">
        <v>101</v>
      </c>
      <c r="I3778">
        <v>0</v>
      </c>
      <c r="J3778">
        <v>0</v>
      </c>
      <c r="K3778">
        <v>0</v>
      </c>
    </row>
    <row r="3779" spans="1:11" x14ac:dyDescent="0.2">
      <c r="A3779" t="s">
        <v>16</v>
      </c>
      <c r="B3779" t="s">
        <v>529</v>
      </c>
      <c r="C3779">
        <v>330</v>
      </c>
      <c r="D3779" t="s">
        <v>8257</v>
      </c>
      <c r="E3779" t="s">
        <v>49</v>
      </c>
      <c r="F3779">
        <v>8</v>
      </c>
      <c r="G3779">
        <v>1.0958592552520061</v>
      </c>
      <c r="H3779" t="s">
        <v>96</v>
      </c>
      <c r="I3779">
        <v>0</v>
      </c>
      <c r="J3779">
        <v>0</v>
      </c>
      <c r="K3779">
        <v>0</v>
      </c>
    </row>
    <row r="3780" spans="1:11" x14ac:dyDescent="0.2">
      <c r="A3780" t="s">
        <v>16</v>
      </c>
      <c r="B3780" t="s">
        <v>529</v>
      </c>
      <c r="C3780">
        <v>330</v>
      </c>
      <c r="D3780" t="s">
        <v>8261</v>
      </c>
      <c r="E3780" t="s">
        <v>49</v>
      </c>
      <c r="F3780">
        <v>8</v>
      </c>
      <c r="G3780">
        <v>1.0958592552520061</v>
      </c>
      <c r="H3780" t="s">
        <v>103</v>
      </c>
      <c r="I3780">
        <v>0</v>
      </c>
      <c r="J3780">
        <v>0</v>
      </c>
      <c r="K3780">
        <v>0</v>
      </c>
    </row>
    <row r="3781" spans="1:11" x14ac:dyDescent="0.2">
      <c r="A3781" t="s">
        <v>16</v>
      </c>
      <c r="B3781" t="s">
        <v>529</v>
      </c>
      <c r="C3781">
        <v>330</v>
      </c>
      <c r="D3781" t="s">
        <v>8259</v>
      </c>
      <c r="E3781" t="s">
        <v>49</v>
      </c>
      <c r="F3781">
        <v>8</v>
      </c>
      <c r="G3781">
        <v>1.0958592552520061</v>
      </c>
      <c r="H3781" t="s">
        <v>84</v>
      </c>
      <c r="I3781">
        <v>0</v>
      </c>
      <c r="J3781">
        <v>0</v>
      </c>
      <c r="K3781">
        <v>0</v>
      </c>
    </row>
    <row r="3782" spans="1:11" x14ac:dyDescent="0.2">
      <c r="A3782" t="s">
        <v>16</v>
      </c>
      <c r="B3782" t="s">
        <v>516</v>
      </c>
      <c r="C3782">
        <v>340</v>
      </c>
      <c r="D3782" t="s">
        <v>8262</v>
      </c>
      <c r="E3782" t="s">
        <v>49</v>
      </c>
      <c r="F3782">
        <v>5</v>
      </c>
      <c r="G3782">
        <v>0.2256740015349149</v>
      </c>
      <c r="H3782" t="s">
        <v>90</v>
      </c>
      <c r="I3782">
        <v>0</v>
      </c>
      <c r="J3782">
        <v>0</v>
      </c>
      <c r="K3782">
        <v>0</v>
      </c>
    </row>
    <row r="3783" spans="1:11" x14ac:dyDescent="0.2">
      <c r="A3783" t="s">
        <v>16</v>
      </c>
      <c r="B3783" t="s">
        <v>516</v>
      </c>
      <c r="C3783">
        <v>1020</v>
      </c>
      <c r="D3783" t="s">
        <v>8263</v>
      </c>
      <c r="E3783" t="s">
        <v>49</v>
      </c>
      <c r="F3783">
        <v>5</v>
      </c>
      <c r="G3783">
        <v>0.67702200460474471</v>
      </c>
      <c r="H3783" t="s">
        <v>104</v>
      </c>
      <c r="I3783">
        <v>0</v>
      </c>
      <c r="J3783">
        <v>0</v>
      </c>
      <c r="K3783">
        <v>0</v>
      </c>
    </row>
    <row r="3784" spans="1:11" x14ac:dyDescent="0.2">
      <c r="A3784" t="s">
        <v>16</v>
      </c>
      <c r="B3784" t="s">
        <v>850</v>
      </c>
      <c r="C3784">
        <v>1020</v>
      </c>
      <c r="D3784" t="s">
        <v>8269</v>
      </c>
      <c r="E3784" t="s">
        <v>49</v>
      </c>
      <c r="F3784">
        <v>5</v>
      </c>
      <c r="G3784">
        <v>0.98799922557805064</v>
      </c>
      <c r="H3784" t="s">
        <v>89</v>
      </c>
      <c r="I3784">
        <v>0</v>
      </c>
      <c r="J3784">
        <v>0</v>
      </c>
      <c r="K3784">
        <v>0</v>
      </c>
    </row>
    <row r="3785" spans="1:11" x14ac:dyDescent="0.2">
      <c r="A3785" t="s">
        <v>16</v>
      </c>
      <c r="B3785" t="s">
        <v>850</v>
      </c>
      <c r="C3785">
        <v>1020</v>
      </c>
      <c r="D3785" t="s">
        <v>8273</v>
      </c>
      <c r="E3785" t="s">
        <v>49</v>
      </c>
      <c r="F3785">
        <v>5</v>
      </c>
      <c r="G3785">
        <v>0.98799922557805064</v>
      </c>
      <c r="H3785" t="s">
        <v>94</v>
      </c>
      <c r="I3785">
        <v>0</v>
      </c>
      <c r="J3785">
        <v>0</v>
      </c>
      <c r="K3785">
        <v>0</v>
      </c>
    </row>
    <row r="3786" spans="1:11" x14ac:dyDescent="0.2">
      <c r="A3786" t="s">
        <v>16</v>
      </c>
      <c r="B3786" t="s">
        <v>850</v>
      </c>
      <c r="C3786">
        <v>1020</v>
      </c>
      <c r="D3786" t="s">
        <v>8272</v>
      </c>
      <c r="E3786" t="s">
        <v>49</v>
      </c>
      <c r="F3786">
        <v>5</v>
      </c>
      <c r="G3786">
        <v>0.98799922557805064</v>
      </c>
      <c r="H3786" t="s">
        <v>101</v>
      </c>
      <c r="I3786">
        <v>0</v>
      </c>
      <c r="J3786">
        <v>0</v>
      </c>
      <c r="K3786">
        <v>0</v>
      </c>
    </row>
    <row r="3787" spans="1:11" x14ac:dyDescent="0.2">
      <c r="A3787" t="s">
        <v>16</v>
      </c>
      <c r="B3787" t="s">
        <v>850</v>
      </c>
      <c r="C3787">
        <v>1020</v>
      </c>
      <c r="D3787" t="s">
        <v>8265</v>
      </c>
      <c r="E3787" t="s">
        <v>49</v>
      </c>
      <c r="F3787">
        <v>5</v>
      </c>
      <c r="G3787">
        <v>0.98799922557805064</v>
      </c>
      <c r="H3787" t="s">
        <v>90</v>
      </c>
      <c r="I3787">
        <v>0</v>
      </c>
      <c r="J3787">
        <v>0</v>
      </c>
      <c r="K3787">
        <v>0</v>
      </c>
    </row>
    <row r="3788" spans="1:11" x14ac:dyDescent="0.2">
      <c r="A3788" t="s">
        <v>16</v>
      </c>
      <c r="B3788" t="s">
        <v>850</v>
      </c>
      <c r="C3788">
        <v>1020</v>
      </c>
      <c r="D3788" t="s">
        <v>8267</v>
      </c>
      <c r="E3788" t="s">
        <v>49</v>
      </c>
      <c r="F3788">
        <v>5</v>
      </c>
      <c r="G3788">
        <v>0.98799922557805064</v>
      </c>
      <c r="H3788" t="s">
        <v>95</v>
      </c>
      <c r="I3788">
        <v>0</v>
      </c>
      <c r="J3788">
        <v>0</v>
      </c>
      <c r="K3788">
        <v>0</v>
      </c>
    </row>
    <row r="3789" spans="1:11" x14ac:dyDescent="0.2">
      <c r="A3789" t="s">
        <v>16</v>
      </c>
      <c r="B3789" t="s">
        <v>850</v>
      </c>
      <c r="C3789">
        <v>1020</v>
      </c>
      <c r="D3789" t="s">
        <v>8270</v>
      </c>
      <c r="E3789" t="s">
        <v>49</v>
      </c>
      <c r="F3789">
        <v>5</v>
      </c>
      <c r="G3789">
        <v>0.98799922557805064</v>
      </c>
      <c r="H3789" t="s">
        <v>89</v>
      </c>
      <c r="I3789">
        <v>0</v>
      </c>
      <c r="J3789">
        <v>0</v>
      </c>
      <c r="K3789">
        <v>0</v>
      </c>
    </row>
    <row r="3790" spans="1:11" x14ac:dyDescent="0.2">
      <c r="A3790" t="s">
        <v>16</v>
      </c>
      <c r="B3790" t="s">
        <v>850</v>
      </c>
      <c r="C3790">
        <v>1020</v>
      </c>
      <c r="D3790" t="s">
        <v>8268</v>
      </c>
      <c r="E3790" t="s">
        <v>49</v>
      </c>
      <c r="F3790">
        <v>5</v>
      </c>
      <c r="G3790">
        <v>0.98799922557805064</v>
      </c>
      <c r="H3790" t="s">
        <v>94</v>
      </c>
      <c r="I3790">
        <v>0</v>
      </c>
      <c r="J3790">
        <v>0</v>
      </c>
      <c r="K3790">
        <v>0</v>
      </c>
    </row>
    <row r="3791" spans="1:11" x14ac:dyDescent="0.2">
      <c r="A3791" t="s">
        <v>16</v>
      </c>
      <c r="B3791" t="s">
        <v>850</v>
      </c>
      <c r="C3791">
        <v>1020</v>
      </c>
      <c r="D3791" t="s">
        <v>8266</v>
      </c>
      <c r="E3791" t="s">
        <v>49</v>
      </c>
      <c r="F3791">
        <v>5</v>
      </c>
      <c r="G3791">
        <v>0.98799922557805064</v>
      </c>
      <c r="H3791" t="s">
        <v>101</v>
      </c>
      <c r="I3791">
        <v>0</v>
      </c>
      <c r="J3791">
        <v>0</v>
      </c>
      <c r="K3791">
        <v>0</v>
      </c>
    </row>
    <row r="3792" spans="1:11" x14ac:dyDescent="0.2">
      <c r="A3792" t="s">
        <v>16</v>
      </c>
      <c r="B3792" t="s">
        <v>850</v>
      </c>
      <c r="C3792">
        <v>340</v>
      </c>
      <c r="D3792" t="s">
        <v>8271</v>
      </c>
      <c r="E3792" t="s">
        <v>49</v>
      </c>
      <c r="F3792">
        <v>5</v>
      </c>
      <c r="G3792">
        <v>0.32933307519268357</v>
      </c>
      <c r="H3792" t="s">
        <v>90</v>
      </c>
      <c r="I3792">
        <v>0</v>
      </c>
      <c r="J3792">
        <v>0</v>
      </c>
      <c r="K3792">
        <v>0</v>
      </c>
    </row>
    <row r="3793" spans="1:11" x14ac:dyDescent="0.2">
      <c r="A3793" t="s">
        <v>16</v>
      </c>
      <c r="B3793" t="s">
        <v>850</v>
      </c>
      <c r="C3793">
        <v>1020</v>
      </c>
      <c r="D3793" t="s">
        <v>8264</v>
      </c>
      <c r="E3793" t="s">
        <v>49</v>
      </c>
      <c r="F3793">
        <v>5</v>
      </c>
      <c r="G3793">
        <v>0.98799922557805064</v>
      </c>
      <c r="H3793" t="s">
        <v>95</v>
      </c>
      <c r="I3793">
        <v>0</v>
      </c>
      <c r="J3793">
        <v>0</v>
      </c>
      <c r="K3793">
        <v>0</v>
      </c>
    </row>
    <row r="3794" spans="1:11" x14ac:dyDescent="0.2">
      <c r="A3794" t="s">
        <v>16</v>
      </c>
      <c r="B3794" t="s">
        <v>850</v>
      </c>
      <c r="C3794">
        <v>1020</v>
      </c>
      <c r="D3794" t="s">
        <v>8274</v>
      </c>
      <c r="E3794" t="s">
        <v>49</v>
      </c>
      <c r="F3794">
        <v>5</v>
      </c>
      <c r="G3794">
        <v>0.98799922557805064</v>
      </c>
      <c r="H3794" t="s">
        <v>90</v>
      </c>
      <c r="I3794">
        <v>0</v>
      </c>
      <c r="J3794">
        <v>0</v>
      </c>
      <c r="K3794">
        <v>0</v>
      </c>
    </row>
    <row r="3795" spans="1:11" x14ac:dyDescent="0.2">
      <c r="A3795" t="s">
        <v>16</v>
      </c>
      <c r="B3795" t="s">
        <v>898</v>
      </c>
      <c r="C3795">
        <v>540</v>
      </c>
      <c r="D3795" t="s">
        <v>8292</v>
      </c>
      <c r="E3795" t="s">
        <v>49</v>
      </c>
      <c r="F3795">
        <v>6</v>
      </c>
      <c r="G3795">
        <v>0.22145435807186509</v>
      </c>
      <c r="H3795" t="s">
        <v>97</v>
      </c>
      <c r="I3795">
        <v>0</v>
      </c>
      <c r="J3795">
        <v>0</v>
      </c>
      <c r="K3795">
        <v>0</v>
      </c>
    </row>
    <row r="3796" spans="1:11" x14ac:dyDescent="0.2">
      <c r="A3796" t="s">
        <v>16</v>
      </c>
      <c r="B3796" t="s">
        <v>898</v>
      </c>
      <c r="C3796">
        <v>540</v>
      </c>
      <c r="D3796" t="s">
        <v>8290</v>
      </c>
      <c r="E3796" t="s">
        <v>49</v>
      </c>
      <c r="F3796">
        <v>6</v>
      </c>
      <c r="G3796">
        <v>0.22145435807186509</v>
      </c>
      <c r="H3796" t="s">
        <v>105</v>
      </c>
      <c r="I3796">
        <v>0</v>
      </c>
      <c r="J3796">
        <v>0</v>
      </c>
      <c r="K3796">
        <v>0</v>
      </c>
    </row>
    <row r="3797" spans="1:11" x14ac:dyDescent="0.2">
      <c r="A3797" t="s">
        <v>16</v>
      </c>
      <c r="B3797" t="s">
        <v>898</v>
      </c>
      <c r="C3797">
        <v>540</v>
      </c>
      <c r="D3797" t="s">
        <v>8287</v>
      </c>
      <c r="E3797" t="s">
        <v>49</v>
      </c>
      <c r="F3797">
        <v>6</v>
      </c>
      <c r="G3797">
        <v>0.22145435807186509</v>
      </c>
      <c r="H3797" t="s">
        <v>104</v>
      </c>
      <c r="I3797">
        <v>0</v>
      </c>
      <c r="J3797">
        <v>0</v>
      </c>
      <c r="K3797">
        <v>0</v>
      </c>
    </row>
    <row r="3798" spans="1:11" x14ac:dyDescent="0.2">
      <c r="A3798" t="s">
        <v>16</v>
      </c>
      <c r="B3798" t="s">
        <v>898</v>
      </c>
      <c r="C3798">
        <v>540</v>
      </c>
      <c r="D3798" t="s">
        <v>8293</v>
      </c>
      <c r="E3798" t="s">
        <v>49</v>
      </c>
      <c r="F3798">
        <v>6</v>
      </c>
      <c r="G3798">
        <v>0.22145435807186509</v>
      </c>
      <c r="H3798" t="s">
        <v>91</v>
      </c>
      <c r="I3798">
        <v>0</v>
      </c>
      <c r="J3798">
        <v>0</v>
      </c>
      <c r="K3798">
        <v>0</v>
      </c>
    </row>
    <row r="3799" spans="1:11" x14ac:dyDescent="0.2">
      <c r="A3799" t="s">
        <v>16</v>
      </c>
      <c r="B3799" t="s">
        <v>898</v>
      </c>
      <c r="C3799">
        <v>540</v>
      </c>
      <c r="D3799" t="s">
        <v>8286</v>
      </c>
      <c r="E3799" t="s">
        <v>49</v>
      </c>
      <c r="F3799">
        <v>6</v>
      </c>
      <c r="G3799">
        <v>0.22145435807186509</v>
      </c>
      <c r="H3799" t="s">
        <v>99</v>
      </c>
      <c r="I3799">
        <v>0</v>
      </c>
      <c r="J3799">
        <v>0</v>
      </c>
      <c r="K3799">
        <v>0</v>
      </c>
    </row>
    <row r="3800" spans="1:11" x14ac:dyDescent="0.2">
      <c r="A3800" t="s">
        <v>16</v>
      </c>
      <c r="B3800" t="s">
        <v>898</v>
      </c>
      <c r="C3800">
        <v>540</v>
      </c>
      <c r="D3800" t="s">
        <v>8281</v>
      </c>
      <c r="E3800" t="s">
        <v>49</v>
      </c>
      <c r="F3800">
        <v>6</v>
      </c>
      <c r="G3800">
        <v>0.22145435807186509</v>
      </c>
      <c r="H3800" t="s">
        <v>93</v>
      </c>
      <c r="I3800">
        <v>0</v>
      </c>
      <c r="J3800">
        <v>0</v>
      </c>
      <c r="K3800">
        <v>0</v>
      </c>
    </row>
    <row r="3801" spans="1:11" x14ac:dyDescent="0.2">
      <c r="A3801" t="s">
        <v>16</v>
      </c>
      <c r="B3801" t="s">
        <v>898</v>
      </c>
      <c r="C3801">
        <v>540</v>
      </c>
      <c r="D3801" t="s">
        <v>8279</v>
      </c>
      <c r="E3801" t="s">
        <v>49</v>
      </c>
      <c r="F3801">
        <v>6</v>
      </c>
      <c r="G3801">
        <v>0.22145435807186509</v>
      </c>
      <c r="H3801" t="s">
        <v>97</v>
      </c>
      <c r="I3801">
        <v>0</v>
      </c>
      <c r="J3801">
        <v>0</v>
      </c>
      <c r="K3801">
        <v>0</v>
      </c>
    </row>
    <row r="3802" spans="1:11" x14ac:dyDescent="0.2">
      <c r="A3802" t="s">
        <v>16</v>
      </c>
      <c r="B3802" t="s">
        <v>898</v>
      </c>
      <c r="C3802">
        <v>540</v>
      </c>
      <c r="D3802" t="s">
        <v>8278</v>
      </c>
      <c r="E3802" t="s">
        <v>49</v>
      </c>
      <c r="F3802">
        <v>6</v>
      </c>
      <c r="G3802">
        <v>0.22145435807186509</v>
      </c>
      <c r="H3802" t="s">
        <v>105</v>
      </c>
      <c r="I3802">
        <v>0</v>
      </c>
      <c r="J3802">
        <v>0</v>
      </c>
      <c r="K3802">
        <v>0</v>
      </c>
    </row>
    <row r="3803" spans="1:11" x14ac:dyDescent="0.2">
      <c r="A3803" t="s">
        <v>16</v>
      </c>
      <c r="B3803" t="s">
        <v>898</v>
      </c>
      <c r="C3803">
        <v>540</v>
      </c>
      <c r="D3803" t="s">
        <v>8288</v>
      </c>
      <c r="E3803" t="s">
        <v>49</v>
      </c>
      <c r="F3803">
        <v>6</v>
      </c>
      <c r="G3803">
        <v>0.22145435807186509</v>
      </c>
      <c r="H3803" t="s">
        <v>104</v>
      </c>
      <c r="I3803">
        <v>0</v>
      </c>
      <c r="J3803">
        <v>0</v>
      </c>
      <c r="K3803">
        <v>0</v>
      </c>
    </row>
    <row r="3804" spans="1:11" x14ac:dyDescent="0.2">
      <c r="A3804" t="s">
        <v>16</v>
      </c>
      <c r="B3804" t="s">
        <v>898</v>
      </c>
      <c r="C3804">
        <v>540</v>
      </c>
      <c r="D3804" t="s">
        <v>8282</v>
      </c>
      <c r="E3804" t="s">
        <v>49</v>
      </c>
      <c r="F3804">
        <v>6</v>
      </c>
      <c r="G3804">
        <v>0.22145435807186509</v>
      </c>
      <c r="H3804" t="s">
        <v>91</v>
      </c>
      <c r="I3804">
        <v>0</v>
      </c>
      <c r="J3804">
        <v>0</v>
      </c>
      <c r="K3804">
        <v>0</v>
      </c>
    </row>
    <row r="3805" spans="1:11" x14ac:dyDescent="0.2">
      <c r="A3805" t="s">
        <v>16</v>
      </c>
      <c r="B3805" t="s">
        <v>898</v>
      </c>
      <c r="C3805">
        <v>180</v>
      </c>
      <c r="D3805" t="s">
        <v>8275</v>
      </c>
      <c r="E3805" t="s">
        <v>49</v>
      </c>
      <c r="F3805">
        <v>6</v>
      </c>
      <c r="G3805">
        <v>7.3818119357288353E-2</v>
      </c>
      <c r="H3805" t="s">
        <v>99</v>
      </c>
      <c r="I3805">
        <v>0</v>
      </c>
      <c r="J3805">
        <v>0</v>
      </c>
      <c r="K3805">
        <v>0</v>
      </c>
    </row>
    <row r="3806" spans="1:11" x14ac:dyDescent="0.2">
      <c r="A3806" t="s">
        <v>16</v>
      </c>
      <c r="B3806" t="s">
        <v>898</v>
      </c>
      <c r="C3806">
        <v>540</v>
      </c>
      <c r="D3806" t="s">
        <v>8285</v>
      </c>
      <c r="E3806" t="s">
        <v>49</v>
      </c>
      <c r="F3806">
        <v>6</v>
      </c>
      <c r="G3806">
        <v>0.22145435807186509</v>
      </c>
      <c r="H3806" t="s">
        <v>93</v>
      </c>
      <c r="I3806">
        <v>0</v>
      </c>
      <c r="J3806">
        <v>0</v>
      </c>
      <c r="K3806">
        <v>0</v>
      </c>
    </row>
    <row r="3807" spans="1:11" x14ac:dyDescent="0.2">
      <c r="A3807" t="s">
        <v>16</v>
      </c>
      <c r="B3807" t="s">
        <v>898</v>
      </c>
      <c r="C3807">
        <v>540</v>
      </c>
      <c r="D3807" t="s">
        <v>8291</v>
      </c>
      <c r="E3807" t="s">
        <v>49</v>
      </c>
      <c r="F3807">
        <v>6</v>
      </c>
      <c r="G3807">
        <v>0.22145435807186509</v>
      </c>
      <c r="H3807" t="s">
        <v>97</v>
      </c>
      <c r="I3807">
        <v>0</v>
      </c>
      <c r="J3807">
        <v>0</v>
      </c>
      <c r="K3807">
        <v>0</v>
      </c>
    </row>
    <row r="3808" spans="1:11" x14ac:dyDescent="0.2">
      <c r="A3808" t="s">
        <v>16</v>
      </c>
      <c r="B3808" t="s">
        <v>898</v>
      </c>
      <c r="C3808">
        <v>540</v>
      </c>
      <c r="D3808" t="s">
        <v>8294</v>
      </c>
      <c r="E3808" t="s">
        <v>49</v>
      </c>
      <c r="F3808">
        <v>6</v>
      </c>
      <c r="G3808">
        <v>0.22145435807186509</v>
      </c>
      <c r="H3808" t="s">
        <v>105</v>
      </c>
      <c r="I3808">
        <v>0</v>
      </c>
      <c r="J3808">
        <v>0</v>
      </c>
      <c r="K3808">
        <v>0</v>
      </c>
    </row>
    <row r="3809" spans="1:11" x14ac:dyDescent="0.2">
      <c r="A3809" t="s">
        <v>16</v>
      </c>
      <c r="B3809" t="s">
        <v>898</v>
      </c>
      <c r="C3809">
        <v>540</v>
      </c>
      <c r="D3809" t="s">
        <v>8289</v>
      </c>
      <c r="E3809" t="s">
        <v>49</v>
      </c>
      <c r="F3809">
        <v>6</v>
      </c>
      <c r="G3809">
        <v>0.22145435807186509</v>
      </c>
      <c r="H3809" t="s">
        <v>99</v>
      </c>
      <c r="I3809">
        <v>0</v>
      </c>
      <c r="J3809">
        <v>0</v>
      </c>
      <c r="K3809">
        <v>0</v>
      </c>
    </row>
    <row r="3810" spans="1:11" x14ac:dyDescent="0.2">
      <c r="A3810" t="s">
        <v>16</v>
      </c>
      <c r="B3810" t="s">
        <v>898</v>
      </c>
      <c r="C3810">
        <v>540</v>
      </c>
      <c r="D3810" t="s">
        <v>8276</v>
      </c>
      <c r="E3810" t="s">
        <v>49</v>
      </c>
      <c r="F3810">
        <v>6</v>
      </c>
      <c r="G3810">
        <v>0.22145435807186509</v>
      </c>
      <c r="H3810" t="s">
        <v>104</v>
      </c>
      <c r="I3810">
        <v>0</v>
      </c>
      <c r="J3810">
        <v>0</v>
      </c>
      <c r="K3810">
        <v>0</v>
      </c>
    </row>
    <row r="3811" spans="1:11" x14ac:dyDescent="0.2">
      <c r="A3811" t="s">
        <v>16</v>
      </c>
      <c r="B3811" t="s">
        <v>898</v>
      </c>
      <c r="C3811">
        <v>540</v>
      </c>
      <c r="D3811" t="s">
        <v>8277</v>
      </c>
      <c r="E3811" t="s">
        <v>49</v>
      </c>
      <c r="F3811">
        <v>6</v>
      </c>
      <c r="G3811">
        <v>0.22145435807186509</v>
      </c>
      <c r="H3811" t="s">
        <v>91</v>
      </c>
      <c r="I3811">
        <v>0</v>
      </c>
      <c r="J3811">
        <v>0</v>
      </c>
      <c r="K3811">
        <v>0</v>
      </c>
    </row>
    <row r="3812" spans="1:11" x14ac:dyDescent="0.2">
      <c r="A3812" t="s">
        <v>16</v>
      </c>
      <c r="B3812" t="s">
        <v>898</v>
      </c>
      <c r="C3812">
        <v>540</v>
      </c>
      <c r="D3812" t="s">
        <v>8284</v>
      </c>
      <c r="E3812" t="s">
        <v>49</v>
      </c>
      <c r="F3812">
        <v>6</v>
      </c>
      <c r="G3812">
        <v>0.22145435807186509</v>
      </c>
      <c r="H3812" t="s">
        <v>93</v>
      </c>
      <c r="I3812">
        <v>0</v>
      </c>
      <c r="J3812">
        <v>0</v>
      </c>
      <c r="K3812">
        <v>0</v>
      </c>
    </row>
    <row r="3813" spans="1:11" x14ac:dyDescent="0.2">
      <c r="A3813" t="s">
        <v>16</v>
      </c>
      <c r="B3813" t="s">
        <v>898</v>
      </c>
      <c r="C3813">
        <v>540</v>
      </c>
      <c r="D3813" t="s">
        <v>8283</v>
      </c>
      <c r="E3813" t="s">
        <v>49</v>
      </c>
      <c r="F3813">
        <v>6</v>
      </c>
      <c r="G3813">
        <v>0.22145435807186509</v>
      </c>
      <c r="H3813" t="s">
        <v>97</v>
      </c>
      <c r="I3813">
        <v>0</v>
      </c>
      <c r="J3813">
        <v>0</v>
      </c>
      <c r="K3813">
        <v>0</v>
      </c>
    </row>
    <row r="3814" spans="1:11" x14ac:dyDescent="0.2">
      <c r="A3814" t="s">
        <v>16</v>
      </c>
      <c r="B3814" t="s">
        <v>898</v>
      </c>
      <c r="C3814">
        <v>540</v>
      </c>
      <c r="D3814" t="s">
        <v>8280</v>
      </c>
      <c r="E3814" t="s">
        <v>49</v>
      </c>
      <c r="F3814">
        <v>6</v>
      </c>
      <c r="G3814">
        <v>0.22145435807186509</v>
      </c>
      <c r="H3814" t="s">
        <v>105</v>
      </c>
      <c r="I3814">
        <v>0</v>
      </c>
      <c r="J3814">
        <v>0</v>
      </c>
      <c r="K3814">
        <v>0</v>
      </c>
    </row>
    <row r="3815" spans="1:11" x14ac:dyDescent="0.2">
      <c r="A3815" t="s">
        <v>16</v>
      </c>
      <c r="B3815" t="s">
        <v>401</v>
      </c>
      <c r="C3815">
        <v>810</v>
      </c>
      <c r="D3815" t="s">
        <v>8295</v>
      </c>
      <c r="E3815" t="s">
        <v>49</v>
      </c>
      <c r="F3815">
        <v>4</v>
      </c>
      <c r="G3815">
        <v>0.97555893688150408</v>
      </c>
      <c r="H3815" t="s">
        <v>87</v>
      </c>
      <c r="I3815">
        <v>0</v>
      </c>
      <c r="J3815">
        <v>0</v>
      </c>
      <c r="K3815">
        <v>0</v>
      </c>
    </row>
    <row r="3816" spans="1:11" x14ac:dyDescent="0.2">
      <c r="A3816" t="s">
        <v>16</v>
      </c>
      <c r="B3816" t="s">
        <v>401</v>
      </c>
      <c r="C3816">
        <v>270</v>
      </c>
      <c r="D3816" t="s">
        <v>8300</v>
      </c>
      <c r="E3816" t="s">
        <v>49</v>
      </c>
      <c r="F3816">
        <v>4</v>
      </c>
      <c r="G3816">
        <v>0.32518631229383471</v>
      </c>
      <c r="H3816" t="s">
        <v>96</v>
      </c>
      <c r="I3816">
        <v>0</v>
      </c>
      <c r="J3816">
        <v>0</v>
      </c>
      <c r="K3816">
        <v>0</v>
      </c>
    </row>
    <row r="3817" spans="1:11" x14ac:dyDescent="0.2">
      <c r="A3817" t="s">
        <v>16</v>
      </c>
      <c r="B3817" t="s">
        <v>401</v>
      </c>
      <c r="C3817">
        <v>810</v>
      </c>
      <c r="D3817" t="s">
        <v>8299</v>
      </c>
      <c r="E3817" t="s">
        <v>49</v>
      </c>
      <c r="F3817">
        <v>4</v>
      </c>
      <c r="G3817">
        <v>0.97555893688150408</v>
      </c>
      <c r="H3817" t="s">
        <v>92</v>
      </c>
      <c r="I3817">
        <v>0</v>
      </c>
      <c r="J3817">
        <v>0</v>
      </c>
      <c r="K3817">
        <v>0</v>
      </c>
    </row>
    <row r="3818" spans="1:11" x14ac:dyDescent="0.2">
      <c r="A3818" t="s">
        <v>16</v>
      </c>
      <c r="B3818" t="s">
        <v>401</v>
      </c>
      <c r="C3818">
        <v>810</v>
      </c>
      <c r="D3818" t="s">
        <v>8298</v>
      </c>
      <c r="E3818" t="s">
        <v>49</v>
      </c>
      <c r="F3818">
        <v>4</v>
      </c>
      <c r="G3818">
        <v>0.97555893688150408</v>
      </c>
      <c r="H3818" t="s">
        <v>103</v>
      </c>
      <c r="I3818">
        <v>0</v>
      </c>
      <c r="J3818">
        <v>0</v>
      </c>
      <c r="K3818">
        <v>0</v>
      </c>
    </row>
    <row r="3819" spans="1:11" x14ac:dyDescent="0.2">
      <c r="A3819" t="s">
        <v>16</v>
      </c>
      <c r="B3819" t="s">
        <v>401</v>
      </c>
      <c r="C3819">
        <v>810</v>
      </c>
      <c r="D3819" t="s">
        <v>8306</v>
      </c>
      <c r="E3819" t="s">
        <v>49</v>
      </c>
      <c r="F3819">
        <v>4</v>
      </c>
      <c r="G3819">
        <v>0.97555893688150408</v>
      </c>
      <c r="H3819" t="s">
        <v>96</v>
      </c>
      <c r="I3819">
        <v>0</v>
      </c>
      <c r="J3819">
        <v>0</v>
      </c>
      <c r="K3819">
        <v>0</v>
      </c>
    </row>
    <row r="3820" spans="1:11" x14ac:dyDescent="0.2">
      <c r="A3820" t="s">
        <v>16</v>
      </c>
      <c r="B3820" t="s">
        <v>401</v>
      </c>
      <c r="C3820">
        <v>810</v>
      </c>
      <c r="D3820" t="s">
        <v>8297</v>
      </c>
      <c r="E3820" t="s">
        <v>49</v>
      </c>
      <c r="F3820">
        <v>4</v>
      </c>
      <c r="G3820">
        <v>0.97555893688150408</v>
      </c>
      <c r="H3820" t="s">
        <v>87</v>
      </c>
      <c r="I3820">
        <v>0</v>
      </c>
      <c r="J3820">
        <v>0</v>
      </c>
      <c r="K3820">
        <v>0</v>
      </c>
    </row>
    <row r="3821" spans="1:11" x14ac:dyDescent="0.2">
      <c r="A3821" t="s">
        <v>16</v>
      </c>
      <c r="B3821" t="s">
        <v>401</v>
      </c>
      <c r="C3821">
        <v>540</v>
      </c>
      <c r="D3821" t="s">
        <v>8303</v>
      </c>
      <c r="E3821" t="s">
        <v>49</v>
      </c>
      <c r="F3821">
        <v>4</v>
      </c>
      <c r="G3821">
        <v>0.65037262458766942</v>
      </c>
      <c r="H3821" t="s">
        <v>92</v>
      </c>
      <c r="I3821">
        <v>0</v>
      </c>
      <c r="J3821">
        <v>0</v>
      </c>
      <c r="K3821">
        <v>0</v>
      </c>
    </row>
    <row r="3822" spans="1:11" x14ac:dyDescent="0.2">
      <c r="A3822" t="s">
        <v>16</v>
      </c>
      <c r="B3822" t="s">
        <v>401</v>
      </c>
      <c r="C3822">
        <v>810</v>
      </c>
      <c r="D3822" t="s">
        <v>8305</v>
      </c>
      <c r="E3822" t="s">
        <v>49</v>
      </c>
      <c r="F3822">
        <v>4</v>
      </c>
      <c r="G3822">
        <v>0.97555893688150408</v>
      </c>
      <c r="H3822" t="s">
        <v>103</v>
      </c>
      <c r="I3822">
        <v>0</v>
      </c>
      <c r="J3822">
        <v>0</v>
      </c>
      <c r="K3822">
        <v>0</v>
      </c>
    </row>
    <row r="3823" spans="1:11" x14ac:dyDescent="0.2">
      <c r="A3823" t="s">
        <v>16</v>
      </c>
      <c r="B3823" t="s">
        <v>401</v>
      </c>
      <c r="C3823">
        <v>810</v>
      </c>
      <c r="D3823" t="s">
        <v>8304</v>
      </c>
      <c r="E3823" t="s">
        <v>49</v>
      </c>
      <c r="F3823">
        <v>4</v>
      </c>
      <c r="G3823">
        <v>0.97555893688150408</v>
      </c>
      <c r="H3823" t="s">
        <v>96</v>
      </c>
      <c r="I3823">
        <v>0</v>
      </c>
      <c r="J3823">
        <v>0</v>
      </c>
      <c r="K3823">
        <v>0</v>
      </c>
    </row>
    <row r="3824" spans="1:11" x14ac:dyDescent="0.2">
      <c r="A3824" t="s">
        <v>16</v>
      </c>
      <c r="B3824" t="s">
        <v>401</v>
      </c>
      <c r="C3824">
        <v>810</v>
      </c>
      <c r="D3824" t="s">
        <v>8302</v>
      </c>
      <c r="E3824" t="s">
        <v>49</v>
      </c>
      <c r="F3824">
        <v>4</v>
      </c>
      <c r="G3824">
        <v>0.97555893688150408</v>
      </c>
      <c r="H3824" t="s">
        <v>92</v>
      </c>
      <c r="I3824">
        <v>0</v>
      </c>
      <c r="J3824">
        <v>0</v>
      </c>
      <c r="K3824">
        <v>0</v>
      </c>
    </row>
    <row r="3825" spans="1:11" x14ac:dyDescent="0.2">
      <c r="A3825" t="s">
        <v>16</v>
      </c>
      <c r="B3825" t="s">
        <v>401</v>
      </c>
      <c r="C3825">
        <v>810</v>
      </c>
      <c r="D3825" t="s">
        <v>8307</v>
      </c>
      <c r="E3825" t="s">
        <v>49</v>
      </c>
      <c r="F3825">
        <v>4</v>
      </c>
      <c r="G3825">
        <v>0.97555893688150408</v>
      </c>
      <c r="H3825" t="s">
        <v>87</v>
      </c>
      <c r="I3825">
        <v>0</v>
      </c>
      <c r="J3825">
        <v>0</v>
      </c>
      <c r="K3825">
        <v>0</v>
      </c>
    </row>
    <row r="3826" spans="1:11" x14ac:dyDescent="0.2">
      <c r="A3826" t="s">
        <v>16</v>
      </c>
      <c r="B3826" t="s">
        <v>401</v>
      </c>
      <c r="C3826">
        <v>810</v>
      </c>
      <c r="D3826" t="s">
        <v>8308</v>
      </c>
      <c r="E3826" t="s">
        <v>49</v>
      </c>
      <c r="F3826">
        <v>4</v>
      </c>
      <c r="G3826">
        <v>0.97555893688150408</v>
      </c>
      <c r="H3826" t="s">
        <v>103</v>
      </c>
      <c r="I3826">
        <v>0</v>
      </c>
      <c r="J3826">
        <v>0</v>
      </c>
      <c r="K3826">
        <v>0</v>
      </c>
    </row>
    <row r="3827" spans="1:11" x14ac:dyDescent="0.2">
      <c r="A3827" t="s">
        <v>16</v>
      </c>
      <c r="B3827" t="s">
        <v>401</v>
      </c>
      <c r="C3827">
        <v>810</v>
      </c>
      <c r="D3827" t="s">
        <v>8301</v>
      </c>
      <c r="E3827" t="s">
        <v>49</v>
      </c>
      <c r="F3827">
        <v>4</v>
      </c>
      <c r="G3827">
        <v>0.97555893688150408</v>
      </c>
      <c r="H3827" t="s">
        <v>96</v>
      </c>
      <c r="I3827">
        <v>0</v>
      </c>
      <c r="J3827">
        <v>0</v>
      </c>
      <c r="K3827">
        <v>0</v>
      </c>
    </row>
    <row r="3828" spans="1:11" x14ac:dyDescent="0.2">
      <c r="A3828" t="s">
        <v>16</v>
      </c>
      <c r="B3828" t="s">
        <v>401</v>
      </c>
      <c r="C3828">
        <v>810</v>
      </c>
      <c r="D3828" t="s">
        <v>8296</v>
      </c>
      <c r="E3828" t="s">
        <v>49</v>
      </c>
      <c r="F3828">
        <v>4</v>
      </c>
      <c r="G3828">
        <v>0.97555893688150408</v>
      </c>
      <c r="H3828" t="s">
        <v>92</v>
      </c>
      <c r="I3828">
        <v>0</v>
      </c>
      <c r="J3828">
        <v>0</v>
      </c>
      <c r="K3828">
        <v>0</v>
      </c>
    </row>
    <row r="3829" spans="1:11" x14ac:dyDescent="0.2">
      <c r="A3829" t="s">
        <v>16</v>
      </c>
      <c r="B3829" t="s">
        <v>399</v>
      </c>
      <c r="C3829">
        <v>810</v>
      </c>
      <c r="D3829" t="s">
        <v>8316</v>
      </c>
      <c r="E3829" t="s">
        <v>49</v>
      </c>
      <c r="F3829">
        <v>2</v>
      </c>
      <c r="G3829">
        <v>0.97555893688150408</v>
      </c>
      <c r="H3829" t="s">
        <v>84</v>
      </c>
      <c r="I3829">
        <v>0</v>
      </c>
      <c r="J3829">
        <v>0</v>
      </c>
      <c r="K3829">
        <v>0</v>
      </c>
    </row>
    <row r="3830" spans="1:11" x14ac:dyDescent="0.2">
      <c r="A3830" t="s">
        <v>16</v>
      </c>
      <c r="B3830" t="s">
        <v>399</v>
      </c>
      <c r="C3830">
        <v>810</v>
      </c>
      <c r="D3830" t="s">
        <v>8315</v>
      </c>
      <c r="E3830" t="s">
        <v>49</v>
      </c>
      <c r="F3830">
        <v>2</v>
      </c>
      <c r="G3830">
        <v>0.97555893688150408</v>
      </c>
      <c r="H3830" t="s">
        <v>99</v>
      </c>
      <c r="I3830">
        <v>0</v>
      </c>
      <c r="J3830">
        <v>0</v>
      </c>
      <c r="K3830">
        <v>0</v>
      </c>
    </row>
    <row r="3831" spans="1:11" x14ac:dyDescent="0.2">
      <c r="A3831" t="s">
        <v>16</v>
      </c>
      <c r="B3831" t="s">
        <v>399</v>
      </c>
      <c r="C3831">
        <v>810</v>
      </c>
      <c r="D3831" t="s">
        <v>8318</v>
      </c>
      <c r="E3831" t="s">
        <v>49</v>
      </c>
      <c r="F3831">
        <v>2</v>
      </c>
      <c r="G3831">
        <v>0.97555893688150408</v>
      </c>
      <c r="H3831" t="s">
        <v>84</v>
      </c>
      <c r="I3831">
        <v>0</v>
      </c>
      <c r="J3831">
        <v>0</v>
      </c>
      <c r="K3831">
        <v>0</v>
      </c>
    </row>
    <row r="3832" spans="1:11" x14ac:dyDescent="0.2">
      <c r="A3832" t="s">
        <v>16</v>
      </c>
      <c r="B3832" t="s">
        <v>399</v>
      </c>
      <c r="C3832">
        <v>810</v>
      </c>
      <c r="D3832" t="s">
        <v>8320</v>
      </c>
      <c r="E3832" t="s">
        <v>49</v>
      </c>
      <c r="F3832">
        <v>2</v>
      </c>
      <c r="G3832">
        <v>0.97555893688150408</v>
      </c>
      <c r="H3832" t="s">
        <v>99</v>
      </c>
      <c r="I3832">
        <v>0</v>
      </c>
      <c r="J3832">
        <v>0</v>
      </c>
      <c r="K3832">
        <v>0</v>
      </c>
    </row>
    <row r="3833" spans="1:11" x14ac:dyDescent="0.2">
      <c r="A3833" t="s">
        <v>16</v>
      </c>
      <c r="B3833" t="s">
        <v>399</v>
      </c>
      <c r="C3833">
        <v>270</v>
      </c>
      <c r="D3833" t="s">
        <v>8322</v>
      </c>
      <c r="E3833" t="s">
        <v>49</v>
      </c>
      <c r="F3833">
        <v>2</v>
      </c>
      <c r="G3833">
        <v>0.32518631229383471</v>
      </c>
      <c r="H3833" t="s">
        <v>84</v>
      </c>
      <c r="I3833">
        <v>0</v>
      </c>
      <c r="J3833">
        <v>0</v>
      </c>
      <c r="K3833">
        <v>0</v>
      </c>
    </row>
    <row r="3834" spans="1:11" x14ac:dyDescent="0.2">
      <c r="A3834" t="s">
        <v>16</v>
      </c>
      <c r="B3834" t="s">
        <v>399</v>
      </c>
      <c r="C3834">
        <v>810</v>
      </c>
      <c r="D3834" t="s">
        <v>8317</v>
      </c>
      <c r="E3834" t="s">
        <v>49</v>
      </c>
      <c r="F3834">
        <v>2</v>
      </c>
      <c r="G3834">
        <v>0.97555893688150408</v>
      </c>
      <c r="H3834" t="s">
        <v>99</v>
      </c>
      <c r="I3834">
        <v>0</v>
      </c>
      <c r="J3834">
        <v>0</v>
      </c>
      <c r="K3834">
        <v>0</v>
      </c>
    </row>
    <row r="3835" spans="1:11" x14ac:dyDescent="0.2">
      <c r="A3835" t="s">
        <v>16</v>
      </c>
      <c r="B3835" t="s">
        <v>399</v>
      </c>
      <c r="C3835">
        <v>810</v>
      </c>
      <c r="D3835" t="s">
        <v>8321</v>
      </c>
      <c r="E3835" t="s">
        <v>49</v>
      </c>
      <c r="F3835">
        <v>2</v>
      </c>
      <c r="G3835">
        <v>0.97555893688150408</v>
      </c>
      <c r="H3835" t="s">
        <v>84</v>
      </c>
      <c r="I3835">
        <v>0</v>
      </c>
      <c r="J3835">
        <v>0</v>
      </c>
      <c r="K3835">
        <v>0</v>
      </c>
    </row>
    <row r="3836" spans="1:11" x14ac:dyDescent="0.2">
      <c r="A3836" t="s">
        <v>16</v>
      </c>
      <c r="B3836" t="s">
        <v>399</v>
      </c>
      <c r="C3836">
        <v>270</v>
      </c>
      <c r="D3836" t="s">
        <v>8319</v>
      </c>
      <c r="E3836" t="s">
        <v>49</v>
      </c>
      <c r="F3836">
        <v>2</v>
      </c>
      <c r="G3836">
        <v>0.32518631229383471</v>
      </c>
      <c r="H3836" t="s">
        <v>99</v>
      </c>
      <c r="I3836">
        <v>0</v>
      </c>
      <c r="J3836">
        <v>0</v>
      </c>
      <c r="K3836">
        <v>0</v>
      </c>
    </row>
    <row r="3837" spans="1:11" x14ac:dyDescent="0.2">
      <c r="A3837" t="s">
        <v>16</v>
      </c>
      <c r="B3837" t="s">
        <v>399</v>
      </c>
      <c r="C3837">
        <v>810</v>
      </c>
      <c r="D3837" t="s">
        <v>8311</v>
      </c>
      <c r="E3837" t="s">
        <v>49</v>
      </c>
      <c r="F3837">
        <v>2</v>
      </c>
      <c r="G3837">
        <v>0.97555893688150408</v>
      </c>
      <c r="H3837" t="s">
        <v>84</v>
      </c>
      <c r="I3837">
        <v>0</v>
      </c>
      <c r="J3837">
        <v>0</v>
      </c>
      <c r="K3837">
        <v>0</v>
      </c>
    </row>
    <row r="3838" spans="1:11" x14ac:dyDescent="0.2">
      <c r="A3838" t="s">
        <v>16</v>
      </c>
      <c r="B3838" t="s">
        <v>399</v>
      </c>
      <c r="C3838">
        <v>810</v>
      </c>
      <c r="D3838" t="s">
        <v>8313</v>
      </c>
      <c r="E3838" t="s">
        <v>49</v>
      </c>
      <c r="F3838">
        <v>2</v>
      </c>
      <c r="G3838">
        <v>0.97555893688150408</v>
      </c>
      <c r="H3838" t="s">
        <v>99</v>
      </c>
      <c r="I3838">
        <v>0</v>
      </c>
      <c r="J3838">
        <v>0</v>
      </c>
      <c r="K3838">
        <v>0</v>
      </c>
    </row>
    <row r="3839" spans="1:11" x14ac:dyDescent="0.2">
      <c r="A3839" t="s">
        <v>16</v>
      </c>
      <c r="B3839" t="s">
        <v>399</v>
      </c>
      <c r="C3839">
        <v>810</v>
      </c>
      <c r="D3839" t="s">
        <v>8312</v>
      </c>
      <c r="E3839" t="s">
        <v>49</v>
      </c>
      <c r="F3839">
        <v>2</v>
      </c>
      <c r="G3839">
        <v>0.97555893688150408</v>
      </c>
      <c r="H3839" t="s">
        <v>84</v>
      </c>
      <c r="I3839">
        <v>0</v>
      </c>
      <c r="J3839">
        <v>0</v>
      </c>
      <c r="K3839">
        <v>0</v>
      </c>
    </row>
    <row r="3840" spans="1:11" x14ac:dyDescent="0.2">
      <c r="A3840" t="s">
        <v>16</v>
      </c>
      <c r="B3840" t="s">
        <v>399</v>
      </c>
      <c r="C3840">
        <v>810</v>
      </c>
      <c r="D3840" t="s">
        <v>8310</v>
      </c>
      <c r="E3840" t="s">
        <v>49</v>
      </c>
      <c r="F3840">
        <v>2</v>
      </c>
      <c r="G3840">
        <v>0.97555893688150408</v>
      </c>
      <c r="H3840" t="s">
        <v>99</v>
      </c>
      <c r="I3840">
        <v>0</v>
      </c>
      <c r="J3840">
        <v>0</v>
      </c>
      <c r="K3840">
        <v>0</v>
      </c>
    </row>
    <row r="3841" spans="1:11" x14ac:dyDescent="0.2">
      <c r="A3841" t="s">
        <v>16</v>
      </c>
      <c r="B3841" t="s">
        <v>399</v>
      </c>
      <c r="C3841">
        <v>810</v>
      </c>
      <c r="D3841" t="s">
        <v>8314</v>
      </c>
      <c r="E3841" t="s">
        <v>49</v>
      </c>
      <c r="F3841">
        <v>2</v>
      </c>
      <c r="G3841">
        <v>0.97555893688150408</v>
      </c>
      <c r="H3841" t="s">
        <v>84</v>
      </c>
      <c r="I3841">
        <v>0</v>
      </c>
      <c r="J3841">
        <v>0</v>
      </c>
      <c r="K3841">
        <v>0</v>
      </c>
    </row>
    <row r="3842" spans="1:11" x14ac:dyDescent="0.2">
      <c r="A3842" t="s">
        <v>16</v>
      </c>
      <c r="B3842" t="s">
        <v>399</v>
      </c>
      <c r="C3842">
        <v>810</v>
      </c>
      <c r="D3842" t="s">
        <v>8309</v>
      </c>
      <c r="E3842" t="s">
        <v>49</v>
      </c>
      <c r="F3842">
        <v>2</v>
      </c>
      <c r="G3842">
        <v>0.97555893688150408</v>
      </c>
      <c r="H3842" t="s">
        <v>99</v>
      </c>
      <c r="I3842">
        <v>0</v>
      </c>
      <c r="J3842">
        <v>0</v>
      </c>
      <c r="K3842">
        <v>0</v>
      </c>
    </row>
    <row r="3843" spans="1:11" x14ac:dyDescent="0.2">
      <c r="A3843" t="s">
        <v>16</v>
      </c>
      <c r="B3843" t="s">
        <v>524</v>
      </c>
      <c r="C3843">
        <v>100</v>
      </c>
      <c r="D3843" t="s">
        <v>8323</v>
      </c>
      <c r="E3843" t="s">
        <v>49</v>
      </c>
      <c r="F3843">
        <v>4</v>
      </c>
      <c r="G3843">
        <v>0.16782290342937661</v>
      </c>
      <c r="H3843" t="s">
        <v>104</v>
      </c>
      <c r="I3843">
        <v>0</v>
      </c>
      <c r="J3843">
        <v>0</v>
      </c>
      <c r="K3843">
        <v>0</v>
      </c>
    </row>
    <row r="3844" spans="1:11" x14ac:dyDescent="0.2">
      <c r="A3844" t="s">
        <v>16</v>
      </c>
      <c r="B3844" t="s">
        <v>524</v>
      </c>
      <c r="C3844">
        <v>300</v>
      </c>
      <c r="D3844" t="s">
        <v>8325</v>
      </c>
      <c r="E3844" t="s">
        <v>49</v>
      </c>
      <c r="F3844">
        <v>4</v>
      </c>
      <c r="G3844">
        <v>0.50346871028812989</v>
      </c>
      <c r="H3844" t="s">
        <v>91</v>
      </c>
      <c r="I3844">
        <v>0</v>
      </c>
      <c r="J3844">
        <v>0</v>
      </c>
      <c r="K3844">
        <v>0</v>
      </c>
    </row>
    <row r="3845" spans="1:11" x14ac:dyDescent="0.2">
      <c r="A3845" t="s">
        <v>16</v>
      </c>
      <c r="B3845" t="s">
        <v>524</v>
      </c>
      <c r="C3845">
        <v>300</v>
      </c>
      <c r="D3845" t="s">
        <v>8324</v>
      </c>
      <c r="E3845" t="s">
        <v>49</v>
      </c>
      <c r="F3845">
        <v>4</v>
      </c>
      <c r="G3845">
        <v>0.50346871028812989</v>
      </c>
      <c r="H3845" t="s">
        <v>93</v>
      </c>
      <c r="I3845">
        <v>0</v>
      </c>
      <c r="J3845">
        <v>0</v>
      </c>
      <c r="K3845">
        <v>0</v>
      </c>
    </row>
    <row r="3846" spans="1:11" x14ac:dyDescent="0.2">
      <c r="A3846" t="s">
        <v>16</v>
      </c>
      <c r="B3846" t="s">
        <v>519</v>
      </c>
      <c r="C3846">
        <v>225</v>
      </c>
      <c r="D3846" t="s">
        <v>8326</v>
      </c>
      <c r="E3846" t="s">
        <v>49</v>
      </c>
      <c r="F3846">
        <v>2</v>
      </c>
      <c r="G3846">
        <v>0.47116985530059935</v>
      </c>
      <c r="H3846" t="s">
        <v>97</v>
      </c>
      <c r="I3846">
        <v>0</v>
      </c>
      <c r="J3846">
        <v>0</v>
      </c>
      <c r="K3846">
        <v>0</v>
      </c>
    </row>
    <row r="3847" spans="1:11" x14ac:dyDescent="0.2">
      <c r="A3847" t="s">
        <v>16</v>
      </c>
      <c r="B3847" t="s">
        <v>519</v>
      </c>
      <c r="C3847">
        <v>225</v>
      </c>
      <c r="D3847" t="s">
        <v>8327</v>
      </c>
      <c r="E3847" t="s">
        <v>49</v>
      </c>
      <c r="F3847">
        <v>2</v>
      </c>
      <c r="G3847">
        <v>0.47116985530059935</v>
      </c>
      <c r="H3847" t="s">
        <v>105</v>
      </c>
      <c r="I3847">
        <v>0</v>
      </c>
      <c r="J3847">
        <v>0</v>
      </c>
      <c r="K3847">
        <v>0</v>
      </c>
    </row>
    <row r="3848" spans="1:11" x14ac:dyDescent="0.2">
      <c r="A3848" t="s">
        <v>16</v>
      </c>
      <c r="B3848" t="s">
        <v>519</v>
      </c>
      <c r="C3848">
        <v>225</v>
      </c>
      <c r="D3848" t="s">
        <v>8330</v>
      </c>
      <c r="E3848" t="s">
        <v>49</v>
      </c>
      <c r="F3848">
        <v>2</v>
      </c>
      <c r="G3848">
        <v>0.47116985530059935</v>
      </c>
      <c r="H3848" t="s">
        <v>97</v>
      </c>
      <c r="I3848">
        <v>0</v>
      </c>
      <c r="J3848">
        <v>0</v>
      </c>
      <c r="K3848">
        <v>0</v>
      </c>
    </row>
    <row r="3849" spans="1:11" x14ac:dyDescent="0.2">
      <c r="A3849" t="s">
        <v>16</v>
      </c>
      <c r="B3849" t="s">
        <v>519</v>
      </c>
      <c r="C3849">
        <v>225</v>
      </c>
      <c r="D3849" t="s">
        <v>8328</v>
      </c>
      <c r="E3849" t="s">
        <v>49</v>
      </c>
      <c r="F3849">
        <v>2</v>
      </c>
      <c r="G3849">
        <v>0.47116985530059935</v>
      </c>
      <c r="H3849" t="s">
        <v>105</v>
      </c>
      <c r="I3849">
        <v>0</v>
      </c>
      <c r="J3849">
        <v>0</v>
      </c>
      <c r="K3849">
        <v>0</v>
      </c>
    </row>
    <row r="3850" spans="1:11" x14ac:dyDescent="0.2">
      <c r="A3850" t="s">
        <v>16</v>
      </c>
      <c r="B3850" t="s">
        <v>519</v>
      </c>
      <c r="C3850">
        <v>225</v>
      </c>
      <c r="D3850" t="s">
        <v>8329</v>
      </c>
      <c r="E3850" t="s">
        <v>49</v>
      </c>
      <c r="F3850">
        <v>2</v>
      </c>
      <c r="G3850">
        <v>0.47116985530059935</v>
      </c>
      <c r="H3850" t="s">
        <v>97</v>
      </c>
      <c r="I3850">
        <v>0</v>
      </c>
      <c r="J3850">
        <v>0</v>
      </c>
      <c r="K3850">
        <v>0</v>
      </c>
    </row>
    <row r="3851" spans="1:11" x14ac:dyDescent="0.2">
      <c r="A3851" t="s">
        <v>16</v>
      </c>
      <c r="B3851" t="s">
        <v>515</v>
      </c>
      <c r="C3851">
        <v>540</v>
      </c>
      <c r="D3851" t="s">
        <v>8331</v>
      </c>
      <c r="E3851" t="s">
        <v>49</v>
      </c>
      <c r="F3851">
        <v>3</v>
      </c>
      <c r="G3851">
        <v>0.53588579051006802</v>
      </c>
      <c r="H3851" t="s">
        <v>98</v>
      </c>
      <c r="I3851">
        <v>0</v>
      </c>
      <c r="J3851">
        <v>0</v>
      </c>
      <c r="K3851">
        <v>0</v>
      </c>
    </row>
    <row r="3852" spans="1:11" x14ac:dyDescent="0.2">
      <c r="A3852" t="s">
        <v>16</v>
      </c>
      <c r="B3852" t="s">
        <v>515</v>
      </c>
      <c r="C3852">
        <v>540</v>
      </c>
      <c r="D3852" t="s">
        <v>8332</v>
      </c>
      <c r="E3852" t="s">
        <v>49</v>
      </c>
      <c r="F3852">
        <v>3</v>
      </c>
      <c r="G3852">
        <v>0.53588579051006802</v>
      </c>
      <c r="H3852" t="s">
        <v>104</v>
      </c>
      <c r="I3852">
        <v>0</v>
      </c>
      <c r="J3852">
        <v>0</v>
      </c>
      <c r="K3852">
        <v>0</v>
      </c>
    </row>
    <row r="3853" spans="1:11" x14ac:dyDescent="0.2">
      <c r="A3853" t="s">
        <v>16</v>
      </c>
      <c r="B3853" t="s">
        <v>515</v>
      </c>
      <c r="C3853">
        <v>540</v>
      </c>
      <c r="D3853" t="s">
        <v>8333</v>
      </c>
      <c r="E3853" t="s">
        <v>49</v>
      </c>
      <c r="F3853">
        <v>3</v>
      </c>
      <c r="G3853">
        <v>0.53588579051006802</v>
      </c>
      <c r="H3853" t="s">
        <v>88</v>
      </c>
      <c r="I3853">
        <v>0</v>
      </c>
      <c r="J3853">
        <v>0</v>
      </c>
      <c r="K3853">
        <v>0</v>
      </c>
    </row>
    <row r="3854" spans="1:11" x14ac:dyDescent="0.2">
      <c r="A3854" t="s">
        <v>16</v>
      </c>
      <c r="B3854" t="s">
        <v>515</v>
      </c>
      <c r="C3854">
        <v>540</v>
      </c>
      <c r="D3854" t="s">
        <v>8335</v>
      </c>
      <c r="E3854" t="s">
        <v>49</v>
      </c>
      <c r="F3854">
        <v>3</v>
      </c>
      <c r="G3854">
        <v>0.53588579051006802</v>
      </c>
      <c r="H3854" t="s">
        <v>98</v>
      </c>
      <c r="I3854">
        <v>0</v>
      </c>
      <c r="J3854">
        <v>0</v>
      </c>
      <c r="K3854">
        <v>0</v>
      </c>
    </row>
    <row r="3855" spans="1:11" x14ac:dyDescent="0.2">
      <c r="A3855" t="s">
        <v>16</v>
      </c>
      <c r="B3855" t="s">
        <v>515</v>
      </c>
      <c r="C3855">
        <v>180</v>
      </c>
      <c r="D3855" t="s">
        <v>8334</v>
      </c>
      <c r="E3855" t="s">
        <v>49</v>
      </c>
      <c r="F3855">
        <v>3</v>
      </c>
      <c r="G3855">
        <v>0.17862859683668933</v>
      </c>
      <c r="H3855" t="s">
        <v>104</v>
      </c>
      <c r="I3855">
        <v>0</v>
      </c>
      <c r="J3855">
        <v>0</v>
      </c>
      <c r="K3855">
        <v>0</v>
      </c>
    </row>
    <row r="3856" spans="1:11" x14ac:dyDescent="0.2">
      <c r="A3856" t="s">
        <v>16</v>
      </c>
      <c r="B3856" t="s">
        <v>826</v>
      </c>
      <c r="C3856">
        <v>150</v>
      </c>
      <c r="D3856" t="s">
        <v>8336</v>
      </c>
      <c r="E3856" t="s">
        <v>49</v>
      </c>
      <c r="F3856">
        <v>5</v>
      </c>
      <c r="G3856">
        <v>0.28739374579078614</v>
      </c>
      <c r="H3856" t="s">
        <v>91</v>
      </c>
      <c r="I3856">
        <v>0</v>
      </c>
      <c r="J3856">
        <v>0</v>
      </c>
      <c r="K3856">
        <v>0</v>
      </c>
    </row>
    <row r="3857" spans="1:11" x14ac:dyDescent="0.2">
      <c r="A3857" t="s">
        <v>16</v>
      </c>
      <c r="B3857" t="s">
        <v>576</v>
      </c>
      <c r="C3857">
        <v>240</v>
      </c>
      <c r="D3857" t="s">
        <v>8337</v>
      </c>
      <c r="E3857" t="s">
        <v>49</v>
      </c>
      <c r="F3857">
        <v>3</v>
      </c>
      <c r="G3857">
        <v>0.36910295902174928</v>
      </c>
      <c r="H3857" t="s">
        <v>93</v>
      </c>
      <c r="I3857">
        <v>0</v>
      </c>
      <c r="J3857">
        <v>0</v>
      </c>
      <c r="K3857">
        <v>0</v>
      </c>
    </row>
    <row r="3858" spans="1:11" x14ac:dyDescent="0.2">
      <c r="A3858" t="s">
        <v>16</v>
      </c>
      <c r="B3858" t="s">
        <v>5008</v>
      </c>
      <c r="C3858">
        <v>330</v>
      </c>
      <c r="D3858" t="s">
        <v>8338</v>
      </c>
      <c r="E3858" t="s">
        <v>49</v>
      </c>
      <c r="F3858">
        <v>3</v>
      </c>
      <c r="G3858">
        <v>0.5966227167882302</v>
      </c>
      <c r="H3858" t="s">
        <v>89</v>
      </c>
      <c r="I3858">
        <v>0</v>
      </c>
      <c r="J3858">
        <v>0</v>
      </c>
      <c r="K3858">
        <v>0</v>
      </c>
    </row>
    <row r="3859" spans="1:11" x14ac:dyDescent="0.2">
      <c r="A3859" t="s">
        <v>16</v>
      </c>
      <c r="B3859" t="s">
        <v>5008</v>
      </c>
      <c r="C3859">
        <v>330</v>
      </c>
      <c r="D3859" t="s">
        <v>8342</v>
      </c>
      <c r="E3859" t="s">
        <v>49</v>
      </c>
      <c r="F3859">
        <v>3</v>
      </c>
      <c r="G3859">
        <v>0.5966227167882302</v>
      </c>
      <c r="H3859" t="s">
        <v>94</v>
      </c>
      <c r="I3859">
        <v>0</v>
      </c>
      <c r="J3859">
        <v>0</v>
      </c>
      <c r="K3859">
        <v>0</v>
      </c>
    </row>
    <row r="3860" spans="1:11" x14ac:dyDescent="0.2">
      <c r="A3860" t="s">
        <v>16</v>
      </c>
      <c r="B3860" t="s">
        <v>5008</v>
      </c>
      <c r="C3860">
        <v>330</v>
      </c>
      <c r="D3860" t="s">
        <v>8347</v>
      </c>
      <c r="E3860" t="s">
        <v>49</v>
      </c>
      <c r="F3860">
        <v>3</v>
      </c>
      <c r="G3860">
        <v>0.5966227167882302</v>
      </c>
      <c r="H3860" t="s">
        <v>101</v>
      </c>
      <c r="I3860">
        <v>0</v>
      </c>
      <c r="J3860">
        <v>0</v>
      </c>
      <c r="K3860">
        <v>0</v>
      </c>
    </row>
    <row r="3861" spans="1:11" x14ac:dyDescent="0.2">
      <c r="A3861" t="s">
        <v>16</v>
      </c>
      <c r="B3861" t="s">
        <v>5008</v>
      </c>
      <c r="C3861">
        <v>330</v>
      </c>
      <c r="D3861" t="s">
        <v>8340</v>
      </c>
      <c r="E3861" t="s">
        <v>49</v>
      </c>
      <c r="F3861">
        <v>3</v>
      </c>
      <c r="G3861">
        <v>0.5966227167882302</v>
      </c>
      <c r="H3861" t="s">
        <v>89</v>
      </c>
      <c r="I3861">
        <v>0</v>
      </c>
      <c r="J3861">
        <v>0</v>
      </c>
      <c r="K3861">
        <v>0</v>
      </c>
    </row>
    <row r="3862" spans="1:11" x14ac:dyDescent="0.2">
      <c r="A3862" t="s">
        <v>16</v>
      </c>
      <c r="B3862" t="s">
        <v>5008</v>
      </c>
      <c r="C3862">
        <v>330</v>
      </c>
      <c r="D3862" t="s">
        <v>8344</v>
      </c>
      <c r="E3862" t="s">
        <v>49</v>
      </c>
      <c r="F3862">
        <v>3</v>
      </c>
      <c r="G3862">
        <v>0.5966227167882302</v>
      </c>
      <c r="H3862" t="s">
        <v>94</v>
      </c>
      <c r="I3862">
        <v>0</v>
      </c>
      <c r="J3862">
        <v>0</v>
      </c>
      <c r="K3862">
        <v>0</v>
      </c>
    </row>
    <row r="3863" spans="1:11" x14ac:dyDescent="0.2">
      <c r="A3863" t="s">
        <v>16</v>
      </c>
      <c r="B3863" t="s">
        <v>5008</v>
      </c>
      <c r="C3863">
        <v>330</v>
      </c>
      <c r="D3863" t="s">
        <v>8343</v>
      </c>
      <c r="E3863" t="s">
        <v>49</v>
      </c>
      <c r="F3863">
        <v>3</v>
      </c>
      <c r="G3863">
        <v>0.5966227167882302</v>
      </c>
      <c r="H3863" t="s">
        <v>101</v>
      </c>
      <c r="I3863">
        <v>0</v>
      </c>
      <c r="J3863">
        <v>0</v>
      </c>
      <c r="K3863">
        <v>0</v>
      </c>
    </row>
    <row r="3864" spans="1:11" x14ac:dyDescent="0.2">
      <c r="A3864" t="s">
        <v>16</v>
      </c>
      <c r="B3864" t="s">
        <v>5008</v>
      </c>
      <c r="C3864">
        <v>330</v>
      </c>
      <c r="D3864" t="s">
        <v>8346</v>
      </c>
      <c r="E3864" t="s">
        <v>49</v>
      </c>
      <c r="F3864">
        <v>3</v>
      </c>
      <c r="G3864">
        <v>0.5966227167882302</v>
      </c>
      <c r="H3864" t="s">
        <v>89</v>
      </c>
      <c r="I3864">
        <v>0</v>
      </c>
      <c r="J3864">
        <v>0</v>
      </c>
      <c r="K3864">
        <v>0</v>
      </c>
    </row>
    <row r="3865" spans="1:11" x14ac:dyDescent="0.2">
      <c r="A3865" t="s">
        <v>16</v>
      </c>
      <c r="B3865" t="s">
        <v>5008</v>
      </c>
      <c r="C3865">
        <v>110</v>
      </c>
      <c r="D3865" t="s">
        <v>8341</v>
      </c>
      <c r="E3865" t="s">
        <v>49</v>
      </c>
      <c r="F3865">
        <v>3</v>
      </c>
      <c r="G3865">
        <v>0.19887423892941006</v>
      </c>
      <c r="H3865" t="s">
        <v>94</v>
      </c>
      <c r="I3865">
        <v>0</v>
      </c>
      <c r="J3865">
        <v>0</v>
      </c>
      <c r="K3865">
        <v>0</v>
      </c>
    </row>
    <row r="3866" spans="1:11" x14ac:dyDescent="0.2">
      <c r="A3866" t="s">
        <v>16</v>
      </c>
      <c r="B3866" t="s">
        <v>5008</v>
      </c>
      <c r="C3866">
        <v>330</v>
      </c>
      <c r="D3866" t="s">
        <v>8345</v>
      </c>
      <c r="E3866" t="s">
        <v>49</v>
      </c>
      <c r="F3866">
        <v>3</v>
      </c>
      <c r="G3866">
        <v>0.5966227167882302</v>
      </c>
      <c r="H3866" t="s">
        <v>101</v>
      </c>
      <c r="I3866">
        <v>0</v>
      </c>
      <c r="J3866">
        <v>0</v>
      </c>
      <c r="K3866">
        <v>0</v>
      </c>
    </row>
    <row r="3867" spans="1:11" x14ac:dyDescent="0.2">
      <c r="A3867" t="s">
        <v>16</v>
      </c>
      <c r="B3867" t="s">
        <v>5008</v>
      </c>
      <c r="C3867">
        <v>330</v>
      </c>
      <c r="D3867" t="s">
        <v>8339</v>
      </c>
      <c r="E3867" t="s">
        <v>49</v>
      </c>
      <c r="F3867">
        <v>3</v>
      </c>
      <c r="G3867">
        <v>0.5966227167882302</v>
      </c>
      <c r="H3867" t="s">
        <v>94</v>
      </c>
      <c r="I3867">
        <v>0</v>
      </c>
      <c r="J3867">
        <v>0</v>
      </c>
      <c r="K3867">
        <v>0</v>
      </c>
    </row>
    <row r="3868" spans="1:11" x14ac:dyDescent="0.2">
      <c r="A3868" t="s">
        <v>16</v>
      </c>
      <c r="B3868" t="s">
        <v>5028</v>
      </c>
      <c r="C3868">
        <v>170</v>
      </c>
      <c r="D3868" t="s">
        <v>8348</v>
      </c>
      <c r="E3868" t="s">
        <v>49</v>
      </c>
      <c r="F3868">
        <v>6</v>
      </c>
      <c r="G3868">
        <v>0.1482191658409234</v>
      </c>
      <c r="H3868" t="s">
        <v>91</v>
      </c>
      <c r="I3868">
        <v>0</v>
      </c>
      <c r="J3868">
        <v>0</v>
      </c>
      <c r="K3868">
        <v>0</v>
      </c>
    </row>
    <row r="3869" spans="1:11" x14ac:dyDescent="0.2">
      <c r="A3869" t="s">
        <v>16</v>
      </c>
      <c r="B3869" t="s">
        <v>5040</v>
      </c>
      <c r="C3869">
        <v>100</v>
      </c>
      <c r="D3869" t="s">
        <v>8352</v>
      </c>
      <c r="E3869" t="s">
        <v>49</v>
      </c>
      <c r="F3869">
        <v>23</v>
      </c>
      <c r="G3869">
        <v>0.34509258932803688</v>
      </c>
      <c r="H3869" t="s">
        <v>93</v>
      </c>
      <c r="I3869">
        <v>0</v>
      </c>
      <c r="J3869">
        <v>0</v>
      </c>
      <c r="K3869">
        <v>0</v>
      </c>
    </row>
    <row r="3870" spans="1:11" x14ac:dyDescent="0.2">
      <c r="A3870" t="s">
        <v>16</v>
      </c>
      <c r="B3870" t="s">
        <v>5040</v>
      </c>
      <c r="C3870">
        <v>150</v>
      </c>
      <c r="D3870" t="s">
        <v>8349</v>
      </c>
      <c r="E3870" t="s">
        <v>49</v>
      </c>
      <c r="F3870">
        <v>23</v>
      </c>
      <c r="G3870">
        <v>0.51763888399205538</v>
      </c>
      <c r="H3870" t="s">
        <v>104</v>
      </c>
      <c r="I3870">
        <v>0</v>
      </c>
      <c r="J3870">
        <v>0</v>
      </c>
      <c r="K3870">
        <v>0</v>
      </c>
    </row>
    <row r="3871" spans="1:11" x14ac:dyDescent="0.2">
      <c r="A3871" t="s">
        <v>16</v>
      </c>
      <c r="B3871" t="s">
        <v>5040</v>
      </c>
      <c r="C3871">
        <v>150</v>
      </c>
      <c r="D3871" t="s">
        <v>8350</v>
      </c>
      <c r="E3871" t="s">
        <v>49</v>
      </c>
      <c r="F3871">
        <v>23</v>
      </c>
      <c r="G3871">
        <v>0.51763888399205538</v>
      </c>
      <c r="H3871" t="s">
        <v>91</v>
      </c>
      <c r="I3871">
        <v>0</v>
      </c>
      <c r="J3871">
        <v>0</v>
      </c>
      <c r="K3871">
        <v>0</v>
      </c>
    </row>
    <row r="3872" spans="1:11" x14ac:dyDescent="0.2">
      <c r="A3872" t="s">
        <v>16</v>
      </c>
      <c r="B3872" t="s">
        <v>5040</v>
      </c>
      <c r="C3872">
        <v>150</v>
      </c>
      <c r="D3872" t="s">
        <v>8351</v>
      </c>
      <c r="E3872" t="s">
        <v>49</v>
      </c>
      <c r="F3872">
        <v>23</v>
      </c>
      <c r="G3872">
        <v>0.51763888399205538</v>
      </c>
      <c r="H3872" t="s">
        <v>95</v>
      </c>
      <c r="I3872">
        <v>0</v>
      </c>
      <c r="J3872">
        <v>0</v>
      </c>
      <c r="K3872">
        <v>0</v>
      </c>
    </row>
    <row r="3873" spans="1:11" x14ac:dyDescent="0.2">
      <c r="A3873" t="s">
        <v>16</v>
      </c>
      <c r="B3873" t="s">
        <v>5040</v>
      </c>
      <c r="C3873">
        <v>150</v>
      </c>
      <c r="D3873" t="s">
        <v>8353</v>
      </c>
      <c r="E3873" t="s">
        <v>49</v>
      </c>
      <c r="F3873">
        <v>23</v>
      </c>
      <c r="G3873">
        <v>0.51763888399205538</v>
      </c>
      <c r="H3873" t="s">
        <v>105</v>
      </c>
      <c r="I3873">
        <v>0</v>
      </c>
      <c r="J3873">
        <v>0</v>
      </c>
      <c r="K3873">
        <v>0</v>
      </c>
    </row>
    <row r="3874" spans="1:11" x14ac:dyDescent="0.2">
      <c r="A3874" t="s">
        <v>16</v>
      </c>
      <c r="B3874" t="s">
        <v>5042</v>
      </c>
      <c r="C3874">
        <v>300</v>
      </c>
      <c r="D3874" t="s">
        <v>8354</v>
      </c>
      <c r="E3874" t="s">
        <v>49</v>
      </c>
      <c r="F3874">
        <v>21</v>
      </c>
      <c r="G3874">
        <v>0.45653986859443968</v>
      </c>
      <c r="H3874" t="s">
        <v>88</v>
      </c>
      <c r="I3874">
        <v>0</v>
      </c>
      <c r="J3874">
        <v>0</v>
      </c>
      <c r="K3874">
        <v>0</v>
      </c>
    </row>
    <row r="3875" spans="1:11" x14ac:dyDescent="0.2">
      <c r="A3875" t="s">
        <v>16</v>
      </c>
      <c r="B3875" t="s">
        <v>5042</v>
      </c>
      <c r="C3875">
        <v>100</v>
      </c>
      <c r="D3875" t="s">
        <v>8355</v>
      </c>
      <c r="E3875" t="s">
        <v>49</v>
      </c>
      <c r="F3875">
        <v>21</v>
      </c>
      <c r="G3875">
        <v>0.15217995619814656</v>
      </c>
      <c r="H3875" t="s">
        <v>90</v>
      </c>
      <c r="I3875">
        <v>0</v>
      </c>
      <c r="J3875">
        <v>0</v>
      </c>
      <c r="K3875">
        <v>0</v>
      </c>
    </row>
    <row r="3876" spans="1:11" x14ac:dyDescent="0.2">
      <c r="A3876" t="s">
        <v>16</v>
      </c>
      <c r="B3876" t="s">
        <v>5042</v>
      </c>
      <c r="C3876">
        <v>300</v>
      </c>
      <c r="D3876" t="s">
        <v>8356</v>
      </c>
      <c r="E3876" t="s">
        <v>49</v>
      </c>
      <c r="F3876">
        <v>21</v>
      </c>
      <c r="G3876">
        <v>0.45653986859443968</v>
      </c>
      <c r="H3876" t="s">
        <v>98</v>
      </c>
      <c r="I3876">
        <v>0</v>
      </c>
      <c r="J3876">
        <v>0</v>
      </c>
      <c r="K3876">
        <v>0</v>
      </c>
    </row>
    <row r="3877" spans="1:11" x14ac:dyDescent="0.2">
      <c r="A3877" t="s">
        <v>16</v>
      </c>
      <c r="B3877" t="s">
        <v>5117</v>
      </c>
      <c r="C3877">
        <v>210</v>
      </c>
      <c r="D3877" t="s">
        <v>8367</v>
      </c>
      <c r="E3877" t="s">
        <v>49</v>
      </c>
      <c r="F3877">
        <v>23</v>
      </c>
      <c r="G3877">
        <v>0.48569342377991331</v>
      </c>
      <c r="H3877" t="s">
        <v>100</v>
      </c>
      <c r="I3877">
        <v>0</v>
      </c>
      <c r="J3877">
        <v>0</v>
      </c>
      <c r="K3877">
        <v>0</v>
      </c>
    </row>
    <row r="3878" spans="1:11" x14ac:dyDescent="0.2">
      <c r="A3878" t="s">
        <v>16</v>
      </c>
      <c r="B3878" t="s">
        <v>5117</v>
      </c>
      <c r="C3878">
        <v>210</v>
      </c>
      <c r="D3878" t="s">
        <v>8375</v>
      </c>
      <c r="E3878" t="s">
        <v>49</v>
      </c>
      <c r="F3878">
        <v>23</v>
      </c>
      <c r="G3878">
        <v>0.48569342377991331</v>
      </c>
      <c r="H3878" t="s">
        <v>93</v>
      </c>
      <c r="I3878">
        <v>0</v>
      </c>
      <c r="J3878">
        <v>0</v>
      </c>
      <c r="K3878">
        <v>0</v>
      </c>
    </row>
    <row r="3879" spans="1:11" x14ac:dyDescent="0.2">
      <c r="A3879" t="s">
        <v>16</v>
      </c>
      <c r="B3879" t="s">
        <v>5117</v>
      </c>
      <c r="C3879">
        <v>210</v>
      </c>
      <c r="D3879" t="s">
        <v>8373</v>
      </c>
      <c r="E3879" t="s">
        <v>49</v>
      </c>
      <c r="F3879">
        <v>23</v>
      </c>
      <c r="G3879">
        <v>0.48569342377991331</v>
      </c>
      <c r="H3879" t="s">
        <v>90</v>
      </c>
      <c r="I3879">
        <v>0</v>
      </c>
      <c r="J3879">
        <v>0</v>
      </c>
      <c r="K3879">
        <v>0</v>
      </c>
    </row>
    <row r="3880" spans="1:11" x14ac:dyDescent="0.2">
      <c r="A3880" t="s">
        <v>16</v>
      </c>
      <c r="B3880" t="s">
        <v>5117</v>
      </c>
      <c r="C3880">
        <v>210</v>
      </c>
      <c r="D3880" t="s">
        <v>8374</v>
      </c>
      <c r="E3880" t="s">
        <v>49</v>
      </c>
      <c r="F3880">
        <v>23</v>
      </c>
      <c r="G3880">
        <v>0.48569342377991331</v>
      </c>
      <c r="H3880" t="s">
        <v>104</v>
      </c>
      <c r="I3880">
        <v>0</v>
      </c>
      <c r="J3880">
        <v>0</v>
      </c>
      <c r="K3880">
        <v>0</v>
      </c>
    </row>
    <row r="3881" spans="1:11" x14ac:dyDescent="0.2">
      <c r="A3881" t="s">
        <v>16</v>
      </c>
      <c r="B3881" t="s">
        <v>5117</v>
      </c>
      <c r="C3881">
        <v>210</v>
      </c>
      <c r="D3881" t="s">
        <v>8366</v>
      </c>
      <c r="E3881" t="s">
        <v>49</v>
      </c>
      <c r="F3881">
        <v>23</v>
      </c>
      <c r="G3881">
        <v>0.48569342377991331</v>
      </c>
      <c r="H3881" t="s">
        <v>88</v>
      </c>
      <c r="I3881">
        <v>0</v>
      </c>
      <c r="J3881">
        <v>0</v>
      </c>
      <c r="K3881">
        <v>0</v>
      </c>
    </row>
    <row r="3882" spans="1:11" x14ac:dyDescent="0.2">
      <c r="A3882" t="s">
        <v>16</v>
      </c>
      <c r="B3882" t="s">
        <v>5117</v>
      </c>
      <c r="C3882">
        <v>210</v>
      </c>
      <c r="D3882" t="s">
        <v>8371</v>
      </c>
      <c r="E3882" t="s">
        <v>49</v>
      </c>
      <c r="F3882">
        <v>23</v>
      </c>
      <c r="G3882">
        <v>0.48569342377991331</v>
      </c>
      <c r="H3882" t="s">
        <v>97</v>
      </c>
      <c r="I3882">
        <v>0</v>
      </c>
      <c r="J3882">
        <v>0</v>
      </c>
      <c r="K3882">
        <v>0</v>
      </c>
    </row>
    <row r="3883" spans="1:11" x14ac:dyDescent="0.2">
      <c r="A3883" t="s">
        <v>16</v>
      </c>
      <c r="B3883" t="s">
        <v>5117</v>
      </c>
      <c r="C3883">
        <v>210</v>
      </c>
      <c r="D3883" t="s">
        <v>8376</v>
      </c>
      <c r="E3883" t="s">
        <v>49</v>
      </c>
      <c r="F3883">
        <v>23</v>
      </c>
      <c r="G3883">
        <v>0.48569342377991331</v>
      </c>
      <c r="H3883" t="s">
        <v>91</v>
      </c>
      <c r="I3883">
        <v>0</v>
      </c>
      <c r="J3883">
        <v>0</v>
      </c>
      <c r="K3883">
        <v>0</v>
      </c>
    </row>
    <row r="3884" spans="1:11" x14ac:dyDescent="0.2">
      <c r="A3884" t="s">
        <v>16</v>
      </c>
      <c r="B3884" t="s">
        <v>5117</v>
      </c>
      <c r="C3884">
        <v>210</v>
      </c>
      <c r="D3884" t="s">
        <v>8365</v>
      </c>
      <c r="E3884" t="s">
        <v>49</v>
      </c>
      <c r="F3884">
        <v>23</v>
      </c>
      <c r="G3884">
        <v>0.48569342377991331</v>
      </c>
      <c r="H3884" t="s">
        <v>95</v>
      </c>
      <c r="I3884">
        <v>0</v>
      </c>
      <c r="J3884">
        <v>0</v>
      </c>
      <c r="K3884">
        <v>0</v>
      </c>
    </row>
    <row r="3885" spans="1:11" x14ac:dyDescent="0.2">
      <c r="A3885" t="s">
        <v>16</v>
      </c>
      <c r="B3885" t="s">
        <v>5117</v>
      </c>
      <c r="C3885">
        <v>210</v>
      </c>
      <c r="D3885" t="s">
        <v>8360</v>
      </c>
      <c r="E3885" t="s">
        <v>49</v>
      </c>
      <c r="F3885">
        <v>23</v>
      </c>
      <c r="G3885">
        <v>0.48569342377991331</v>
      </c>
      <c r="H3885" t="s">
        <v>105</v>
      </c>
      <c r="I3885">
        <v>0</v>
      </c>
      <c r="J3885">
        <v>0</v>
      </c>
      <c r="K3885">
        <v>0</v>
      </c>
    </row>
    <row r="3886" spans="1:11" x14ac:dyDescent="0.2">
      <c r="A3886" t="s">
        <v>16</v>
      </c>
      <c r="B3886" t="s">
        <v>5117</v>
      </c>
      <c r="C3886">
        <v>210</v>
      </c>
      <c r="D3886" t="s">
        <v>8358</v>
      </c>
      <c r="E3886" t="s">
        <v>49</v>
      </c>
      <c r="F3886">
        <v>23</v>
      </c>
      <c r="G3886">
        <v>0.48569342377991331</v>
      </c>
      <c r="H3886" t="s">
        <v>98</v>
      </c>
      <c r="I3886">
        <v>0</v>
      </c>
      <c r="J3886">
        <v>0</v>
      </c>
      <c r="K3886">
        <v>0</v>
      </c>
    </row>
    <row r="3887" spans="1:11" x14ac:dyDescent="0.2">
      <c r="A3887" t="s">
        <v>16</v>
      </c>
      <c r="B3887" t="s">
        <v>5117</v>
      </c>
      <c r="C3887">
        <v>210</v>
      </c>
      <c r="D3887" t="s">
        <v>8370</v>
      </c>
      <c r="E3887" t="s">
        <v>49</v>
      </c>
      <c r="F3887">
        <v>23</v>
      </c>
      <c r="G3887">
        <v>0.48569342377991331</v>
      </c>
      <c r="H3887" t="s">
        <v>100</v>
      </c>
      <c r="I3887">
        <v>0</v>
      </c>
      <c r="J3887">
        <v>0</v>
      </c>
      <c r="K3887">
        <v>0</v>
      </c>
    </row>
    <row r="3888" spans="1:11" x14ac:dyDescent="0.2">
      <c r="A3888" t="s">
        <v>16</v>
      </c>
      <c r="B3888" t="s">
        <v>5117</v>
      </c>
      <c r="C3888">
        <v>210</v>
      </c>
      <c r="D3888" t="s">
        <v>8372</v>
      </c>
      <c r="E3888" t="s">
        <v>49</v>
      </c>
      <c r="F3888">
        <v>23</v>
      </c>
      <c r="G3888">
        <v>0.48569342377991331</v>
      </c>
      <c r="H3888" t="s">
        <v>93</v>
      </c>
      <c r="I3888">
        <v>0</v>
      </c>
      <c r="J3888">
        <v>0</v>
      </c>
      <c r="K3888">
        <v>0</v>
      </c>
    </row>
    <row r="3889" spans="1:11" x14ac:dyDescent="0.2">
      <c r="A3889" t="s">
        <v>16</v>
      </c>
      <c r="B3889" t="s">
        <v>5117</v>
      </c>
      <c r="C3889">
        <v>210</v>
      </c>
      <c r="D3889" t="s">
        <v>8368</v>
      </c>
      <c r="E3889" t="s">
        <v>49</v>
      </c>
      <c r="F3889">
        <v>23</v>
      </c>
      <c r="G3889">
        <v>0.48569342377991331</v>
      </c>
      <c r="H3889" t="s">
        <v>90</v>
      </c>
      <c r="I3889">
        <v>0</v>
      </c>
      <c r="J3889">
        <v>0</v>
      </c>
      <c r="K3889">
        <v>0</v>
      </c>
    </row>
    <row r="3890" spans="1:11" x14ac:dyDescent="0.2">
      <c r="A3890" t="s">
        <v>16</v>
      </c>
      <c r="B3890" t="s">
        <v>5117</v>
      </c>
      <c r="C3890">
        <v>210</v>
      </c>
      <c r="D3890" t="s">
        <v>8362</v>
      </c>
      <c r="E3890" t="s">
        <v>49</v>
      </c>
      <c r="F3890">
        <v>23</v>
      </c>
      <c r="G3890">
        <v>0.48569342377991331</v>
      </c>
      <c r="H3890" t="s">
        <v>104</v>
      </c>
      <c r="I3890">
        <v>0</v>
      </c>
      <c r="J3890">
        <v>0</v>
      </c>
      <c r="K3890">
        <v>0</v>
      </c>
    </row>
    <row r="3891" spans="1:11" x14ac:dyDescent="0.2">
      <c r="A3891" t="s">
        <v>16</v>
      </c>
      <c r="B3891" t="s">
        <v>5117</v>
      </c>
      <c r="C3891">
        <v>210</v>
      </c>
      <c r="D3891" t="s">
        <v>8357</v>
      </c>
      <c r="E3891" t="s">
        <v>49</v>
      </c>
      <c r="F3891">
        <v>23</v>
      </c>
      <c r="G3891">
        <v>0.48569342377991331</v>
      </c>
      <c r="H3891" t="s">
        <v>88</v>
      </c>
      <c r="I3891">
        <v>0</v>
      </c>
      <c r="J3891">
        <v>0</v>
      </c>
      <c r="K3891">
        <v>0</v>
      </c>
    </row>
    <row r="3892" spans="1:11" x14ac:dyDescent="0.2">
      <c r="A3892" t="s">
        <v>16</v>
      </c>
      <c r="B3892" t="s">
        <v>5117</v>
      </c>
      <c r="C3892">
        <v>210</v>
      </c>
      <c r="D3892" t="s">
        <v>8369</v>
      </c>
      <c r="E3892" t="s">
        <v>49</v>
      </c>
      <c r="F3892">
        <v>23</v>
      </c>
      <c r="G3892">
        <v>0.48569342377991331</v>
      </c>
      <c r="H3892" t="s">
        <v>97</v>
      </c>
      <c r="I3892">
        <v>0</v>
      </c>
      <c r="J3892">
        <v>0</v>
      </c>
      <c r="K3892">
        <v>0</v>
      </c>
    </row>
    <row r="3893" spans="1:11" x14ac:dyDescent="0.2">
      <c r="A3893" t="s">
        <v>16</v>
      </c>
      <c r="B3893" t="s">
        <v>5117</v>
      </c>
      <c r="C3893">
        <v>210</v>
      </c>
      <c r="D3893" t="s">
        <v>8363</v>
      </c>
      <c r="E3893" t="s">
        <v>49</v>
      </c>
      <c r="F3893">
        <v>23</v>
      </c>
      <c r="G3893">
        <v>0.48569342377991331</v>
      </c>
      <c r="H3893" t="s">
        <v>91</v>
      </c>
      <c r="I3893">
        <v>0</v>
      </c>
      <c r="J3893">
        <v>0</v>
      </c>
      <c r="K3893">
        <v>0</v>
      </c>
    </row>
    <row r="3894" spans="1:11" x14ac:dyDescent="0.2">
      <c r="A3894" t="s">
        <v>16</v>
      </c>
      <c r="B3894" t="s">
        <v>5117</v>
      </c>
      <c r="C3894">
        <v>210</v>
      </c>
      <c r="D3894" t="s">
        <v>8364</v>
      </c>
      <c r="E3894" t="s">
        <v>49</v>
      </c>
      <c r="F3894">
        <v>23</v>
      </c>
      <c r="G3894">
        <v>0.48569342377991331</v>
      </c>
      <c r="H3894" t="s">
        <v>95</v>
      </c>
      <c r="I3894">
        <v>0</v>
      </c>
      <c r="J3894">
        <v>0</v>
      </c>
      <c r="K3894">
        <v>0</v>
      </c>
    </row>
    <row r="3895" spans="1:11" x14ac:dyDescent="0.2">
      <c r="A3895" t="s">
        <v>16</v>
      </c>
      <c r="B3895" t="s">
        <v>5117</v>
      </c>
      <c r="C3895">
        <v>210</v>
      </c>
      <c r="D3895" t="s">
        <v>8378</v>
      </c>
      <c r="E3895" t="s">
        <v>49</v>
      </c>
      <c r="F3895">
        <v>23</v>
      </c>
      <c r="G3895">
        <v>0.48569342377991331</v>
      </c>
      <c r="H3895" t="s">
        <v>105</v>
      </c>
      <c r="I3895">
        <v>0</v>
      </c>
      <c r="J3895">
        <v>0</v>
      </c>
      <c r="K3895">
        <v>0</v>
      </c>
    </row>
    <row r="3896" spans="1:11" x14ac:dyDescent="0.2">
      <c r="A3896" t="s">
        <v>16</v>
      </c>
      <c r="B3896" t="s">
        <v>5117</v>
      </c>
      <c r="C3896">
        <v>210</v>
      </c>
      <c r="D3896" t="s">
        <v>8361</v>
      </c>
      <c r="E3896" t="s">
        <v>49</v>
      </c>
      <c r="F3896">
        <v>23</v>
      </c>
      <c r="G3896">
        <v>0.48569342377991331</v>
      </c>
      <c r="H3896" t="s">
        <v>98</v>
      </c>
      <c r="I3896">
        <v>0</v>
      </c>
      <c r="J3896">
        <v>0</v>
      </c>
      <c r="K3896">
        <v>0</v>
      </c>
    </row>
    <row r="3897" spans="1:11" x14ac:dyDescent="0.2">
      <c r="A3897" t="s">
        <v>16</v>
      </c>
      <c r="B3897" t="s">
        <v>5117</v>
      </c>
      <c r="C3897">
        <v>210</v>
      </c>
      <c r="D3897" t="s">
        <v>8359</v>
      </c>
      <c r="E3897" t="s">
        <v>49</v>
      </c>
      <c r="F3897">
        <v>23</v>
      </c>
      <c r="G3897">
        <v>0.48569342377991331</v>
      </c>
      <c r="H3897" t="s">
        <v>100</v>
      </c>
      <c r="I3897">
        <v>0</v>
      </c>
      <c r="J3897">
        <v>0</v>
      </c>
      <c r="K3897">
        <v>0</v>
      </c>
    </row>
    <row r="3898" spans="1:11" x14ac:dyDescent="0.2">
      <c r="A3898" t="s">
        <v>16</v>
      </c>
      <c r="B3898" t="s">
        <v>5117</v>
      </c>
      <c r="C3898">
        <v>210</v>
      </c>
      <c r="D3898" t="s">
        <v>8377</v>
      </c>
      <c r="E3898" t="s">
        <v>49</v>
      </c>
      <c r="F3898">
        <v>23</v>
      </c>
      <c r="G3898">
        <v>0.48569342377991331</v>
      </c>
      <c r="H3898" t="s">
        <v>93</v>
      </c>
      <c r="I3898">
        <v>0</v>
      </c>
      <c r="J3898">
        <v>0</v>
      </c>
      <c r="K3898">
        <v>0</v>
      </c>
    </row>
    <row r="3899" spans="1:11" x14ac:dyDescent="0.2">
      <c r="A3899" t="s">
        <v>16</v>
      </c>
      <c r="B3899" t="s">
        <v>5119</v>
      </c>
      <c r="C3899">
        <v>810</v>
      </c>
      <c r="D3899" t="s">
        <v>8389</v>
      </c>
      <c r="E3899" t="s">
        <v>49</v>
      </c>
      <c r="F3899">
        <v>6</v>
      </c>
      <c r="G3899">
        <v>0.88599942173225688</v>
      </c>
      <c r="H3899" t="s">
        <v>90</v>
      </c>
      <c r="I3899">
        <v>0</v>
      </c>
      <c r="J3899">
        <v>0</v>
      </c>
      <c r="K3899">
        <v>0</v>
      </c>
    </row>
    <row r="3900" spans="1:11" x14ac:dyDescent="0.2">
      <c r="A3900" t="s">
        <v>16</v>
      </c>
      <c r="B3900" t="s">
        <v>5119</v>
      </c>
      <c r="C3900">
        <v>810</v>
      </c>
      <c r="D3900" t="s">
        <v>8384</v>
      </c>
      <c r="E3900" t="s">
        <v>49</v>
      </c>
      <c r="F3900">
        <v>6</v>
      </c>
      <c r="G3900">
        <v>0.88599942173225688</v>
      </c>
      <c r="H3900" t="s">
        <v>87</v>
      </c>
      <c r="I3900">
        <v>0</v>
      </c>
      <c r="J3900">
        <v>0</v>
      </c>
      <c r="K3900">
        <v>0</v>
      </c>
    </row>
    <row r="3901" spans="1:11" x14ac:dyDescent="0.2">
      <c r="A3901" t="s">
        <v>16</v>
      </c>
      <c r="B3901" t="s">
        <v>5119</v>
      </c>
      <c r="C3901">
        <v>540</v>
      </c>
      <c r="D3901" t="s">
        <v>8391</v>
      </c>
      <c r="E3901" t="s">
        <v>49</v>
      </c>
      <c r="F3901">
        <v>6</v>
      </c>
      <c r="G3901">
        <v>0.59066628115483788</v>
      </c>
      <c r="H3901" t="s">
        <v>104</v>
      </c>
      <c r="I3901">
        <v>0</v>
      </c>
      <c r="J3901">
        <v>0</v>
      </c>
      <c r="K3901">
        <v>0</v>
      </c>
    </row>
    <row r="3902" spans="1:11" x14ac:dyDescent="0.2">
      <c r="A3902" t="s">
        <v>16</v>
      </c>
      <c r="B3902" t="s">
        <v>5119</v>
      </c>
      <c r="C3902">
        <v>270</v>
      </c>
      <c r="D3902" t="s">
        <v>8381</v>
      </c>
      <c r="E3902" t="s">
        <v>49</v>
      </c>
      <c r="F3902">
        <v>6</v>
      </c>
      <c r="G3902">
        <v>0.29533314057741894</v>
      </c>
      <c r="H3902" t="s">
        <v>88</v>
      </c>
      <c r="I3902">
        <v>0</v>
      </c>
      <c r="J3902">
        <v>0</v>
      </c>
      <c r="K3902">
        <v>0</v>
      </c>
    </row>
    <row r="3903" spans="1:11" x14ac:dyDescent="0.2">
      <c r="A3903" t="s">
        <v>16</v>
      </c>
      <c r="B3903" t="s">
        <v>5119</v>
      </c>
      <c r="C3903">
        <v>810</v>
      </c>
      <c r="D3903" t="s">
        <v>8380</v>
      </c>
      <c r="E3903" t="s">
        <v>49</v>
      </c>
      <c r="F3903">
        <v>6</v>
      </c>
      <c r="G3903">
        <v>0.88599942173225688</v>
      </c>
      <c r="H3903" t="s">
        <v>97</v>
      </c>
      <c r="I3903">
        <v>0</v>
      </c>
      <c r="J3903">
        <v>0</v>
      </c>
      <c r="K3903">
        <v>0</v>
      </c>
    </row>
    <row r="3904" spans="1:11" x14ac:dyDescent="0.2">
      <c r="A3904" t="s">
        <v>16</v>
      </c>
      <c r="B3904" t="s">
        <v>5119</v>
      </c>
      <c r="C3904">
        <v>810</v>
      </c>
      <c r="D3904" t="s">
        <v>8379</v>
      </c>
      <c r="E3904" t="s">
        <v>49</v>
      </c>
      <c r="F3904">
        <v>6</v>
      </c>
      <c r="G3904">
        <v>0.88599942173225688</v>
      </c>
      <c r="H3904" t="s">
        <v>91</v>
      </c>
      <c r="I3904">
        <v>0</v>
      </c>
      <c r="J3904">
        <v>0</v>
      </c>
      <c r="K3904">
        <v>0</v>
      </c>
    </row>
    <row r="3905" spans="1:11" x14ac:dyDescent="0.2">
      <c r="A3905" t="s">
        <v>16</v>
      </c>
      <c r="B3905" t="s">
        <v>5119</v>
      </c>
      <c r="C3905">
        <v>810</v>
      </c>
      <c r="D3905" t="s">
        <v>8392</v>
      </c>
      <c r="E3905" t="s">
        <v>49</v>
      </c>
      <c r="F3905">
        <v>6</v>
      </c>
      <c r="G3905">
        <v>0.88599942173225688</v>
      </c>
      <c r="H3905" t="s">
        <v>88</v>
      </c>
      <c r="I3905">
        <v>0</v>
      </c>
      <c r="J3905">
        <v>0</v>
      </c>
      <c r="K3905">
        <v>0</v>
      </c>
    </row>
    <row r="3906" spans="1:11" x14ac:dyDescent="0.2">
      <c r="A3906" t="s">
        <v>16</v>
      </c>
      <c r="B3906" t="s">
        <v>5119</v>
      </c>
      <c r="C3906">
        <v>810</v>
      </c>
      <c r="D3906" t="s">
        <v>8386</v>
      </c>
      <c r="E3906" t="s">
        <v>49</v>
      </c>
      <c r="F3906">
        <v>6</v>
      </c>
      <c r="G3906">
        <v>0.88599942173225688</v>
      </c>
      <c r="H3906" t="s">
        <v>104</v>
      </c>
      <c r="I3906">
        <v>0</v>
      </c>
      <c r="J3906">
        <v>0</v>
      </c>
      <c r="K3906">
        <v>0</v>
      </c>
    </row>
    <row r="3907" spans="1:11" x14ac:dyDescent="0.2">
      <c r="A3907" t="s">
        <v>16</v>
      </c>
      <c r="B3907" t="s">
        <v>5119</v>
      </c>
      <c r="C3907">
        <v>810</v>
      </c>
      <c r="D3907" t="s">
        <v>8385</v>
      </c>
      <c r="E3907" t="s">
        <v>49</v>
      </c>
      <c r="F3907">
        <v>6</v>
      </c>
      <c r="G3907">
        <v>0.88599942173225688</v>
      </c>
      <c r="H3907" t="s">
        <v>90</v>
      </c>
      <c r="I3907">
        <v>0</v>
      </c>
      <c r="J3907">
        <v>0</v>
      </c>
      <c r="K3907">
        <v>0</v>
      </c>
    </row>
    <row r="3908" spans="1:11" x14ac:dyDescent="0.2">
      <c r="A3908" t="s">
        <v>16</v>
      </c>
      <c r="B3908" t="s">
        <v>5119</v>
      </c>
      <c r="C3908">
        <v>810</v>
      </c>
      <c r="D3908" t="s">
        <v>8383</v>
      </c>
      <c r="E3908" t="s">
        <v>49</v>
      </c>
      <c r="F3908">
        <v>6</v>
      </c>
      <c r="G3908">
        <v>0.88599942173225688</v>
      </c>
      <c r="H3908" t="s">
        <v>87</v>
      </c>
      <c r="I3908">
        <v>0</v>
      </c>
      <c r="J3908">
        <v>0</v>
      </c>
      <c r="K3908">
        <v>0</v>
      </c>
    </row>
    <row r="3909" spans="1:11" x14ac:dyDescent="0.2">
      <c r="A3909" t="s">
        <v>16</v>
      </c>
      <c r="B3909" t="s">
        <v>5119</v>
      </c>
      <c r="C3909">
        <v>810</v>
      </c>
      <c r="D3909" t="s">
        <v>8396</v>
      </c>
      <c r="E3909" t="s">
        <v>49</v>
      </c>
      <c r="F3909">
        <v>6</v>
      </c>
      <c r="G3909">
        <v>0.88599942173225688</v>
      </c>
      <c r="H3909" t="s">
        <v>97</v>
      </c>
      <c r="I3909">
        <v>0</v>
      </c>
      <c r="J3909">
        <v>0</v>
      </c>
      <c r="K3909">
        <v>0</v>
      </c>
    </row>
    <row r="3910" spans="1:11" x14ac:dyDescent="0.2">
      <c r="A3910" t="s">
        <v>16</v>
      </c>
      <c r="B3910" t="s">
        <v>5119</v>
      </c>
      <c r="C3910">
        <v>810</v>
      </c>
      <c r="D3910" t="s">
        <v>8382</v>
      </c>
      <c r="E3910" t="s">
        <v>49</v>
      </c>
      <c r="F3910">
        <v>6</v>
      </c>
      <c r="G3910">
        <v>0.88599942173225688</v>
      </c>
      <c r="H3910" t="s">
        <v>91</v>
      </c>
      <c r="I3910">
        <v>0</v>
      </c>
      <c r="J3910">
        <v>0</v>
      </c>
      <c r="K3910">
        <v>0</v>
      </c>
    </row>
    <row r="3911" spans="1:11" x14ac:dyDescent="0.2">
      <c r="A3911" t="s">
        <v>16</v>
      </c>
      <c r="B3911" t="s">
        <v>5119</v>
      </c>
      <c r="C3911">
        <v>540</v>
      </c>
      <c r="D3911" t="s">
        <v>8394</v>
      </c>
      <c r="E3911" t="s">
        <v>49</v>
      </c>
      <c r="F3911">
        <v>6</v>
      </c>
      <c r="G3911">
        <v>0.59066628115483788</v>
      </c>
      <c r="H3911" t="s">
        <v>88</v>
      </c>
      <c r="I3911">
        <v>0</v>
      </c>
      <c r="J3911">
        <v>0</v>
      </c>
      <c r="K3911">
        <v>0</v>
      </c>
    </row>
    <row r="3912" spans="1:11" x14ac:dyDescent="0.2">
      <c r="A3912" t="s">
        <v>16</v>
      </c>
      <c r="B3912" t="s">
        <v>5119</v>
      </c>
      <c r="C3912">
        <v>810</v>
      </c>
      <c r="D3912" t="s">
        <v>8398</v>
      </c>
      <c r="E3912" t="s">
        <v>49</v>
      </c>
      <c r="F3912">
        <v>6</v>
      </c>
      <c r="G3912">
        <v>0.88599942173225688</v>
      </c>
      <c r="H3912" t="s">
        <v>104</v>
      </c>
      <c r="I3912">
        <v>0</v>
      </c>
      <c r="J3912">
        <v>0</v>
      </c>
      <c r="K3912">
        <v>0</v>
      </c>
    </row>
    <row r="3913" spans="1:11" x14ac:dyDescent="0.2">
      <c r="A3913" t="s">
        <v>16</v>
      </c>
      <c r="B3913" t="s">
        <v>5119</v>
      </c>
      <c r="C3913">
        <v>810</v>
      </c>
      <c r="D3913" t="s">
        <v>8390</v>
      </c>
      <c r="E3913" t="s">
        <v>49</v>
      </c>
      <c r="F3913">
        <v>6</v>
      </c>
      <c r="G3913">
        <v>0.88599942173225688</v>
      </c>
      <c r="H3913" t="s">
        <v>90</v>
      </c>
      <c r="I3913">
        <v>0</v>
      </c>
      <c r="J3913">
        <v>0</v>
      </c>
      <c r="K3913">
        <v>0</v>
      </c>
    </row>
    <row r="3914" spans="1:11" x14ac:dyDescent="0.2">
      <c r="A3914" t="s">
        <v>16</v>
      </c>
      <c r="B3914" t="s">
        <v>5119</v>
      </c>
      <c r="C3914">
        <v>810</v>
      </c>
      <c r="D3914" t="s">
        <v>8397</v>
      </c>
      <c r="E3914" t="s">
        <v>49</v>
      </c>
      <c r="F3914">
        <v>6</v>
      </c>
      <c r="G3914">
        <v>0.88599942173225688</v>
      </c>
      <c r="H3914" t="s">
        <v>87</v>
      </c>
      <c r="I3914">
        <v>0</v>
      </c>
      <c r="J3914">
        <v>0</v>
      </c>
      <c r="K3914">
        <v>0</v>
      </c>
    </row>
    <row r="3915" spans="1:11" x14ac:dyDescent="0.2">
      <c r="A3915" t="s">
        <v>16</v>
      </c>
      <c r="B3915" t="s">
        <v>5119</v>
      </c>
      <c r="C3915">
        <v>810</v>
      </c>
      <c r="D3915" t="s">
        <v>8399</v>
      </c>
      <c r="E3915" t="s">
        <v>49</v>
      </c>
      <c r="F3915">
        <v>6</v>
      </c>
      <c r="G3915">
        <v>0.88599942173225688</v>
      </c>
      <c r="H3915" t="s">
        <v>88</v>
      </c>
      <c r="I3915">
        <v>0</v>
      </c>
      <c r="J3915">
        <v>0</v>
      </c>
      <c r="K3915">
        <v>0</v>
      </c>
    </row>
    <row r="3916" spans="1:11" x14ac:dyDescent="0.2">
      <c r="A3916" t="s">
        <v>16</v>
      </c>
      <c r="B3916" t="s">
        <v>5119</v>
      </c>
      <c r="C3916">
        <v>810</v>
      </c>
      <c r="D3916" t="s">
        <v>8400</v>
      </c>
      <c r="E3916" t="s">
        <v>49</v>
      </c>
      <c r="F3916">
        <v>6</v>
      </c>
      <c r="G3916">
        <v>0.88599942173225688</v>
      </c>
      <c r="H3916" t="s">
        <v>97</v>
      </c>
      <c r="I3916">
        <v>0</v>
      </c>
      <c r="J3916">
        <v>0</v>
      </c>
      <c r="K3916">
        <v>0</v>
      </c>
    </row>
    <row r="3917" spans="1:11" x14ac:dyDescent="0.2">
      <c r="A3917" t="s">
        <v>16</v>
      </c>
      <c r="B3917" t="s">
        <v>5119</v>
      </c>
      <c r="C3917">
        <v>810</v>
      </c>
      <c r="D3917" t="s">
        <v>8387</v>
      </c>
      <c r="E3917" t="s">
        <v>49</v>
      </c>
      <c r="F3917">
        <v>6</v>
      </c>
      <c r="G3917">
        <v>0.88599942173225688</v>
      </c>
      <c r="H3917" t="s">
        <v>91</v>
      </c>
      <c r="I3917">
        <v>0</v>
      </c>
      <c r="J3917">
        <v>0</v>
      </c>
      <c r="K3917">
        <v>0</v>
      </c>
    </row>
    <row r="3918" spans="1:11" x14ac:dyDescent="0.2">
      <c r="A3918" t="s">
        <v>16</v>
      </c>
      <c r="B3918" t="s">
        <v>5119</v>
      </c>
      <c r="C3918">
        <v>810</v>
      </c>
      <c r="D3918" t="s">
        <v>8403</v>
      </c>
      <c r="E3918" t="s">
        <v>49</v>
      </c>
      <c r="F3918">
        <v>6</v>
      </c>
      <c r="G3918">
        <v>0.88599942173225688</v>
      </c>
      <c r="H3918" t="s">
        <v>104</v>
      </c>
      <c r="I3918">
        <v>0</v>
      </c>
      <c r="J3918">
        <v>0</v>
      </c>
      <c r="K3918">
        <v>0</v>
      </c>
    </row>
    <row r="3919" spans="1:11" x14ac:dyDescent="0.2">
      <c r="A3919" t="s">
        <v>16</v>
      </c>
      <c r="B3919" t="s">
        <v>5119</v>
      </c>
      <c r="C3919">
        <v>810</v>
      </c>
      <c r="D3919" t="s">
        <v>8407</v>
      </c>
      <c r="E3919" t="s">
        <v>49</v>
      </c>
      <c r="F3919">
        <v>6</v>
      </c>
      <c r="G3919">
        <v>0.88599942173225688</v>
      </c>
      <c r="H3919" t="s">
        <v>90</v>
      </c>
      <c r="I3919">
        <v>0</v>
      </c>
      <c r="J3919">
        <v>0</v>
      </c>
      <c r="K3919">
        <v>0</v>
      </c>
    </row>
    <row r="3920" spans="1:11" x14ac:dyDescent="0.2">
      <c r="A3920" t="s">
        <v>16</v>
      </c>
      <c r="B3920" t="s">
        <v>5119</v>
      </c>
      <c r="C3920">
        <v>810</v>
      </c>
      <c r="D3920" t="s">
        <v>8388</v>
      </c>
      <c r="E3920" t="s">
        <v>49</v>
      </c>
      <c r="F3920">
        <v>6</v>
      </c>
      <c r="G3920">
        <v>0.88599942173225688</v>
      </c>
      <c r="H3920" t="s">
        <v>87</v>
      </c>
      <c r="I3920">
        <v>0</v>
      </c>
      <c r="J3920">
        <v>0</v>
      </c>
      <c r="K3920">
        <v>0</v>
      </c>
    </row>
    <row r="3921" spans="1:11" x14ac:dyDescent="0.2">
      <c r="A3921" t="s">
        <v>16</v>
      </c>
      <c r="B3921" t="s">
        <v>5119</v>
      </c>
      <c r="C3921">
        <v>810</v>
      </c>
      <c r="D3921" t="s">
        <v>8409</v>
      </c>
      <c r="E3921" t="s">
        <v>49</v>
      </c>
      <c r="F3921">
        <v>6</v>
      </c>
      <c r="G3921">
        <v>0.88599942173225688</v>
      </c>
      <c r="H3921" t="s">
        <v>88</v>
      </c>
      <c r="I3921">
        <v>0</v>
      </c>
      <c r="J3921">
        <v>0</v>
      </c>
      <c r="K3921">
        <v>0</v>
      </c>
    </row>
    <row r="3922" spans="1:11" x14ac:dyDescent="0.2">
      <c r="A3922" t="s">
        <v>16</v>
      </c>
      <c r="B3922" t="s">
        <v>5119</v>
      </c>
      <c r="C3922">
        <v>810</v>
      </c>
      <c r="D3922" t="s">
        <v>8408</v>
      </c>
      <c r="E3922" t="s">
        <v>49</v>
      </c>
      <c r="F3922">
        <v>6</v>
      </c>
      <c r="G3922">
        <v>0.88599942173225688</v>
      </c>
      <c r="H3922" t="s">
        <v>97</v>
      </c>
      <c r="I3922">
        <v>0</v>
      </c>
      <c r="J3922">
        <v>0</v>
      </c>
      <c r="K3922">
        <v>0</v>
      </c>
    </row>
    <row r="3923" spans="1:11" x14ac:dyDescent="0.2">
      <c r="A3923" t="s">
        <v>16</v>
      </c>
      <c r="B3923" t="s">
        <v>5119</v>
      </c>
      <c r="C3923">
        <v>810</v>
      </c>
      <c r="D3923" t="s">
        <v>8406</v>
      </c>
      <c r="E3923" t="s">
        <v>49</v>
      </c>
      <c r="F3923">
        <v>6</v>
      </c>
      <c r="G3923">
        <v>0.88599942173225688</v>
      </c>
      <c r="H3923" t="s">
        <v>91</v>
      </c>
      <c r="I3923">
        <v>0</v>
      </c>
      <c r="J3923">
        <v>0</v>
      </c>
      <c r="K3923">
        <v>0</v>
      </c>
    </row>
    <row r="3924" spans="1:11" x14ac:dyDescent="0.2">
      <c r="A3924" t="s">
        <v>16</v>
      </c>
      <c r="B3924" t="s">
        <v>5119</v>
      </c>
      <c r="C3924">
        <v>810</v>
      </c>
      <c r="D3924" t="s">
        <v>8393</v>
      </c>
      <c r="E3924" t="s">
        <v>49</v>
      </c>
      <c r="F3924">
        <v>6</v>
      </c>
      <c r="G3924">
        <v>0.88599942173225688</v>
      </c>
      <c r="H3924" t="s">
        <v>104</v>
      </c>
      <c r="I3924">
        <v>0</v>
      </c>
      <c r="J3924">
        <v>0</v>
      </c>
      <c r="K3924">
        <v>0</v>
      </c>
    </row>
    <row r="3925" spans="1:11" x14ac:dyDescent="0.2">
      <c r="A3925" t="s">
        <v>16</v>
      </c>
      <c r="B3925" t="s">
        <v>5119</v>
      </c>
      <c r="C3925">
        <v>810</v>
      </c>
      <c r="D3925" t="s">
        <v>8395</v>
      </c>
      <c r="E3925" t="s">
        <v>49</v>
      </c>
      <c r="F3925">
        <v>6</v>
      </c>
      <c r="G3925">
        <v>0.88599942173225688</v>
      </c>
      <c r="H3925" t="s">
        <v>90</v>
      </c>
      <c r="I3925">
        <v>0</v>
      </c>
      <c r="J3925">
        <v>0</v>
      </c>
      <c r="K3925">
        <v>0</v>
      </c>
    </row>
    <row r="3926" spans="1:11" x14ac:dyDescent="0.2">
      <c r="A3926" t="s">
        <v>16</v>
      </c>
      <c r="B3926" t="s">
        <v>5119</v>
      </c>
      <c r="C3926">
        <v>810</v>
      </c>
      <c r="D3926" t="s">
        <v>8401</v>
      </c>
      <c r="E3926" t="s">
        <v>49</v>
      </c>
      <c r="F3926">
        <v>6</v>
      </c>
      <c r="G3926">
        <v>0.88599942173225688</v>
      </c>
      <c r="H3926" t="s">
        <v>87</v>
      </c>
      <c r="I3926">
        <v>0</v>
      </c>
      <c r="J3926">
        <v>0</v>
      </c>
      <c r="K3926">
        <v>0</v>
      </c>
    </row>
    <row r="3927" spans="1:11" x14ac:dyDescent="0.2">
      <c r="A3927" t="s">
        <v>16</v>
      </c>
      <c r="B3927" t="s">
        <v>5119</v>
      </c>
      <c r="C3927">
        <v>810</v>
      </c>
      <c r="D3927" t="s">
        <v>8404</v>
      </c>
      <c r="E3927" t="s">
        <v>49</v>
      </c>
      <c r="F3927">
        <v>6</v>
      </c>
      <c r="G3927">
        <v>0.88599942173225688</v>
      </c>
      <c r="H3927" t="s">
        <v>88</v>
      </c>
      <c r="I3927">
        <v>0</v>
      </c>
      <c r="J3927">
        <v>0</v>
      </c>
      <c r="K3927">
        <v>0</v>
      </c>
    </row>
    <row r="3928" spans="1:11" x14ac:dyDescent="0.2">
      <c r="A3928" t="s">
        <v>16</v>
      </c>
      <c r="B3928" t="s">
        <v>5119</v>
      </c>
      <c r="C3928">
        <v>810</v>
      </c>
      <c r="D3928" t="s">
        <v>8402</v>
      </c>
      <c r="E3928" t="s">
        <v>49</v>
      </c>
      <c r="F3928">
        <v>6</v>
      </c>
      <c r="G3928">
        <v>0.88599942173225688</v>
      </c>
      <c r="H3928" t="s">
        <v>97</v>
      </c>
      <c r="I3928">
        <v>0</v>
      </c>
      <c r="J3928">
        <v>0</v>
      </c>
      <c r="K3928">
        <v>0</v>
      </c>
    </row>
    <row r="3929" spans="1:11" x14ac:dyDescent="0.2">
      <c r="A3929" t="s">
        <v>16</v>
      </c>
      <c r="B3929" t="s">
        <v>5119</v>
      </c>
      <c r="C3929">
        <v>810</v>
      </c>
      <c r="D3929" t="s">
        <v>8405</v>
      </c>
      <c r="E3929" t="s">
        <v>49</v>
      </c>
      <c r="F3929">
        <v>6</v>
      </c>
      <c r="G3929">
        <v>0.88599942173225688</v>
      </c>
      <c r="H3929" t="s">
        <v>91</v>
      </c>
      <c r="I3929">
        <v>0</v>
      </c>
      <c r="J3929">
        <v>0</v>
      </c>
      <c r="K3929">
        <v>0</v>
      </c>
    </row>
    <row r="3930" spans="1:11" x14ac:dyDescent="0.2">
      <c r="A3930" t="s">
        <v>16</v>
      </c>
      <c r="B3930" t="s">
        <v>5129</v>
      </c>
      <c r="C3930">
        <v>240</v>
      </c>
      <c r="D3930" t="s">
        <v>8410</v>
      </c>
      <c r="E3930" t="s">
        <v>49</v>
      </c>
      <c r="F3930">
        <v>6</v>
      </c>
      <c r="G3930">
        <v>0.43707514490516863</v>
      </c>
      <c r="H3930" t="s">
        <v>89</v>
      </c>
      <c r="I3930">
        <v>0</v>
      </c>
      <c r="J3930">
        <v>0</v>
      </c>
      <c r="K3930">
        <v>0</v>
      </c>
    </row>
    <row r="3931" spans="1:11" x14ac:dyDescent="0.2">
      <c r="A3931" t="s">
        <v>16</v>
      </c>
      <c r="B3931" t="s">
        <v>5129</v>
      </c>
      <c r="C3931">
        <v>80</v>
      </c>
      <c r="D3931" t="s">
        <v>8411</v>
      </c>
      <c r="E3931" t="s">
        <v>49</v>
      </c>
      <c r="F3931">
        <v>6</v>
      </c>
      <c r="G3931">
        <v>0.14569171496838954</v>
      </c>
      <c r="H3931" t="s">
        <v>95</v>
      </c>
      <c r="I3931">
        <v>0</v>
      </c>
      <c r="J3931">
        <v>0</v>
      </c>
      <c r="K3931">
        <v>0</v>
      </c>
    </row>
    <row r="3932" spans="1:11" x14ac:dyDescent="0.2">
      <c r="A3932" t="s">
        <v>16</v>
      </c>
      <c r="B3932" t="s">
        <v>5131</v>
      </c>
      <c r="C3932">
        <v>300</v>
      </c>
      <c r="D3932" t="s">
        <v>8432</v>
      </c>
      <c r="E3932" t="s">
        <v>49</v>
      </c>
      <c r="F3932">
        <v>10</v>
      </c>
      <c r="G3932">
        <v>0.40659758389904577</v>
      </c>
      <c r="H3932" t="s">
        <v>105</v>
      </c>
      <c r="I3932">
        <v>0</v>
      </c>
      <c r="J3932">
        <v>0</v>
      </c>
      <c r="K3932">
        <v>0</v>
      </c>
    </row>
    <row r="3933" spans="1:11" x14ac:dyDescent="0.2">
      <c r="A3933" t="s">
        <v>16</v>
      </c>
      <c r="B3933" t="s">
        <v>5131</v>
      </c>
      <c r="C3933">
        <v>300</v>
      </c>
      <c r="D3933" t="s">
        <v>8422</v>
      </c>
      <c r="E3933" t="s">
        <v>49</v>
      </c>
      <c r="F3933">
        <v>10</v>
      </c>
      <c r="G3933">
        <v>0.40659758389904577</v>
      </c>
      <c r="H3933" t="s">
        <v>101</v>
      </c>
      <c r="I3933">
        <v>0</v>
      </c>
      <c r="J3933">
        <v>0</v>
      </c>
      <c r="K3933">
        <v>0</v>
      </c>
    </row>
    <row r="3934" spans="1:11" x14ac:dyDescent="0.2">
      <c r="A3934" t="s">
        <v>16</v>
      </c>
      <c r="B3934" t="s">
        <v>5131</v>
      </c>
      <c r="C3934">
        <v>300</v>
      </c>
      <c r="D3934" t="s">
        <v>8424</v>
      </c>
      <c r="E3934" t="s">
        <v>49</v>
      </c>
      <c r="F3934">
        <v>10</v>
      </c>
      <c r="G3934">
        <v>0.40659758389904577</v>
      </c>
      <c r="H3934" t="s">
        <v>95</v>
      </c>
      <c r="I3934">
        <v>0</v>
      </c>
      <c r="J3934">
        <v>0</v>
      </c>
      <c r="K3934">
        <v>0</v>
      </c>
    </row>
    <row r="3935" spans="1:11" x14ac:dyDescent="0.2">
      <c r="A3935" t="s">
        <v>16</v>
      </c>
      <c r="B3935" t="s">
        <v>5131</v>
      </c>
      <c r="C3935">
        <v>300</v>
      </c>
      <c r="D3935" t="s">
        <v>8456</v>
      </c>
      <c r="E3935" t="s">
        <v>49</v>
      </c>
      <c r="F3935">
        <v>10</v>
      </c>
      <c r="G3935">
        <v>0.40659758389904577</v>
      </c>
      <c r="H3935" t="s">
        <v>98</v>
      </c>
      <c r="I3935">
        <v>0</v>
      </c>
      <c r="J3935">
        <v>0</v>
      </c>
      <c r="K3935">
        <v>0</v>
      </c>
    </row>
    <row r="3936" spans="1:11" x14ac:dyDescent="0.2">
      <c r="A3936" t="s">
        <v>16</v>
      </c>
      <c r="B3936" t="s">
        <v>5131</v>
      </c>
      <c r="C3936">
        <v>300</v>
      </c>
      <c r="D3936" t="s">
        <v>8449</v>
      </c>
      <c r="E3936" t="s">
        <v>49</v>
      </c>
      <c r="F3936">
        <v>10</v>
      </c>
      <c r="G3936">
        <v>0.40659758389904577</v>
      </c>
      <c r="H3936" t="s">
        <v>103</v>
      </c>
      <c r="I3936">
        <v>0</v>
      </c>
      <c r="J3936">
        <v>0</v>
      </c>
      <c r="K3936">
        <v>0</v>
      </c>
    </row>
    <row r="3937" spans="1:11" x14ac:dyDescent="0.2">
      <c r="A3937" t="s">
        <v>16</v>
      </c>
      <c r="B3937" t="s">
        <v>5131</v>
      </c>
      <c r="C3937">
        <v>300</v>
      </c>
      <c r="D3937" t="s">
        <v>8439</v>
      </c>
      <c r="E3937" t="s">
        <v>49</v>
      </c>
      <c r="F3937">
        <v>10</v>
      </c>
      <c r="G3937">
        <v>0.40659758389904577</v>
      </c>
      <c r="H3937" t="s">
        <v>100</v>
      </c>
      <c r="I3937">
        <v>0</v>
      </c>
      <c r="J3937">
        <v>0</v>
      </c>
      <c r="K3937">
        <v>0</v>
      </c>
    </row>
    <row r="3938" spans="1:11" x14ac:dyDescent="0.2">
      <c r="A3938" t="s">
        <v>16</v>
      </c>
      <c r="B3938" t="s">
        <v>5131</v>
      </c>
      <c r="C3938">
        <v>300</v>
      </c>
      <c r="D3938" t="s">
        <v>8445</v>
      </c>
      <c r="E3938" t="s">
        <v>49</v>
      </c>
      <c r="F3938">
        <v>10</v>
      </c>
      <c r="G3938">
        <v>0.40659758389904577</v>
      </c>
      <c r="H3938" t="s">
        <v>93</v>
      </c>
      <c r="I3938">
        <v>0</v>
      </c>
      <c r="J3938">
        <v>0</v>
      </c>
      <c r="K3938">
        <v>0</v>
      </c>
    </row>
    <row r="3939" spans="1:11" x14ac:dyDescent="0.2">
      <c r="A3939" t="s">
        <v>16</v>
      </c>
      <c r="B3939" t="s">
        <v>5131</v>
      </c>
      <c r="C3939">
        <v>300</v>
      </c>
      <c r="D3939" t="s">
        <v>8454</v>
      </c>
      <c r="E3939" t="s">
        <v>49</v>
      </c>
      <c r="F3939">
        <v>10</v>
      </c>
      <c r="G3939">
        <v>0.40659758389904577</v>
      </c>
      <c r="H3939" t="s">
        <v>94</v>
      </c>
      <c r="I3939">
        <v>0</v>
      </c>
      <c r="J3939">
        <v>0</v>
      </c>
      <c r="K3939">
        <v>0</v>
      </c>
    </row>
    <row r="3940" spans="1:11" x14ac:dyDescent="0.2">
      <c r="A3940" t="s">
        <v>16</v>
      </c>
      <c r="B3940" t="s">
        <v>5131</v>
      </c>
      <c r="C3940">
        <v>300</v>
      </c>
      <c r="D3940" t="s">
        <v>8446</v>
      </c>
      <c r="E3940" t="s">
        <v>49</v>
      </c>
      <c r="F3940">
        <v>10</v>
      </c>
      <c r="G3940">
        <v>0.40659758389904577</v>
      </c>
      <c r="H3940" t="s">
        <v>96</v>
      </c>
      <c r="I3940">
        <v>0</v>
      </c>
      <c r="J3940">
        <v>0</v>
      </c>
      <c r="K3940">
        <v>0</v>
      </c>
    </row>
    <row r="3941" spans="1:11" x14ac:dyDescent="0.2">
      <c r="A3941" t="s">
        <v>16</v>
      </c>
      <c r="B3941" t="s">
        <v>5131</v>
      </c>
      <c r="C3941">
        <v>300</v>
      </c>
      <c r="D3941" t="s">
        <v>8435</v>
      </c>
      <c r="E3941" t="s">
        <v>49</v>
      </c>
      <c r="F3941">
        <v>10</v>
      </c>
      <c r="G3941">
        <v>0.40659758389904577</v>
      </c>
      <c r="H3941" t="s">
        <v>89</v>
      </c>
      <c r="I3941">
        <v>0</v>
      </c>
      <c r="J3941">
        <v>0</v>
      </c>
      <c r="K3941">
        <v>0</v>
      </c>
    </row>
    <row r="3942" spans="1:11" x14ac:dyDescent="0.2">
      <c r="A3942" t="s">
        <v>16</v>
      </c>
      <c r="B3942" t="s">
        <v>5131</v>
      </c>
      <c r="C3942">
        <v>300</v>
      </c>
      <c r="D3942" t="s">
        <v>8450</v>
      </c>
      <c r="E3942" t="s">
        <v>49</v>
      </c>
      <c r="F3942">
        <v>10</v>
      </c>
      <c r="G3942">
        <v>0.40659758389904577</v>
      </c>
      <c r="H3942" t="s">
        <v>105</v>
      </c>
      <c r="I3942">
        <v>0</v>
      </c>
      <c r="J3942">
        <v>0</v>
      </c>
      <c r="K3942">
        <v>0</v>
      </c>
    </row>
    <row r="3943" spans="1:11" x14ac:dyDescent="0.2">
      <c r="A3943" t="s">
        <v>16</v>
      </c>
      <c r="B3943" t="s">
        <v>5131</v>
      </c>
      <c r="C3943">
        <v>100</v>
      </c>
      <c r="D3943" t="s">
        <v>8419</v>
      </c>
      <c r="E3943" t="s">
        <v>49</v>
      </c>
      <c r="F3943">
        <v>10</v>
      </c>
      <c r="G3943">
        <v>0.13553252796634857</v>
      </c>
      <c r="H3943" t="s">
        <v>101</v>
      </c>
      <c r="I3943">
        <v>0</v>
      </c>
      <c r="J3943">
        <v>0</v>
      </c>
      <c r="K3943">
        <v>0</v>
      </c>
    </row>
    <row r="3944" spans="1:11" x14ac:dyDescent="0.2">
      <c r="A3944" t="s">
        <v>16</v>
      </c>
      <c r="B3944" t="s">
        <v>5131</v>
      </c>
      <c r="C3944">
        <v>300</v>
      </c>
      <c r="D3944" t="s">
        <v>8429</v>
      </c>
      <c r="E3944" t="s">
        <v>49</v>
      </c>
      <c r="F3944">
        <v>10</v>
      </c>
      <c r="G3944">
        <v>0.40659758389904577</v>
      </c>
      <c r="H3944" t="s">
        <v>95</v>
      </c>
      <c r="I3944">
        <v>0</v>
      </c>
      <c r="J3944">
        <v>0</v>
      </c>
      <c r="K3944">
        <v>0</v>
      </c>
    </row>
    <row r="3945" spans="1:11" x14ac:dyDescent="0.2">
      <c r="A3945" t="s">
        <v>16</v>
      </c>
      <c r="B3945" t="s">
        <v>5131</v>
      </c>
      <c r="C3945">
        <v>300</v>
      </c>
      <c r="D3945" t="s">
        <v>8431</v>
      </c>
      <c r="E3945" t="s">
        <v>49</v>
      </c>
      <c r="F3945">
        <v>10</v>
      </c>
      <c r="G3945">
        <v>0.40659758389904577</v>
      </c>
      <c r="H3945" t="s">
        <v>98</v>
      </c>
      <c r="I3945">
        <v>0</v>
      </c>
      <c r="J3945">
        <v>0</v>
      </c>
      <c r="K3945">
        <v>0</v>
      </c>
    </row>
    <row r="3946" spans="1:11" x14ac:dyDescent="0.2">
      <c r="A3946" t="s">
        <v>16</v>
      </c>
      <c r="B3946" t="s">
        <v>5131</v>
      </c>
      <c r="C3946">
        <v>300</v>
      </c>
      <c r="D3946" t="s">
        <v>8427</v>
      </c>
      <c r="E3946" t="s">
        <v>49</v>
      </c>
      <c r="F3946">
        <v>10</v>
      </c>
      <c r="G3946">
        <v>0.40659758389904577</v>
      </c>
      <c r="H3946" t="s">
        <v>103</v>
      </c>
      <c r="I3946">
        <v>0</v>
      </c>
      <c r="J3946">
        <v>0</v>
      </c>
      <c r="K3946">
        <v>0</v>
      </c>
    </row>
    <row r="3947" spans="1:11" x14ac:dyDescent="0.2">
      <c r="A3947" t="s">
        <v>16</v>
      </c>
      <c r="B3947" t="s">
        <v>5131</v>
      </c>
      <c r="C3947">
        <v>300</v>
      </c>
      <c r="D3947" t="s">
        <v>8447</v>
      </c>
      <c r="E3947" t="s">
        <v>49</v>
      </c>
      <c r="F3947">
        <v>10</v>
      </c>
      <c r="G3947">
        <v>0.40659758389904577</v>
      </c>
      <c r="H3947" t="s">
        <v>100</v>
      </c>
      <c r="I3947">
        <v>0</v>
      </c>
      <c r="J3947">
        <v>0</v>
      </c>
      <c r="K3947">
        <v>0</v>
      </c>
    </row>
    <row r="3948" spans="1:11" x14ac:dyDescent="0.2">
      <c r="A3948" t="s">
        <v>16</v>
      </c>
      <c r="B3948" t="s">
        <v>5131</v>
      </c>
      <c r="C3948">
        <v>300</v>
      </c>
      <c r="D3948" t="s">
        <v>8425</v>
      </c>
      <c r="E3948" t="s">
        <v>49</v>
      </c>
      <c r="F3948">
        <v>10</v>
      </c>
      <c r="G3948">
        <v>0.40659758389904577</v>
      </c>
      <c r="H3948" t="s">
        <v>93</v>
      </c>
      <c r="I3948">
        <v>0</v>
      </c>
      <c r="J3948">
        <v>0</v>
      </c>
      <c r="K3948">
        <v>0</v>
      </c>
    </row>
    <row r="3949" spans="1:11" x14ac:dyDescent="0.2">
      <c r="A3949" t="s">
        <v>16</v>
      </c>
      <c r="B3949" t="s">
        <v>5131</v>
      </c>
      <c r="C3949">
        <v>300</v>
      </c>
      <c r="D3949" t="s">
        <v>8451</v>
      </c>
      <c r="E3949" t="s">
        <v>49</v>
      </c>
      <c r="F3949">
        <v>10</v>
      </c>
      <c r="G3949">
        <v>0.40659758389904577</v>
      </c>
      <c r="H3949" t="s">
        <v>101</v>
      </c>
      <c r="I3949">
        <v>0</v>
      </c>
      <c r="J3949">
        <v>0</v>
      </c>
      <c r="K3949">
        <v>0</v>
      </c>
    </row>
    <row r="3950" spans="1:11" x14ac:dyDescent="0.2">
      <c r="A3950" t="s">
        <v>16</v>
      </c>
      <c r="B3950" t="s">
        <v>5131</v>
      </c>
      <c r="C3950">
        <v>300</v>
      </c>
      <c r="D3950" t="s">
        <v>8421</v>
      </c>
      <c r="E3950" t="s">
        <v>49</v>
      </c>
      <c r="F3950">
        <v>10</v>
      </c>
      <c r="G3950">
        <v>0.40659758389904577</v>
      </c>
      <c r="H3950" t="s">
        <v>94</v>
      </c>
      <c r="I3950">
        <v>0</v>
      </c>
      <c r="J3950">
        <v>0</v>
      </c>
      <c r="K3950">
        <v>0</v>
      </c>
    </row>
    <row r="3951" spans="1:11" x14ac:dyDescent="0.2">
      <c r="A3951" t="s">
        <v>16</v>
      </c>
      <c r="B3951" t="s">
        <v>5131</v>
      </c>
      <c r="C3951">
        <v>300</v>
      </c>
      <c r="D3951" t="s">
        <v>8443</v>
      </c>
      <c r="E3951" t="s">
        <v>49</v>
      </c>
      <c r="F3951">
        <v>10</v>
      </c>
      <c r="G3951">
        <v>0.40659758389904577</v>
      </c>
      <c r="H3951" t="s">
        <v>96</v>
      </c>
      <c r="I3951">
        <v>0</v>
      </c>
      <c r="J3951">
        <v>0</v>
      </c>
      <c r="K3951">
        <v>0</v>
      </c>
    </row>
    <row r="3952" spans="1:11" x14ac:dyDescent="0.2">
      <c r="A3952" t="s">
        <v>16</v>
      </c>
      <c r="B3952" t="s">
        <v>5131</v>
      </c>
      <c r="C3952">
        <v>300</v>
      </c>
      <c r="D3952" t="s">
        <v>8420</v>
      </c>
      <c r="E3952" t="s">
        <v>49</v>
      </c>
      <c r="F3952">
        <v>10</v>
      </c>
      <c r="G3952">
        <v>0.40659758389904577</v>
      </c>
      <c r="H3952" t="s">
        <v>89</v>
      </c>
      <c r="I3952">
        <v>0</v>
      </c>
      <c r="J3952">
        <v>0</v>
      </c>
      <c r="K3952">
        <v>0</v>
      </c>
    </row>
    <row r="3953" spans="1:11" x14ac:dyDescent="0.2">
      <c r="A3953" t="s">
        <v>16</v>
      </c>
      <c r="B3953" t="s">
        <v>5131</v>
      </c>
      <c r="C3953">
        <v>300</v>
      </c>
      <c r="D3953" t="s">
        <v>8423</v>
      </c>
      <c r="E3953" t="s">
        <v>49</v>
      </c>
      <c r="F3953">
        <v>10</v>
      </c>
      <c r="G3953">
        <v>0.40659758389904577</v>
      </c>
      <c r="H3953" t="s">
        <v>105</v>
      </c>
      <c r="I3953">
        <v>0</v>
      </c>
      <c r="J3953">
        <v>0</v>
      </c>
      <c r="K3953">
        <v>0</v>
      </c>
    </row>
    <row r="3954" spans="1:11" x14ac:dyDescent="0.2">
      <c r="A3954" t="s">
        <v>16</v>
      </c>
      <c r="B3954" t="s">
        <v>5131</v>
      </c>
      <c r="C3954">
        <v>300</v>
      </c>
      <c r="D3954" t="s">
        <v>8458</v>
      </c>
      <c r="E3954" t="s">
        <v>49</v>
      </c>
      <c r="F3954">
        <v>10</v>
      </c>
      <c r="G3954">
        <v>0.40659758389904577</v>
      </c>
      <c r="H3954" t="s">
        <v>95</v>
      </c>
      <c r="I3954">
        <v>0</v>
      </c>
      <c r="J3954">
        <v>0</v>
      </c>
      <c r="K3954">
        <v>0</v>
      </c>
    </row>
    <row r="3955" spans="1:11" x14ac:dyDescent="0.2">
      <c r="A3955" t="s">
        <v>16</v>
      </c>
      <c r="B3955" t="s">
        <v>5131</v>
      </c>
      <c r="C3955">
        <v>300</v>
      </c>
      <c r="D3955" t="s">
        <v>8417</v>
      </c>
      <c r="E3955" t="s">
        <v>49</v>
      </c>
      <c r="F3955">
        <v>10</v>
      </c>
      <c r="G3955">
        <v>0.40659758389904577</v>
      </c>
      <c r="H3955" t="s">
        <v>98</v>
      </c>
      <c r="I3955">
        <v>0</v>
      </c>
      <c r="J3955">
        <v>0</v>
      </c>
      <c r="K3955">
        <v>0</v>
      </c>
    </row>
    <row r="3956" spans="1:11" x14ac:dyDescent="0.2">
      <c r="A3956" t="s">
        <v>16</v>
      </c>
      <c r="B3956" t="s">
        <v>5131</v>
      </c>
      <c r="C3956">
        <v>300</v>
      </c>
      <c r="D3956" t="s">
        <v>8438</v>
      </c>
      <c r="E3956" t="s">
        <v>49</v>
      </c>
      <c r="F3956">
        <v>10</v>
      </c>
      <c r="G3956">
        <v>0.40659758389904577</v>
      </c>
      <c r="H3956" t="s">
        <v>103</v>
      </c>
      <c r="I3956">
        <v>0</v>
      </c>
      <c r="J3956">
        <v>0</v>
      </c>
      <c r="K3956">
        <v>0</v>
      </c>
    </row>
    <row r="3957" spans="1:11" x14ac:dyDescent="0.2">
      <c r="A3957" t="s">
        <v>16</v>
      </c>
      <c r="B3957" t="s">
        <v>5131</v>
      </c>
      <c r="C3957">
        <v>300</v>
      </c>
      <c r="D3957" t="s">
        <v>8414</v>
      </c>
      <c r="E3957" t="s">
        <v>49</v>
      </c>
      <c r="F3957">
        <v>10</v>
      </c>
      <c r="G3957">
        <v>0.40659758389904577</v>
      </c>
      <c r="H3957" t="s">
        <v>100</v>
      </c>
      <c r="I3957">
        <v>0</v>
      </c>
      <c r="J3957">
        <v>0</v>
      </c>
      <c r="K3957">
        <v>0</v>
      </c>
    </row>
    <row r="3958" spans="1:11" x14ac:dyDescent="0.2">
      <c r="A3958" t="s">
        <v>16</v>
      </c>
      <c r="B3958" t="s">
        <v>5131</v>
      </c>
      <c r="C3958">
        <v>300</v>
      </c>
      <c r="D3958" t="s">
        <v>8441</v>
      </c>
      <c r="E3958" t="s">
        <v>49</v>
      </c>
      <c r="F3958">
        <v>10</v>
      </c>
      <c r="G3958">
        <v>0.40659758389904577</v>
      </c>
      <c r="H3958" t="s">
        <v>93</v>
      </c>
      <c r="I3958">
        <v>0</v>
      </c>
      <c r="J3958">
        <v>0</v>
      </c>
      <c r="K3958">
        <v>0</v>
      </c>
    </row>
    <row r="3959" spans="1:11" x14ac:dyDescent="0.2">
      <c r="A3959" t="s">
        <v>16</v>
      </c>
      <c r="B3959" t="s">
        <v>5131</v>
      </c>
      <c r="C3959">
        <v>300</v>
      </c>
      <c r="D3959" t="s">
        <v>8448</v>
      </c>
      <c r="E3959" t="s">
        <v>49</v>
      </c>
      <c r="F3959">
        <v>10</v>
      </c>
      <c r="G3959">
        <v>0.40659758389904577</v>
      </c>
      <c r="H3959" t="s">
        <v>101</v>
      </c>
      <c r="I3959">
        <v>0</v>
      </c>
      <c r="J3959">
        <v>0</v>
      </c>
      <c r="K3959">
        <v>0</v>
      </c>
    </row>
    <row r="3960" spans="1:11" x14ac:dyDescent="0.2">
      <c r="A3960" t="s">
        <v>16</v>
      </c>
      <c r="B3960" t="s">
        <v>5131</v>
      </c>
      <c r="C3960">
        <v>300</v>
      </c>
      <c r="D3960" t="s">
        <v>8457</v>
      </c>
      <c r="E3960" t="s">
        <v>49</v>
      </c>
      <c r="F3960">
        <v>10</v>
      </c>
      <c r="G3960">
        <v>0.40659758389904577</v>
      </c>
      <c r="H3960" t="s">
        <v>94</v>
      </c>
      <c r="I3960">
        <v>0</v>
      </c>
      <c r="J3960">
        <v>0</v>
      </c>
      <c r="K3960">
        <v>0</v>
      </c>
    </row>
    <row r="3961" spans="1:11" x14ac:dyDescent="0.2">
      <c r="A3961" t="s">
        <v>16</v>
      </c>
      <c r="B3961" t="s">
        <v>5131</v>
      </c>
      <c r="C3961">
        <v>300</v>
      </c>
      <c r="D3961" t="s">
        <v>8413</v>
      </c>
      <c r="E3961" t="s">
        <v>49</v>
      </c>
      <c r="F3961">
        <v>10</v>
      </c>
      <c r="G3961">
        <v>0.40659758389904577</v>
      </c>
      <c r="H3961" t="s">
        <v>96</v>
      </c>
      <c r="I3961">
        <v>0</v>
      </c>
      <c r="J3961">
        <v>0</v>
      </c>
      <c r="K3961">
        <v>0</v>
      </c>
    </row>
    <row r="3962" spans="1:11" x14ac:dyDescent="0.2">
      <c r="A3962" t="s">
        <v>16</v>
      </c>
      <c r="B3962" t="s">
        <v>5131</v>
      </c>
      <c r="C3962">
        <v>300</v>
      </c>
      <c r="D3962" t="s">
        <v>8418</v>
      </c>
      <c r="E3962" t="s">
        <v>49</v>
      </c>
      <c r="F3962">
        <v>10</v>
      </c>
      <c r="G3962">
        <v>0.40659758389904577</v>
      </c>
      <c r="H3962" t="s">
        <v>89</v>
      </c>
      <c r="I3962">
        <v>0</v>
      </c>
      <c r="J3962">
        <v>0</v>
      </c>
      <c r="K3962">
        <v>0</v>
      </c>
    </row>
    <row r="3963" spans="1:11" x14ac:dyDescent="0.2">
      <c r="A3963" t="s">
        <v>16</v>
      </c>
      <c r="B3963" t="s">
        <v>5131</v>
      </c>
      <c r="C3963">
        <v>300</v>
      </c>
      <c r="D3963" t="s">
        <v>8415</v>
      </c>
      <c r="E3963" t="s">
        <v>49</v>
      </c>
      <c r="F3963">
        <v>10</v>
      </c>
      <c r="G3963">
        <v>0.40659758389904577</v>
      </c>
      <c r="H3963" t="s">
        <v>105</v>
      </c>
      <c r="I3963">
        <v>0</v>
      </c>
      <c r="J3963">
        <v>0</v>
      </c>
      <c r="K3963">
        <v>0</v>
      </c>
    </row>
    <row r="3964" spans="1:11" x14ac:dyDescent="0.2">
      <c r="A3964" t="s">
        <v>16</v>
      </c>
      <c r="B3964" t="s">
        <v>5131</v>
      </c>
      <c r="C3964">
        <v>300</v>
      </c>
      <c r="D3964" t="s">
        <v>8440</v>
      </c>
      <c r="E3964" t="s">
        <v>49</v>
      </c>
      <c r="F3964">
        <v>10</v>
      </c>
      <c r="G3964">
        <v>0.40659758389904577</v>
      </c>
      <c r="H3964" t="s">
        <v>95</v>
      </c>
      <c r="I3964">
        <v>0</v>
      </c>
      <c r="J3964">
        <v>0</v>
      </c>
      <c r="K3964">
        <v>0</v>
      </c>
    </row>
    <row r="3965" spans="1:11" x14ac:dyDescent="0.2">
      <c r="A3965" t="s">
        <v>16</v>
      </c>
      <c r="B3965" t="s">
        <v>5131</v>
      </c>
      <c r="C3965">
        <v>300</v>
      </c>
      <c r="D3965" t="s">
        <v>8434</v>
      </c>
      <c r="E3965" t="s">
        <v>49</v>
      </c>
      <c r="F3965">
        <v>10</v>
      </c>
      <c r="G3965">
        <v>0.40659758389904577</v>
      </c>
      <c r="H3965" t="s">
        <v>98</v>
      </c>
      <c r="I3965">
        <v>0</v>
      </c>
      <c r="J3965">
        <v>0</v>
      </c>
      <c r="K3965">
        <v>0</v>
      </c>
    </row>
    <row r="3966" spans="1:11" x14ac:dyDescent="0.2">
      <c r="A3966" t="s">
        <v>16</v>
      </c>
      <c r="B3966" t="s">
        <v>5131</v>
      </c>
      <c r="C3966">
        <v>300</v>
      </c>
      <c r="D3966" t="s">
        <v>8455</v>
      </c>
      <c r="E3966" t="s">
        <v>49</v>
      </c>
      <c r="F3966">
        <v>10</v>
      </c>
      <c r="G3966">
        <v>0.40659758389904577</v>
      </c>
      <c r="H3966" t="s">
        <v>103</v>
      </c>
      <c r="I3966">
        <v>0</v>
      </c>
      <c r="J3966">
        <v>0</v>
      </c>
      <c r="K3966">
        <v>0</v>
      </c>
    </row>
    <row r="3967" spans="1:11" x14ac:dyDescent="0.2">
      <c r="A3967" t="s">
        <v>16</v>
      </c>
      <c r="B3967" t="s">
        <v>5131</v>
      </c>
      <c r="C3967">
        <v>300</v>
      </c>
      <c r="D3967" t="s">
        <v>8433</v>
      </c>
      <c r="E3967" t="s">
        <v>49</v>
      </c>
      <c r="F3967">
        <v>10</v>
      </c>
      <c r="G3967">
        <v>0.40659758389904577</v>
      </c>
      <c r="H3967" t="s">
        <v>100</v>
      </c>
      <c r="I3967">
        <v>0</v>
      </c>
      <c r="J3967">
        <v>0</v>
      </c>
      <c r="K3967">
        <v>0</v>
      </c>
    </row>
    <row r="3968" spans="1:11" x14ac:dyDescent="0.2">
      <c r="A3968" t="s">
        <v>16</v>
      </c>
      <c r="B3968" t="s">
        <v>5131</v>
      </c>
      <c r="C3968">
        <v>300</v>
      </c>
      <c r="D3968" t="s">
        <v>8442</v>
      </c>
      <c r="E3968" t="s">
        <v>49</v>
      </c>
      <c r="F3968">
        <v>10</v>
      </c>
      <c r="G3968">
        <v>0.40659758389904577</v>
      </c>
      <c r="H3968" t="s">
        <v>93</v>
      </c>
      <c r="I3968">
        <v>0</v>
      </c>
      <c r="J3968">
        <v>0</v>
      </c>
      <c r="K3968">
        <v>0</v>
      </c>
    </row>
    <row r="3969" spans="1:11" x14ac:dyDescent="0.2">
      <c r="A3969" t="s">
        <v>16</v>
      </c>
      <c r="B3969" t="s">
        <v>5131</v>
      </c>
      <c r="C3969">
        <v>300</v>
      </c>
      <c r="D3969" t="s">
        <v>8428</v>
      </c>
      <c r="E3969" t="s">
        <v>49</v>
      </c>
      <c r="F3969">
        <v>10</v>
      </c>
      <c r="G3969">
        <v>0.40659758389904577</v>
      </c>
      <c r="H3969" t="s">
        <v>101</v>
      </c>
      <c r="I3969">
        <v>0</v>
      </c>
      <c r="J3969">
        <v>0</v>
      </c>
      <c r="K3969">
        <v>0</v>
      </c>
    </row>
    <row r="3970" spans="1:11" x14ac:dyDescent="0.2">
      <c r="A3970" t="s">
        <v>16</v>
      </c>
      <c r="B3970" t="s">
        <v>5131</v>
      </c>
      <c r="C3970">
        <v>300</v>
      </c>
      <c r="D3970" t="s">
        <v>8437</v>
      </c>
      <c r="E3970" t="s">
        <v>49</v>
      </c>
      <c r="F3970">
        <v>10</v>
      </c>
      <c r="G3970">
        <v>0.40659758389904577</v>
      </c>
      <c r="H3970" t="s">
        <v>94</v>
      </c>
      <c r="I3970">
        <v>0</v>
      </c>
      <c r="J3970">
        <v>0</v>
      </c>
      <c r="K3970">
        <v>0</v>
      </c>
    </row>
    <row r="3971" spans="1:11" x14ac:dyDescent="0.2">
      <c r="A3971" t="s">
        <v>16</v>
      </c>
      <c r="B3971" t="s">
        <v>5131</v>
      </c>
      <c r="C3971">
        <v>300</v>
      </c>
      <c r="D3971" t="s">
        <v>8426</v>
      </c>
      <c r="E3971" t="s">
        <v>49</v>
      </c>
      <c r="F3971">
        <v>10</v>
      </c>
      <c r="G3971">
        <v>0.40659758389904577</v>
      </c>
      <c r="H3971" t="s">
        <v>96</v>
      </c>
      <c r="I3971">
        <v>0</v>
      </c>
      <c r="J3971">
        <v>0</v>
      </c>
      <c r="K3971">
        <v>0</v>
      </c>
    </row>
    <row r="3972" spans="1:11" x14ac:dyDescent="0.2">
      <c r="A3972" t="s">
        <v>16</v>
      </c>
      <c r="B3972" t="s">
        <v>5131</v>
      </c>
      <c r="C3972">
        <v>300</v>
      </c>
      <c r="D3972" t="s">
        <v>8436</v>
      </c>
      <c r="E3972" t="s">
        <v>49</v>
      </c>
      <c r="F3972">
        <v>10</v>
      </c>
      <c r="G3972">
        <v>0.40659758389904577</v>
      </c>
      <c r="H3972" t="s">
        <v>89</v>
      </c>
      <c r="I3972">
        <v>0</v>
      </c>
      <c r="J3972">
        <v>0</v>
      </c>
      <c r="K3972">
        <v>0</v>
      </c>
    </row>
    <row r="3973" spans="1:11" x14ac:dyDescent="0.2">
      <c r="A3973" t="s">
        <v>16</v>
      </c>
      <c r="B3973" t="s">
        <v>5131</v>
      </c>
      <c r="C3973">
        <v>300</v>
      </c>
      <c r="D3973" t="s">
        <v>8430</v>
      </c>
      <c r="E3973" t="s">
        <v>49</v>
      </c>
      <c r="F3973">
        <v>10</v>
      </c>
      <c r="G3973">
        <v>0.40659758389904577</v>
      </c>
      <c r="H3973" t="s">
        <v>105</v>
      </c>
      <c r="I3973">
        <v>0</v>
      </c>
      <c r="J3973">
        <v>0</v>
      </c>
      <c r="K3973">
        <v>0</v>
      </c>
    </row>
    <row r="3974" spans="1:11" x14ac:dyDescent="0.2">
      <c r="A3974" t="s">
        <v>16</v>
      </c>
      <c r="B3974" t="s">
        <v>5131</v>
      </c>
      <c r="C3974">
        <v>300</v>
      </c>
      <c r="D3974" t="s">
        <v>8444</v>
      </c>
      <c r="E3974" t="s">
        <v>49</v>
      </c>
      <c r="F3974">
        <v>10</v>
      </c>
      <c r="G3974">
        <v>0.40659758389904577</v>
      </c>
      <c r="H3974" t="s">
        <v>95</v>
      </c>
      <c r="I3974">
        <v>0</v>
      </c>
      <c r="J3974">
        <v>0</v>
      </c>
      <c r="K3974">
        <v>0</v>
      </c>
    </row>
    <row r="3975" spans="1:11" x14ac:dyDescent="0.2">
      <c r="A3975" t="s">
        <v>16</v>
      </c>
      <c r="B3975" t="s">
        <v>5131</v>
      </c>
      <c r="C3975">
        <v>300</v>
      </c>
      <c r="D3975" t="s">
        <v>8453</v>
      </c>
      <c r="E3975" t="s">
        <v>49</v>
      </c>
      <c r="F3975">
        <v>10</v>
      </c>
      <c r="G3975">
        <v>0.40659758389904577</v>
      </c>
      <c r="H3975" t="s">
        <v>98</v>
      </c>
      <c r="I3975">
        <v>0</v>
      </c>
      <c r="J3975">
        <v>0</v>
      </c>
      <c r="K3975">
        <v>0</v>
      </c>
    </row>
    <row r="3976" spans="1:11" x14ac:dyDescent="0.2">
      <c r="A3976" t="s">
        <v>16</v>
      </c>
      <c r="B3976" t="s">
        <v>5131</v>
      </c>
      <c r="C3976">
        <v>300</v>
      </c>
      <c r="D3976" t="s">
        <v>8452</v>
      </c>
      <c r="E3976" t="s">
        <v>49</v>
      </c>
      <c r="F3976">
        <v>10</v>
      </c>
      <c r="G3976">
        <v>0.40659758389904577</v>
      </c>
      <c r="H3976" t="s">
        <v>103</v>
      </c>
      <c r="I3976">
        <v>0</v>
      </c>
      <c r="J3976">
        <v>0</v>
      </c>
      <c r="K3976">
        <v>0</v>
      </c>
    </row>
    <row r="3977" spans="1:11" x14ac:dyDescent="0.2">
      <c r="A3977" t="s">
        <v>16</v>
      </c>
      <c r="B3977" t="s">
        <v>5131</v>
      </c>
      <c r="C3977">
        <v>300</v>
      </c>
      <c r="D3977" t="s">
        <v>8412</v>
      </c>
      <c r="E3977" t="s">
        <v>49</v>
      </c>
      <c r="F3977">
        <v>10</v>
      </c>
      <c r="G3977">
        <v>0.40659758389904577</v>
      </c>
      <c r="H3977" t="s">
        <v>100</v>
      </c>
      <c r="I3977">
        <v>0</v>
      </c>
      <c r="J3977">
        <v>0</v>
      </c>
      <c r="K3977">
        <v>0</v>
      </c>
    </row>
    <row r="3978" spans="1:11" x14ac:dyDescent="0.2">
      <c r="A3978" t="s">
        <v>16</v>
      </c>
      <c r="B3978" t="s">
        <v>5131</v>
      </c>
      <c r="C3978">
        <v>300</v>
      </c>
      <c r="D3978" t="s">
        <v>8416</v>
      </c>
      <c r="E3978" t="s">
        <v>49</v>
      </c>
      <c r="F3978">
        <v>10</v>
      </c>
      <c r="G3978">
        <v>0.40659758389904577</v>
      </c>
      <c r="H3978" t="s">
        <v>93</v>
      </c>
      <c r="I3978">
        <v>0</v>
      </c>
      <c r="J3978">
        <v>0</v>
      </c>
      <c r="K3978">
        <v>0</v>
      </c>
    </row>
    <row r="3979" spans="1:11" x14ac:dyDescent="0.2">
      <c r="A3979" t="s">
        <v>16</v>
      </c>
      <c r="B3979" t="s">
        <v>5160</v>
      </c>
      <c r="C3979">
        <v>240</v>
      </c>
      <c r="D3979" t="s">
        <v>8463</v>
      </c>
      <c r="E3979" t="s">
        <v>49</v>
      </c>
      <c r="F3979">
        <v>4</v>
      </c>
      <c r="G3979">
        <v>0.44579362154002777</v>
      </c>
      <c r="H3979" t="s">
        <v>92</v>
      </c>
      <c r="I3979">
        <v>0</v>
      </c>
      <c r="J3979">
        <v>0</v>
      </c>
      <c r="K3979">
        <v>0</v>
      </c>
    </row>
    <row r="3980" spans="1:11" x14ac:dyDescent="0.2">
      <c r="A3980" t="s">
        <v>16</v>
      </c>
      <c r="B3980" t="s">
        <v>5160</v>
      </c>
      <c r="C3980">
        <v>240</v>
      </c>
      <c r="D3980" t="s">
        <v>8465</v>
      </c>
      <c r="E3980" t="s">
        <v>49</v>
      </c>
      <c r="F3980">
        <v>4</v>
      </c>
      <c r="G3980">
        <v>0.44579362154002777</v>
      </c>
      <c r="H3980" t="s">
        <v>92</v>
      </c>
      <c r="I3980">
        <v>0</v>
      </c>
      <c r="J3980">
        <v>0</v>
      </c>
      <c r="K3980">
        <v>0</v>
      </c>
    </row>
    <row r="3981" spans="1:11" x14ac:dyDescent="0.2">
      <c r="A3981" t="s">
        <v>16</v>
      </c>
      <c r="B3981" t="s">
        <v>5160</v>
      </c>
      <c r="C3981">
        <v>80</v>
      </c>
      <c r="D3981" t="s">
        <v>8460</v>
      </c>
      <c r="E3981" t="s">
        <v>49</v>
      </c>
      <c r="F3981">
        <v>4</v>
      </c>
      <c r="G3981">
        <v>0.14859787384667592</v>
      </c>
      <c r="H3981" t="s">
        <v>92</v>
      </c>
      <c r="I3981">
        <v>0</v>
      </c>
      <c r="J3981">
        <v>0</v>
      </c>
      <c r="K3981">
        <v>0</v>
      </c>
    </row>
    <row r="3982" spans="1:11" x14ac:dyDescent="0.2">
      <c r="A3982" t="s">
        <v>16</v>
      </c>
      <c r="B3982" t="s">
        <v>5160</v>
      </c>
      <c r="C3982">
        <v>240</v>
      </c>
      <c r="D3982" t="s">
        <v>8464</v>
      </c>
      <c r="E3982" t="s">
        <v>49</v>
      </c>
      <c r="F3982">
        <v>4</v>
      </c>
      <c r="G3982">
        <v>0.44579362154002777</v>
      </c>
      <c r="H3982" t="s">
        <v>92</v>
      </c>
      <c r="I3982">
        <v>0</v>
      </c>
      <c r="J3982">
        <v>0</v>
      </c>
      <c r="K3982">
        <v>0</v>
      </c>
    </row>
    <row r="3983" spans="1:11" x14ac:dyDescent="0.2">
      <c r="A3983" t="s">
        <v>16</v>
      </c>
      <c r="B3983" t="s">
        <v>5160</v>
      </c>
      <c r="C3983">
        <v>240</v>
      </c>
      <c r="D3983" t="s">
        <v>8461</v>
      </c>
      <c r="E3983" t="s">
        <v>49</v>
      </c>
      <c r="F3983">
        <v>4</v>
      </c>
      <c r="G3983">
        <v>0.44579362154002777</v>
      </c>
      <c r="H3983" t="s">
        <v>101</v>
      </c>
      <c r="I3983">
        <v>0</v>
      </c>
      <c r="J3983">
        <v>0</v>
      </c>
      <c r="K3983">
        <v>0</v>
      </c>
    </row>
    <row r="3984" spans="1:11" x14ac:dyDescent="0.2">
      <c r="A3984" t="s">
        <v>16</v>
      </c>
      <c r="B3984" t="s">
        <v>5160</v>
      </c>
      <c r="C3984">
        <v>240</v>
      </c>
      <c r="D3984" t="s">
        <v>8459</v>
      </c>
      <c r="E3984" t="s">
        <v>49</v>
      </c>
      <c r="F3984">
        <v>4</v>
      </c>
      <c r="G3984">
        <v>0.44579362154002777</v>
      </c>
      <c r="H3984" t="s">
        <v>94</v>
      </c>
      <c r="I3984">
        <v>0</v>
      </c>
      <c r="J3984">
        <v>0</v>
      </c>
      <c r="K3984">
        <v>0</v>
      </c>
    </row>
    <row r="3985" spans="1:11" x14ac:dyDescent="0.2">
      <c r="A3985" t="s">
        <v>16</v>
      </c>
      <c r="B3985" t="s">
        <v>5160</v>
      </c>
      <c r="C3985">
        <v>240</v>
      </c>
      <c r="D3985" t="s">
        <v>8462</v>
      </c>
      <c r="E3985" t="s">
        <v>49</v>
      </c>
      <c r="F3985">
        <v>4</v>
      </c>
      <c r="G3985">
        <v>0.44579362154002777</v>
      </c>
      <c r="H3985" t="s">
        <v>96</v>
      </c>
      <c r="I3985">
        <v>0</v>
      </c>
      <c r="J3985">
        <v>0</v>
      </c>
      <c r="K3985">
        <v>0</v>
      </c>
    </row>
    <row r="3986" spans="1:11" x14ac:dyDescent="0.2">
      <c r="A3986" t="s">
        <v>16</v>
      </c>
      <c r="B3986" t="s">
        <v>5160</v>
      </c>
      <c r="C3986">
        <v>80</v>
      </c>
      <c r="D3986" t="s">
        <v>8466</v>
      </c>
      <c r="E3986" t="s">
        <v>49</v>
      </c>
      <c r="F3986">
        <v>4</v>
      </c>
      <c r="G3986">
        <v>0.14859787384667592</v>
      </c>
      <c r="H3986" t="s">
        <v>92</v>
      </c>
      <c r="I3986">
        <v>0</v>
      </c>
      <c r="J3986">
        <v>0</v>
      </c>
      <c r="K3986">
        <v>0</v>
      </c>
    </row>
    <row r="3987" spans="1:11" x14ac:dyDescent="0.2">
      <c r="A3987" t="s">
        <v>16</v>
      </c>
      <c r="B3987" t="s">
        <v>5176</v>
      </c>
      <c r="C3987">
        <v>180</v>
      </c>
      <c r="D3987" t="s">
        <v>8467</v>
      </c>
      <c r="E3987" t="s">
        <v>49</v>
      </c>
      <c r="F3987">
        <v>9</v>
      </c>
      <c r="G3987">
        <v>0.43394994430355749</v>
      </c>
      <c r="H3987" t="s">
        <v>89</v>
      </c>
      <c r="I3987">
        <v>0</v>
      </c>
      <c r="J3987">
        <v>0</v>
      </c>
      <c r="K3987">
        <v>0</v>
      </c>
    </row>
    <row r="3988" spans="1:11" x14ac:dyDescent="0.2">
      <c r="A3988" t="s">
        <v>16</v>
      </c>
      <c r="B3988" t="s">
        <v>5178</v>
      </c>
      <c r="C3988">
        <v>120</v>
      </c>
      <c r="D3988" t="s">
        <v>8468</v>
      </c>
      <c r="E3988" t="s">
        <v>49</v>
      </c>
      <c r="F3988">
        <v>7</v>
      </c>
      <c r="G3988">
        <v>0.11674776402984383</v>
      </c>
      <c r="H3988" t="s">
        <v>105</v>
      </c>
      <c r="I3988">
        <v>0</v>
      </c>
      <c r="J3988">
        <v>0</v>
      </c>
      <c r="K3988">
        <v>0</v>
      </c>
    </row>
    <row r="3989" spans="1:11" x14ac:dyDescent="0.2">
      <c r="A3989" t="s">
        <v>16</v>
      </c>
      <c r="B3989" t="s">
        <v>5181</v>
      </c>
      <c r="C3989">
        <v>300</v>
      </c>
      <c r="D3989" t="s">
        <v>8477</v>
      </c>
      <c r="E3989" t="s">
        <v>49</v>
      </c>
      <c r="F3989">
        <v>12</v>
      </c>
      <c r="G3989">
        <v>0.26629042187668989</v>
      </c>
      <c r="H3989" t="s">
        <v>105</v>
      </c>
      <c r="I3989">
        <v>0</v>
      </c>
      <c r="J3989">
        <v>0</v>
      </c>
      <c r="K3989">
        <v>0</v>
      </c>
    </row>
    <row r="3990" spans="1:11" x14ac:dyDescent="0.2">
      <c r="A3990" t="s">
        <v>16</v>
      </c>
      <c r="B3990" t="s">
        <v>5181</v>
      </c>
      <c r="C3990">
        <v>300</v>
      </c>
      <c r="D3990" t="s">
        <v>8472</v>
      </c>
      <c r="E3990" t="s">
        <v>49</v>
      </c>
      <c r="F3990">
        <v>12</v>
      </c>
      <c r="G3990">
        <v>0.26629042187668989</v>
      </c>
      <c r="H3990" t="s">
        <v>95</v>
      </c>
      <c r="I3990">
        <v>0</v>
      </c>
      <c r="J3990">
        <v>0</v>
      </c>
      <c r="K3990">
        <v>0</v>
      </c>
    </row>
    <row r="3991" spans="1:11" x14ac:dyDescent="0.2">
      <c r="A3991" t="s">
        <v>16</v>
      </c>
      <c r="B3991" t="s">
        <v>5181</v>
      </c>
      <c r="C3991">
        <v>200</v>
      </c>
      <c r="D3991" t="s">
        <v>8475</v>
      </c>
      <c r="E3991" t="s">
        <v>49</v>
      </c>
      <c r="F3991">
        <v>12</v>
      </c>
      <c r="G3991">
        <v>0.17752694791779325</v>
      </c>
      <c r="H3991" t="s">
        <v>98</v>
      </c>
      <c r="I3991">
        <v>0</v>
      </c>
      <c r="J3991">
        <v>0</v>
      </c>
      <c r="K3991">
        <v>0</v>
      </c>
    </row>
    <row r="3992" spans="1:11" x14ac:dyDescent="0.2">
      <c r="A3992" t="s">
        <v>16</v>
      </c>
      <c r="B3992" t="s">
        <v>5181</v>
      </c>
      <c r="C3992">
        <v>300</v>
      </c>
      <c r="D3992" t="s">
        <v>8482</v>
      </c>
      <c r="E3992" t="s">
        <v>49</v>
      </c>
      <c r="F3992">
        <v>12</v>
      </c>
      <c r="G3992">
        <v>0.26629042187668989</v>
      </c>
      <c r="H3992" t="s">
        <v>103</v>
      </c>
      <c r="I3992">
        <v>0</v>
      </c>
      <c r="J3992">
        <v>0</v>
      </c>
      <c r="K3992">
        <v>0</v>
      </c>
    </row>
    <row r="3993" spans="1:11" x14ac:dyDescent="0.2">
      <c r="A3993" t="s">
        <v>16</v>
      </c>
      <c r="B3993" t="s">
        <v>5181</v>
      </c>
      <c r="C3993">
        <v>300</v>
      </c>
      <c r="D3993" t="s">
        <v>8480</v>
      </c>
      <c r="E3993" t="s">
        <v>49</v>
      </c>
      <c r="F3993">
        <v>12</v>
      </c>
      <c r="G3993">
        <v>0.26629042187668989</v>
      </c>
      <c r="H3993" t="s">
        <v>100</v>
      </c>
      <c r="I3993">
        <v>0</v>
      </c>
      <c r="J3993">
        <v>0</v>
      </c>
      <c r="K3993">
        <v>0</v>
      </c>
    </row>
    <row r="3994" spans="1:11" x14ac:dyDescent="0.2">
      <c r="A3994" t="s">
        <v>16</v>
      </c>
      <c r="B3994" t="s">
        <v>5181</v>
      </c>
      <c r="C3994">
        <v>300</v>
      </c>
      <c r="D3994" t="s">
        <v>8478</v>
      </c>
      <c r="E3994" t="s">
        <v>49</v>
      </c>
      <c r="F3994">
        <v>12</v>
      </c>
      <c r="G3994">
        <v>0.26629042187668989</v>
      </c>
      <c r="H3994" t="s">
        <v>93</v>
      </c>
      <c r="I3994">
        <v>0</v>
      </c>
      <c r="J3994">
        <v>0</v>
      </c>
      <c r="K3994">
        <v>0</v>
      </c>
    </row>
    <row r="3995" spans="1:11" x14ac:dyDescent="0.2">
      <c r="A3995" t="s">
        <v>16</v>
      </c>
      <c r="B3995" t="s">
        <v>5181</v>
      </c>
      <c r="C3995">
        <v>300</v>
      </c>
      <c r="D3995" t="s">
        <v>8479</v>
      </c>
      <c r="E3995" t="s">
        <v>49</v>
      </c>
      <c r="F3995">
        <v>12</v>
      </c>
      <c r="G3995">
        <v>0.26629042187668989</v>
      </c>
      <c r="H3995" t="s">
        <v>101</v>
      </c>
      <c r="I3995">
        <v>0</v>
      </c>
      <c r="J3995">
        <v>0</v>
      </c>
      <c r="K3995">
        <v>0</v>
      </c>
    </row>
    <row r="3996" spans="1:11" x14ac:dyDescent="0.2">
      <c r="A3996" t="s">
        <v>16</v>
      </c>
      <c r="B3996" t="s">
        <v>5181</v>
      </c>
      <c r="C3996">
        <v>100</v>
      </c>
      <c r="D3996" t="s">
        <v>8471</v>
      </c>
      <c r="E3996" t="s">
        <v>49</v>
      </c>
      <c r="F3996">
        <v>12</v>
      </c>
      <c r="G3996">
        <v>8.8763473958896624E-2</v>
      </c>
      <c r="H3996" t="s">
        <v>94</v>
      </c>
      <c r="I3996">
        <v>0</v>
      </c>
      <c r="J3996">
        <v>0</v>
      </c>
      <c r="K3996">
        <v>0</v>
      </c>
    </row>
    <row r="3997" spans="1:11" x14ac:dyDescent="0.2">
      <c r="A3997" t="s">
        <v>16</v>
      </c>
      <c r="B3997" t="s">
        <v>5181</v>
      </c>
      <c r="C3997">
        <v>300</v>
      </c>
      <c r="D3997" t="s">
        <v>8484</v>
      </c>
      <c r="E3997" t="s">
        <v>49</v>
      </c>
      <c r="F3997">
        <v>12</v>
      </c>
      <c r="G3997">
        <v>0.26629042187668989</v>
      </c>
      <c r="H3997" t="s">
        <v>98</v>
      </c>
      <c r="I3997">
        <v>0</v>
      </c>
      <c r="J3997">
        <v>0</v>
      </c>
      <c r="K3997">
        <v>0</v>
      </c>
    </row>
    <row r="3998" spans="1:11" x14ac:dyDescent="0.2">
      <c r="A3998" t="s">
        <v>16</v>
      </c>
      <c r="B3998" t="s">
        <v>5181</v>
      </c>
      <c r="C3998">
        <v>300</v>
      </c>
      <c r="D3998" t="s">
        <v>8474</v>
      </c>
      <c r="E3998" t="s">
        <v>49</v>
      </c>
      <c r="F3998">
        <v>12</v>
      </c>
      <c r="G3998">
        <v>0.26629042187668989</v>
      </c>
      <c r="H3998" t="s">
        <v>92</v>
      </c>
      <c r="I3998">
        <v>0</v>
      </c>
      <c r="J3998">
        <v>0</v>
      </c>
      <c r="K3998">
        <v>0</v>
      </c>
    </row>
    <row r="3999" spans="1:11" x14ac:dyDescent="0.2">
      <c r="A3999" t="s">
        <v>16</v>
      </c>
      <c r="B3999" t="s">
        <v>5181</v>
      </c>
      <c r="C3999">
        <v>300</v>
      </c>
      <c r="D3999" t="s">
        <v>8483</v>
      </c>
      <c r="E3999" t="s">
        <v>49</v>
      </c>
      <c r="F3999">
        <v>12</v>
      </c>
      <c r="G3999">
        <v>0.26629042187668989</v>
      </c>
      <c r="H3999" t="s">
        <v>96</v>
      </c>
      <c r="I3999">
        <v>0</v>
      </c>
      <c r="J3999">
        <v>0</v>
      </c>
      <c r="K3999">
        <v>0</v>
      </c>
    </row>
    <row r="4000" spans="1:11" x14ac:dyDescent="0.2">
      <c r="A4000" t="s">
        <v>16</v>
      </c>
      <c r="B4000" t="s">
        <v>5181</v>
      </c>
      <c r="C4000">
        <v>300</v>
      </c>
      <c r="D4000" t="s">
        <v>8476</v>
      </c>
      <c r="E4000" t="s">
        <v>49</v>
      </c>
      <c r="F4000">
        <v>12</v>
      </c>
      <c r="G4000">
        <v>0.26629042187668989</v>
      </c>
      <c r="H4000" t="s">
        <v>105</v>
      </c>
      <c r="I4000">
        <v>0</v>
      </c>
      <c r="J4000">
        <v>0</v>
      </c>
      <c r="K4000">
        <v>0</v>
      </c>
    </row>
    <row r="4001" spans="1:11" x14ac:dyDescent="0.2">
      <c r="A4001" t="s">
        <v>16</v>
      </c>
      <c r="B4001" t="s">
        <v>5181</v>
      </c>
      <c r="C4001">
        <v>300</v>
      </c>
      <c r="D4001" t="s">
        <v>8469</v>
      </c>
      <c r="E4001" t="s">
        <v>49</v>
      </c>
      <c r="F4001">
        <v>12</v>
      </c>
      <c r="G4001">
        <v>0.26629042187668989</v>
      </c>
      <c r="H4001" t="s">
        <v>94</v>
      </c>
      <c r="I4001">
        <v>0</v>
      </c>
      <c r="J4001">
        <v>0</v>
      </c>
      <c r="K4001">
        <v>0</v>
      </c>
    </row>
    <row r="4002" spans="1:11" x14ac:dyDescent="0.2">
      <c r="A4002" t="s">
        <v>16</v>
      </c>
      <c r="B4002" t="s">
        <v>5181</v>
      </c>
      <c r="C4002">
        <v>300</v>
      </c>
      <c r="D4002" t="s">
        <v>8473</v>
      </c>
      <c r="E4002" t="s">
        <v>49</v>
      </c>
      <c r="F4002">
        <v>12</v>
      </c>
      <c r="G4002">
        <v>0.26629042187668989</v>
      </c>
      <c r="H4002" t="s">
        <v>95</v>
      </c>
      <c r="I4002">
        <v>0</v>
      </c>
      <c r="J4002">
        <v>0</v>
      </c>
      <c r="K4002">
        <v>0</v>
      </c>
    </row>
    <row r="4003" spans="1:11" x14ac:dyDescent="0.2">
      <c r="A4003" t="s">
        <v>16</v>
      </c>
      <c r="B4003" t="s">
        <v>5181</v>
      </c>
      <c r="C4003">
        <v>300</v>
      </c>
      <c r="D4003" t="s">
        <v>8470</v>
      </c>
      <c r="E4003" t="s">
        <v>49</v>
      </c>
      <c r="F4003">
        <v>12</v>
      </c>
      <c r="G4003">
        <v>0.26629042187668989</v>
      </c>
      <c r="H4003" t="s">
        <v>103</v>
      </c>
      <c r="I4003">
        <v>0</v>
      </c>
      <c r="J4003">
        <v>0</v>
      </c>
      <c r="K4003">
        <v>0</v>
      </c>
    </row>
    <row r="4004" spans="1:11" x14ac:dyDescent="0.2">
      <c r="A4004" t="s">
        <v>16</v>
      </c>
      <c r="B4004" t="s">
        <v>5181</v>
      </c>
      <c r="C4004">
        <v>300</v>
      </c>
      <c r="D4004" t="s">
        <v>8481</v>
      </c>
      <c r="E4004" t="s">
        <v>49</v>
      </c>
      <c r="F4004">
        <v>12</v>
      </c>
      <c r="G4004">
        <v>0.26629042187668989</v>
      </c>
      <c r="H4004" t="s">
        <v>89</v>
      </c>
      <c r="I4004">
        <v>0</v>
      </c>
      <c r="J4004">
        <v>0</v>
      </c>
      <c r="K4004">
        <v>0</v>
      </c>
    </row>
    <row r="4005" spans="1:11" x14ac:dyDescent="0.2">
      <c r="A4005" t="s">
        <v>16</v>
      </c>
      <c r="B4005" t="s">
        <v>5962</v>
      </c>
      <c r="C4005">
        <v>870</v>
      </c>
      <c r="D4005" t="s">
        <v>8537</v>
      </c>
      <c r="E4005" t="s">
        <v>49</v>
      </c>
      <c r="F4005">
        <v>10</v>
      </c>
      <c r="G4005">
        <v>0.9505285819240169</v>
      </c>
      <c r="H4005" t="s">
        <v>100</v>
      </c>
      <c r="I4005">
        <v>0</v>
      </c>
      <c r="J4005">
        <v>0</v>
      </c>
      <c r="K4005">
        <v>0</v>
      </c>
    </row>
    <row r="4006" spans="1:11" x14ac:dyDescent="0.2">
      <c r="A4006" t="s">
        <v>16</v>
      </c>
      <c r="B4006" t="s">
        <v>5962</v>
      </c>
      <c r="C4006">
        <v>870</v>
      </c>
      <c r="D4006" t="s">
        <v>8538</v>
      </c>
      <c r="E4006" t="s">
        <v>49</v>
      </c>
      <c r="F4006">
        <v>10</v>
      </c>
      <c r="G4006">
        <v>0.9505285819240169</v>
      </c>
      <c r="H4006" t="s">
        <v>93</v>
      </c>
      <c r="I4006">
        <v>0</v>
      </c>
      <c r="J4006">
        <v>0</v>
      </c>
      <c r="K4006">
        <v>0</v>
      </c>
    </row>
    <row r="4007" spans="1:11" x14ac:dyDescent="0.2">
      <c r="A4007" t="s">
        <v>16</v>
      </c>
      <c r="B4007" t="s">
        <v>5962</v>
      </c>
      <c r="C4007">
        <v>580</v>
      </c>
      <c r="D4007" t="s">
        <v>8536</v>
      </c>
      <c r="E4007" t="s">
        <v>49</v>
      </c>
      <c r="F4007">
        <v>10</v>
      </c>
      <c r="G4007">
        <v>0.63368572128267797</v>
      </c>
      <c r="H4007" t="s">
        <v>101</v>
      </c>
      <c r="I4007">
        <v>0</v>
      </c>
      <c r="J4007">
        <v>0</v>
      </c>
      <c r="K4007">
        <v>0</v>
      </c>
    </row>
    <row r="4008" spans="1:11" x14ac:dyDescent="0.2">
      <c r="A4008" t="s">
        <v>16</v>
      </c>
      <c r="B4008" t="s">
        <v>5981</v>
      </c>
      <c r="C4008">
        <v>255</v>
      </c>
      <c r="D4008" t="s">
        <v>8540</v>
      </c>
      <c r="E4008" t="s">
        <v>49</v>
      </c>
      <c r="F4008">
        <v>3</v>
      </c>
      <c r="G4008">
        <v>0.42952236010606981</v>
      </c>
      <c r="H4008" t="s">
        <v>98</v>
      </c>
      <c r="I4008">
        <v>0</v>
      </c>
      <c r="J4008">
        <v>0</v>
      </c>
      <c r="K4008">
        <v>0</v>
      </c>
    </row>
    <row r="4009" spans="1:11" x14ac:dyDescent="0.2">
      <c r="A4009" t="s">
        <v>16</v>
      </c>
      <c r="B4009" t="s">
        <v>5981</v>
      </c>
      <c r="C4009">
        <v>255</v>
      </c>
      <c r="D4009" t="s">
        <v>8541</v>
      </c>
      <c r="E4009" t="s">
        <v>49</v>
      </c>
      <c r="F4009">
        <v>3</v>
      </c>
      <c r="G4009">
        <v>0.42952236010606981</v>
      </c>
      <c r="H4009" t="s">
        <v>92</v>
      </c>
      <c r="I4009">
        <v>0</v>
      </c>
      <c r="J4009">
        <v>0</v>
      </c>
      <c r="K4009">
        <v>0</v>
      </c>
    </row>
    <row r="4010" spans="1:11" x14ac:dyDescent="0.2">
      <c r="A4010" t="s">
        <v>16</v>
      </c>
      <c r="B4010" t="s">
        <v>5981</v>
      </c>
      <c r="C4010">
        <v>255</v>
      </c>
      <c r="D4010" t="s">
        <v>8539</v>
      </c>
      <c r="E4010" t="s">
        <v>49</v>
      </c>
      <c r="F4010">
        <v>3</v>
      </c>
      <c r="G4010">
        <v>0.42952236010606981</v>
      </c>
      <c r="H4010" t="s">
        <v>96</v>
      </c>
      <c r="I4010">
        <v>0</v>
      </c>
      <c r="J4010">
        <v>0</v>
      </c>
      <c r="K4010">
        <v>0</v>
      </c>
    </row>
    <row r="4011" spans="1:11" x14ac:dyDescent="0.2">
      <c r="A4011" t="s">
        <v>16</v>
      </c>
      <c r="B4011" t="s">
        <v>5981</v>
      </c>
      <c r="C4011">
        <v>255</v>
      </c>
      <c r="D4011" t="s">
        <v>8542</v>
      </c>
      <c r="E4011" t="s">
        <v>49</v>
      </c>
      <c r="F4011">
        <v>3</v>
      </c>
      <c r="G4011">
        <v>0.42952236010606981</v>
      </c>
      <c r="H4011" t="s">
        <v>98</v>
      </c>
      <c r="I4011">
        <v>0</v>
      </c>
      <c r="J4011">
        <v>0</v>
      </c>
      <c r="K4011">
        <v>0</v>
      </c>
    </row>
    <row r="4012" spans="1:11" x14ac:dyDescent="0.2">
      <c r="A4012" t="s">
        <v>16</v>
      </c>
      <c r="B4012" t="s">
        <v>5680</v>
      </c>
      <c r="C4012">
        <v>360</v>
      </c>
      <c r="D4012" t="s">
        <v>8554</v>
      </c>
      <c r="E4012" t="s">
        <v>49</v>
      </c>
      <c r="F4012">
        <v>2</v>
      </c>
      <c r="G4012">
        <v>0.72589344357300156</v>
      </c>
      <c r="H4012" t="s">
        <v>105</v>
      </c>
      <c r="I4012">
        <v>0</v>
      </c>
      <c r="J4012">
        <v>0</v>
      </c>
      <c r="K4012">
        <v>0</v>
      </c>
    </row>
    <row r="4013" spans="1:11" x14ac:dyDescent="0.2">
      <c r="A4013" t="s">
        <v>16</v>
      </c>
      <c r="B4013" t="s">
        <v>5680</v>
      </c>
      <c r="C4013">
        <v>360</v>
      </c>
      <c r="D4013" t="s">
        <v>8544</v>
      </c>
      <c r="E4013" t="s">
        <v>49</v>
      </c>
      <c r="F4013">
        <v>2</v>
      </c>
      <c r="G4013">
        <v>0.72589344357300156</v>
      </c>
      <c r="H4013" t="s">
        <v>94</v>
      </c>
      <c r="I4013">
        <v>0</v>
      </c>
      <c r="J4013">
        <v>0</v>
      </c>
      <c r="K4013">
        <v>0</v>
      </c>
    </row>
    <row r="4014" spans="1:11" x14ac:dyDescent="0.2">
      <c r="A4014" t="s">
        <v>16</v>
      </c>
      <c r="B4014" t="s">
        <v>5680</v>
      </c>
      <c r="C4014">
        <v>360</v>
      </c>
      <c r="D4014" t="s">
        <v>8556</v>
      </c>
      <c r="E4014" t="s">
        <v>49</v>
      </c>
      <c r="F4014">
        <v>2</v>
      </c>
      <c r="G4014">
        <v>0.72589344357300156</v>
      </c>
      <c r="H4014" t="s">
        <v>105</v>
      </c>
      <c r="I4014">
        <v>0</v>
      </c>
      <c r="J4014">
        <v>0</v>
      </c>
      <c r="K4014">
        <v>0</v>
      </c>
    </row>
    <row r="4015" spans="1:11" x14ac:dyDescent="0.2">
      <c r="A4015" t="s">
        <v>16</v>
      </c>
      <c r="B4015" t="s">
        <v>5680</v>
      </c>
      <c r="C4015">
        <v>360</v>
      </c>
      <c r="D4015" t="s">
        <v>8547</v>
      </c>
      <c r="E4015" t="s">
        <v>49</v>
      </c>
      <c r="F4015">
        <v>2</v>
      </c>
      <c r="G4015">
        <v>0.72589344357300156</v>
      </c>
      <c r="H4015" t="s">
        <v>94</v>
      </c>
      <c r="I4015">
        <v>0</v>
      </c>
      <c r="J4015">
        <v>0</v>
      </c>
      <c r="K4015">
        <v>0</v>
      </c>
    </row>
    <row r="4016" spans="1:11" x14ac:dyDescent="0.2">
      <c r="A4016" t="s">
        <v>16</v>
      </c>
      <c r="B4016" t="s">
        <v>5680</v>
      </c>
      <c r="C4016">
        <v>360</v>
      </c>
      <c r="D4016" t="s">
        <v>8549</v>
      </c>
      <c r="E4016" t="s">
        <v>49</v>
      </c>
      <c r="F4016">
        <v>2</v>
      </c>
      <c r="G4016">
        <v>0.72589344357300156</v>
      </c>
      <c r="H4016" t="s">
        <v>105</v>
      </c>
      <c r="I4016">
        <v>0</v>
      </c>
      <c r="J4016">
        <v>0</v>
      </c>
      <c r="K4016">
        <v>0</v>
      </c>
    </row>
    <row r="4017" spans="1:11" x14ac:dyDescent="0.2">
      <c r="A4017" t="s">
        <v>16</v>
      </c>
      <c r="B4017" t="s">
        <v>5680</v>
      </c>
      <c r="C4017">
        <v>360</v>
      </c>
      <c r="D4017" t="s">
        <v>8553</v>
      </c>
      <c r="E4017" t="s">
        <v>49</v>
      </c>
      <c r="F4017">
        <v>2</v>
      </c>
      <c r="G4017">
        <v>0.72589344357300156</v>
      </c>
      <c r="H4017" t="s">
        <v>94</v>
      </c>
      <c r="I4017">
        <v>0</v>
      </c>
      <c r="J4017">
        <v>0</v>
      </c>
      <c r="K4017">
        <v>0</v>
      </c>
    </row>
    <row r="4018" spans="1:11" x14ac:dyDescent="0.2">
      <c r="A4018" t="s">
        <v>16</v>
      </c>
      <c r="B4018" t="s">
        <v>5680</v>
      </c>
      <c r="C4018">
        <v>360</v>
      </c>
      <c r="D4018" t="s">
        <v>8545</v>
      </c>
      <c r="E4018" t="s">
        <v>49</v>
      </c>
      <c r="F4018">
        <v>2</v>
      </c>
      <c r="G4018">
        <v>0.72589344357300156</v>
      </c>
      <c r="H4018" t="s">
        <v>105</v>
      </c>
      <c r="I4018">
        <v>0</v>
      </c>
      <c r="J4018">
        <v>0</v>
      </c>
      <c r="K4018">
        <v>0</v>
      </c>
    </row>
    <row r="4019" spans="1:11" x14ac:dyDescent="0.2">
      <c r="A4019" t="s">
        <v>16</v>
      </c>
      <c r="B4019" t="s">
        <v>5680</v>
      </c>
      <c r="C4019">
        <v>120</v>
      </c>
      <c r="D4019" t="s">
        <v>8555</v>
      </c>
      <c r="E4019" t="s">
        <v>49</v>
      </c>
      <c r="F4019">
        <v>2</v>
      </c>
      <c r="G4019">
        <v>0.24196448119100053</v>
      </c>
      <c r="H4019" t="s">
        <v>94</v>
      </c>
      <c r="I4019">
        <v>0</v>
      </c>
      <c r="J4019">
        <v>0</v>
      </c>
      <c r="K4019">
        <v>0</v>
      </c>
    </row>
    <row r="4020" spans="1:11" x14ac:dyDescent="0.2">
      <c r="A4020" t="s">
        <v>16</v>
      </c>
      <c r="B4020" t="s">
        <v>5680</v>
      </c>
      <c r="C4020">
        <v>120</v>
      </c>
      <c r="D4020" t="s">
        <v>8550</v>
      </c>
      <c r="E4020" t="s">
        <v>49</v>
      </c>
      <c r="F4020">
        <v>2</v>
      </c>
      <c r="G4020">
        <v>0.24196448119100053</v>
      </c>
      <c r="H4020" t="s">
        <v>94</v>
      </c>
      <c r="I4020">
        <v>0</v>
      </c>
      <c r="J4020">
        <v>0</v>
      </c>
      <c r="K4020">
        <v>0</v>
      </c>
    </row>
    <row r="4021" spans="1:11" x14ac:dyDescent="0.2">
      <c r="A4021" t="s">
        <v>16</v>
      </c>
      <c r="B4021" t="s">
        <v>5680</v>
      </c>
      <c r="C4021">
        <v>360</v>
      </c>
      <c r="D4021" t="s">
        <v>8551</v>
      </c>
      <c r="E4021" t="s">
        <v>49</v>
      </c>
      <c r="F4021">
        <v>2</v>
      </c>
      <c r="G4021">
        <v>0.72589344357300156</v>
      </c>
      <c r="H4021" t="s">
        <v>94</v>
      </c>
      <c r="I4021">
        <v>0</v>
      </c>
      <c r="J4021">
        <v>0</v>
      </c>
      <c r="K4021">
        <v>0</v>
      </c>
    </row>
    <row r="4022" spans="1:11" x14ac:dyDescent="0.2">
      <c r="A4022" t="s">
        <v>16</v>
      </c>
      <c r="B4022" t="s">
        <v>5680</v>
      </c>
      <c r="C4022">
        <v>360</v>
      </c>
      <c r="D4022" t="s">
        <v>8552</v>
      </c>
      <c r="E4022" t="s">
        <v>49</v>
      </c>
      <c r="F4022">
        <v>2</v>
      </c>
      <c r="G4022">
        <v>0.72589344357300156</v>
      </c>
      <c r="H4022" t="s">
        <v>105</v>
      </c>
      <c r="I4022">
        <v>0</v>
      </c>
      <c r="J4022">
        <v>0</v>
      </c>
      <c r="K4022">
        <v>0</v>
      </c>
    </row>
    <row r="4023" spans="1:11" x14ac:dyDescent="0.2">
      <c r="A4023" t="s">
        <v>16</v>
      </c>
      <c r="B4023" t="s">
        <v>5680</v>
      </c>
      <c r="C4023">
        <v>360</v>
      </c>
      <c r="D4023" t="s">
        <v>8548</v>
      </c>
      <c r="E4023" t="s">
        <v>49</v>
      </c>
      <c r="F4023">
        <v>2</v>
      </c>
      <c r="G4023">
        <v>0.72589344357300156</v>
      </c>
      <c r="H4023" t="s">
        <v>105</v>
      </c>
      <c r="I4023">
        <v>0</v>
      </c>
      <c r="J4023">
        <v>0</v>
      </c>
      <c r="K4023">
        <v>0</v>
      </c>
    </row>
    <row r="4024" spans="1:11" x14ac:dyDescent="0.2">
      <c r="A4024" t="s">
        <v>16</v>
      </c>
      <c r="B4024" t="s">
        <v>5680</v>
      </c>
      <c r="C4024">
        <v>360</v>
      </c>
      <c r="D4024" t="s">
        <v>8543</v>
      </c>
      <c r="E4024" t="s">
        <v>49</v>
      </c>
      <c r="F4024">
        <v>2</v>
      </c>
      <c r="G4024">
        <v>0.72589344357300156</v>
      </c>
      <c r="H4024" t="s">
        <v>94</v>
      </c>
      <c r="I4024">
        <v>0</v>
      </c>
      <c r="J4024">
        <v>0</v>
      </c>
      <c r="K4024">
        <v>0</v>
      </c>
    </row>
    <row r="4025" spans="1:11" x14ac:dyDescent="0.2">
      <c r="A4025" t="s">
        <v>16</v>
      </c>
      <c r="B4025" t="s">
        <v>5680</v>
      </c>
      <c r="C4025">
        <v>360</v>
      </c>
      <c r="D4025" t="s">
        <v>8546</v>
      </c>
      <c r="E4025" t="s">
        <v>49</v>
      </c>
      <c r="F4025">
        <v>2</v>
      </c>
      <c r="G4025">
        <v>0.72589344357300156</v>
      </c>
      <c r="H4025" t="s">
        <v>105</v>
      </c>
      <c r="I4025">
        <v>0</v>
      </c>
      <c r="J4025">
        <v>0</v>
      </c>
      <c r="K4025">
        <v>0</v>
      </c>
    </row>
    <row r="4026" spans="1:11" x14ac:dyDescent="0.2">
      <c r="A4026" t="s">
        <v>16</v>
      </c>
      <c r="B4026" t="s">
        <v>5909</v>
      </c>
      <c r="C4026">
        <v>180</v>
      </c>
      <c r="D4026" t="s">
        <v>8561</v>
      </c>
      <c r="E4026" t="s">
        <v>49</v>
      </c>
      <c r="F4026">
        <v>4</v>
      </c>
      <c r="G4026">
        <v>0.73939103791650684</v>
      </c>
      <c r="H4026" t="s">
        <v>95</v>
      </c>
      <c r="I4026">
        <v>0</v>
      </c>
      <c r="J4026">
        <v>0</v>
      </c>
      <c r="K4026">
        <v>0</v>
      </c>
    </row>
    <row r="4027" spans="1:11" x14ac:dyDescent="0.2">
      <c r="A4027" t="s">
        <v>16</v>
      </c>
      <c r="B4027" t="s">
        <v>5909</v>
      </c>
      <c r="C4027">
        <v>180</v>
      </c>
      <c r="D4027" t="s">
        <v>8559</v>
      </c>
      <c r="E4027" t="s">
        <v>49</v>
      </c>
      <c r="F4027">
        <v>4</v>
      </c>
      <c r="G4027">
        <v>0.73939103791650684</v>
      </c>
      <c r="H4027" t="s">
        <v>103</v>
      </c>
      <c r="I4027">
        <v>0</v>
      </c>
      <c r="J4027">
        <v>0</v>
      </c>
      <c r="K4027">
        <v>0</v>
      </c>
    </row>
    <row r="4028" spans="1:11" x14ac:dyDescent="0.2">
      <c r="A4028" t="s">
        <v>16</v>
      </c>
      <c r="B4028" t="s">
        <v>5909</v>
      </c>
      <c r="C4028">
        <v>180</v>
      </c>
      <c r="D4028" t="s">
        <v>8564</v>
      </c>
      <c r="E4028" t="s">
        <v>49</v>
      </c>
      <c r="F4028">
        <v>4</v>
      </c>
      <c r="G4028">
        <v>0.73939103791650684</v>
      </c>
      <c r="H4028" t="s">
        <v>89</v>
      </c>
      <c r="I4028">
        <v>0</v>
      </c>
      <c r="J4028">
        <v>0</v>
      </c>
      <c r="K4028">
        <v>0</v>
      </c>
    </row>
    <row r="4029" spans="1:11" x14ac:dyDescent="0.2">
      <c r="A4029" t="s">
        <v>16</v>
      </c>
      <c r="B4029" t="s">
        <v>5909</v>
      </c>
      <c r="C4029">
        <v>180</v>
      </c>
      <c r="D4029" t="s">
        <v>8560</v>
      </c>
      <c r="E4029" t="s">
        <v>49</v>
      </c>
      <c r="F4029">
        <v>4</v>
      </c>
      <c r="G4029">
        <v>0.73939103791650684</v>
      </c>
      <c r="H4029" t="s">
        <v>92</v>
      </c>
      <c r="I4029">
        <v>0</v>
      </c>
      <c r="J4029">
        <v>0</v>
      </c>
      <c r="K4029">
        <v>0</v>
      </c>
    </row>
    <row r="4030" spans="1:11" x14ac:dyDescent="0.2">
      <c r="A4030" t="s">
        <v>16</v>
      </c>
      <c r="B4030" t="s">
        <v>5909</v>
      </c>
      <c r="C4030">
        <v>180</v>
      </c>
      <c r="D4030" t="s">
        <v>8566</v>
      </c>
      <c r="E4030" t="s">
        <v>49</v>
      </c>
      <c r="F4030">
        <v>4</v>
      </c>
      <c r="G4030">
        <v>0.73939103791650684</v>
      </c>
      <c r="H4030" t="s">
        <v>95</v>
      </c>
      <c r="I4030">
        <v>0</v>
      </c>
      <c r="J4030">
        <v>0</v>
      </c>
      <c r="K4030">
        <v>0</v>
      </c>
    </row>
    <row r="4031" spans="1:11" x14ac:dyDescent="0.2">
      <c r="A4031" t="s">
        <v>16</v>
      </c>
      <c r="B4031" t="s">
        <v>5909</v>
      </c>
      <c r="C4031">
        <v>120</v>
      </c>
      <c r="D4031" t="s">
        <v>8565</v>
      </c>
      <c r="E4031" t="s">
        <v>49</v>
      </c>
      <c r="F4031">
        <v>4</v>
      </c>
      <c r="G4031">
        <v>0.49292735861100456</v>
      </c>
      <c r="H4031" t="s">
        <v>103</v>
      </c>
      <c r="I4031">
        <v>0</v>
      </c>
      <c r="J4031">
        <v>0</v>
      </c>
      <c r="K4031">
        <v>0</v>
      </c>
    </row>
    <row r="4032" spans="1:11" x14ac:dyDescent="0.2">
      <c r="A4032" t="s">
        <v>16</v>
      </c>
      <c r="B4032" t="s">
        <v>5909</v>
      </c>
      <c r="C4032">
        <v>180</v>
      </c>
      <c r="D4032" t="s">
        <v>8557</v>
      </c>
      <c r="E4032" t="s">
        <v>49</v>
      </c>
      <c r="F4032">
        <v>4</v>
      </c>
      <c r="G4032">
        <v>0.73939103791650684</v>
      </c>
      <c r="H4032" t="s">
        <v>89</v>
      </c>
      <c r="I4032">
        <v>0</v>
      </c>
      <c r="J4032">
        <v>0</v>
      </c>
      <c r="K4032">
        <v>0</v>
      </c>
    </row>
    <row r="4033" spans="1:11" x14ac:dyDescent="0.2">
      <c r="A4033" t="s">
        <v>16</v>
      </c>
      <c r="B4033" t="s">
        <v>5909</v>
      </c>
      <c r="C4033">
        <v>180</v>
      </c>
      <c r="D4033" t="s">
        <v>8562</v>
      </c>
      <c r="E4033" t="s">
        <v>49</v>
      </c>
      <c r="F4033">
        <v>4</v>
      </c>
      <c r="G4033">
        <v>0.73939103791650684</v>
      </c>
      <c r="H4033" t="s">
        <v>92</v>
      </c>
      <c r="I4033">
        <v>0</v>
      </c>
      <c r="J4033">
        <v>0</v>
      </c>
      <c r="K4033">
        <v>0</v>
      </c>
    </row>
    <row r="4034" spans="1:11" x14ac:dyDescent="0.2">
      <c r="A4034" t="s">
        <v>16</v>
      </c>
      <c r="B4034" t="s">
        <v>5909</v>
      </c>
      <c r="C4034">
        <v>180</v>
      </c>
      <c r="D4034" t="s">
        <v>8567</v>
      </c>
      <c r="E4034" t="s">
        <v>49</v>
      </c>
      <c r="F4034">
        <v>4</v>
      </c>
      <c r="G4034">
        <v>0.73939103791650684</v>
      </c>
      <c r="H4034" t="s">
        <v>103</v>
      </c>
      <c r="I4034">
        <v>0</v>
      </c>
      <c r="J4034">
        <v>0</v>
      </c>
      <c r="K4034">
        <v>0</v>
      </c>
    </row>
    <row r="4035" spans="1:11" x14ac:dyDescent="0.2">
      <c r="A4035" t="s">
        <v>16</v>
      </c>
      <c r="B4035" t="s">
        <v>5909</v>
      </c>
      <c r="C4035">
        <v>180</v>
      </c>
      <c r="D4035" t="s">
        <v>8558</v>
      </c>
      <c r="E4035" t="s">
        <v>49</v>
      </c>
      <c r="F4035">
        <v>4</v>
      </c>
      <c r="G4035">
        <v>0.73939103791650684</v>
      </c>
      <c r="H4035" t="s">
        <v>95</v>
      </c>
      <c r="I4035">
        <v>0</v>
      </c>
      <c r="J4035">
        <v>0</v>
      </c>
      <c r="K4035">
        <v>0</v>
      </c>
    </row>
    <row r="4036" spans="1:11" x14ac:dyDescent="0.2">
      <c r="A4036" t="s">
        <v>16</v>
      </c>
      <c r="B4036" t="s">
        <v>5909</v>
      </c>
      <c r="C4036">
        <v>180</v>
      </c>
      <c r="D4036" t="s">
        <v>8563</v>
      </c>
      <c r="E4036" t="s">
        <v>49</v>
      </c>
      <c r="F4036">
        <v>4</v>
      </c>
      <c r="G4036">
        <v>0.73939103791650684</v>
      </c>
      <c r="H4036" t="s">
        <v>89</v>
      </c>
      <c r="I4036">
        <v>0</v>
      </c>
      <c r="J4036">
        <v>0</v>
      </c>
      <c r="K4036">
        <v>0</v>
      </c>
    </row>
    <row r="4037" spans="1:11" x14ac:dyDescent="0.2">
      <c r="A4037" t="s">
        <v>16</v>
      </c>
      <c r="B4037" t="s">
        <v>5895</v>
      </c>
      <c r="C4037">
        <v>300</v>
      </c>
      <c r="D4037" t="s">
        <v>8569</v>
      </c>
      <c r="E4037" t="s">
        <v>49</v>
      </c>
      <c r="F4037">
        <v>7</v>
      </c>
      <c r="G4037">
        <v>0.5718707969191984</v>
      </c>
      <c r="H4037" t="s">
        <v>96</v>
      </c>
      <c r="I4037">
        <v>0</v>
      </c>
      <c r="J4037">
        <v>0</v>
      </c>
      <c r="K4037">
        <v>0</v>
      </c>
    </row>
    <row r="4038" spans="1:11" x14ac:dyDescent="0.2">
      <c r="A4038" t="s">
        <v>16</v>
      </c>
      <c r="B4038" t="s">
        <v>5895</v>
      </c>
      <c r="C4038">
        <v>200</v>
      </c>
      <c r="D4038" t="s">
        <v>8568</v>
      </c>
      <c r="E4038" t="s">
        <v>49</v>
      </c>
      <c r="F4038">
        <v>7</v>
      </c>
      <c r="G4038">
        <v>0.38124719794613227</v>
      </c>
      <c r="H4038" t="s">
        <v>101</v>
      </c>
      <c r="I4038">
        <v>0</v>
      </c>
      <c r="J4038">
        <v>0</v>
      </c>
      <c r="K4038">
        <v>0</v>
      </c>
    </row>
    <row r="4039" spans="1:11" x14ac:dyDescent="0.2">
      <c r="A4039" t="s">
        <v>16</v>
      </c>
      <c r="B4039" t="s">
        <v>5895</v>
      </c>
      <c r="C4039">
        <v>300</v>
      </c>
      <c r="D4039" t="s">
        <v>8571</v>
      </c>
      <c r="E4039" t="s">
        <v>49</v>
      </c>
      <c r="F4039">
        <v>7</v>
      </c>
      <c r="G4039">
        <v>0.5718707969191984</v>
      </c>
      <c r="H4039" t="s">
        <v>84</v>
      </c>
      <c r="I4039">
        <v>0</v>
      </c>
      <c r="J4039">
        <v>0</v>
      </c>
      <c r="K4039">
        <v>0</v>
      </c>
    </row>
    <row r="4040" spans="1:11" x14ac:dyDescent="0.2">
      <c r="A4040" t="s">
        <v>16</v>
      </c>
      <c r="B4040" t="s">
        <v>5895</v>
      </c>
      <c r="C4040">
        <v>300</v>
      </c>
      <c r="D4040" t="s">
        <v>8572</v>
      </c>
      <c r="E4040" t="s">
        <v>49</v>
      </c>
      <c r="F4040">
        <v>7</v>
      </c>
      <c r="G4040">
        <v>0.5718707969191984</v>
      </c>
      <c r="H4040" t="s">
        <v>100</v>
      </c>
      <c r="I4040">
        <v>0</v>
      </c>
      <c r="J4040">
        <v>0</v>
      </c>
      <c r="K4040">
        <v>0</v>
      </c>
    </row>
    <row r="4041" spans="1:11" x14ac:dyDescent="0.2">
      <c r="A4041" t="s">
        <v>16</v>
      </c>
      <c r="B4041" t="s">
        <v>5895</v>
      </c>
      <c r="C4041">
        <v>300</v>
      </c>
      <c r="D4041" t="s">
        <v>8574</v>
      </c>
      <c r="E4041" t="s">
        <v>49</v>
      </c>
      <c r="F4041">
        <v>7</v>
      </c>
      <c r="G4041">
        <v>0.5718707969191984</v>
      </c>
      <c r="H4041" t="s">
        <v>93</v>
      </c>
      <c r="I4041">
        <v>0</v>
      </c>
      <c r="J4041">
        <v>0</v>
      </c>
      <c r="K4041">
        <v>0</v>
      </c>
    </row>
    <row r="4042" spans="1:11" x14ac:dyDescent="0.2">
      <c r="A4042" t="s">
        <v>16</v>
      </c>
      <c r="B4042" t="s">
        <v>5895</v>
      </c>
      <c r="C4042">
        <v>300</v>
      </c>
      <c r="D4042" t="s">
        <v>8573</v>
      </c>
      <c r="E4042" t="s">
        <v>49</v>
      </c>
      <c r="F4042">
        <v>7</v>
      </c>
      <c r="G4042">
        <v>0.5718707969191984</v>
      </c>
      <c r="H4042" t="s">
        <v>98</v>
      </c>
      <c r="I4042">
        <v>0</v>
      </c>
      <c r="J4042">
        <v>0</v>
      </c>
      <c r="K4042">
        <v>0</v>
      </c>
    </row>
    <row r="4043" spans="1:11" x14ac:dyDescent="0.2">
      <c r="A4043" t="s">
        <v>16</v>
      </c>
      <c r="B4043" t="s">
        <v>5895</v>
      </c>
      <c r="C4043">
        <v>300</v>
      </c>
      <c r="D4043" t="s">
        <v>8570</v>
      </c>
      <c r="E4043" t="s">
        <v>49</v>
      </c>
      <c r="F4043">
        <v>7</v>
      </c>
      <c r="G4043">
        <v>0.5718707969191984</v>
      </c>
      <c r="H4043" t="s">
        <v>99</v>
      </c>
      <c r="I4043">
        <v>0</v>
      </c>
      <c r="J4043">
        <v>0</v>
      </c>
      <c r="K4043">
        <v>0</v>
      </c>
    </row>
    <row r="4044" spans="1:11" x14ac:dyDescent="0.2">
      <c r="A4044" t="s">
        <v>16</v>
      </c>
      <c r="B4044" t="s">
        <v>5849</v>
      </c>
      <c r="C4044">
        <v>240</v>
      </c>
      <c r="D4044" t="s">
        <v>8575</v>
      </c>
      <c r="E4044" t="s">
        <v>49</v>
      </c>
      <c r="F4044">
        <v>4</v>
      </c>
      <c r="G4044">
        <v>0.47780548311983301</v>
      </c>
      <c r="H4044" t="s">
        <v>101</v>
      </c>
      <c r="I4044">
        <v>0</v>
      </c>
      <c r="J4044">
        <v>0</v>
      </c>
      <c r="K4044">
        <v>0</v>
      </c>
    </row>
    <row r="4045" spans="1:11" x14ac:dyDescent="0.2">
      <c r="A4045" t="s">
        <v>16</v>
      </c>
      <c r="B4045" t="s">
        <v>5849</v>
      </c>
      <c r="C4045">
        <v>80</v>
      </c>
      <c r="D4045" t="s">
        <v>8578</v>
      </c>
      <c r="E4045" t="s">
        <v>49</v>
      </c>
      <c r="F4045">
        <v>4</v>
      </c>
      <c r="G4045">
        <v>0.15926849437327767</v>
      </c>
      <c r="H4045" t="s">
        <v>96</v>
      </c>
      <c r="I4045">
        <v>0</v>
      </c>
      <c r="J4045">
        <v>0</v>
      </c>
      <c r="K4045">
        <v>0</v>
      </c>
    </row>
    <row r="4046" spans="1:11" x14ac:dyDescent="0.2">
      <c r="A4046" t="s">
        <v>16</v>
      </c>
      <c r="B4046" t="s">
        <v>5849</v>
      </c>
      <c r="C4046">
        <v>240</v>
      </c>
      <c r="D4046" t="s">
        <v>8577</v>
      </c>
      <c r="E4046" t="s">
        <v>49</v>
      </c>
      <c r="F4046">
        <v>4</v>
      </c>
      <c r="G4046">
        <v>0.47780548311983301</v>
      </c>
      <c r="H4046" t="s">
        <v>96</v>
      </c>
      <c r="I4046">
        <v>0</v>
      </c>
      <c r="J4046">
        <v>0</v>
      </c>
      <c r="K4046">
        <v>0</v>
      </c>
    </row>
    <row r="4047" spans="1:11" x14ac:dyDescent="0.2">
      <c r="A4047" t="s">
        <v>16</v>
      </c>
      <c r="B4047" t="s">
        <v>5849</v>
      </c>
      <c r="C4047">
        <v>240</v>
      </c>
      <c r="D4047" t="s">
        <v>8576</v>
      </c>
      <c r="E4047" t="s">
        <v>49</v>
      </c>
      <c r="F4047">
        <v>4</v>
      </c>
      <c r="G4047">
        <v>0.47780548311983301</v>
      </c>
      <c r="H4047" t="s">
        <v>84</v>
      </c>
      <c r="I4047">
        <v>0</v>
      </c>
      <c r="J4047">
        <v>0</v>
      </c>
      <c r="K4047">
        <v>0</v>
      </c>
    </row>
    <row r="4048" spans="1:11" x14ac:dyDescent="0.2">
      <c r="A4048" t="s">
        <v>16</v>
      </c>
      <c r="B4048" t="s">
        <v>5849</v>
      </c>
      <c r="C4048">
        <v>80</v>
      </c>
      <c r="D4048" t="s">
        <v>8579</v>
      </c>
      <c r="E4048" t="s">
        <v>49</v>
      </c>
      <c r="F4048">
        <v>4</v>
      </c>
      <c r="G4048">
        <v>0.15926849437327767</v>
      </c>
      <c r="H4048" t="s">
        <v>100</v>
      </c>
      <c r="I4048">
        <v>0</v>
      </c>
      <c r="J4048">
        <v>0</v>
      </c>
      <c r="K4048">
        <v>0</v>
      </c>
    </row>
    <row r="4049" spans="1:11" x14ac:dyDescent="0.2">
      <c r="A4049" t="s">
        <v>16</v>
      </c>
      <c r="B4049" t="s">
        <v>5815</v>
      </c>
      <c r="C4049">
        <v>300</v>
      </c>
      <c r="D4049" t="s">
        <v>8580</v>
      </c>
      <c r="E4049" t="s">
        <v>49</v>
      </c>
      <c r="F4049">
        <v>8</v>
      </c>
      <c r="G4049">
        <v>0.25728717457275196</v>
      </c>
      <c r="H4049" t="s">
        <v>93</v>
      </c>
      <c r="I4049">
        <v>0</v>
      </c>
      <c r="J4049">
        <v>0</v>
      </c>
      <c r="K4049">
        <v>0</v>
      </c>
    </row>
    <row r="4050" spans="1:11" x14ac:dyDescent="0.2">
      <c r="A4050" t="s">
        <v>16</v>
      </c>
      <c r="B4050" t="s">
        <v>5812</v>
      </c>
      <c r="C4050">
        <v>300</v>
      </c>
      <c r="D4050" t="s">
        <v>8582</v>
      </c>
      <c r="E4050" t="s">
        <v>49</v>
      </c>
      <c r="F4050">
        <v>9</v>
      </c>
      <c r="G4050">
        <v>0.3235214801205365</v>
      </c>
      <c r="H4050" t="s">
        <v>104</v>
      </c>
      <c r="I4050">
        <v>0</v>
      </c>
      <c r="J4050">
        <v>0</v>
      </c>
      <c r="K4050">
        <v>0</v>
      </c>
    </row>
    <row r="4051" spans="1:11" x14ac:dyDescent="0.2">
      <c r="A4051" t="s">
        <v>16</v>
      </c>
      <c r="B4051" t="s">
        <v>5812</v>
      </c>
      <c r="C4051">
        <v>100</v>
      </c>
      <c r="D4051" t="s">
        <v>8581</v>
      </c>
      <c r="E4051" t="s">
        <v>49</v>
      </c>
      <c r="F4051">
        <v>9</v>
      </c>
      <c r="G4051">
        <v>0.10784049337351216</v>
      </c>
      <c r="H4051" t="s">
        <v>101</v>
      </c>
      <c r="I4051">
        <v>0</v>
      </c>
      <c r="J4051">
        <v>0</v>
      </c>
      <c r="K4051">
        <v>0</v>
      </c>
    </row>
    <row r="4052" spans="1:11" x14ac:dyDescent="0.2">
      <c r="A4052" t="s">
        <v>16</v>
      </c>
      <c r="B4052" t="s">
        <v>5779</v>
      </c>
      <c r="C4052">
        <v>300</v>
      </c>
      <c r="D4052" t="s">
        <v>8601</v>
      </c>
      <c r="E4052" t="s">
        <v>49</v>
      </c>
      <c r="F4052">
        <v>2</v>
      </c>
      <c r="G4052">
        <v>0.61728895568827535</v>
      </c>
      <c r="H4052" t="s">
        <v>98</v>
      </c>
      <c r="I4052">
        <v>0</v>
      </c>
      <c r="J4052">
        <v>0</v>
      </c>
      <c r="K4052">
        <v>0</v>
      </c>
    </row>
    <row r="4053" spans="1:11" x14ac:dyDescent="0.2">
      <c r="A4053" t="s">
        <v>16</v>
      </c>
      <c r="B4053" t="s">
        <v>5779</v>
      </c>
      <c r="C4053">
        <v>300</v>
      </c>
      <c r="D4053" t="s">
        <v>8591</v>
      </c>
      <c r="E4053" t="s">
        <v>49</v>
      </c>
      <c r="F4053">
        <v>2</v>
      </c>
      <c r="G4053">
        <v>0.61728895568827535</v>
      </c>
      <c r="H4053" t="s">
        <v>99</v>
      </c>
      <c r="I4053">
        <v>0</v>
      </c>
      <c r="J4053">
        <v>0</v>
      </c>
      <c r="K4053">
        <v>0</v>
      </c>
    </row>
    <row r="4054" spans="1:11" x14ac:dyDescent="0.2">
      <c r="A4054" t="s">
        <v>16</v>
      </c>
      <c r="B4054" t="s">
        <v>5779</v>
      </c>
      <c r="C4054">
        <v>300</v>
      </c>
      <c r="D4054" t="s">
        <v>8586</v>
      </c>
      <c r="E4054" t="s">
        <v>49</v>
      </c>
      <c r="F4054">
        <v>2</v>
      </c>
      <c r="G4054">
        <v>0.61728895568827535</v>
      </c>
      <c r="H4054" t="s">
        <v>98</v>
      </c>
      <c r="I4054">
        <v>0</v>
      </c>
      <c r="J4054">
        <v>0</v>
      </c>
      <c r="K4054">
        <v>0</v>
      </c>
    </row>
    <row r="4055" spans="1:11" x14ac:dyDescent="0.2">
      <c r="A4055" t="s">
        <v>16</v>
      </c>
      <c r="B4055" t="s">
        <v>5779</v>
      </c>
      <c r="C4055">
        <v>300</v>
      </c>
      <c r="D4055" t="s">
        <v>8599</v>
      </c>
      <c r="E4055" t="s">
        <v>49</v>
      </c>
      <c r="F4055">
        <v>2</v>
      </c>
      <c r="G4055">
        <v>0.61728895568827535</v>
      </c>
      <c r="H4055" t="s">
        <v>99</v>
      </c>
      <c r="I4055">
        <v>0</v>
      </c>
      <c r="J4055">
        <v>0</v>
      </c>
      <c r="K4055">
        <v>0</v>
      </c>
    </row>
    <row r="4056" spans="1:11" x14ac:dyDescent="0.2">
      <c r="A4056" t="s">
        <v>16</v>
      </c>
      <c r="B4056" t="s">
        <v>5779</v>
      </c>
      <c r="C4056">
        <v>300</v>
      </c>
      <c r="D4056" t="s">
        <v>8592</v>
      </c>
      <c r="E4056" t="s">
        <v>49</v>
      </c>
      <c r="F4056">
        <v>2</v>
      </c>
      <c r="G4056">
        <v>0.61728895568827535</v>
      </c>
      <c r="H4056" t="s">
        <v>98</v>
      </c>
      <c r="I4056">
        <v>0</v>
      </c>
      <c r="J4056">
        <v>0</v>
      </c>
      <c r="K4056">
        <v>0</v>
      </c>
    </row>
    <row r="4057" spans="1:11" x14ac:dyDescent="0.2">
      <c r="A4057" t="s">
        <v>16</v>
      </c>
      <c r="B4057" t="s">
        <v>5779</v>
      </c>
      <c r="C4057">
        <v>300</v>
      </c>
      <c r="D4057" t="s">
        <v>8596</v>
      </c>
      <c r="E4057" t="s">
        <v>49</v>
      </c>
      <c r="F4057">
        <v>2</v>
      </c>
      <c r="G4057">
        <v>0.61728895568827535</v>
      </c>
      <c r="H4057" t="s">
        <v>99</v>
      </c>
      <c r="I4057">
        <v>0</v>
      </c>
      <c r="J4057">
        <v>0</v>
      </c>
      <c r="K4057">
        <v>0</v>
      </c>
    </row>
    <row r="4058" spans="1:11" x14ac:dyDescent="0.2">
      <c r="A4058" t="s">
        <v>16</v>
      </c>
      <c r="B4058" t="s">
        <v>5779</v>
      </c>
      <c r="C4058">
        <v>300</v>
      </c>
      <c r="D4058" t="s">
        <v>8584</v>
      </c>
      <c r="E4058" t="s">
        <v>49</v>
      </c>
      <c r="F4058">
        <v>2</v>
      </c>
      <c r="G4058">
        <v>0.61728895568827535</v>
      </c>
      <c r="H4058" t="s">
        <v>98</v>
      </c>
      <c r="I4058">
        <v>0</v>
      </c>
      <c r="J4058">
        <v>0</v>
      </c>
      <c r="K4058">
        <v>0</v>
      </c>
    </row>
    <row r="4059" spans="1:11" x14ac:dyDescent="0.2">
      <c r="A4059" t="s">
        <v>16</v>
      </c>
      <c r="B4059" t="s">
        <v>5779</v>
      </c>
      <c r="C4059">
        <v>200</v>
      </c>
      <c r="D4059" t="s">
        <v>8590</v>
      </c>
      <c r="E4059" t="s">
        <v>49</v>
      </c>
      <c r="F4059">
        <v>2</v>
      </c>
      <c r="G4059">
        <v>0.41152597045885025</v>
      </c>
      <c r="H4059" t="s">
        <v>99</v>
      </c>
      <c r="I4059">
        <v>0</v>
      </c>
      <c r="J4059">
        <v>0</v>
      </c>
      <c r="K4059">
        <v>0</v>
      </c>
    </row>
    <row r="4060" spans="1:11" x14ac:dyDescent="0.2">
      <c r="A4060" t="s">
        <v>16</v>
      </c>
      <c r="B4060" t="s">
        <v>5779</v>
      </c>
      <c r="C4060">
        <v>300</v>
      </c>
      <c r="D4060" t="s">
        <v>8583</v>
      </c>
      <c r="E4060" t="s">
        <v>49</v>
      </c>
      <c r="F4060">
        <v>2</v>
      </c>
      <c r="G4060">
        <v>0.61728895568827535</v>
      </c>
      <c r="H4060" t="s">
        <v>98</v>
      </c>
      <c r="I4060">
        <v>0</v>
      </c>
      <c r="J4060">
        <v>0</v>
      </c>
      <c r="K4060">
        <v>0</v>
      </c>
    </row>
    <row r="4061" spans="1:11" x14ac:dyDescent="0.2">
      <c r="A4061" t="s">
        <v>16</v>
      </c>
      <c r="B4061" t="s">
        <v>5779</v>
      </c>
      <c r="C4061">
        <v>300</v>
      </c>
      <c r="D4061" t="s">
        <v>8588</v>
      </c>
      <c r="E4061" t="s">
        <v>49</v>
      </c>
      <c r="F4061">
        <v>2</v>
      </c>
      <c r="G4061">
        <v>0.61728895568827535</v>
      </c>
      <c r="H4061" t="s">
        <v>99</v>
      </c>
      <c r="I4061">
        <v>0</v>
      </c>
      <c r="J4061">
        <v>0</v>
      </c>
      <c r="K4061">
        <v>0</v>
      </c>
    </row>
    <row r="4062" spans="1:11" x14ac:dyDescent="0.2">
      <c r="A4062" t="s">
        <v>16</v>
      </c>
      <c r="B4062" t="s">
        <v>5779</v>
      </c>
      <c r="C4062">
        <v>300</v>
      </c>
      <c r="D4062" t="s">
        <v>8585</v>
      </c>
      <c r="E4062" t="s">
        <v>49</v>
      </c>
      <c r="F4062">
        <v>2</v>
      </c>
      <c r="G4062">
        <v>0.61728895568827535</v>
      </c>
      <c r="H4062" t="s">
        <v>98</v>
      </c>
      <c r="I4062">
        <v>0</v>
      </c>
      <c r="J4062">
        <v>0</v>
      </c>
      <c r="K4062">
        <v>0</v>
      </c>
    </row>
    <row r="4063" spans="1:11" x14ac:dyDescent="0.2">
      <c r="A4063" t="s">
        <v>16</v>
      </c>
      <c r="B4063" t="s">
        <v>5779</v>
      </c>
      <c r="C4063">
        <v>300</v>
      </c>
      <c r="D4063" t="s">
        <v>8593</v>
      </c>
      <c r="E4063" t="s">
        <v>49</v>
      </c>
      <c r="F4063">
        <v>2</v>
      </c>
      <c r="G4063">
        <v>0.61728895568827535</v>
      </c>
      <c r="H4063" t="s">
        <v>99</v>
      </c>
      <c r="I4063">
        <v>0</v>
      </c>
      <c r="J4063">
        <v>0</v>
      </c>
      <c r="K4063">
        <v>0</v>
      </c>
    </row>
    <row r="4064" spans="1:11" x14ac:dyDescent="0.2">
      <c r="A4064" t="s">
        <v>16</v>
      </c>
      <c r="B4064" t="s">
        <v>5779</v>
      </c>
      <c r="C4064">
        <v>300</v>
      </c>
      <c r="D4064" t="s">
        <v>8610</v>
      </c>
      <c r="E4064" t="s">
        <v>49</v>
      </c>
      <c r="F4064">
        <v>2</v>
      </c>
      <c r="G4064">
        <v>0.61728895568827535</v>
      </c>
      <c r="H4064" t="s">
        <v>98</v>
      </c>
      <c r="I4064">
        <v>0</v>
      </c>
      <c r="J4064">
        <v>0</v>
      </c>
      <c r="K4064">
        <v>0</v>
      </c>
    </row>
    <row r="4065" spans="1:11" x14ac:dyDescent="0.2">
      <c r="A4065" t="s">
        <v>16</v>
      </c>
      <c r="B4065" t="s">
        <v>5779</v>
      </c>
      <c r="C4065">
        <v>300</v>
      </c>
      <c r="D4065" t="s">
        <v>8604</v>
      </c>
      <c r="E4065" t="s">
        <v>49</v>
      </c>
      <c r="F4065">
        <v>2</v>
      </c>
      <c r="G4065">
        <v>0.61728895568827535</v>
      </c>
      <c r="H4065" t="s">
        <v>99</v>
      </c>
      <c r="I4065">
        <v>0</v>
      </c>
      <c r="J4065">
        <v>0</v>
      </c>
      <c r="K4065">
        <v>0</v>
      </c>
    </row>
    <row r="4066" spans="1:11" x14ac:dyDescent="0.2">
      <c r="A4066" t="s">
        <v>16</v>
      </c>
      <c r="B4066" t="s">
        <v>5779</v>
      </c>
      <c r="C4066">
        <v>300</v>
      </c>
      <c r="D4066" t="s">
        <v>8609</v>
      </c>
      <c r="E4066" t="s">
        <v>49</v>
      </c>
      <c r="F4066">
        <v>2</v>
      </c>
      <c r="G4066">
        <v>0.61728895568827535</v>
      </c>
      <c r="H4066" t="s">
        <v>98</v>
      </c>
      <c r="I4066">
        <v>0</v>
      </c>
      <c r="J4066">
        <v>0</v>
      </c>
      <c r="K4066">
        <v>0</v>
      </c>
    </row>
    <row r="4067" spans="1:11" x14ac:dyDescent="0.2">
      <c r="A4067" t="s">
        <v>16</v>
      </c>
      <c r="B4067" t="s">
        <v>5779</v>
      </c>
      <c r="C4067">
        <v>300</v>
      </c>
      <c r="D4067" t="s">
        <v>8589</v>
      </c>
      <c r="E4067" t="s">
        <v>49</v>
      </c>
      <c r="F4067">
        <v>2</v>
      </c>
      <c r="G4067">
        <v>0.61728895568827535</v>
      </c>
      <c r="H4067" t="s">
        <v>99</v>
      </c>
      <c r="I4067">
        <v>0</v>
      </c>
      <c r="J4067">
        <v>0</v>
      </c>
      <c r="K4067">
        <v>0</v>
      </c>
    </row>
    <row r="4068" spans="1:11" x14ac:dyDescent="0.2">
      <c r="A4068" t="s">
        <v>16</v>
      </c>
      <c r="B4068" t="s">
        <v>5779</v>
      </c>
      <c r="C4068">
        <v>300</v>
      </c>
      <c r="D4068" t="s">
        <v>8595</v>
      </c>
      <c r="E4068" t="s">
        <v>49</v>
      </c>
      <c r="F4068">
        <v>2</v>
      </c>
      <c r="G4068">
        <v>0.61728895568827535</v>
      </c>
      <c r="H4068" t="s">
        <v>98</v>
      </c>
      <c r="I4068">
        <v>0</v>
      </c>
      <c r="J4068">
        <v>0</v>
      </c>
      <c r="K4068">
        <v>0</v>
      </c>
    </row>
    <row r="4069" spans="1:11" x14ac:dyDescent="0.2">
      <c r="A4069" t="s">
        <v>16</v>
      </c>
      <c r="B4069" t="s">
        <v>5779</v>
      </c>
      <c r="C4069">
        <v>300</v>
      </c>
      <c r="D4069" t="s">
        <v>8605</v>
      </c>
      <c r="E4069" t="s">
        <v>49</v>
      </c>
      <c r="F4069">
        <v>2</v>
      </c>
      <c r="G4069">
        <v>0.61728895568827535</v>
      </c>
      <c r="H4069" t="s">
        <v>99</v>
      </c>
      <c r="I4069">
        <v>0</v>
      </c>
      <c r="J4069">
        <v>0</v>
      </c>
      <c r="K4069">
        <v>0</v>
      </c>
    </row>
    <row r="4070" spans="1:11" x14ac:dyDescent="0.2">
      <c r="A4070" t="s">
        <v>16</v>
      </c>
      <c r="B4070" t="s">
        <v>5779</v>
      </c>
      <c r="C4070">
        <v>300</v>
      </c>
      <c r="D4070" t="s">
        <v>8611</v>
      </c>
      <c r="E4070" t="s">
        <v>49</v>
      </c>
      <c r="F4070">
        <v>2</v>
      </c>
      <c r="G4070">
        <v>0.61728895568827535</v>
      </c>
      <c r="H4070" t="s">
        <v>98</v>
      </c>
      <c r="I4070">
        <v>0</v>
      </c>
      <c r="J4070">
        <v>0</v>
      </c>
      <c r="K4070">
        <v>0</v>
      </c>
    </row>
    <row r="4071" spans="1:11" x14ac:dyDescent="0.2">
      <c r="A4071" t="s">
        <v>16</v>
      </c>
      <c r="B4071" t="s">
        <v>5779</v>
      </c>
      <c r="C4071">
        <v>300</v>
      </c>
      <c r="D4071" t="s">
        <v>8607</v>
      </c>
      <c r="E4071" t="s">
        <v>49</v>
      </c>
      <c r="F4071">
        <v>2</v>
      </c>
      <c r="G4071">
        <v>0.61728895568827535</v>
      </c>
      <c r="H4071" t="s">
        <v>99</v>
      </c>
      <c r="I4071">
        <v>0</v>
      </c>
      <c r="J4071">
        <v>0</v>
      </c>
      <c r="K4071">
        <v>0</v>
      </c>
    </row>
    <row r="4072" spans="1:11" x14ac:dyDescent="0.2">
      <c r="A4072" t="s">
        <v>16</v>
      </c>
      <c r="B4072" t="s">
        <v>5779</v>
      </c>
      <c r="C4072">
        <v>300</v>
      </c>
      <c r="D4072" t="s">
        <v>8606</v>
      </c>
      <c r="E4072" t="s">
        <v>49</v>
      </c>
      <c r="F4072">
        <v>2</v>
      </c>
      <c r="G4072">
        <v>0.61728895568827535</v>
      </c>
      <c r="H4072" t="s">
        <v>98</v>
      </c>
      <c r="I4072">
        <v>0</v>
      </c>
      <c r="J4072">
        <v>0</v>
      </c>
      <c r="K4072">
        <v>0</v>
      </c>
    </row>
    <row r="4073" spans="1:11" x14ac:dyDescent="0.2">
      <c r="A4073" t="s">
        <v>16</v>
      </c>
      <c r="B4073" t="s">
        <v>5779</v>
      </c>
      <c r="C4073">
        <v>300</v>
      </c>
      <c r="D4073" t="s">
        <v>8603</v>
      </c>
      <c r="E4073" t="s">
        <v>49</v>
      </c>
      <c r="F4073">
        <v>2</v>
      </c>
      <c r="G4073">
        <v>0.61728895568827535</v>
      </c>
      <c r="H4073" t="s">
        <v>99</v>
      </c>
      <c r="I4073">
        <v>0</v>
      </c>
      <c r="J4073">
        <v>0</v>
      </c>
      <c r="K4073">
        <v>0</v>
      </c>
    </row>
    <row r="4074" spans="1:11" x14ac:dyDescent="0.2">
      <c r="A4074" t="s">
        <v>16</v>
      </c>
      <c r="B4074" t="s">
        <v>5779</v>
      </c>
      <c r="C4074">
        <v>300</v>
      </c>
      <c r="D4074" t="s">
        <v>8597</v>
      </c>
      <c r="E4074" t="s">
        <v>49</v>
      </c>
      <c r="F4074">
        <v>2</v>
      </c>
      <c r="G4074">
        <v>0.61728895568827535</v>
      </c>
      <c r="H4074" t="s">
        <v>98</v>
      </c>
      <c r="I4074">
        <v>0</v>
      </c>
      <c r="J4074">
        <v>0</v>
      </c>
      <c r="K4074">
        <v>0</v>
      </c>
    </row>
    <row r="4075" spans="1:11" x14ac:dyDescent="0.2">
      <c r="A4075" t="s">
        <v>16</v>
      </c>
      <c r="B4075" t="s">
        <v>5779</v>
      </c>
      <c r="C4075">
        <v>300</v>
      </c>
      <c r="D4075" t="s">
        <v>8602</v>
      </c>
      <c r="E4075" t="s">
        <v>49</v>
      </c>
      <c r="F4075">
        <v>2</v>
      </c>
      <c r="G4075">
        <v>0.61728895568827535</v>
      </c>
      <c r="H4075" t="s">
        <v>99</v>
      </c>
      <c r="I4075">
        <v>0</v>
      </c>
      <c r="J4075">
        <v>0</v>
      </c>
      <c r="K4075">
        <v>0</v>
      </c>
    </row>
    <row r="4076" spans="1:11" x14ac:dyDescent="0.2">
      <c r="A4076" t="s">
        <v>16</v>
      </c>
      <c r="B4076" t="s">
        <v>5779</v>
      </c>
      <c r="C4076">
        <v>300</v>
      </c>
      <c r="D4076" t="s">
        <v>8594</v>
      </c>
      <c r="E4076" t="s">
        <v>49</v>
      </c>
      <c r="F4076">
        <v>2</v>
      </c>
      <c r="G4076">
        <v>0.61728895568827535</v>
      </c>
      <c r="H4076" t="s">
        <v>98</v>
      </c>
      <c r="I4076">
        <v>0</v>
      </c>
      <c r="J4076">
        <v>0</v>
      </c>
      <c r="K4076">
        <v>0</v>
      </c>
    </row>
    <row r="4077" spans="1:11" x14ac:dyDescent="0.2">
      <c r="A4077" t="s">
        <v>16</v>
      </c>
      <c r="B4077" t="s">
        <v>5779</v>
      </c>
      <c r="C4077">
        <v>300</v>
      </c>
      <c r="D4077" t="s">
        <v>8587</v>
      </c>
      <c r="E4077" t="s">
        <v>49</v>
      </c>
      <c r="F4077">
        <v>2</v>
      </c>
      <c r="G4077">
        <v>0.61728895568827535</v>
      </c>
      <c r="H4077" t="s">
        <v>99</v>
      </c>
      <c r="I4077">
        <v>0</v>
      </c>
      <c r="J4077">
        <v>0</v>
      </c>
      <c r="K4077">
        <v>0</v>
      </c>
    </row>
    <row r="4078" spans="1:11" x14ac:dyDescent="0.2">
      <c r="A4078" t="s">
        <v>16</v>
      </c>
      <c r="B4078" t="s">
        <v>5779</v>
      </c>
      <c r="C4078">
        <v>300</v>
      </c>
      <c r="D4078" t="s">
        <v>8600</v>
      </c>
      <c r="E4078" t="s">
        <v>49</v>
      </c>
      <c r="F4078">
        <v>2</v>
      </c>
      <c r="G4078">
        <v>0.61728895568827535</v>
      </c>
      <c r="H4078" t="s">
        <v>98</v>
      </c>
      <c r="I4078">
        <v>0</v>
      </c>
      <c r="J4078">
        <v>0</v>
      </c>
      <c r="K4078">
        <v>0</v>
      </c>
    </row>
    <row r="4079" spans="1:11" x14ac:dyDescent="0.2">
      <c r="A4079" t="s">
        <v>16</v>
      </c>
      <c r="B4079" t="s">
        <v>5779</v>
      </c>
      <c r="C4079">
        <v>300</v>
      </c>
      <c r="D4079" t="s">
        <v>8608</v>
      </c>
      <c r="E4079" t="s">
        <v>49</v>
      </c>
      <c r="F4079">
        <v>2</v>
      </c>
      <c r="G4079">
        <v>0.61728895568827535</v>
      </c>
      <c r="H4079" t="s">
        <v>99</v>
      </c>
      <c r="I4079">
        <v>0</v>
      </c>
      <c r="J4079">
        <v>0</v>
      </c>
      <c r="K4079">
        <v>0</v>
      </c>
    </row>
    <row r="4080" spans="1:11" x14ac:dyDescent="0.2">
      <c r="A4080" t="s">
        <v>16</v>
      </c>
      <c r="B4080" t="s">
        <v>5779</v>
      </c>
      <c r="C4080">
        <v>200</v>
      </c>
      <c r="D4080" t="s">
        <v>8598</v>
      </c>
      <c r="E4080" t="s">
        <v>49</v>
      </c>
      <c r="F4080">
        <v>2</v>
      </c>
      <c r="G4080">
        <v>0.41152597045885025</v>
      </c>
      <c r="H4080" t="s">
        <v>98</v>
      </c>
      <c r="I4080">
        <v>0</v>
      </c>
      <c r="J4080">
        <v>0</v>
      </c>
      <c r="K4080">
        <v>0</v>
      </c>
    </row>
    <row r="4081" spans="1:11" x14ac:dyDescent="0.2">
      <c r="A4081" t="s">
        <v>16</v>
      </c>
      <c r="B4081" t="s">
        <v>5898</v>
      </c>
      <c r="C4081">
        <v>75</v>
      </c>
      <c r="D4081" t="s">
        <v>8613</v>
      </c>
      <c r="E4081" t="s">
        <v>49</v>
      </c>
      <c r="F4081">
        <v>6</v>
      </c>
      <c r="G4081">
        <v>0.14423595495347266</v>
      </c>
      <c r="H4081" t="s">
        <v>101</v>
      </c>
      <c r="I4081">
        <v>0</v>
      </c>
      <c r="J4081">
        <v>0</v>
      </c>
      <c r="K4081">
        <v>0</v>
      </c>
    </row>
    <row r="4082" spans="1:11" x14ac:dyDescent="0.2">
      <c r="A4082" t="s">
        <v>16</v>
      </c>
      <c r="B4082" t="s">
        <v>5898</v>
      </c>
      <c r="C4082">
        <v>225</v>
      </c>
      <c r="D4082" t="s">
        <v>8616</v>
      </c>
      <c r="E4082" t="s">
        <v>49</v>
      </c>
      <c r="F4082">
        <v>6</v>
      </c>
      <c r="G4082">
        <v>0.43270786486041796</v>
      </c>
      <c r="H4082" t="s">
        <v>100</v>
      </c>
      <c r="I4082">
        <v>0</v>
      </c>
      <c r="J4082">
        <v>0</v>
      </c>
      <c r="K4082">
        <v>0</v>
      </c>
    </row>
    <row r="4083" spans="1:11" x14ac:dyDescent="0.2">
      <c r="A4083" t="s">
        <v>16</v>
      </c>
      <c r="B4083" t="s">
        <v>5898</v>
      </c>
      <c r="C4083">
        <v>150</v>
      </c>
      <c r="D4083" t="s">
        <v>8615</v>
      </c>
      <c r="E4083" t="s">
        <v>49</v>
      </c>
      <c r="F4083">
        <v>6</v>
      </c>
      <c r="G4083">
        <v>0.28847190990694532</v>
      </c>
      <c r="H4083" t="s">
        <v>90</v>
      </c>
      <c r="I4083">
        <v>0</v>
      </c>
      <c r="J4083">
        <v>0</v>
      </c>
      <c r="K4083">
        <v>0</v>
      </c>
    </row>
    <row r="4084" spans="1:11" x14ac:dyDescent="0.2">
      <c r="A4084" t="s">
        <v>16</v>
      </c>
      <c r="B4084" t="s">
        <v>5898</v>
      </c>
      <c r="C4084">
        <v>75</v>
      </c>
      <c r="D4084" t="s">
        <v>8614</v>
      </c>
      <c r="E4084" t="s">
        <v>49</v>
      </c>
      <c r="F4084">
        <v>6</v>
      </c>
      <c r="G4084">
        <v>0.14423595495347266</v>
      </c>
      <c r="H4084" t="s">
        <v>93</v>
      </c>
      <c r="I4084">
        <v>0</v>
      </c>
      <c r="J4084">
        <v>0</v>
      </c>
      <c r="K4084">
        <v>0</v>
      </c>
    </row>
    <row r="4085" spans="1:11" x14ac:dyDescent="0.2">
      <c r="A4085" t="s">
        <v>16</v>
      </c>
      <c r="B4085" t="s">
        <v>5898</v>
      </c>
      <c r="C4085">
        <v>225</v>
      </c>
      <c r="D4085" t="s">
        <v>8612</v>
      </c>
      <c r="E4085" t="s">
        <v>49</v>
      </c>
      <c r="F4085">
        <v>6</v>
      </c>
      <c r="G4085">
        <v>0.43270786486041796</v>
      </c>
      <c r="H4085" t="s">
        <v>96</v>
      </c>
      <c r="I4085">
        <v>0</v>
      </c>
      <c r="J4085">
        <v>0</v>
      </c>
      <c r="K4085">
        <v>0</v>
      </c>
    </row>
    <row r="4086" spans="1:11" x14ac:dyDescent="0.2">
      <c r="A4086" t="s">
        <v>16</v>
      </c>
      <c r="B4086" t="s">
        <v>5898</v>
      </c>
      <c r="C4086">
        <v>225</v>
      </c>
      <c r="D4086" t="s">
        <v>8617</v>
      </c>
      <c r="E4086" t="s">
        <v>49</v>
      </c>
      <c r="F4086">
        <v>6</v>
      </c>
      <c r="G4086">
        <v>0.43270786486041796</v>
      </c>
      <c r="H4086" t="s">
        <v>101</v>
      </c>
      <c r="I4086">
        <v>0</v>
      </c>
      <c r="J4086">
        <v>0</v>
      </c>
      <c r="K4086">
        <v>0</v>
      </c>
    </row>
    <row r="4087" spans="1:11" x14ac:dyDescent="0.2">
      <c r="A4087" t="s">
        <v>16</v>
      </c>
      <c r="B4087" t="s">
        <v>5890</v>
      </c>
      <c r="C4087">
        <v>660</v>
      </c>
      <c r="D4087" t="s">
        <v>8618</v>
      </c>
      <c r="E4087" t="s">
        <v>49</v>
      </c>
      <c r="F4087">
        <v>8</v>
      </c>
      <c r="G4087">
        <v>1.5616515067136936</v>
      </c>
      <c r="H4087" t="s">
        <v>87</v>
      </c>
      <c r="I4087">
        <v>0</v>
      </c>
      <c r="J4087">
        <v>0</v>
      </c>
      <c r="K4087">
        <v>0</v>
      </c>
    </row>
    <row r="4088" spans="1:11" x14ac:dyDescent="0.2">
      <c r="A4088" t="s">
        <v>16</v>
      </c>
      <c r="B4088" t="s">
        <v>5795</v>
      </c>
      <c r="C4088">
        <v>180</v>
      </c>
      <c r="D4088" t="s">
        <v>8619</v>
      </c>
      <c r="E4088" t="s">
        <v>49</v>
      </c>
      <c r="F4088">
        <v>5</v>
      </c>
      <c r="G4088">
        <v>0.41217303822937629</v>
      </c>
      <c r="H4088" t="s">
        <v>104</v>
      </c>
      <c r="I4088">
        <v>0</v>
      </c>
      <c r="J4088">
        <v>0</v>
      </c>
      <c r="K4088">
        <v>0</v>
      </c>
    </row>
    <row r="4089" spans="1:11" x14ac:dyDescent="0.2">
      <c r="A4089" t="s">
        <v>16</v>
      </c>
      <c r="B4089" t="s">
        <v>5965</v>
      </c>
      <c r="C4089">
        <v>300</v>
      </c>
      <c r="D4089" t="s">
        <v>8621</v>
      </c>
      <c r="E4089" t="s">
        <v>49</v>
      </c>
      <c r="F4089">
        <v>9</v>
      </c>
      <c r="G4089">
        <v>0.48906771255973308</v>
      </c>
      <c r="H4089" t="s">
        <v>88</v>
      </c>
      <c r="I4089">
        <v>0</v>
      </c>
      <c r="J4089">
        <v>0</v>
      </c>
      <c r="K4089">
        <v>0</v>
      </c>
    </row>
    <row r="4090" spans="1:11" x14ac:dyDescent="0.2">
      <c r="A4090" t="s">
        <v>16</v>
      </c>
      <c r="B4090" t="s">
        <v>5965</v>
      </c>
      <c r="C4090">
        <v>300</v>
      </c>
      <c r="D4090" t="s">
        <v>8623</v>
      </c>
      <c r="E4090" t="s">
        <v>49</v>
      </c>
      <c r="F4090">
        <v>9</v>
      </c>
      <c r="G4090">
        <v>0.48906771255973308</v>
      </c>
      <c r="H4090" t="s">
        <v>97</v>
      </c>
      <c r="I4090">
        <v>0</v>
      </c>
      <c r="J4090">
        <v>0</v>
      </c>
      <c r="K4090">
        <v>0</v>
      </c>
    </row>
    <row r="4091" spans="1:11" x14ac:dyDescent="0.2">
      <c r="A4091" t="s">
        <v>16</v>
      </c>
      <c r="B4091" t="s">
        <v>5965</v>
      </c>
      <c r="C4091">
        <v>300</v>
      </c>
      <c r="D4091" t="s">
        <v>8620</v>
      </c>
      <c r="E4091" t="s">
        <v>49</v>
      </c>
      <c r="F4091">
        <v>9</v>
      </c>
      <c r="G4091">
        <v>0.48906771255973308</v>
      </c>
      <c r="H4091" t="s">
        <v>91</v>
      </c>
      <c r="I4091">
        <v>0</v>
      </c>
      <c r="J4091">
        <v>0</v>
      </c>
      <c r="K4091">
        <v>0</v>
      </c>
    </row>
    <row r="4092" spans="1:11" x14ac:dyDescent="0.2">
      <c r="A4092" t="s">
        <v>16</v>
      </c>
      <c r="B4092" t="s">
        <v>5965</v>
      </c>
      <c r="C4092">
        <v>300</v>
      </c>
      <c r="D4092" t="s">
        <v>8622</v>
      </c>
      <c r="E4092" t="s">
        <v>49</v>
      </c>
      <c r="F4092">
        <v>9</v>
      </c>
      <c r="G4092">
        <v>0.48906771255973308</v>
      </c>
      <c r="H4092" t="s">
        <v>93</v>
      </c>
      <c r="I4092">
        <v>0</v>
      </c>
      <c r="J4092">
        <v>0</v>
      </c>
      <c r="K4092">
        <v>0</v>
      </c>
    </row>
    <row r="4093" spans="1:11" x14ac:dyDescent="0.2">
      <c r="A4093" t="s">
        <v>16</v>
      </c>
      <c r="B4093" t="s">
        <v>5958</v>
      </c>
      <c r="C4093">
        <v>300</v>
      </c>
      <c r="D4093" t="s">
        <v>8626</v>
      </c>
      <c r="E4093" t="s">
        <v>49</v>
      </c>
      <c r="F4093">
        <v>10</v>
      </c>
      <c r="G4093">
        <v>0.42965145859788195</v>
      </c>
      <c r="H4093" t="s">
        <v>84</v>
      </c>
      <c r="I4093">
        <v>0</v>
      </c>
      <c r="J4093">
        <v>0</v>
      </c>
      <c r="K4093">
        <v>0</v>
      </c>
    </row>
    <row r="4094" spans="1:11" x14ac:dyDescent="0.2">
      <c r="A4094" t="s">
        <v>16</v>
      </c>
      <c r="B4094" t="s">
        <v>5958</v>
      </c>
      <c r="C4094">
        <v>100</v>
      </c>
      <c r="D4094" t="s">
        <v>8628</v>
      </c>
      <c r="E4094" t="s">
        <v>49</v>
      </c>
      <c r="F4094">
        <v>10</v>
      </c>
      <c r="G4094">
        <v>0.14321715286596065</v>
      </c>
      <c r="H4094" t="s">
        <v>92</v>
      </c>
      <c r="I4094">
        <v>0</v>
      </c>
      <c r="J4094">
        <v>0</v>
      </c>
      <c r="K4094">
        <v>0</v>
      </c>
    </row>
    <row r="4095" spans="1:11" x14ac:dyDescent="0.2">
      <c r="A4095" t="s">
        <v>16</v>
      </c>
      <c r="B4095" t="s">
        <v>5958</v>
      </c>
      <c r="C4095">
        <v>300</v>
      </c>
      <c r="D4095" t="s">
        <v>8627</v>
      </c>
      <c r="E4095" t="s">
        <v>49</v>
      </c>
      <c r="F4095">
        <v>10</v>
      </c>
      <c r="G4095">
        <v>0.42965145859788195</v>
      </c>
      <c r="H4095" t="s">
        <v>90</v>
      </c>
      <c r="I4095">
        <v>0</v>
      </c>
      <c r="J4095">
        <v>0</v>
      </c>
      <c r="K4095">
        <v>0</v>
      </c>
    </row>
    <row r="4096" spans="1:11" x14ac:dyDescent="0.2">
      <c r="A4096" t="s">
        <v>16</v>
      </c>
      <c r="B4096" t="s">
        <v>5958</v>
      </c>
      <c r="C4096">
        <v>300</v>
      </c>
      <c r="D4096" t="s">
        <v>8624</v>
      </c>
      <c r="E4096" t="s">
        <v>49</v>
      </c>
      <c r="F4096">
        <v>10</v>
      </c>
      <c r="G4096">
        <v>0.42965145859788195</v>
      </c>
      <c r="H4096" t="s">
        <v>100</v>
      </c>
      <c r="I4096">
        <v>0</v>
      </c>
      <c r="J4096">
        <v>0</v>
      </c>
      <c r="K4096">
        <v>0</v>
      </c>
    </row>
    <row r="4097" spans="1:11" x14ac:dyDescent="0.2">
      <c r="A4097" t="s">
        <v>16</v>
      </c>
      <c r="B4097" t="s">
        <v>5958</v>
      </c>
      <c r="C4097">
        <v>300</v>
      </c>
      <c r="D4097" t="s">
        <v>8625</v>
      </c>
      <c r="E4097" t="s">
        <v>49</v>
      </c>
      <c r="F4097">
        <v>10</v>
      </c>
      <c r="G4097">
        <v>0.42965145859788195</v>
      </c>
      <c r="H4097" t="s">
        <v>92</v>
      </c>
      <c r="I4097">
        <v>0</v>
      </c>
      <c r="J4097">
        <v>0</v>
      </c>
      <c r="K4097">
        <v>0</v>
      </c>
    </row>
    <row r="4098" spans="1:11" x14ac:dyDescent="0.2">
      <c r="A4098" t="s">
        <v>16</v>
      </c>
      <c r="B4098" t="s">
        <v>5839</v>
      </c>
      <c r="C4098">
        <v>450</v>
      </c>
      <c r="D4098" t="s">
        <v>8640</v>
      </c>
      <c r="E4098" t="s">
        <v>49</v>
      </c>
      <c r="F4098">
        <v>4</v>
      </c>
      <c r="G4098">
        <v>0.23116333448537987</v>
      </c>
      <c r="H4098" t="s">
        <v>103</v>
      </c>
      <c r="I4098">
        <v>0</v>
      </c>
      <c r="J4098">
        <v>0</v>
      </c>
      <c r="K4098">
        <v>0</v>
      </c>
    </row>
    <row r="4099" spans="1:11" x14ac:dyDescent="0.2">
      <c r="A4099" t="s">
        <v>16</v>
      </c>
      <c r="B4099" t="s">
        <v>5839</v>
      </c>
      <c r="C4099">
        <v>450</v>
      </c>
      <c r="D4099" t="s">
        <v>8644</v>
      </c>
      <c r="E4099" t="s">
        <v>49</v>
      </c>
      <c r="F4099">
        <v>4</v>
      </c>
      <c r="G4099">
        <v>0.23116333448537987</v>
      </c>
      <c r="H4099" t="s">
        <v>96</v>
      </c>
      <c r="I4099">
        <v>0</v>
      </c>
      <c r="J4099">
        <v>0</v>
      </c>
      <c r="K4099">
        <v>0</v>
      </c>
    </row>
    <row r="4100" spans="1:11" x14ac:dyDescent="0.2">
      <c r="A4100" t="s">
        <v>16</v>
      </c>
      <c r="B4100" t="s">
        <v>5839</v>
      </c>
      <c r="C4100">
        <v>450</v>
      </c>
      <c r="D4100" t="s">
        <v>8641</v>
      </c>
      <c r="E4100" t="s">
        <v>49</v>
      </c>
      <c r="F4100">
        <v>4</v>
      </c>
      <c r="G4100">
        <v>0.23116333448537987</v>
      </c>
      <c r="H4100" t="s">
        <v>101</v>
      </c>
      <c r="I4100">
        <v>0</v>
      </c>
      <c r="J4100">
        <v>0</v>
      </c>
      <c r="K4100">
        <v>0</v>
      </c>
    </row>
    <row r="4101" spans="1:11" x14ac:dyDescent="0.2">
      <c r="A4101" t="s">
        <v>16</v>
      </c>
      <c r="B4101" t="s">
        <v>5839</v>
      </c>
      <c r="C4101">
        <v>450</v>
      </c>
      <c r="D4101" t="s">
        <v>8658</v>
      </c>
      <c r="E4101" t="s">
        <v>49</v>
      </c>
      <c r="F4101">
        <v>4</v>
      </c>
      <c r="G4101">
        <v>0.23116333448537987</v>
      </c>
      <c r="H4101" t="s">
        <v>104</v>
      </c>
      <c r="I4101">
        <v>0</v>
      </c>
      <c r="J4101">
        <v>0</v>
      </c>
      <c r="K4101">
        <v>0</v>
      </c>
    </row>
    <row r="4102" spans="1:11" x14ac:dyDescent="0.2">
      <c r="A4102" t="s">
        <v>16</v>
      </c>
      <c r="B4102" t="s">
        <v>5839</v>
      </c>
      <c r="C4102">
        <v>450</v>
      </c>
      <c r="D4102" t="s">
        <v>8652</v>
      </c>
      <c r="E4102" t="s">
        <v>49</v>
      </c>
      <c r="F4102">
        <v>4</v>
      </c>
      <c r="G4102">
        <v>0.23116333448537987</v>
      </c>
      <c r="H4102" t="s">
        <v>103</v>
      </c>
      <c r="I4102">
        <v>0</v>
      </c>
      <c r="J4102">
        <v>0</v>
      </c>
      <c r="K4102">
        <v>0</v>
      </c>
    </row>
    <row r="4103" spans="1:11" x14ac:dyDescent="0.2">
      <c r="A4103" t="s">
        <v>16</v>
      </c>
      <c r="B4103" t="s">
        <v>5839</v>
      </c>
      <c r="C4103">
        <v>450</v>
      </c>
      <c r="D4103" t="s">
        <v>8671</v>
      </c>
      <c r="E4103" t="s">
        <v>49</v>
      </c>
      <c r="F4103">
        <v>4</v>
      </c>
      <c r="G4103">
        <v>0.23116333448537987</v>
      </c>
      <c r="H4103" t="s">
        <v>96</v>
      </c>
      <c r="I4103">
        <v>0</v>
      </c>
      <c r="J4103">
        <v>0</v>
      </c>
      <c r="K4103">
        <v>0</v>
      </c>
    </row>
    <row r="4104" spans="1:11" x14ac:dyDescent="0.2">
      <c r="A4104" t="s">
        <v>16</v>
      </c>
      <c r="B4104" t="s">
        <v>5839</v>
      </c>
      <c r="C4104">
        <v>450</v>
      </c>
      <c r="D4104" t="s">
        <v>8668</v>
      </c>
      <c r="E4104" t="s">
        <v>49</v>
      </c>
      <c r="F4104">
        <v>4</v>
      </c>
      <c r="G4104">
        <v>0.23116333448537987</v>
      </c>
      <c r="H4104" t="s">
        <v>101</v>
      </c>
      <c r="I4104">
        <v>0</v>
      </c>
      <c r="J4104">
        <v>0</v>
      </c>
      <c r="K4104">
        <v>0</v>
      </c>
    </row>
    <row r="4105" spans="1:11" x14ac:dyDescent="0.2">
      <c r="A4105" t="s">
        <v>16</v>
      </c>
      <c r="B4105" t="s">
        <v>5839</v>
      </c>
      <c r="C4105">
        <v>450</v>
      </c>
      <c r="D4105" t="s">
        <v>8670</v>
      </c>
      <c r="E4105" t="s">
        <v>49</v>
      </c>
      <c r="F4105">
        <v>4</v>
      </c>
      <c r="G4105">
        <v>0.23116333448537987</v>
      </c>
      <c r="H4105" t="s">
        <v>104</v>
      </c>
      <c r="I4105">
        <v>0</v>
      </c>
      <c r="J4105">
        <v>0</v>
      </c>
      <c r="K4105">
        <v>0</v>
      </c>
    </row>
    <row r="4106" spans="1:11" x14ac:dyDescent="0.2">
      <c r="A4106" t="s">
        <v>16</v>
      </c>
      <c r="B4106" t="s">
        <v>5839</v>
      </c>
      <c r="C4106">
        <v>450</v>
      </c>
      <c r="D4106" t="s">
        <v>8650</v>
      </c>
      <c r="E4106" t="s">
        <v>49</v>
      </c>
      <c r="F4106">
        <v>4</v>
      </c>
      <c r="G4106">
        <v>0.23116333448537987</v>
      </c>
      <c r="H4106" t="s">
        <v>103</v>
      </c>
      <c r="I4106">
        <v>0</v>
      </c>
      <c r="J4106">
        <v>0</v>
      </c>
      <c r="K4106">
        <v>0</v>
      </c>
    </row>
    <row r="4107" spans="1:11" x14ac:dyDescent="0.2">
      <c r="A4107" t="s">
        <v>16</v>
      </c>
      <c r="B4107" t="s">
        <v>5839</v>
      </c>
      <c r="C4107">
        <v>450</v>
      </c>
      <c r="D4107" t="s">
        <v>8664</v>
      </c>
      <c r="E4107" t="s">
        <v>49</v>
      </c>
      <c r="F4107">
        <v>4</v>
      </c>
      <c r="G4107">
        <v>0.23116333448537987</v>
      </c>
      <c r="H4107" t="s">
        <v>96</v>
      </c>
      <c r="I4107">
        <v>0</v>
      </c>
      <c r="J4107">
        <v>0</v>
      </c>
      <c r="K4107">
        <v>0</v>
      </c>
    </row>
    <row r="4108" spans="1:11" x14ac:dyDescent="0.2">
      <c r="A4108" t="s">
        <v>16</v>
      </c>
      <c r="B4108" t="s">
        <v>5839</v>
      </c>
      <c r="C4108">
        <v>450</v>
      </c>
      <c r="D4108" t="s">
        <v>8632</v>
      </c>
      <c r="E4108" t="s">
        <v>49</v>
      </c>
      <c r="F4108">
        <v>4</v>
      </c>
      <c r="G4108">
        <v>0.23116333448537987</v>
      </c>
      <c r="H4108" t="s">
        <v>101</v>
      </c>
      <c r="I4108">
        <v>0</v>
      </c>
      <c r="J4108">
        <v>0</v>
      </c>
      <c r="K4108">
        <v>0</v>
      </c>
    </row>
    <row r="4109" spans="1:11" x14ac:dyDescent="0.2">
      <c r="A4109" t="s">
        <v>16</v>
      </c>
      <c r="B4109" t="s">
        <v>5839</v>
      </c>
      <c r="C4109">
        <v>450</v>
      </c>
      <c r="D4109" t="s">
        <v>8654</v>
      </c>
      <c r="E4109" t="s">
        <v>49</v>
      </c>
      <c r="F4109">
        <v>4</v>
      </c>
      <c r="G4109">
        <v>0.23116333448537987</v>
      </c>
      <c r="H4109" t="s">
        <v>104</v>
      </c>
      <c r="I4109">
        <v>0</v>
      </c>
      <c r="J4109">
        <v>0</v>
      </c>
      <c r="K4109">
        <v>0</v>
      </c>
    </row>
    <row r="4110" spans="1:11" x14ac:dyDescent="0.2">
      <c r="A4110" t="s">
        <v>16</v>
      </c>
      <c r="B4110" t="s">
        <v>5839</v>
      </c>
      <c r="C4110">
        <v>450</v>
      </c>
      <c r="D4110" t="s">
        <v>8677</v>
      </c>
      <c r="E4110" t="s">
        <v>49</v>
      </c>
      <c r="F4110">
        <v>4</v>
      </c>
      <c r="G4110">
        <v>0.23116333448537987</v>
      </c>
      <c r="H4110" t="s">
        <v>103</v>
      </c>
      <c r="I4110">
        <v>0</v>
      </c>
      <c r="J4110">
        <v>0</v>
      </c>
      <c r="K4110">
        <v>0</v>
      </c>
    </row>
    <row r="4111" spans="1:11" x14ac:dyDescent="0.2">
      <c r="A4111" t="s">
        <v>16</v>
      </c>
      <c r="B4111" t="s">
        <v>5839</v>
      </c>
      <c r="C4111">
        <v>450</v>
      </c>
      <c r="D4111" t="s">
        <v>8676</v>
      </c>
      <c r="E4111" t="s">
        <v>49</v>
      </c>
      <c r="F4111">
        <v>4</v>
      </c>
      <c r="G4111">
        <v>0.23116333448537987</v>
      </c>
      <c r="H4111" t="s">
        <v>96</v>
      </c>
      <c r="I4111">
        <v>0</v>
      </c>
      <c r="J4111">
        <v>0</v>
      </c>
      <c r="K4111">
        <v>0</v>
      </c>
    </row>
    <row r="4112" spans="1:11" x14ac:dyDescent="0.2">
      <c r="A4112" t="s">
        <v>16</v>
      </c>
      <c r="B4112" t="s">
        <v>5839</v>
      </c>
      <c r="C4112">
        <v>450</v>
      </c>
      <c r="D4112" t="s">
        <v>8662</v>
      </c>
      <c r="E4112" t="s">
        <v>49</v>
      </c>
      <c r="F4112">
        <v>4</v>
      </c>
      <c r="G4112">
        <v>0.23116333448537987</v>
      </c>
      <c r="H4112" t="s">
        <v>101</v>
      </c>
      <c r="I4112">
        <v>0</v>
      </c>
      <c r="J4112">
        <v>0</v>
      </c>
      <c r="K4112">
        <v>0</v>
      </c>
    </row>
    <row r="4113" spans="1:11" x14ac:dyDescent="0.2">
      <c r="A4113" t="s">
        <v>16</v>
      </c>
      <c r="B4113" t="s">
        <v>5839</v>
      </c>
      <c r="C4113">
        <v>450</v>
      </c>
      <c r="D4113" t="s">
        <v>8646</v>
      </c>
      <c r="E4113" t="s">
        <v>49</v>
      </c>
      <c r="F4113">
        <v>4</v>
      </c>
      <c r="G4113">
        <v>0.23116333448537987</v>
      </c>
      <c r="H4113" t="s">
        <v>104</v>
      </c>
      <c r="I4113">
        <v>0</v>
      </c>
      <c r="J4113">
        <v>0</v>
      </c>
      <c r="K4113">
        <v>0</v>
      </c>
    </row>
    <row r="4114" spans="1:11" x14ac:dyDescent="0.2">
      <c r="A4114" t="s">
        <v>16</v>
      </c>
      <c r="B4114" t="s">
        <v>5839</v>
      </c>
      <c r="C4114">
        <v>450</v>
      </c>
      <c r="D4114" t="s">
        <v>8642</v>
      </c>
      <c r="E4114" t="s">
        <v>49</v>
      </c>
      <c r="F4114">
        <v>4</v>
      </c>
      <c r="G4114">
        <v>0.23116333448537987</v>
      </c>
      <c r="H4114" t="s">
        <v>103</v>
      </c>
      <c r="I4114">
        <v>0</v>
      </c>
      <c r="J4114">
        <v>0</v>
      </c>
      <c r="K4114">
        <v>0</v>
      </c>
    </row>
    <row r="4115" spans="1:11" x14ac:dyDescent="0.2">
      <c r="A4115" t="s">
        <v>16</v>
      </c>
      <c r="B4115" t="s">
        <v>5839</v>
      </c>
      <c r="C4115">
        <v>450</v>
      </c>
      <c r="D4115" t="s">
        <v>8702</v>
      </c>
      <c r="E4115" t="s">
        <v>49</v>
      </c>
      <c r="F4115">
        <v>4</v>
      </c>
      <c r="G4115">
        <v>0.23116333448537987</v>
      </c>
      <c r="H4115" t="s">
        <v>96</v>
      </c>
      <c r="I4115">
        <v>0</v>
      </c>
      <c r="J4115">
        <v>0</v>
      </c>
      <c r="K4115">
        <v>0</v>
      </c>
    </row>
    <row r="4116" spans="1:11" x14ac:dyDescent="0.2">
      <c r="A4116" t="s">
        <v>16</v>
      </c>
      <c r="B4116" t="s">
        <v>5839</v>
      </c>
      <c r="C4116">
        <v>450</v>
      </c>
      <c r="D4116" t="s">
        <v>8653</v>
      </c>
      <c r="E4116" t="s">
        <v>49</v>
      </c>
      <c r="F4116">
        <v>4</v>
      </c>
      <c r="G4116">
        <v>0.23116333448537987</v>
      </c>
      <c r="H4116" t="s">
        <v>101</v>
      </c>
      <c r="I4116">
        <v>0</v>
      </c>
      <c r="J4116">
        <v>0</v>
      </c>
      <c r="K4116">
        <v>0</v>
      </c>
    </row>
    <row r="4117" spans="1:11" x14ac:dyDescent="0.2">
      <c r="A4117" t="s">
        <v>16</v>
      </c>
      <c r="B4117" t="s">
        <v>5839</v>
      </c>
      <c r="C4117">
        <v>450</v>
      </c>
      <c r="D4117" t="s">
        <v>8701</v>
      </c>
      <c r="E4117" t="s">
        <v>49</v>
      </c>
      <c r="F4117">
        <v>4</v>
      </c>
      <c r="G4117">
        <v>0.23116333448537987</v>
      </c>
      <c r="H4117" t="s">
        <v>104</v>
      </c>
      <c r="I4117">
        <v>0</v>
      </c>
      <c r="J4117">
        <v>0</v>
      </c>
      <c r="K4117">
        <v>0</v>
      </c>
    </row>
    <row r="4118" spans="1:11" x14ac:dyDescent="0.2">
      <c r="A4118" t="s">
        <v>16</v>
      </c>
      <c r="B4118" t="s">
        <v>5839</v>
      </c>
      <c r="C4118">
        <v>450</v>
      </c>
      <c r="D4118" t="s">
        <v>8659</v>
      </c>
      <c r="E4118" t="s">
        <v>49</v>
      </c>
      <c r="F4118">
        <v>4</v>
      </c>
      <c r="G4118">
        <v>0.23116333448537987</v>
      </c>
      <c r="H4118" t="s">
        <v>103</v>
      </c>
      <c r="I4118">
        <v>0</v>
      </c>
      <c r="J4118">
        <v>0</v>
      </c>
      <c r="K4118">
        <v>0</v>
      </c>
    </row>
    <row r="4119" spans="1:11" x14ac:dyDescent="0.2">
      <c r="A4119" t="s">
        <v>16</v>
      </c>
      <c r="B4119" t="s">
        <v>5839</v>
      </c>
      <c r="C4119">
        <v>450</v>
      </c>
      <c r="D4119" t="s">
        <v>8718</v>
      </c>
      <c r="E4119" t="s">
        <v>49</v>
      </c>
      <c r="F4119">
        <v>4</v>
      </c>
      <c r="G4119">
        <v>0.23116333448537987</v>
      </c>
      <c r="H4119" t="s">
        <v>96</v>
      </c>
      <c r="I4119">
        <v>0</v>
      </c>
      <c r="J4119">
        <v>0</v>
      </c>
      <c r="K4119">
        <v>0</v>
      </c>
    </row>
    <row r="4120" spans="1:11" x14ac:dyDescent="0.2">
      <c r="A4120" t="s">
        <v>16</v>
      </c>
      <c r="B4120" t="s">
        <v>5839</v>
      </c>
      <c r="C4120">
        <v>450</v>
      </c>
      <c r="D4120" t="s">
        <v>8680</v>
      </c>
      <c r="E4120" t="s">
        <v>49</v>
      </c>
      <c r="F4120">
        <v>4</v>
      </c>
      <c r="G4120">
        <v>0.23116333448537987</v>
      </c>
      <c r="H4120" t="s">
        <v>101</v>
      </c>
      <c r="I4120">
        <v>0</v>
      </c>
      <c r="J4120">
        <v>0</v>
      </c>
      <c r="K4120">
        <v>0</v>
      </c>
    </row>
    <row r="4121" spans="1:11" x14ac:dyDescent="0.2">
      <c r="A4121" t="s">
        <v>16</v>
      </c>
      <c r="B4121" t="s">
        <v>5839</v>
      </c>
      <c r="C4121">
        <v>450</v>
      </c>
      <c r="D4121" t="s">
        <v>8675</v>
      </c>
      <c r="E4121" t="s">
        <v>49</v>
      </c>
      <c r="F4121">
        <v>4</v>
      </c>
      <c r="G4121">
        <v>0.23116333448537987</v>
      </c>
      <c r="H4121" t="s">
        <v>104</v>
      </c>
      <c r="I4121">
        <v>0</v>
      </c>
      <c r="J4121">
        <v>0</v>
      </c>
      <c r="K4121">
        <v>0</v>
      </c>
    </row>
    <row r="4122" spans="1:11" x14ac:dyDescent="0.2">
      <c r="A4122" t="s">
        <v>16</v>
      </c>
      <c r="B4122" t="s">
        <v>5839</v>
      </c>
      <c r="C4122">
        <v>450</v>
      </c>
      <c r="D4122" t="s">
        <v>8635</v>
      </c>
      <c r="E4122" t="s">
        <v>49</v>
      </c>
      <c r="F4122">
        <v>4</v>
      </c>
      <c r="G4122">
        <v>0.23116333448537987</v>
      </c>
      <c r="H4122" t="s">
        <v>103</v>
      </c>
      <c r="I4122">
        <v>0</v>
      </c>
      <c r="J4122">
        <v>0</v>
      </c>
      <c r="K4122">
        <v>0</v>
      </c>
    </row>
    <row r="4123" spans="1:11" x14ac:dyDescent="0.2">
      <c r="A4123" t="s">
        <v>16</v>
      </c>
      <c r="B4123" t="s">
        <v>5839</v>
      </c>
      <c r="C4123">
        <v>450</v>
      </c>
      <c r="D4123" t="s">
        <v>8685</v>
      </c>
      <c r="E4123" t="s">
        <v>49</v>
      </c>
      <c r="F4123">
        <v>4</v>
      </c>
      <c r="G4123">
        <v>0.23116333448537987</v>
      </c>
      <c r="H4123" t="s">
        <v>96</v>
      </c>
      <c r="I4123">
        <v>0</v>
      </c>
      <c r="J4123">
        <v>0</v>
      </c>
      <c r="K4123">
        <v>0</v>
      </c>
    </row>
    <row r="4124" spans="1:11" x14ac:dyDescent="0.2">
      <c r="A4124" t="s">
        <v>16</v>
      </c>
      <c r="B4124" t="s">
        <v>5839</v>
      </c>
      <c r="C4124">
        <v>450</v>
      </c>
      <c r="D4124" t="s">
        <v>8648</v>
      </c>
      <c r="E4124" t="s">
        <v>49</v>
      </c>
      <c r="F4124">
        <v>4</v>
      </c>
      <c r="G4124">
        <v>0.23116333448537987</v>
      </c>
      <c r="H4124" t="s">
        <v>101</v>
      </c>
      <c r="I4124">
        <v>0</v>
      </c>
      <c r="J4124">
        <v>0</v>
      </c>
      <c r="K4124">
        <v>0</v>
      </c>
    </row>
    <row r="4125" spans="1:11" x14ac:dyDescent="0.2">
      <c r="A4125" t="s">
        <v>16</v>
      </c>
      <c r="B4125" t="s">
        <v>5839</v>
      </c>
      <c r="C4125">
        <v>450</v>
      </c>
      <c r="D4125" t="s">
        <v>8647</v>
      </c>
      <c r="E4125" t="s">
        <v>49</v>
      </c>
      <c r="F4125">
        <v>4</v>
      </c>
      <c r="G4125">
        <v>0.23116333448537987</v>
      </c>
      <c r="H4125" t="s">
        <v>104</v>
      </c>
      <c r="I4125">
        <v>0</v>
      </c>
      <c r="J4125">
        <v>0</v>
      </c>
      <c r="K4125">
        <v>0</v>
      </c>
    </row>
    <row r="4126" spans="1:11" x14ac:dyDescent="0.2">
      <c r="A4126" t="s">
        <v>16</v>
      </c>
      <c r="B4126" t="s">
        <v>5839</v>
      </c>
      <c r="C4126">
        <v>450</v>
      </c>
      <c r="D4126" t="s">
        <v>8673</v>
      </c>
      <c r="E4126" t="s">
        <v>49</v>
      </c>
      <c r="F4126">
        <v>4</v>
      </c>
      <c r="G4126">
        <v>0.23116333448537987</v>
      </c>
      <c r="H4126" t="s">
        <v>103</v>
      </c>
      <c r="I4126">
        <v>0</v>
      </c>
      <c r="J4126">
        <v>0</v>
      </c>
      <c r="K4126">
        <v>0</v>
      </c>
    </row>
    <row r="4127" spans="1:11" x14ac:dyDescent="0.2">
      <c r="A4127" t="s">
        <v>16</v>
      </c>
      <c r="B4127" t="s">
        <v>5839</v>
      </c>
      <c r="C4127">
        <v>450</v>
      </c>
      <c r="D4127" t="s">
        <v>8686</v>
      </c>
      <c r="E4127" t="s">
        <v>49</v>
      </c>
      <c r="F4127">
        <v>4</v>
      </c>
      <c r="G4127">
        <v>0.23116333448537987</v>
      </c>
      <c r="H4127" t="s">
        <v>103</v>
      </c>
      <c r="I4127">
        <v>0</v>
      </c>
      <c r="J4127">
        <v>0</v>
      </c>
      <c r="K4127">
        <v>0</v>
      </c>
    </row>
    <row r="4128" spans="1:11" x14ac:dyDescent="0.2">
      <c r="A4128" t="s">
        <v>16</v>
      </c>
      <c r="B4128" t="s">
        <v>5839</v>
      </c>
      <c r="C4128">
        <v>450</v>
      </c>
      <c r="D4128" t="s">
        <v>8678</v>
      </c>
      <c r="E4128" t="s">
        <v>49</v>
      </c>
      <c r="F4128">
        <v>4</v>
      </c>
      <c r="G4128">
        <v>0.23116333448537987</v>
      </c>
      <c r="H4128" t="s">
        <v>96</v>
      </c>
      <c r="I4128">
        <v>0</v>
      </c>
      <c r="J4128">
        <v>0</v>
      </c>
      <c r="K4128">
        <v>0</v>
      </c>
    </row>
    <row r="4129" spans="1:11" x14ac:dyDescent="0.2">
      <c r="A4129" t="s">
        <v>16</v>
      </c>
      <c r="B4129" t="s">
        <v>5839</v>
      </c>
      <c r="C4129">
        <v>450</v>
      </c>
      <c r="D4129" t="s">
        <v>8657</v>
      </c>
      <c r="E4129" t="s">
        <v>49</v>
      </c>
      <c r="F4129">
        <v>4</v>
      </c>
      <c r="G4129">
        <v>0.23116333448537987</v>
      </c>
      <c r="H4129" t="s">
        <v>101</v>
      </c>
      <c r="I4129">
        <v>0</v>
      </c>
      <c r="J4129">
        <v>0</v>
      </c>
      <c r="K4129">
        <v>0</v>
      </c>
    </row>
    <row r="4130" spans="1:11" x14ac:dyDescent="0.2">
      <c r="A4130" t="s">
        <v>16</v>
      </c>
      <c r="B4130" t="s">
        <v>5839</v>
      </c>
      <c r="C4130">
        <v>450</v>
      </c>
      <c r="D4130" t="s">
        <v>8630</v>
      </c>
      <c r="E4130" t="s">
        <v>49</v>
      </c>
      <c r="F4130">
        <v>4</v>
      </c>
      <c r="G4130">
        <v>0.23116333448537987</v>
      </c>
      <c r="H4130" t="s">
        <v>104</v>
      </c>
      <c r="I4130">
        <v>0</v>
      </c>
      <c r="J4130">
        <v>0</v>
      </c>
      <c r="K4130">
        <v>0</v>
      </c>
    </row>
    <row r="4131" spans="1:11" x14ac:dyDescent="0.2">
      <c r="A4131" t="s">
        <v>16</v>
      </c>
      <c r="B4131" t="s">
        <v>5839</v>
      </c>
      <c r="C4131">
        <v>450</v>
      </c>
      <c r="D4131" t="s">
        <v>8631</v>
      </c>
      <c r="E4131" t="s">
        <v>49</v>
      </c>
      <c r="F4131">
        <v>4</v>
      </c>
      <c r="G4131">
        <v>0.23116333448537987</v>
      </c>
      <c r="H4131" t="s">
        <v>103</v>
      </c>
      <c r="I4131">
        <v>0</v>
      </c>
      <c r="J4131">
        <v>0</v>
      </c>
      <c r="K4131">
        <v>0</v>
      </c>
    </row>
    <row r="4132" spans="1:11" x14ac:dyDescent="0.2">
      <c r="A4132" t="s">
        <v>16</v>
      </c>
      <c r="B4132" t="s">
        <v>5839</v>
      </c>
      <c r="C4132">
        <v>450</v>
      </c>
      <c r="D4132" t="s">
        <v>8656</v>
      </c>
      <c r="E4132" t="s">
        <v>49</v>
      </c>
      <c r="F4132">
        <v>4</v>
      </c>
      <c r="G4132">
        <v>0.23116333448537987</v>
      </c>
      <c r="H4132" t="s">
        <v>96</v>
      </c>
      <c r="I4132">
        <v>0</v>
      </c>
      <c r="J4132">
        <v>0</v>
      </c>
      <c r="K4132">
        <v>0</v>
      </c>
    </row>
    <row r="4133" spans="1:11" x14ac:dyDescent="0.2">
      <c r="A4133" t="s">
        <v>16</v>
      </c>
      <c r="B4133" t="s">
        <v>5839</v>
      </c>
      <c r="C4133">
        <v>450</v>
      </c>
      <c r="D4133" t="s">
        <v>8695</v>
      </c>
      <c r="E4133" t="s">
        <v>49</v>
      </c>
      <c r="F4133">
        <v>4</v>
      </c>
      <c r="G4133">
        <v>0.23116333448537987</v>
      </c>
      <c r="H4133" t="s">
        <v>101</v>
      </c>
      <c r="I4133">
        <v>0</v>
      </c>
      <c r="J4133">
        <v>0</v>
      </c>
      <c r="K4133">
        <v>0</v>
      </c>
    </row>
    <row r="4134" spans="1:11" x14ac:dyDescent="0.2">
      <c r="A4134" t="s">
        <v>16</v>
      </c>
      <c r="B4134" t="s">
        <v>5839</v>
      </c>
      <c r="C4134">
        <v>450</v>
      </c>
      <c r="D4134" t="s">
        <v>8633</v>
      </c>
      <c r="E4134" t="s">
        <v>49</v>
      </c>
      <c r="F4134">
        <v>4</v>
      </c>
      <c r="G4134">
        <v>0.23116333448537987</v>
      </c>
      <c r="H4134" t="s">
        <v>104</v>
      </c>
      <c r="I4134">
        <v>0</v>
      </c>
      <c r="J4134">
        <v>0</v>
      </c>
      <c r="K4134">
        <v>0</v>
      </c>
    </row>
    <row r="4135" spans="1:11" x14ac:dyDescent="0.2">
      <c r="A4135" t="s">
        <v>16</v>
      </c>
      <c r="B4135" t="s">
        <v>5839</v>
      </c>
      <c r="C4135">
        <v>450</v>
      </c>
      <c r="D4135" t="s">
        <v>8663</v>
      </c>
      <c r="E4135" t="s">
        <v>49</v>
      </c>
      <c r="F4135">
        <v>4</v>
      </c>
      <c r="G4135">
        <v>0.23116333448537987</v>
      </c>
      <c r="H4135" t="s">
        <v>103</v>
      </c>
      <c r="I4135">
        <v>0</v>
      </c>
      <c r="J4135">
        <v>0</v>
      </c>
      <c r="K4135">
        <v>0</v>
      </c>
    </row>
    <row r="4136" spans="1:11" x14ac:dyDescent="0.2">
      <c r="A4136" t="s">
        <v>16</v>
      </c>
      <c r="B4136" t="s">
        <v>5839</v>
      </c>
      <c r="C4136">
        <v>450</v>
      </c>
      <c r="D4136" t="s">
        <v>8634</v>
      </c>
      <c r="E4136" t="s">
        <v>49</v>
      </c>
      <c r="F4136">
        <v>4</v>
      </c>
      <c r="G4136">
        <v>0.23116333448537987</v>
      </c>
      <c r="H4136" t="s">
        <v>96</v>
      </c>
      <c r="I4136">
        <v>0</v>
      </c>
      <c r="J4136">
        <v>0</v>
      </c>
      <c r="K4136">
        <v>0</v>
      </c>
    </row>
    <row r="4137" spans="1:11" x14ac:dyDescent="0.2">
      <c r="A4137" t="s">
        <v>16</v>
      </c>
      <c r="B4137" t="s">
        <v>5839</v>
      </c>
      <c r="C4137">
        <v>450</v>
      </c>
      <c r="D4137" t="s">
        <v>8637</v>
      </c>
      <c r="E4137" t="s">
        <v>49</v>
      </c>
      <c r="F4137">
        <v>4</v>
      </c>
      <c r="G4137">
        <v>0.23116333448537987</v>
      </c>
      <c r="H4137" t="s">
        <v>101</v>
      </c>
      <c r="I4137">
        <v>0</v>
      </c>
      <c r="J4137">
        <v>0</v>
      </c>
      <c r="K4137">
        <v>0</v>
      </c>
    </row>
    <row r="4138" spans="1:11" x14ac:dyDescent="0.2">
      <c r="A4138" t="s">
        <v>16</v>
      </c>
      <c r="B4138" t="s">
        <v>5839</v>
      </c>
      <c r="C4138">
        <v>450</v>
      </c>
      <c r="D4138" t="s">
        <v>8639</v>
      </c>
      <c r="E4138" t="s">
        <v>49</v>
      </c>
      <c r="F4138">
        <v>4</v>
      </c>
      <c r="G4138">
        <v>0.23116333448537987</v>
      </c>
      <c r="H4138" t="s">
        <v>104</v>
      </c>
      <c r="I4138">
        <v>0</v>
      </c>
      <c r="J4138">
        <v>0</v>
      </c>
      <c r="K4138">
        <v>0</v>
      </c>
    </row>
    <row r="4139" spans="1:11" x14ac:dyDescent="0.2">
      <c r="A4139" t="s">
        <v>16</v>
      </c>
      <c r="B4139" t="s">
        <v>5839</v>
      </c>
      <c r="C4139">
        <v>450</v>
      </c>
      <c r="D4139" t="s">
        <v>8693</v>
      </c>
      <c r="E4139" t="s">
        <v>49</v>
      </c>
      <c r="F4139">
        <v>4</v>
      </c>
      <c r="G4139">
        <v>0.23116333448537987</v>
      </c>
      <c r="H4139" t="s">
        <v>103</v>
      </c>
      <c r="I4139">
        <v>0</v>
      </c>
      <c r="J4139">
        <v>0</v>
      </c>
      <c r="K4139">
        <v>0</v>
      </c>
    </row>
    <row r="4140" spans="1:11" x14ac:dyDescent="0.2">
      <c r="A4140" t="s">
        <v>16</v>
      </c>
      <c r="B4140" t="s">
        <v>5839</v>
      </c>
      <c r="C4140">
        <v>450</v>
      </c>
      <c r="D4140" t="s">
        <v>8689</v>
      </c>
      <c r="E4140" t="s">
        <v>49</v>
      </c>
      <c r="F4140">
        <v>4</v>
      </c>
      <c r="G4140">
        <v>0.23116333448537987</v>
      </c>
      <c r="H4140" t="s">
        <v>96</v>
      </c>
      <c r="I4140">
        <v>0</v>
      </c>
      <c r="J4140">
        <v>0</v>
      </c>
      <c r="K4140">
        <v>0</v>
      </c>
    </row>
    <row r="4141" spans="1:11" x14ac:dyDescent="0.2">
      <c r="A4141" t="s">
        <v>16</v>
      </c>
      <c r="B4141" t="s">
        <v>5839</v>
      </c>
      <c r="C4141">
        <v>300</v>
      </c>
      <c r="D4141" t="s">
        <v>8688</v>
      </c>
      <c r="E4141" t="s">
        <v>49</v>
      </c>
      <c r="F4141">
        <v>4</v>
      </c>
      <c r="G4141">
        <v>0.15410888965691991</v>
      </c>
      <c r="H4141" t="s">
        <v>96</v>
      </c>
      <c r="I4141">
        <v>0</v>
      </c>
      <c r="J4141">
        <v>0</v>
      </c>
      <c r="K4141">
        <v>0</v>
      </c>
    </row>
    <row r="4142" spans="1:11" x14ac:dyDescent="0.2">
      <c r="A4142" t="s">
        <v>16</v>
      </c>
      <c r="B4142" t="s">
        <v>5839</v>
      </c>
      <c r="C4142">
        <v>450</v>
      </c>
      <c r="D4142" t="s">
        <v>8638</v>
      </c>
      <c r="E4142" t="s">
        <v>49</v>
      </c>
      <c r="F4142">
        <v>4</v>
      </c>
      <c r="G4142">
        <v>0.23116333448537987</v>
      </c>
      <c r="H4142" t="s">
        <v>101</v>
      </c>
      <c r="I4142">
        <v>0</v>
      </c>
      <c r="J4142">
        <v>0</v>
      </c>
      <c r="K4142">
        <v>0</v>
      </c>
    </row>
    <row r="4143" spans="1:11" x14ac:dyDescent="0.2">
      <c r="A4143" t="s">
        <v>16</v>
      </c>
      <c r="B4143" t="s">
        <v>5839</v>
      </c>
      <c r="C4143">
        <v>450</v>
      </c>
      <c r="D4143" t="s">
        <v>8705</v>
      </c>
      <c r="E4143" t="s">
        <v>49</v>
      </c>
      <c r="F4143">
        <v>4</v>
      </c>
      <c r="G4143">
        <v>0.23116333448537987</v>
      </c>
      <c r="H4143" t="s">
        <v>104</v>
      </c>
      <c r="I4143">
        <v>0</v>
      </c>
      <c r="J4143">
        <v>0</v>
      </c>
      <c r="K4143">
        <v>0</v>
      </c>
    </row>
    <row r="4144" spans="1:11" x14ac:dyDescent="0.2">
      <c r="A4144" t="s">
        <v>16</v>
      </c>
      <c r="B4144" t="s">
        <v>5839</v>
      </c>
      <c r="C4144">
        <v>300</v>
      </c>
      <c r="D4144" t="s">
        <v>8655</v>
      </c>
      <c r="E4144" t="s">
        <v>49</v>
      </c>
      <c r="F4144">
        <v>4</v>
      </c>
      <c r="G4144">
        <v>0.15410888965691991</v>
      </c>
      <c r="H4144" t="s">
        <v>101</v>
      </c>
      <c r="I4144">
        <v>0</v>
      </c>
      <c r="J4144">
        <v>0</v>
      </c>
      <c r="K4144">
        <v>0</v>
      </c>
    </row>
    <row r="4145" spans="1:11" x14ac:dyDescent="0.2">
      <c r="A4145" t="s">
        <v>16</v>
      </c>
      <c r="B4145" t="s">
        <v>5839</v>
      </c>
      <c r="C4145">
        <v>450</v>
      </c>
      <c r="D4145" t="s">
        <v>8697</v>
      </c>
      <c r="E4145" t="s">
        <v>49</v>
      </c>
      <c r="F4145">
        <v>4</v>
      </c>
      <c r="G4145">
        <v>0.23116333448537987</v>
      </c>
      <c r="H4145" t="s">
        <v>103</v>
      </c>
      <c r="I4145">
        <v>0</v>
      </c>
      <c r="J4145">
        <v>0</v>
      </c>
      <c r="K4145">
        <v>0</v>
      </c>
    </row>
    <row r="4146" spans="1:11" x14ac:dyDescent="0.2">
      <c r="A4146" t="s">
        <v>16</v>
      </c>
      <c r="B4146" t="s">
        <v>5839</v>
      </c>
      <c r="C4146">
        <v>450</v>
      </c>
      <c r="D4146" t="s">
        <v>8706</v>
      </c>
      <c r="E4146" t="s">
        <v>49</v>
      </c>
      <c r="F4146">
        <v>4</v>
      </c>
      <c r="G4146">
        <v>0.23116333448537987</v>
      </c>
      <c r="H4146" t="s">
        <v>96</v>
      </c>
      <c r="I4146">
        <v>0</v>
      </c>
      <c r="J4146">
        <v>0</v>
      </c>
      <c r="K4146">
        <v>0</v>
      </c>
    </row>
    <row r="4147" spans="1:11" x14ac:dyDescent="0.2">
      <c r="A4147" t="s">
        <v>16</v>
      </c>
      <c r="B4147" t="s">
        <v>5839</v>
      </c>
      <c r="C4147">
        <v>450</v>
      </c>
      <c r="D4147" t="s">
        <v>8720</v>
      </c>
      <c r="E4147" t="s">
        <v>49</v>
      </c>
      <c r="F4147">
        <v>4</v>
      </c>
      <c r="G4147">
        <v>0.23116333448537987</v>
      </c>
      <c r="H4147" t="s">
        <v>101</v>
      </c>
      <c r="I4147">
        <v>0</v>
      </c>
      <c r="J4147">
        <v>0</v>
      </c>
      <c r="K4147">
        <v>0</v>
      </c>
    </row>
    <row r="4148" spans="1:11" x14ac:dyDescent="0.2">
      <c r="A4148" t="s">
        <v>16</v>
      </c>
      <c r="B4148" t="s">
        <v>5839</v>
      </c>
      <c r="C4148">
        <v>450</v>
      </c>
      <c r="D4148" t="s">
        <v>8721</v>
      </c>
      <c r="E4148" t="s">
        <v>49</v>
      </c>
      <c r="F4148">
        <v>4</v>
      </c>
      <c r="G4148">
        <v>0.23116333448537987</v>
      </c>
      <c r="H4148" t="s">
        <v>104</v>
      </c>
      <c r="I4148">
        <v>0</v>
      </c>
      <c r="J4148">
        <v>0</v>
      </c>
      <c r="K4148">
        <v>0</v>
      </c>
    </row>
    <row r="4149" spans="1:11" x14ac:dyDescent="0.2">
      <c r="A4149" t="s">
        <v>16</v>
      </c>
      <c r="B4149" t="s">
        <v>5839</v>
      </c>
      <c r="C4149">
        <v>450</v>
      </c>
      <c r="D4149" t="s">
        <v>8649</v>
      </c>
      <c r="E4149" t="s">
        <v>49</v>
      </c>
      <c r="F4149">
        <v>4</v>
      </c>
      <c r="G4149">
        <v>0.23116333448537987</v>
      </c>
      <c r="H4149" t="s">
        <v>103</v>
      </c>
      <c r="I4149">
        <v>0</v>
      </c>
      <c r="J4149">
        <v>0</v>
      </c>
      <c r="K4149">
        <v>0</v>
      </c>
    </row>
    <row r="4150" spans="1:11" x14ac:dyDescent="0.2">
      <c r="A4150" t="s">
        <v>16</v>
      </c>
      <c r="B4150" t="s">
        <v>5839</v>
      </c>
      <c r="C4150">
        <v>450</v>
      </c>
      <c r="D4150" t="s">
        <v>8716</v>
      </c>
      <c r="E4150" t="s">
        <v>49</v>
      </c>
      <c r="F4150">
        <v>4</v>
      </c>
      <c r="G4150">
        <v>0.23116333448537987</v>
      </c>
      <c r="H4150" t="s">
        <v>96</v>
      </c>
      <c r="I4150">
        <v>0</v>
      </c>
      <c r="J4150">
        <v>0</v>
      </c>
      <c r="K4150">
        <v>0</v>
      </c>
    </row>
    <row r="4151" spans="1:11" x14ac:dyDescent="0.2">
      <c r="A4151" t="s">
        <v>16</v>
      </c>
      <c r="B4151" t="s">
        <v>5839</v>
      </c>
      <c r="C4151">
        <v>450</v>
      </c>
      <c r="D4151" t="s">
        <v>8723</v>
      </c>
      <c r="E4151" t="s">
        <v>49</v>
      </c>
      <c r="F4151">
        <v>4</v>
      </c>
      <c r="G4151">
        <v>0.23116333448537987</v>
      </c>
      <c r="H4151" t="s">
        <v>101</v>
      </c>
      <c r="I4151">
        <v>0</v>
      </c>
      <c r="J4151">
        <v>0</v>
      </c>
      <c r="K4151">
        <v>0</v>
      </c>
    </row>
    <row r="4152" spans="1:11" x14ac:dyDescent="0.2">
      <c r="A4152" t="s">
        <v>16</v>
      </c>
      <c r="B4152" t="s">
        <v>5839</v>
      </c>
      <c r="C4152">
        <v>450</v>
      </c>
      <c r="D4152" t="s">
        <v>8708</v>
      </c>
      <c r="E4152" t="s">
        <v>49</v>
      </c>
      <c r="F4152">
        <v>4</v>
      </c>
      <c r="G4152">
        <v>0.23116333448537987</v>
      </c>
      <c r="H4152" t="s">
        <v>104</v>
      </c>
      <c r="I4152">
        <v>0</v>
      </c>
      <c r="J4152">
        <v>0</v>
      </c>
      <c r="K4152">
        <v>0</v>
      </c>
    </row>
    <row r="4153" spans="1:11" x14ac:dyDescent="0.2">
      <c r="A4153" t="s">
        <v>16</v>
      </c>
      <c r="B4153" t="s">
        <v>5839</v>
      </c>
      <c r="C4153">
        <v>450</v>
      </c>
      <c r="D4153" t="s">
        <v>8704</v>
      </c>
      <c r="E4153" t="s">
        <v>49</v>
      </c>
      <c r="F4153">
        <v>4</v>
      </c>
      <c r="G4153">
        <v>0.23116333448537987</v>
      </c>
      <c r="H4153" t="s">
        <v>103</v>
      </c>
      <c r="I4153">
        <v>0</v>
      </c>
      <c r="J4153">
        <v>0</v>
      </c>
      <c r="K4153">
        <v>0</v>
      </c>
    </row>
    <row r="4154" spans="1:11" x14ac:dyDescent="0.2">
      <c r="A4154" t="s">
        <v>16</v>
      </c>
      <c r="B4154" t="s">
        <v>5839</v>
      </c>
      <c r="C4154">
        <v>450</v>
      </c>
      <c r="D4154" t="s">
        <v>8681</v>
      </c>
      <c r="E4154" t="s">
        <v>49</v>
      </c>
      <c r="F4154">
        <v>4</v>
      </c>
      <c r="G4154">
        <v>0.23116333448537987</v>
      </c>
      <c r="H4154" t="s">
        <v>96</v>
      </c>
      <c r="I4154">
        <v>0</v>
      </c>
      <c r="J4154">
        <v>0</v>
      </c>
      <c r="K4154">
        <v>0</v>
      </c>
    </row>
    <row r="4155" spans="1:11" x14ac:dyDescent="0.2">
      <c r="A4155" t="s">
        <v>16</v>
      </c>
      <c r="B4155" t="s">
        <v>5839</v>
      </c>
      <c r="C4155">
        <v>450</v>
      </c>
      <c r="D4155" t="s">
        <v>8672</v>
      </c>
      <c r="E4155" t="s">
        <v>49</v>
      </c>
      <c r="F4155">
        <v>4</v>
      </c>
      <c r="G4155">
        <v>0.23116333448537987</v>
      </c>
      <c r="H4155" t="s">
        <v>101</v>
      </c>
      <c r="I4155">
        <v>0</v>
      </c>
      <c r="J4155">
        <v>0</v>
      </c>
      <c r="K4155">
        <v>0</v>
      </c>
    </row>
    <row r="4156" spans="1:11" x14ac:dyDescent="0.2">
      <c r="A4156" t="s">
        <v>16</v>
      </c>
      <c r="B4156" t="s">
        <v>5839</v>
      </c>
      <c r="C4156">
        <v>450</v>
      </c>
      <c r="D4156" t="s">
        <v>8682</v>
      </c>
      <c r="E4156" t="s">
        <v>49</v>
      </c>
      <c r="F4156">
        <v>4</v>
      </c>
      <c r="G4156">
        <v>0.23116333448537987</v>
      </c>
      <c r="H4156" t="s">
        <v>104</v>
      </c>
      <c r="I4156">
        <v>0</v>
      </c>
      <c r="J4156">
        <v>0</v>
      </c>
      <c r="K4156">
        <v>0</v>
      </c>
    </row>
    <row r="4157" spans="1:11" x14ac:dyDescent="0.2">
      <c r="A4157" t="s">
        <v>16</v>
      </c>
      <c r="B4157" t="s">
        <v>5839</v>
      </c>
      <c r="C4157">
        <v>450</v>
      </c>
      <c r="D4157" t="s">
        <v>8728</v>
      </c>
      <c r="E4157" t="s">
        <v>49</v>
      </c>
      <c r="F4157">
        <v>4</v>
      </c>
      <c r="G4157">
        <v>0.23116333448537987</v>
      </c>
      <c r="H4157" t="s">
        <v>103</v>
      </c>
      <c r="I4157">
        <v>0</v>
      </c>
      <c r="J4157">
        <v>0</v>
      </c>
      <c r="K4157">
        <v>0</v>
      </c>
    </row>
    <row r="4158" spans="1:11" x14ac:dyDescent="0.2">
      <c r="A4158" t="s">
        <v>16</v>
      </c>
      <c r="B4158" t="s">
        <v>5839</v>
      </c>
      <c r="C4158">
        <v>450</v>
      </c>
      <c r="D4158" t="s">
        <v>8629</v>
      </c>
      <c r="E4158" t="s">
        <v>49</v>
      </c>
      <c r="F4158">
        <v>4</v>
      </c>
      <c r="G4158">
        <v>0.23116333448537987</v>
      </c>
      <c r="H4158" t="s">
        <v>96</v>
      </c>
      <c r="I4158">
        <v>0</v>
      </c>
      <c r="J4158">
        <v>0</v>
      </c>
      <c r="K4158">
        <v>0</v>
      </c>
    </row>
    <row r="4159" spans="1:11" x14ac:dyDescent="0.2">
      <c r="A4159" t="s">
        <v>16</v>
      </c>
      <c r="B4159" t="s">
        <v>5839</v>
      </c>
      <c r="C4159">
        <v>450</v>
      </c>
      <c r="D4159" t="s">
        <v>8726</v>
      </c>
      <c r="E4159" t="s">
        <v>49</v>
      </c>
      <c r="F4159">
        <v>4</v>
      </c>
      <c r="G4159">
        <v>0.23116333448537987</v>
      </c>
      <c r="H4159" t="s">
        <v>101</v>
      </c>
      <c r="I4159">
        <v>0</v>
      </c>
      <c r="J4159">
        <v>0</v>
      </c>
      <c r="K4159">
        <v>0</v>
      </c>
    </row>
    <row r="4160" spans="1:11" x14ac:dyDescent="0.2">
      <c r="A4160" t="s">
        <v>16</v>
      </c>
      <c r="B4160" t="s">
        <v>5839</v>
      </c>
      <c r="C4160">
        <v>450</v>
      </c>
      <c r="D4160" t="s">
        <v>8727</v>
      </c>
      <c r="E4160" t="s">
        <v>49</v>
      </c>
      <c r="F4160">
        <v>4</v>
      </c>
      <c r="G4160">
        <v>0.23116333448537987</v>
      </c>
      <c r="H4160" t="s">
        <v>104</v>
      </c>
      <c r="I4160">
        <v>0</v>
      </c>
      <c r="J4160">
        <v>0</v>
      </c>
      <c r="K4160">
        <v>0</v>
      </c>
    </row>
    <row r="4161" spans="1:11" x14ac:dyDescent="0.2">
      <c r="A4161" t="s">
        <v>16</v>
      </c>
      <c r="B4161" t="s">
        <v>5839</v>
      </c>
      <c r="C4161">
        <v>450</v>
      </c>
      <c r="D4161" t="s">
        <v>8703</v>
      </c>
      <c r="E4161" t="s">
        <v>49</v>
      </c>
      <c r="F4161">
        <v>4</v>
      </c>
      <c r="G4161">
        <v>0.23116333448537987</v>
      </c>
      <c r="H4161" t="s">
        <v>103</v>
      </c>
      <c r="I4161">
        <v>0</v>
      </c>
      <c r="J4161">
        <v>0</v>
      </c>
      <c r="K4161">
        <v>0</v>
      </c>
    </row>
    <row r="4162" spans="1:11" x14ac:dyDescent="0.2">
      <c r="A4162" t="s">
        <v>16</v>
      </c>
      <c r="B4162" t="s">
        <v>5839</v>
      </c>
      <c r="C4162">
        <v>450</v>
      </c>
      <c r="D4162" t="s">
        <v>8679</v>
      </c>
      <c r="E4162" t="s">
        <v>49</v>
      </c>
      <c r="F4162">
        <v>4</v>
      </c>
      <c r="G4162">
        <v>0.23116333448537987</v>
      </c>
      <c r="H4162" t="s">
        <v>96</v>
      </c>
      <c r="I4162">
        <v>0</v>
      </c>
      <c r="J4162">
        <v>0</v>
      </c>
      <c r="K4162">
        <v>0</v>
      </c>
    </row>
    <row r="4163" spans="1:11" x14ac:dyDescent="0.2">
      <c r="A4163" t="s">
        <v>16</v>
      </c>
      <c r="B4163" t="s">
        <v>5839</v>
      </c>
      <c r="C4163">
        <v>450</v>
      </c>
      <c r="D4163" t="s">
        <v>8643</v>
      </c>
      <c r="E4163" t="s">
        <v>49</v>
      </c>
      <c r="F4163">
        <v>4</v>
      </c>
      <c r="G4163">
        <v>0.23116333448537987</v>
      </c>
      <c r="H4163" t="s">
        <v>101</v>
      </c>
      <c r="I4163">
        <v>0</v>
      </c>
      <c r="J4163">
        <v>0</v>
      </c>
      <c r="K4163">
        <v>0</v>
      </c>
    </row>
    <row r="4164" spans="1:11" x14ac:dyDescent="0.2">
      <c r="A4164" t="s">
        <v>16</v>
      </c>
      <c r="B4164" t="s">
        <v>5839</v>
      </c>
      <c r="C4164">
        <v>450</v>
      </c>
      <c r="D4164" t="s">
        <v>8683</v>
      </c>
      <c r="E4164" t="s">
        <v>49</v>
      </c>
      <c r="F4164">
        <v>4</v>
      </c>
      <c r="G4164">
        <v>0.23116333448537987</v>
      </c>
      <c r="H4164" t="s">
        <v>104</v>
      </c>
      <c r="I4164">
        <v>0</v>
      </c>
      <c r="J4164">
        <v>0</v>
      </c>
      <c r="K4164">
        <v>0</v>
      </c>
    </row>
    <row r="4165" spans="1:11" x14ac:dyDescent="0.2">
      <c r="A4165" t="s">
        <v>16</v>
      </c>
      <c r="B4165" t="s">
        <v>5839</v>
      </c>
      <c r="C4165">
        <v>450</v>
      </c>
      <c r="D4165" t="s">
        <v>8698</v>
      </c>
      <c r="E4165" t="s">
        <v>49</v>
      </c>
      <c r="F4165">
        <v>4</v>
      </c>
      <c r="G4165">
        <v>0.23116333448537987</v>
      </c>
      <c r="H4165" t="s">
        <v>103</v>
      </c>
      <c r="I4165">
        <v>0</v>
      </c>
      <c r="J4165">
        <v>0</v>
      </c>
      <c r="K4165">
        <v>0</v>
      </c>
    </row>
    <row r="4166" spans="1:11" x14ac:dyDescent="0.2">
      <c r="A4166" t="s">
        <v>16</v>
      </c>
      <c r="B4166" t="s">
        <v>5839</v>
      </c>
      <c r="C4166">
        <v>450</v>
      </c>
      <c r="D4166" t="s">
        <v>8696</v>
      </c>
      <c r="E4166" t="s">
        <v>49</v>
      </c>
      <c r="F4166">
        <v>4</v>
      </c>
      <c r="G4166">
        <v>0.23116333448537987</v>
      </c>
      <c r="H4166" t="s">
        <v>96</v>
      </c>
      <c r="I4166">
        <v>0</v>
      </c>
      <c r="J4166">
        <v>0</v>
      </c>
      <c r="K4166">
        <v>0</v>
      </c>
    </row>
    <row r="4167" spans="1:11" x14ac:dyDescent="0.2">
      <c r="A4167" t="s">
        <v>16</v>
      </c>
      <c r="B4167" t="s">
        <v>5839</v>
      </c>
      <c r="C4167">
        <v>450</v>
      </c>
      <c r="D4167" t="s">
        <v>8651</v>
      </c>
      <c r="E4167" t="s">
        <v>49</v>
      </c>
      <c r="F4167">
        <v>4</v>
      </c>
      <c r="G4167">
        <v>0.23116333448537987</v>
      </c>
      <c r="H4167" t="s">
        <v>101</v>
      </c>
      <c r="I4167">
        <v>0</v>
      </c>
      <c r="J4167">
        <v>0</v>
      </c>
      <c r="K4167">
        <v>0</v>
      </c>
    </row>
    <row r="4168" spans="1:11" x14ac:dyDescent="0.2">
      <c r="A4168" t="s">
        <v>16</v>
      </c>
      <c r="B4168" t="s">
        <v>5839</v>
      </c>
      <c r="C4168">
        <v>450</v>
      </c>
      <c r="D4168" t="s">
        <v>8725</v>
      </c>
      <c r="E4168" t="s">
        <v>49</v>
      </c>
      <c r="F4168">
        <v>4</v>
      </c>
      <c r="G4168">
        <v>0.23116333448537987</v>
      </c>
      <c r="H4168" t="s">
        <v>104</v>
      </c>
      <c r="I4168">
        <v>0</v>
      </c>
      <c r="J4168">
        <v>0</v>
      </c>
      <c r="K4168">
        <v>0</v>
      </c>
    </row>
    <row r="4169" spans="1:11" x14ac:dyDescent="0.2">
      <c r="A4169" t="s">
        <v>16</v>
      </c>
      <c r="B4169" t="s">
        <v>5839</v>
      </c>
      <c r="C4169">
        <v>450</v>
      </c>
      <c r="D4169" t="s">
        <v>8694</v>
      </c>
      <c r="E4169" t="s">
        <v>49</v>
      </c>
      <c r="F4169">
        <v>4</v>
      </c>
      <c r="G4169">
        <v>0.23116333448537987</v>
      </c>
      <c r="H4169" t="s">
        <v>103</v>
      </c>
      <c r="I4169">
        <v>0</v>
      </c>
      <c r="J4169">
        <v>0</v>
      </c>
      <c r="K4169">
        <v>0</v>
      </c>
    </row>
    <row r="4170" spans="1:11" x14ac:dyDescent="0.2">
      <c r="A4170" t="s">
        <v>16</v>
      </c>
      <c r="B4170" t="s">
        <v>5839</v>
      </c>
      <c r="C4170">
        <v>450</v>
      </c>
      <c r="D4170" t="s">
        <v>8719</v>
      </c>
      <c r="E4170" t="s">
        <v>49</v>
      </c>
      <c r="F4170">
        <v>4</v>
      </c>
      <c r="G4170">
        <v>0.23116333448537987</v>
      </c>
      <c r="H4170" t="s">
        <v>96</v>
      </c>
      <c r="I4170">
        <v>0</v>
      </c>
      <c r="J4170">
        <v>0</v>
      </c>
      <c r="K4170">
        <v>0</v>
      </c>
    </row>
    <row r="4171" spans="1:11" x14ac:dyDescent="0.2">
      <c r="A4171" t="s">
        <v>16</v>
      </c>
      <c r="B4171" t="s">
        <v>5839</v>
      </c>
      <c r="C4171">
        <v>450</v>
      </c>
      <c r="D4171" t="s">
        <v>8711</v>
      </c>
      <c r="E4171" t="s">
        <v>49</v>
      </c>
      <c r="F4171">
        <v>4</v>
      </c>
      <c r="G4171">
        <v>0.23116333448537987</v>
      </c>
      <c r="H4171" t="s">
        <v>101</v>
      </c>
      <c r="I4171">
        <v>0</v>
      </c>
      <c r="J4171">
        <v>0</v>
      </c>
      <c r="K4171">
        <v>0</v>
      </c>
    </row>
    <row r="4172" spans="1:11" x14ac:dyDescent="0.2">
      <c r="A4172" t="s">
        <v>16</v>
      </c>
      <c r="B4172" t="s">
        <v>5839</v>
      </c>
      <c r="C4172">
        <v>450</v>
      </c>
      <c r="D4172" t="s">
        <v>8712</v>
      </c>
      <c r="E4172" t="s">
        <v>49</v>
      </c>
      <c r="F4172">
        <v>4</v>
      </c>
      <c r="G4172">
        <v>0.23116333448537987</v>
      </c>
      <c r="H4172" t="s">
        <v>104</v>
      </c>
      <c r="I4172">
        <v>0</v>
      </c>
      <c r="J4172">
        <v>0</v>
      </c>
      <c r="K4172">
        <v>0</v>
      </c>
    </row>
    <row r="4173" spans="1:11" x14ac:dyDescent="0.2">
      <c r="A4173" t="s">
        <v>16</v>
      </c>
      <c r="B4173" t="s">
        <v>5839</v>
      </c>
      <c r="C4173">
        <v>450</v>
      </c>
      <c r="D4173" t="s">
        <v>8645</v>
      </c>
      <c r="E4173" t="s">
        <v>49</v>
      </c>
      <c r="F4173">
        <v>4</v>
      </c>
      <c r="G4173">
        <v>0.23116333448537987</v>
      </c>
      <c r="H4173" t="s">
        <v>103</v>
      </c>
      <c r="I4173">
        <v>0</v>
      </c>
      <c r="J4173">
        <v>0</v>
      </c>
      <c r="K4173">
        <v>0</v>
      </c>
    </row>
    <row r="4174" spans="1:11" x14ac:dyDescent="0.2">
      <c r="A4174" t="s">
        <v>16</v>
      </c>
      <c r="B4174" t="s">
        <v>5839</v>
      </c>
      <c r="C4174">
        <v>450</v>
      </c>
      <c r="D4174" t="s">
        <v>8713</v>
      </c>
      <c r="E4174" t="s">
        <v>49</v>
      </c>
      <c r="F4174">
        <v>4</v>
      </c>
      <c r="G4174">
        <v>0.23116333448537987</v>
      </c>
      <c r="H4174" t="s">
        <v>96</v>
      </c>
      <c r="I4174">
        <v>0</v>
      </c>
      <c r="J4174">
        <v>0</v>
      </c>
      <c r="K4174">
        <v>0</v>
      </c>
    </row>
    <row r="4175" spans="1:11" x14ac:dyDescent="0.2">
      <c r="A4175" t="s">
        <v>16</v>
      </c>
      <c r="B4175" t="s">
        <v>5839</v>
      </c>
      <c r="C4175">
        <v>450</v>
      </c>
      <c r="D4175" t="s">
        <v>8722</v>
      </c>
      <c r="E4175" t="s">
        <v>49</v>
      </c>
      <c r="F4175">
        <v>4</v>
      </c>
      <c r="G4175">
        <v>0.23116333448537987</v>
      </c>
      <c r="H4175" t="s">
        <v>101</v>
      </c>
      <c r="I4175">
        <v>0</v>
      </c>
      <c r="J4175">
        <v>0</v>
      </c>
      <c r="K4175">
        <v>0</v>
      </c>
    </row>
    <row r="4176" spans="1:11" x14ac:dyDescent="0.2">
      <c r="A4176" t="s">
        <v>16</v>
      </c>
      <c r="B4176" t="s">
        <v>5839</v>
      </c>
      <c r="C4176">
        <v>450</v>
      </c>
      <c r="D4176" t="s">
        <v>8715</v>
      </c>
      <c r="E4176" t="s">
        <v>49</v>
      </c>
      <c r="F4176">
        <v>4</v>
      </c>
      <c r="G4176">
        <v>0.23116333448537987</v>
      </c>
      <c r="H4176" t="s">
        <v>104</v>
      </c>
      <c r="I4176">
        <v>0</v>
      </c>
      <c r="J4176">
        <v>0</v>
      </c>
      <c r="K4176">
        <v>0</v>
      </c>
    </row>
    <row r="4177" spans="1:11" x14ac:dyDescent="0.2">
      <c r="A4177" t="s">
        <v>16</v>
      </c>
      <c r="B4177" t="s">
        <v>5839</v>
      </c>
      <c r="C4177">
        <v>450</v>
      </c>
      <c r="D4177" t="s">
        <v>8699</v>
      </c>
      <c r="E4177" t="s">
        <v>49</v>
      </c>
      <c r="F4177">
        <v>4</v>
      </c>
      <c r="G4177">
        <v>0.23116333448537987</v>
      </c>
      <c r="H4177" t="s">
        <v>103</v>
      </c>
      <c r="I4177">
        <v>0</v>
      </c>
      <c r="J4177">
        <v>0</v>
      </c>
      <c r="K4177">
        <v>0</v>
      </c>
    </row>
    <row r="4178" spans="1:11" x14ac:dyDescent="0.2">
      <c r="A4178" t="s">
        <v>16</v>
      </c>
      <c r="B4178" t="s">
        <v>5839</v>
      </c>
      <c r="C4178">
        <v>450</v>
      </c>
      <c r="D4178" t="s">
        <v>8661</v>
      </c>
      <c r="E4178" t="s">
        <v>49</v>
      </c>
      <c r="F4178">
        <v>4</v>
      </c>
      <c r="G4178">
        <v>0.23116333448537987</v>
      </c>
      <c r="H4178" t="s">
        <v>96</v>
      </c>
      <c r="I4178">
        <v>0</v>
      </c>
      <c r="J4178">
        <v>0</v>
      </c>
      <c r="K4178">
        <v>0</v>
      </c>
    </row>
    <row r="4179" spans="1:11" x14ac:dyDescent="0.2">
      <c r="A4179" t="s">
        <v>16</v>
      </c>
      <c r="B4179" t="s">
        <v>5839</v>
      </c>
      <c r="C4179">
        <v>450</v>
      </c>
      <c r="D4179" t="s">
        <v>8666</v>
      </c>
      <c r="E4179" t="s">
        <v>49</v>
      </c>
      <c r="F4179">
        <v>4</v>
      </c>
      <c r="G4179">
        <v>0.23116333448537987</v>
      </c>
      <c r="H4179" t="s">
        <v>101</v>
      </c>
      <c r="I4179">
        <v>0</v>
      </c>
      <c r="J4179">
        <v>0</v>
      </c>
      <c r="K4179">
        <v>0</v>
      </c>
    </row>
    <row r="4180" spans="1:11" x14ac:dyDescent="0.2">
      <c r="A4180" t="s">
        <v>16</v>
      </c>
      <c r="B4180" t="s">
        <v>5839</v>
      </c>
      <c r="C4180">
        <v>450</v>
      </c>
      <c r="D4180" t="s">
        <v>8684</v>
      </c>
      <c r="E4180" t="s">
        <v>49</v>
      </c>
      <c r="F4180">
        <v>4</v>
      </c>
      <c r="G4180">
        <v>0.23116333448537987</v>
      </c>
      <c r="H4180" t="s">
        <v>104</v>
      </c>
      <c r="I4180">
        <v>0</v>
      </c>
      <c r="J4180">
        <v>0</v>
      </c>
      <c r="K4180">
        <v>0</v>
      </c>
    </row>
    <row r="4181" spans="1:11" x14ac:dyDescent="0.2">
      <c r="A4181" t="s">
        <v>16</v>
      </c>
      <c r="B4181" t="s">
        <v>5839</v>
      </c>
      <c r="C4181">
        <v>450</v>
      </c>
      <c r="D4181" t="s">
        <v>8674</v>
      </c>
      <c r="E4181" t="s">
        <v>49</v>
      </c>
      <c r="F4181">
        <v>4</v>
      </c>
      <c r="G4181">
        <v>0.23116333448537987</v>
      </c>
      <c r="H4181" t="s">
        <v>103</v>
      </c>
      <c r="I4181">
        <v>0</v>
      </c>
      <c r="J4181">
        <v>0</v>
      </c>
      <c r="K4181">
        <v>0</v>
      </c>
    </row>
    <row r="4182" spans="1:11" x14ac:dyDescent="0.2">
      <c r="A4182" t="s">
        <v>16</v>
      </c>
      <c r="B4182" t="s">
        <v>5839</v>
      </c>
      <c r="C4182">
        <v>450</v>
      </c>
      <c r="D4182" t="s">
        <v>8667</v>
      </c>
      <c r="E4182" t="s">
        <v>49</v>
      </c>
      <c r="F4182">
        <v>4</v>
      </c>
      <c r="G4182">
        <v>0.23116333448537987</v>
      </c>
      <c r="H4182" t="s">
        <v>96</v>
      </c>
      <c r="I4182">
        <v>0</v>
      </c>
      <c r="J4182">
        <v>0</v>
      </c>
      <c r="K4182">
        <v>0</v>
      </c>
    </row>
    <row r="4183" spans="1:11" x14ac:dyDescent="0.2">
      <c r="A4183" t="s">
        <v>16</v>
      </c>
      <c r="B4183" t="s">
        <v>5839</v>
      </c>
      <c r="C4183">
        <v>450</v>
      </c>
      <c r="D4183" t="s">
        <v>8660</v>
      </c>
      <c r="E4183" t="s">
        <v>49</v>
      </c>
      <c r="F4183">
        <v>4</v>
      </c>
      <c r="G4183">
        <v>0.23116333448537987</v>
      </c>
      <c r="H4183" t="s">
        <v>101</v>
      </c>
      <c r="I4183">
        <v>0</v>
      </c>
      <c r="J4183">
        <v>0</v>
      </c>
      <c r="K4183">
        <v>0</v>
      </c>
    </row>
    <row r="4184" spans="1:11" x14ac:dyDescent="0.2">
      <c r="A4184" t="s">
        <v>16</v>
      </c>
      <c r="B4184" t="s">
        <v>5839</v>
      </c>
      <c r="C4184">
        <v>450</v>
      </c>
      <c r="D4184" t="s">
        <v>8669</v>
      </c>
      <c r="E4184" t="s">
        <v>49</v>
      </c>
      <c r="F4184">
        <v>4</v>
      </c>
      <c r="G4184">
        <v>0.23116333448537987</v>
      </c>
      <c r="H4184" t="s">
        <v>104</v>
      </c>
      <c r="I4184">
        <v>0</v>
      </c>
      <c r="J4184">
        <v>0</v>
      </c>
      <c r="K4184">
        <v>0</v>
      </c>
    </row>
    <row r="4185" spans="1:11" x14ac:dyDescent="0.2">
      <c r="A4185" t="s">
        <v>16</v>
      </c>
      <c r="B4185" t="s">
        <v>5839</v>
      </c>
      <c r="C4185">
        <v>450</v>
      </c>
      <c r="D4185" t="s">
        <v>8665</v>
      </c>
      <c r="E4185" t="s">
        <v>49</v>
      </c>
      <c r="F4185">
        <v>4</v>
      </c>
      <c r="G4185">
        <v>0.23116333448537987</v>
      </c>
      <c r="H4185" t="s">
        <v>103</v>
      </c>
      <c r="I4185">
        <v>0</v>
      </c>
      <c r="J4185">
        <v>0</v>
      </c>
      <c r="K4185">
        <v>0</v>
      </c>
    </row>
    <row r="4186" spans="1:11" x14ac:dyDescent="0.2">
      <c r="A4186" t="s">
        <v>16</v>
      </c>
      <c r="B4186" t="s">
        <v>5839</v>
      </c>
      <c r="C4186">
        <v>450</v>
      </c>
      <c r="D4186" t="s">
        <v>8731</v>
      </c>
      <c r="E4186" t="s">
        <v>49</v>
      </c>
      <c r="F4186">
        <v>4</v>
      </c>
      <c r="G4186">
        <v>0.23116333448537987</v>
      </c>
      <c r="H4186" t="s">
        <v>96</v>
      </c>
      <c r="I4186">
        <v>0</v>
      </c>
      <c r="J4186">
        <v>0</v>
      </c>
      <c r="K4186">
        <v>0</v>
      </c>
    </row>
    <row r="4187" spans="1:11" x14ac:dyDescent="0.2">
      <c r="A4187" t="s">
        <v>16</v>
      </c>
      <c r="B4187" t="s">
        <v>5839</v>
      </c>
      <c r="C4187">
        <v>450</v>
      </c>
      <c r="D4187" t="s">
        <v>8732</v>
      </c>
      <c r="E4187" t="s">
        <v>49</v>
      </c>
      <c r="F4187">
        <v>4</v>
      </c>
      <c r="G4187">
        <v>0.23116333448537987</v>
      </c>
      <c r="H4187" t="s">
        <v>101</v>
      </c>
      <c r="I4187">
        <v>0</v>
      </c>
      <c r="J4187">
        <v>0</v>
      </c>
      <c r="K4187">
        <v>0</v>
      </c>
    </row>
    <row r="4188" spans="1:11" x14ac:dyDescent="0.2">
      <c r="A4188" t="s">
        <v>16</v>
      </c>
      <c r="B4188" t="s">
        <v>5839</v>
      </c>
      <c r="C4188">
        <v>450</v>
      </c>
      <c r="D4188" t="s">
        <v>8729</v>
      </c>
      <c r="E4188" t="s">
        <v>49</v>
      </c>
      <c r="F4188">
        <v>4</v>
      </c>
      <c r="G4188">
        <v>0.23116333448537987</v>
      </c>
      <c r="H4188" t="s">
        <v>104</v>
      </c>
      <c r="I4188">
        <v>0</v>
      </c>
      <c r="J4188">
        <v>0</v>
      </c>
      <c r="K4188">
        <v>0</v>
      </c>
    </row>
    <row r="4189" spans="1:11" x14ac:dyDescent="0.2">
      <c r="A4189" t="s">
        <v>16</v>
      </c>
      <c r="B4189" t="s">
        <v>5839</v>
      </c>
      <c r="C4189">
        <v>450</v>
      </c>
      <c r="D4189" t="s">
        <v>8709</v>
      </c>
      <c r="E4189" t="s">
        <v>49</v>
      </c>
      <c r="F4189">
        <v>4</v>
      </c>
      <c r="G4189">
        <v>0.23116333448537987</v>
      </c>
      <c r="H4189" t="s">
        <v>103</v>
      </c>
      <c r="I4189">
        <v>0</v>
      </c>
      <c r="J4189">
        <v>0</v>
      </c>
      <c r="K4189">
        <v>0</v>
      </c>
    </row>
    <row r="4190" spans="1:11" x14ac:dyDescent="0.2">
      <c r="A4190" t="s">
        <v>16</v>
      </c>
      <c r="B4190" t="s">
        <v>5839</v>
      </c>
      <c r="C4190">
        <v>450</v>
      </c>
      <c r="D4190" t="s">
        <v>8714</v>
      </c>
      <c r="E4190" t="s">
        <v>49</v>
      </c>
      <c r="F4190">
        <v>4</v>
      </c>
      <c r="G4190">
        <v>0.23116333448537987</v>
      </c>
      <c r="H4190" t="s">
        <v>96</v>
      </c>
      <c r="I4190">
        <v>0</v>
      </c>
      <c r="J4190">
        <v>0</v>
      </c>
      <c r="K4190">
        <v>0</v>
      </c>
    </row>
    <row r="4191" spans="1:11" x14ac:dyDescent="0.2">
      <c r="A4191" t="s">
        <v>16</v>
      </c>
      <c r="B4191" t="s">
        <v>5839</v>
      </c>
      <c r="C4191">
        <v>450</v>
      </c>
      <c r="D4191" t="s">
        <v>8687</v>
      </c>
      <c r="E4191" t="s">
        <v>49</v>
      </c>
      <c r="F4191">
        <v>4</v>
      </c>
      <c r="G4191">
        <v>0.23116333448537987</v>
      </c>
      <c r="H4191" t="s">
        <v>101</v>
      </c>
      <c r="I4191">
        <v>0</v>
      </c>
      <c r="J4191">
        <v>0</v>
      </c>
      <c r="K4191">
        <v>0</v>
      </c>
    </row>
    <row r="4192" spans="1:11" x14ac:dyDescent="0.2">
      <c r="A4192" t="s">
        <v>16</v>
      </c>
      <c r="B4192" t="s">
        <v>5839</v>
      </c>
      <c r="C4192">
        <v>450</v>
      </c>
      <c r="D4192" t="s">
        <v>8636</v>
      </c>
      <c r="E4192" t="s">
        <v>49</v>
      </c>
      <c r="F4192">
        <v>4</v>
      </c>
      <c r="G4192">
        <v>0.23116333448537987</v>
      </c>
      <c r="H4192" t="s">
        <v>104</v>
      </c>
      <c r="I4192">
        <v>0</v>
      </c>
      <c r="J4192">
        <v>0</v>
      </c>
      <c r="K4192">
        <v>0</v>
      </c>
    </row>
    <row r="4193" spans="1:11" x14ac:dyDescent="0.2">
      <c r="A4193" t="s">
        <v>16</v>
      </c>
      <c r="B4193" t="s">
        <v>5839</v>
      </c>
      <c r="C4193">
        <v>450</v>
      </c>
      <c r="D4193" t="s">
        <v>8717</v>
      </c>
      <c r="E4193" t="s">
        <v>49</v>
      </c>
      <c r="F4193">
        <v>4</v>
      </c>
      <c r="G4193">
        <v>0.23116333448537987</v>
      </c>
      <c r="H4193" t="s">
        <v>103</v>
      </c>
      <c r="I4193">
        <v>0</v>
      </c>
      <c r="J4193">
        <v>0</v>
      </c>
      <c r="K4193">
        <v>0</v>
      </c>
    </row>
    <row r="4194" spans="1:11" x14ac:dyDescent="0.2">
      <c r="A4194" t="s">
        <v>16</v>
      </c>
      <c r="B4194" t="s">
        <v>5839</v>
      </c>
      <c r="C4194">
        <v>450</v>
      </c>
      <c r="D4194" t="s">
        <v>8707</v>
      </c>
      <c r="E4194" t="s">
        <v>49</v>
      </c>
      <c r="F4194">
        <v>4</v>
      </c>
      <c r="G4194">
        <v>0.23116333448537987</v>
      </c>
      <c r="H4194" t="s">
        <v>96</v>
      </c>
      <c r="I4194">
        <v>0</v>
      </c>
      <c r="J4194">
        <v>0</v>
      </c>
      <c r="K4194">
        <v>0</v>
      </c>
    </row>
    <row r="4195" spans="1:11" x14ac:dyDescent="0.2">
      <c r="A4195" t="s">
        <v>16</v>
      </c>
      <c r="B4195" t="s">
        <v>5839</v>
      </c>
      <c r="C4195">
        <v>450</v>
      </c>
      <c r="D4195" t="s">
        <v>8690</v>
      </c>
      <c r="E4195" t="s">
        <v>49</v>
      </c>
      <c r="F4195">
        <v>4</v>
      </c>
      <c r="G4195">
        <v>0.23116333448537987</v>
      </c>
      <c r="H4195" t="s">
        <v>101</v>
      </c>
      <c r="I4195">
        <v>0</v>
      </c>
      <c r="J4195">
        <v>0</v>
      </c>
      <c r="K4195">
        <v>0</v>
      </c>
    </row>
    <row r="4196" spans="1:11" x14ac:dyDescent="0.2">
      <c r="A4196" t="s">
        <v>16</v>
      </c>
      <c r="B4196" t="s">
        <v>5839</v>
      </c>
      <c r="C4196">
        <v>450</v>
      </c>
      <c r="D4196" t="s">
        <v>8730</v>
      </c>
      <c r="E4196" t="s">
        <v>49</v>
      </c>
      <c r="F4196">
        <v>4</v>
      </c>
      <c r="G4196">
        <v>0.23116333448537987</v>
      </c>
      <c r="H4196" t="s">
        <v>104</v>
      </c>
      <c r="I4196">
        <v>0</v>
      </c>
      <c r="J4196">
        <v>0</v>
      </c>
      <c r="K4196">
        <v>0</v>
      </c>
    </row>
    <row r="4197" spans="1:11" x14ac:dyDescent="0.2">
      <c r="A4197" t="s">
        <v>16</v>
      </c>
      <c r="B4197" t="s">
        <v>5839</v>
      </c>
      <c r="C4197">
        <v>450</v>
      </c>
      <c r="D4197" t="s">
        <v>8724</v>
      </c>
      <c r="E4197" t="s">
        <v>49</v>
      </c>
      <c r="F4197">
        <v>4</v>
      </c>
      <c r="G4197">
        <v>0.23116333448537987</v>
      </c>
      <c r="H4197" t="s">
        <v>103</v>
      </c>
      <c r="I4197">
        <v>0</v>
      </c>
      <c r="J4197">
        <v>0</v>
      </c>
      <c r="K4197">
        <v>0</v>
      </c>
    </row>
    <row r="4198" spans="1:11" x14ac:dyDescent="0.2">
      <c r="A4198" t="s">
        <v>16</v>
      </c>
      <c r="B4198" t="s">
        <v>5839</v>
      </c>
      <c r="C4198">
        <v>450</v>
      </c>
      <c r="D4198" t="s">
        <v>8692</v>
      </c>
      <c r="E4198" t="s">
        <v>49</v>
      </c>
      <c r="F4198">
        <v>4</v>
      </c>
      <c r="G4198">
        <v>0.23116333448537987</v>
      </c>
      <c r="H4198" t="s">
        <v>96</v>
      </c>
      <c r="I4198">
        <v>0</v>
      </c>
      <c r="J4198">
        <v>0</v>
      </c>
      <c r="K4198">
        <v>0</v>
      </c>
    </row>
    <row r="4199" spans="1:11" x14ac:dyDescent="0.2">
      <c r="A4199" t="s">
        <v>16</v>
      </c>
      <c r="B4199" t="s">
        <v>5839</v>
      </c>
      <c r="C4199">
        <v>450</v>
      </c>
      <c r="D4199" t="s">
        <v>8710</v>
      </c>
      <c r="E4199" t="s">
        <v>49</v>
      </c>
      <c r="F4199">
        <v>4</v>
      </c>
      <c r="G4199">
        <v>0.23116333448537987</v>
      </c>
      <c r="H4199" t="s">
        <v>101</v>
      </c>
      <c r="I4199">
        <v>0</v>
      </c>
      <c r="J4199">
        <v>0</v>
      </c>
      <c r="K4199">
        <v>0</v>
      </c>
    </row>
    <row r="4200" spans="1:11" x14ac:dyDescent="0.2">
      <c r="A4200" t="s">
        <v>16</v>
      </c>
      <c r="B4200" t="s">
        <v>5839</v>
      </c>
      <c r="C4200">
        <v>450</v>
      </c>
      <c r="D4200" t="s">
        <v>8691</v>
      </c>
      <c r="E4200" t="s">
        <v>49</v>
      </c>
      <c r="F4200">
        <v>4</v>
      </c>
      <c r="G4200">
        <v>0.23116333448537987</v>
      </c>
      <c r="H4200" t="s">
        <v>104</v>
      </c>
      <c r="I4200">
        <v>0</v>
      </c>
      <c r="J4200">
        <v>0</v>
      </c>
      <c r="K4200">
        <v>0</v>
      </c>
    </row>
    <row r="4201" spans="1:11" x14ac:dyDescent="0.2">
      <c r="A4201" t="s">
        <v>16</v>
      </c>
      <c r="B4201" t="s">
        <v>5839</v>
      </c>
      <c r="C4201">
        <v>450</v>
      </c>
      <c r="D4201" t="s">
        <v>8700</v>
      </c>
      <c r="E4201" t="s">
        <v>49</v>
      </c>
      <c r="F4201">
        <v>4</v>
      </c>
      <c r="G4201">
        <v>0.23116333448537987</v>
      </c>
      <c r="H4201" t="s">
        <v>103</v>
      </c>
      <c r="I4201">
        <v>0</v>
      </c>
      <c r="J4201">
        <v>0</v>
      </c>
      <c r="K4201">
        <v>0</v>
      </c>
    </row>
    <row r="4202" spans="1:11" x14ac:dyDescent="0.2">
      <c r="A4202" t="s">
        <v>16</v>
      </c>
      <c r="B4202" t="s">
        <v>5840</v>
      </c>
      <c r="C4202">
        <v>480</v>
      </c>
      <c r="D4202" t="s">
        <v>8819</v>
      </c>
      <c r="E4202" t="s">
        <v>49</v>
      </c>
      <c r="F4202">
        <v>4</v>
      </c>
      <c r="G4202">
        <v>0.34832611474875924</v>
      </c>
      <c r="H4202" t="s">
        <v>88</v>
      </c>
      <c r="I4202">
        <v>0</v>
      </c>
      <c r="J4202">
        <v>0</v>
      </c>
      <c r="K4202">
        <v>0</v>
      </c>
    </row>
    <row r="4203" spans="1:11" x14ac:dyDescent="0.2">
      <c r="A4203" t="s">
        <v>16</v>
      </c>
      <c r="B4203" t="s">
        <v>5840</v>
      </c>
      <c r="C4203">
        <v>480</v>
      </c>
      <c r="D4203" t="s">
        <v>8783</v>
      </c>
      <c r="E4203" t="s">
        <v>49</v>
      </c>
      <c r="F4203">
        <v>4</v>
      </c>
      <c r="G4203">
        <v>0.34832611474875924</v>
      </c>
      <c r="H4203" t="s">
        <v>97</v>
      </c>
      <c r="I4203">
        <v>0</v>
      </c>
      <c r="J4203">
        <v>0</v>
      </c>
      <c r="K4203">
        <v>0</v>
      </c>
    </row>
    <row r="4204" spans="1:11" x14ac:dyDescent="0.2">
      <c r="A4204" t="s">
        <v>16</v>
      </c>
      <c r="B4204" t="s">
        <v>5840</v>
      </c>
      <c r="C4204">
        <v>480</v>
      </c>
      <c r="D4204" t="s">
        <v>8782</v>
      </c>
      <c r="E4204" t="s">
        <v>49</v>
      </c>
      <c r="F4204">
        <v>4</v>
      </c>
      <c r="G4204">
        <v>0.34832611474875924</v>
      </c>
      <c r="H4204" t="s">
        <v>91</v>
      </c>
      <c r="I4204">
        <v>0</v>
      </c>
      <c r="J4204">
        <v>0</v>
      </c>
      <c r="K4204">
        <v>0</v>
      </c>
    </row>
    <row r="4205" spans="1:11" x14ac:dyDescent="0.2">
      <c r="A4205" t="s">
        <v>16</v>
      </c>
      <c r="B4205" t="s">
        <v>5840</v>
      </c>
      <c r="C4205">
        <v>480</v>
      </c>
      <c r="D4205" t="s">
        <v>8825</v>
      </c>
      <c r="E4205" t="s">
        <v>49</v>
      </c>
      <c r="F4205">
        <v>4</v>
      </c>
      <c r="G4205">
        <v>0.34832611474875924</v>
      </c>
      <c r="H4205" t="s">
        <v>95</v>
      </c>
      <c r="I4205">
        <v>0</v>
      </c>
      <c r="J4205">
        <v>0</v>
      </c>
      <c r="K4205">
        <v>0</v>
      </c>
    </row>
    <row r="4206" spans="1:11" x14ac:dyDescent="0.2">
      <c r="A4206" t="s">
        <v>16</v>
      </c>
      <c r="B4206" t="s">
        <v>5840</v>
      </c>
      <c r="C4206">
        <v>480</v>
      </c>
      <c r="D4206" t="s">
        <v>8822</v>
      </c>
      <c r="E4206" t="s">
        <v>49</v>
      </c>
      <c r="F4206">
        <v>4</v>
      </c>
      <c r="G4206">
        <v>0.34832611474875924</v>
      </c>
      <c r="H4206" t="s">
        <v>88</v>
      </c>
      <c r="I4206">
        <v>0</v>
      </c>
      <c r="J4206">
        <v>0</v>
      </c>
      <c r="K4206">
        <v>0</v>
      </c>
    </row>
    <row r="4207" spans="1:11" x14ac:dyDescent="0.2">
      <c r="A4207" t="s">
        <v>16</v>
      </c>
      <c r="B4207" t="s">
        <v>5840</v>
      </c>
      <c r="C4207">
        <v>480</v>
      </c>
      <c r="D4207" t="s">
        <v>8823</v>
      </c>
      <c r="E4207" t="s">
        <v>49</v>
      </c>
      <c r="F4207">
        <v>4</v>
      </c>
      <c r="G4207">
        <v>0.34832611474875924</v>
      </c>
      <c r="H4207" t="s">
        <v>97</v>
      </c>
      <c r="I4207">
        <v>0</v>
      </c>
      <c r="J4207">
        <v>0</v>
      </c>
      <c r="K4207">
        <v>0</v>
      </c>
    </row>
    <row r="4208" spans="1:11" x14ac:dyDescent="0.2">
      <c r="A4208" t="s">
        <v>16</v>
      </c>
      <c r="B4208" t="s">
        <v>5840</v>
      </c>
      <c r="C4208">
        <v>480</v>
      </c>
      <c r="D4208" t="s">
        <v>8786</v>
      </c>
      <c r="E4208" t="s">
        <v>49</v>
      </c>
      <c r="F4208">
        <v>4</v>
      </c>
      <c r="G4208">
        <v>0.34832611474875924</v>
      </c>
      <c r="H4208" t="s">
        <v>91</v>
      </c>
      <c r="I4208">
        <v>0</v>
      </c>
      <c r="J4208">
        <v>0</v>
      </c>
      <c r="K4208">
        <v>0</v>
      </c>
    </row>
    <row r="4209" spans="1:11" x14ac:dyDescent="0.2">
      <c r="A4209" t="s">
        <v>16</v>
      </c>
      <c r="B4209" t="s">
        <v>5840</v>
      </c>
      <c r="C4209">
        <v>480</v>
      </c>
      <c r="D4209" t="s">
        <v>8785</v>
      </c>
      <c r="E4209" t="s">
        <v>49</v>
      </c>
      <c r="F4209">
        <v>4</v>
      </c>
      <c r="G4209">
        <v>0.34832611474875924</v>
      </c>
      <c r="H4209" t="s">
        <v>95</v>
      </c>
      <c r="I4209">
        <v>0</v>
      </c>
      <c r="J4209">
        <v>0</v>
      </c>
      <c r="K4209">
        <v>0</v>
      </c>
    </row>
    <row r="4210" spans="1:11" x14ac:dyDescent="0.2">
      <c r="A4210" t="s">
        <v>16</v>
      </c>
      <c r="B4210" t="s">
        <v>5840</v>
      </c>
      <c r="C4210">
        <v>480</v>
      </c>
      <c r="D4210" t="s">
        <v>8776</v>
      </c>
      <c r="E4210" t="s">
        <v>49</v>
      </c>
      <c r="F4210">
        <v>4</v>
      </c>
      <c r="G4210">
        <v>0.34832611474875924</v>
      </c>
      <c r="H4210" t="s">
        <v>88</v>
      </c>
      <c r="I4210">
        <v>0</v>
      </c>
      <c r="J4210">
        <v>0</v>
      </c>
      <c r="K4210">
        <v>0</v>
      </c>
    </row>
    <row r="4211" spans="1:11" x14ac:dyDescent="0.2">
      <c r="A4211" t="s">
        <v>16</v>
      </c>
      <c r="B4211" t="s">
        <v>5840</v>
      </c>
      <c r="C4211">
        <v>480</v>
      </c>
      <c r="D4211" t="s">
        <v>8781</v>
      </c>
      <c r="E4211" t="s">
        <v>49</v>
      </c>
      <c r="F4211">
        <v>4</v>
      </c>
      <c r="G4211">
        <v>0.34832611474875924</v>
      </c>
      <c r="H4211" t="s">
        <v>97</v>
      </c>
      <c r="I4211">
        <v>0</v>
      </c>
      <c r="J4211">
        <v>0</v>
      </c>
      <c r="K4211">
        <v>0</v>
      </c>
    </row>
    <row r="4212" spans="1:11" x14ac:dyDescent="0.2">
      <c r="A4212" t="s">
        <v>16</v>
      </c>
      <c r="B4212" t="s">
        <v>5840</v>
      </c>
      <c r="C4212">
        <v>480</v>
      </c>
      <c r="D4212" t="s">
        <v>8784</v>
      </c>
      <c r="E4212" t="s">
        <v>49</v>
      </c>
      <c r="F4212">
        <v>4</v>
      </c>
      <c r="G4212">
        <v>0.34832611474875924</v>
      </c>
      <c r="H4212" t="s">
        <v>91</v>
      </c>
      <c r="I4212">
        <v>0</v>
      </c>
      <c r="J4212">
        <v>0</v>
      </c>
      <c r="K4212">
        <v>0</v>
      </c>
    </row>
    <row r="4213" spans="1:11" x14ac:dyDescent="0.2">
      <c r="A4213" t="s">
        <v>16</v>
      </c>
      <c r="B4213" t="s">
        <v>5840</v>
      </c>
      <c r="C4213">
        <v>480</v>
      </c>
      <c r="D4213" t="s">
        <v>8787</v>
      </c>
      <c r="E4213" t="s">
        <v>49</v>
      </c>
      <c r="F4213">
        <v>4</v>
      </c>
      <c r="G4213">
        <v>0.34832611474875924</v>
      </c>
      <c r="H4213" t="s">
        <v>95</v>
      </c>
      <c r="I4213">
        <v>0</v>
      </c>
      <c r="J4213">
        <v>0</v>
      </c>
      <c r="K4213">
        <v>0</v>
      </c>
    </row>
    <row r="4214" spans="1:11" x14ac:dyDescent="0.2">
      <c r="A4214" t="s">
        <v>16</v>
      </c>
      <c r="B4214" t="s">
        <v>5840</v>
      </c>
      <c r="C4214">
        <v>480</v>
      </c>
      <c r="D4214" t="s">
        <v>8816</v>
      </c>
      <c r="E4214" t="s">
        <v>49</v>
      </c>
      <c r="F4214">
        <v>4</v>
      </c>
      <c r="G4214">
        <v>0.34832611474875924</v>
      </c>
      <c r="H4214" t="s">
        <v>88</v>
      </c>
      <c r="I4214">
        <v>0</v>
      </c>
      <c r="J4214">
        <v>0</v>
      </c>
      <c r="K4214">
        <v>0</v>
      </c>
    </row>
    <row r="4215" spans="1:11" x14ac:dyDescent="0.2">
      <c r="A4215" t="s">
        <v>16</v>
      </c>
      <c r="B4215" t="s">
        <v>5840</v>
      </c>
      <c r="C4215">
        <v>480</v>
      </c>
      <c r="D4215" t="s">
        <v>8829</v>
      </c>
      <c r="E4215" t="s">
        <v>49</v>
      </c>
      <c r="F4215">
        <v>4</v>
      </c>
      <c r="G4215">
        <v>0.34832611474875924</v>
      </c>
      <c r="H4215" t="s">
        <v>97</v>
      </c>
      <c r="I4215">
        <v>0</v>
      </c>
      <c r="J4215">
        <v>0</v>
      </c>
      <c r="K4215">
        <v>0</v>
      </c>
    </row>
    <row r="4216" spans="1:11" x14ac:dyDescent="0.2">
      <c r="A4216" t="s">
        <v>16</v>
      </c>
      <c r="B4216" t="s">
        <v>5840</v>
      </c>
      <c r="C4216">
        <v>480</v>
      </c>
      <c r="D4216" t="s">
        <v>8827</v>
      </c>
      <c r="E4216" t="s">
        <v>49</v>
      </c>
      <c r="F4216">
        <v>4</v>
      </c>
      <c r="G4216">
        <v>0.34832611474875924</v>
      </c>
      <c r="H4216" t="s">
        <v>91</v>
      </c>
      <c r="I4216">
        <v>0</v>
      </c>
      <c r="J4216">
        <v>0</v>
      </c>
      <c r="K4216">
        <v>0</v>
      </c>
    </row>
    <row r="4217" spans="1:11" x14ac:dyDescent="0.2">
      <c r="A4217" t="s">
        <v>16</v>
      </c>
      <c r="B4217" t="s">
        <v>5840</v>
      </c>
      <c r="C4217">
        <v>480</v>
      </c>
      <c r="D4217" t="s">
        <v>8808</v>
      </c>
      <c r="E4217" t="s">
        <v>49</v>
      </c>
      <c r="F4217">
        <v>4</v>
      </c>
      <c r="G4217">
        <v>0.34832611474875924</v>
      </c>
      <c r="H4217" t="s">
        <v>95</v>
      </c>
      <c r="I4217">
        <v>0</v>
      </c>
      <c r="J4217">
        <v>0</v>
      </c>
      <c r="K4217">
        <v>0</v>
      </c>
    </row>
    <row r="4218" spans="1:11" x14ac:dyDescent="0.2">
      <c r="A4218" t="s">
        <v>16</v>
      </c>
      <c r="B4218" t="s">
        <v>5840</v>
      </c>
      <c r="C4218">
        <v>480</v>
      </c>
      <c r="D4218" t="s">
        <v>8807</v>
      </c>
      <c r="E4218" t="s">
        <v>49</v>
      </c>
      <c r="F4218">
        <v>4</v>
      </c>
      <c r="G4218">
        <v>0.34832611474875924</v>
      </c>
      <c r="H4218" t="s">
        <v>88</v>
      </c>
      <c r="I4218">
        <v>0</v>
      </c>
      <c r="J4218">
        <v>0</v>
      </c>
      <c r="K4218">
        <v>0</v>
      </c>
    </row>
    <row r="4219" spans="1:11" x14ac:dyDescent="0.2">
      <c r="A4219" t="s">
        <v>16</v>
      </c>
      <c r="B4219" t="s">
        <v>5840</v>
      </c>
      <c r="C4219">
        <v>480</v>
      </c>
      <c r="D4219" t="s">
        <v>8806</v>
      </c>
      <c r="E4219" t="s">
        <v>49</v>
      </c>
      <c r="F4219">
        <v>4</v>
      </c>
      <c r="G4219">
        <v>0.34832611474875924</v>
      </c>
      <c r="H4219" t="s">
        <v>97</v>
      </c>
      <c r="I4219">
        <v>0</v>
      </c>
      <c r="J4219">
        <v>0</v>
      </c>
      <c r="K4219">
        <v>0</v>
      </c>
    </row>
    <row r="4220" spans="1:11" x14ac:dyDescent="0.2">
      <c r="A4220" t="s">
        <v>16</v>
      </c>
      <c r="B4220" t="s">
        <v>5840</v>
      </c>
      <c r="C4220">
        <v>480</v>
      </c>
      <c r="D4220" t="s">
        <v>8818</v>
      </c>
      <c r="E4220" t="s">
        <v>49</v>
      </c>
      <c r="F4220">
        <v>4</v>
      </c>
      <c r="G4220">
        <v>0.34832611474875924</v>
      </c>
      <c r="H4220" t="s">
        <v>91</v>
      </c>
      <c r="I4220">
        <v>0</v>
      </c>
      <c r="J4220">
        <v>0</v>
      </c>
      <c r="K4220">
        <v>0</v>
      </c>
    </row>
    <row r="4221" spans="1:11" x14ac:dyDescent="0.2">
      <c r="A4221" t="s">
        <v>16</v>
      </c>
      <c r="B4221" t="s">
        <v>5840</v>
      </c>
      <c r="C4221">
        <v>480</v>
      </c>
      <c r="D4221" t="s">
        <v>8821</v>
      </c>
      <c r="E4221" t="s">
        <v>49</v>
      </c>
      <c r="F4221">
        <v>4</v>
      </c>
      <c r="G4221">
        <v>0.34832611474875924</v>
      </c>
      <c r="H4221" t="s">
        <v>95</v>
      </c>
      <c r="I4221">
        <v>0</v>
      </c>
      <c r="J4221">
        <v>0</v>
      </c>
      <c r="K4221">
        <v>0</v>
      </c>
    </row>
    <row r="4222" spans="1:11" x14ac:dyDescent="0.2">
      <c r="A4222" t="s">
        <v>16</v>
      </c>
      <c r="B4222" t="s">
        <v>5840</v>
      </c>
      <c r="C4222">
        <v>480</v>
      </c>
      <c r="D4222" t="s">
        <v>8824</v>
      </c>
      <c r="E4222" t="s">
        <v>49</v>
      </c>
      <c r="F4222">
        <v>4</v>
      </c>
      <c r="G4222">
        <v>0.34832611474875924</v>
      </c>
      <c r="H4222" t="s">
        <v>88</v>
      </c>
      <c r="I4222">
        <v>0</v>
      </c>
      <c r="J4222">
        <v>0</v>
      </c>
      <c r="K4222">
        <v>0</v>
      </c>
    </row>
    <row r="4223" spans="1:11" x14ac:dyDescent="0.2">
      <c r="A4223" t="s">
        <v>16</v>
      </c>
      <c r="B4223" t="s">
        <v>5840</v>
      </c>
      <c r="C4223">
        <v>480</v>
      </c>
      <c r="D4223" t="s">
        <v>8826</v>
      </c>
      <c r="E4223" t="s">
        <v>49</v>
      </c>
      <c r="F4223">
        <v>4</v>
      </c>
      <c r="G4223">
        <v>0.34832611474875924</v>
      </c>
      <c r="H4223" t="s">
        <v>97</v>
      </c>
      <c r="I4223">
        <v>0</v>
      </c>
      <c r="J4223">
        <v>0</v>
      </c>
      <c r="K4223">
        <v>0</v>
      </c>
    </row>
    <row r="4224" spans="1:11" x14ac:dyDescent="0.2">
      <c r="A4224" t="s">
        <v>16</v>
      </c>
      <c r="B4224" t="s">
        <v>5840</v>
      </c>
      <c r="C4224">
        <v>480</v>
      </c>
      <c r="D4224" t="s">
        <v>8828</v>
      </c>
      <c r="E4224" t="s">
        <v>49</v>
      </c>
      <c r="F4224">
        <v>4</v>
      </c>
      <c r="G4224">
        <v>0.34832611474875924</v>
      </c>
      <c r="H4224" t="s">
        <v>91</v>
      </c>
      <c r="I4224">
        <v>0</v>
      </c>
      <c r="J4224">
        <v>0</v>
      </c>
      <c r="K4224">
        <v>0</v>
      </c>
    </row>
    <row r="4225" spans="1:11" x14ac:dyDescent="0.2">
      <c r="A4225" t="s">
        <v>16</v>
      </c>
      <c r="B4225" t="s">
        <v>5840</v>
      </c>
      <c r="C4225">
        <v>480</v>
      </c>
      <c r="D4225" t="s">
        <v>8817</v>
      </c>
      <c r="E4225" t="s">
        <v>49</v>
      </c>
      <c r="F4225">
        <v>4</v>
      </c>
      <c r="G4225">
        <v>0.34832611474875924</v>
      </c>
      <c r="H4225" t="s">
        <v>95</v>
      </c>
      <c r="I4225">
        <v>0</v>
      </c>
      <c r="J4225">
        <v>0</v>
      </c>
      <c r="K4225">
        <v>0</v>
      </c>
    </row>
    <row r="4226" spans="1:11" x14ac:dyDescent="0.2">
      <c r="A4226" t="s">
        <v>16</v>
      </c>
      <c r="B4226" t="s">
        <v>5840</v>
      </c>
      <c r="C4226">
        <v>480</v>
      </c>
      <c r="D4226" t="s">
        <v>8788</v>
      </c>
      <c r="E4226" t="s">
        <v>49</v>
      </c>
      <c r="F4226">
        <v>4</v>
      </c>
      <c r="G4226">
        <v>0.34832611474875924</v>
      </c>
      <c r="H4226" t="s">
        <v>88</v>
      </c>
      <c r="I4226">
        <v>0</v>
      </c>
      <c r="J4226">
        <v>0</v>
      </c>
      <c r="K4226">
        <v>0</v>
      </c>
    </row>
    <row r="4227" spans="1:11" x14ac:dyDescent="0.2">
      <c r="A4227" t="s">
        <v>16</v>
      </c>
      <c r="B4227" t="s">
        <v>5840</v>
      </c>
      <c r="C4227">
        <v>480</v>
      </c>
      <c r="D4227" t="s">
        <v>8789</v>
      </c>
      <c r="E4227" t="s">
        <v>49</v>
      </c>
      <c r="F4227">
        <v>4</v>
      </c>
      <c r="G4227">
        <v>0.34832611474875924</v>
      </c>
      <c r="H4227" t="s">
        <v>97</v>
      </c>
      <c r="I4227">
        <v>0</v>
      </c>
      <c r="J4227">
        <v>0</v>
      </c>
      <c r="K4227">
        <v>0</v>
      </c>
    </row>
    <row r="4228" spans="1:11" x14ac:dyDescent="0.2">
      <c r="A4228" t="s">
        <v>16</v>
      </c>
      <c r="B4228" t="s">
        <v>5840</v>
      </c>
      <c r="C4228">
        <v>480</v>
      </c>
      <c r="D4228" t="s">
        <v>8790</v>
      </c>
      <c r="E4228" t="s">
        <v>49</v>
      </c>
      <c r="F4228">
        <v>4</v>
      </c>
      <c r="G4228">
        <v>0.34832611474875924</v>
      </c>
      <c r="H4228" t="s">
        <v>91</v>
      </c>
      <c r="I4228">
        <v>0</v>
      </c>
      <c r="J4228">
        <v>0</v>
      </c>
      <c r="K4228">
        <v>0</v>
      </c>
    </row>
    <row r="4229" spans="1:11" x14ac:dyDescent="0.2">
      <c r="A4229" t="s">
        <v>16</v>
      </c>
      <c r="B4229" t="s">
        <v>5840</v>
      </c>
      <c r="C4229">
        <v>480</v>
      </c>
      <c r="D4229" t="s">
        <v>8793</v>
      </c>
      <c r="E4229" t="s">
        <v>49</v>
      </c>
      <c r="F4229">
        <v>4</v>
      </c>
      <c r="G4229">
        <v>0.34832611474875924</v>
      </c>
      <c r="H4229" t="s">
        <v>95</v>
      </c>
      <c r="I4229">
        <v>0</v>
      </c>
      <c r="J4229">
        <v>0</v>
      </c>
      <c r="K4229">
        <v>0</v>
      </c>
    </row>
    <row r="4230" spans="1:11" x14ac:dyDescent="0.2">
      <c r="A4230" t="s">
        <v>16</v>
      </c>
      <c r="B4230" t="s">
        <v>5840</v>
      </c>
      <c r="C4230">
        <v>160</v>
      </c>
      <c r="D4230" t="s">
        <v>8794</v>
      </c>
      <c r="E4230" t="s">
        <v>49</v>
      </c>
      <c r="F4230">
        <v>4</v>
      </c>
      <c r="G4230">
        <v>0.11610870491625308</v>
      </c>
      <c r="H4230" t="s">
        <v>88</v>
      </c>
      <c r="I4230">
        <v>0</v>
      </c>
      <c r="J4230">
        <v>0</v>
      </c>
      <c r="K4230">
        <v>0</v>
      </c>
    </row>
    <row r="4231" spans="1:11" x14ac:dyDescent="0.2">
      <c r="A4231" t="s">
        <v>16</v>
      </c>
      <c r="B4231" t="s">
        <v>5840</v>
      </c>
      <c r="C4231">
        <v>480</v>
      </c>
      <c r="D4231" t="s">
        <v>8791</v>
      </c>
      <c r="E4231" t="s">
        <v>49</v>
      </c>
      <c r="F4231">
        <v>4</v>
      </c>
      <c r="G4231">
        <v>0.34832611474875924</v>
      </c>
      <c r="H4231" t="s">
        <v>88</v>
      </c>
      <c r="I4231">
        <v>0</v>
      </c>
      <c r="J4231">
        <v>0</v>
      </c>
      <c r="K4231">
        <v>0</v>
      </c>
    </row>
    <row r="4232" spans="1:11" x14ac:dyDescent="0.2">
      <c r="A4232" t="s">
        <v>16</v>
      </c>
      <c r="B4232" t="s">
        <v>5840</v>
      </c>
      <c r="C4232">
        <v>480</v>
      </c>
      <c r="D4232" t="s">
        <v>8758</v>
      </c>
      <c r="E4232" t="s">
        <v>49</v>
      </c>
      <c r="F4232">
        <v>4</v>
      </c>
      <c r="G4232">
        <v>0.34832611474875924</v>
      </c>
      <c r="H4232" t="s">
        <v>97</v>
      </c>
      <c r="I4232">
        <v>0</v>
      </c>
      <c r="J4232">
        <v>0</v>
      </c>
      <c r="K4232">
        <v>0</v>
      </c>
    </row>
    <row r="4233" spans="1:11" x14ac:dyDescent="0.2">
      <c r="A4233" t="s">
        <v>16</v>
      </c>
      <c r="B4233" t="s">
        <v>5840</v>
      </c>
      <c r="C4233">
        <v>480</v>
      </c>
      <c r="D4233" t="s">
        <v>8759</v>
      </c>
      <c r="E4233" t="s">
        <v>49</v>
      </c>
      <c r="F4233">
        <v>4</v>
      </c>
      <c r="G4233">
        <v>0.34832611474875924</v>
      </c>
      <c r="H4233" t="s">
        <v>91</v>
      </c>
      <c r="I4233">
        <v>0</v>
      </c>
      <c r="J4233">
        <v>0</v>
      </c>
      <c r="K4233">
        <v>0</v>
      </c>
    </row>
    <row r="4234" spans="1:11" x14ac:dyDescent="0.2">
      <c r="A4234" t="s">
        <v>16</v>
      </c>
      <c r="B4234" t="s">
        <v>5840</v>
      </c>
      <c r="C4234">
        <v>480</v>
      </c>
      <c r="D4234" t="s">
        <v>8820</v>
      </c>
      <c r="E4234" t="s">
        <v>49</v>
      </c>
      <c r="F4234">
        <v>4</v>
      </c>
      <c r="G4234">
        <v>0.34832611474875924</v>
      </c>
      <c r="H4234" t="s">
        <v>95</v>
      </c>
      <c r="I4234">
        <v>0</v>
      </c>
      <c r="J4234">
        <v>0</v>
      </c>
      <c r="K4234">
        <v>0</v>
      </c>
    </row>
    <row r="4235" spans="1:11" x14ac:dyDescent="0.2">
      <c r="A4235" t="s">
        <v>16</v>
      </c>
      <c r="B4235" t="s">
        <v>5840</v>
      </c>
      <c r="C4235">
        <v>480</v>
      </c>
      <c r="D4235" t="s">
        <v>8799</v>
      </c>
      <c r="E4235" t="s">
        <v>49</v>
      </c>
      <c r="F4235">
        <v>4</v>
      </c>
      <c r="G4235">
        <v>0.34832611474875924</v>
      </c>
      <c r="H4235" t="s">
        <v>88</v>
      </c>
      <c r="I4235">
        <v>0</v>
      </c>
      <c r="J4235">
        <v>0</v>
      </c>
      <c r="K4235">
        <v>0</v>
      </c>
    </row>
    <row r="4236" spans="1:11" x14ac:dyDescent="0.2">
      <c r="A4236" t="s">
        <v>16</v>
      </c>
      <c r="B4236" t="s">
        <v>5840</v>
      </c>
      <c r="C4236">
        <v>480</v>
      </c>
      <c r="D4236" t="s">
        <v>8801</v>
      </c>
      <c r="E4236" t="s">
        <v>49</v>
      </c>
      <c r="F4236">
        <v>4</v>
      </c>
      <c r="G4236">
        <v>0.34832611474875924</v>
      </c>
      <c r="H4236" t="s">
        <v>97</v>
      </c>
      <c r="I4236">
        <v>0</v>
      </c>
      <c r="J4236">
        <v>0</v>
      </c>
      <c r="K4236">
        <v>0</v>
      </c>
    </row>
    <row r="4237" spans="1:11" x14ac:dyDescent="0.2">
      <c r="A4237" t="s">
        <v>16</v>
      </c>
      <c r="B4237" t="s">
        <v>5840</v>
      </c>
      <c r="C4237">
        <v>480</v>
      </c>
      <c r="D4237" t="s">
        <v>8760</v>
      </c>
      <c r="E4237" t="s">
        <v>49</v>
      </c>
      <c r="F4237">
        <v>4</v>
      </c>
      <c r="G4237">
        <v>0.34832611474875924</v>
      </c>
      <c r="H4237" t="s">
        <v>91</v>
      </c>
      <c r="I4237">
        <v>0</v>
      </c>
      <c r="J4237">
        <v>0</v>
      </c>
      <c r="K4237">
        <v>0</v>
      </c>
    </row>
    <row r="4238" spans="1:11" x14ac:dyDescent="0.2">
      <c r="A4238" t="s">
        <v>16</v>
      </c>
      <c r="B4238" t="s">
        <v>5840</v>
      </c>
      <c r="C4238">
        <v>480</v>
      </c>
      <c r="D4238" t="s">
        <v>8780</v>
      </c>
      <c r="E4238" t="s">
        <v>49</v>
      </c>
      <c r="F4238">
        <v>4</v>
      </c>
      <c r="G4238">
        <v>0.34832611474875924</v>
      </c>
      <c r="H4238" t="s">
        <v>95</v>
      </c>
      <c r="I4238">
        <v>0</v>
      </c>
      <c r="J4238">
        <v>0</v>
      </c>
      <c r="K4238">
        <v>0</v>
      </c>
    </row>
    <row r="4239" spans="1:11" x14ac:dyDescent="0.2">
      <c r="A4239" t="s">
        <v>16</v>
      </c>
      <c r="B4239" t="s">
        <v>5840</v>
      </c>
      <c r="C4239">
        <v>480</v>
      </c>
      <c r="D4239" t="s">
        <v>8779</v>
      </c>
      <c r="E4239" t="s">
        <v>49</v>
      </c>
      <c r="F4239">
        <v>4</v>
      </c>
      <c r="G4239">
        <v>0.34832611474875924</v>
      </c>
      <c r="H4239" t="s">
        <v>88</v>
      </c>
      <c r="I4239">
        <v>0</v>
      </c>
      <c r="J4239">
        <v>0</v>
      </c>
      <c r="K4239">
        <v>0</v>
      </c>
    </row>
    <row r="4240" spans="1:11" x14ac:dyDescent="0.2">
      <c r="A4240" t="s">
        <v>16</v>
      </c>
      <c r="B4240" t="s">
        <v>5840</v>
      </c>
      <c r="C4240">
        <v>480</v>
      </c>
      <c r="D4240" t="s">
        <v>8796</v>
      </c>
      <c r="E4240" t="s">
        <v>49</v>
      </c>
      <c r="F4240">
        <v>4</v>
      </c>
      <c r="G4240">
        <v>0.34832611474875924</v>
      </c>
      <c r="H4240" t="s">
        <v>97</v>
      </c>
      <c r="I4240">
        <v>0</v>
      </c>
      <c r="J4240">
        <v>0</v>
      </c>
      <c r="K4240">
        <v>0</v>
      </c>
    </row>
    <row r="4241" spans="1:11" x14ac:dyDescent="0.2">
      <c r="A4241" t="s">
        <v>16</v>
      </c>
      <c r="B4241" t="s">
        <v>5840</v>
      </c>
      <c r="C4241">
        <v>480</v>
      </c>
      <c r="D4241" t="s">
        <v>8775</v>
      </c>
      <c r="E4241" t="s">
        <v>49</v>
      </c>
      <c r="F4241">
        <v>4</v>
      </c>
      <c r="G4241">
        <v>0.34832611474875924</v>
      </c>
      <c r="H4241" t="s">
        <v>91</v>
      </c>
      <c r="I4241">
        <v>0</v>
      </c>
      <c r="J4241">
        <v>0</v>
      </c>
      <c r="K4241">
        <v>0</v>
      </c>
    </row>
    <row r="4242" spans="1:11" x14ac:dyDescent="0.2">
      <c r="A4242" t="s">
        <v>16</v>
      </c>
      <c r="B4242" t="s">
        <v>5840</v>
      </c>
      <c r="C4242">
        <v>480</v>
      </c>
      <c r="D4242" t="s">
        <v>8774</v>
      </c>
      <c r="E4242" t="s">
        <v>49</v>
      </c>
      <c r="F4242">
        <v>4</v>
      </c>
      <c r="G4242">
        <v>0.34832611474875924</v>
      </c>
      <c r="H4242" t="s">
        <v>95</v>
      </c>
      <c r="I4242">
        <v>0</v>
      </c>
      <c r="J4242">
        <v>0</v>
      </c>
      <c r="K4242">
        <v>0</v>
      </c>
    </row>
    <row r="4243" spans="1:11" x14ac:dyDescent="0.2">
      <c r="A4243" t="s">
        <v>16</v>
      </c>
      <c r="B4243" t="s">
        <v>5840</v>
      </c>
      <c r="C4243">
        <v>480</v>
      </c>
      <c r="D4243" t="s">
        <v>8777</v>
      </c>
      <c r="E4243" t="s">
        <v>49</v>
      </c>
      <c r="F4243">
        <v>4</v>
      </c>
      <c r="G4243">
        <v>0.34832611474875924</v>
      </c>
      <c r="H4243" t="s">
        <v>88</v>
      </c>
      <c r="I4243">
        <v>0</v>
      </c>
      <c r="J4243">
        <v>0</v>
      </c>
      <c r="K4243">
        <v>0</v>
      </c>
    </row>
    <row r="4244" spans="1:11" x14ac:dyDescent="0.2">
      <c r="A4244" t="s">
        <v>16</v>
      </c>
      <c r="B4244" t="s">
        <v>5840</v>
      </c>
      <c r="C4244">
        <v>480</v>
      </c>
      <c r="D4244" t="s">
        <v>8798</v>
      </c>
      <c r="E4244" t="s">
        <v>49</v>
      </c>
      <c r="F4244">
        <v>4</v>
      </c>
      <c r="G4244">
        <v>0.34832611474875924</v>
      </c>
      <c r="H4244" t="s">
        <v>97</v>
      </c>
      <c r="I4244">
        <v>0</v>
      </c>
      <c r="J4244">
        <v>0</v>
      </c>
      <c r="K4244">
        <v>0</v>
      </c>
    </row>
    <row r="4245" spans="1:11" x14ac:dyDescent="0.2">
      <c r="A4245" t="s">
        <v>16</v>
      </c>
      <c r="B4245" t="s">
        <v>5840</v>
      </c>
      <c r="C4245">
        <v>480</v>
      </c>
      <c r="D4245" t="s">
        <v>8800</v>
      </c>
      <c r="E4245" t="s">
        <v>49</v>
      </c>
      <c r="F4245">
        <v>4</v>
      </c>
      <c r="G4245">
        <v>0.34832611474875924</v>
      </c>
      <c r="H4245" t="s">
        <v>91</v>
      </c>
      <c r="I4245">
        <v>0</v>
      </c>
      <c r="J4245">
        <v>0</v>
      </c>
      <c r="K4245">
        <v>0</v>
      </c>
    </row>
    <row r="4246" spans="1:11" x14ac:dyDescent="0.2">
      <c r="A4246" t="s">
        <v>16</v>
      </c>
      <c r="B4246" t="s">
        <v>5840</v>
      </c>
      <c r="C4246">
        <v>480</v>
      </c>
      <c r="D4246" t="s">
        <v>8792</v>
      </c>
      <c r="E4246" t="s">
        <v>49</v>
      </c>
      <c r="F4246">
        <v>4</v>
      </c>
      <c r="G4246">
        <v>0.34832611474875924</v>
      </c>
      <c r="H4246" t="s">
        <v>95</v>
      </c>
      <c r="I4246">
        <v>0</v>
      </c>
      <c r="J4246">
        <v>0</v>
      </c>
      <c r="K4246">
        <v>0</v>
      </c>
    </row>
    <row r="4247" spans="1:11" x14ac:dyDescent="0.2">
      <c r="A4247" t="s">
        <v>16</v>
      </c>
      <c r="B4247" t="s">
        <v>5840</v>
      </c>
      <c r="C4247">
        <v>480</v>
      </c>
      <c r="D4247" t="s">
        <v>8795</v>
      </c>
      <c r="E4247" t="s">
        <v>49</v>
      </c>
      <c r="F4247">
        <v>4</v>
      </c>
      <c r="G4247">
        <v>0.34832611474875924</v>
      </c>
      <c r="H4247" t="s">
        <v>88</v>
      </c>
      <c r="I4247">
        <v>0</v>
      </c>
      <c r="J4247">
        <v>0</v>
      </c>
      <c r="K4247">
        <v>0</v>
      </c>
    </row>
    <row r="4248" spans="1:11" x14ac:dyDescent="0.2">
      <c r="A4248" t="s">
        <v>16</v>
      </c>
      <c r="B4248" t="s">
        <v>5840</v>
      </c>
      <c r="C4248">
        <v>480</v>
      </c>
      <c r="D4248" t="s">
        <v>8797</v>
      </c>
      <c r="E4248" t="s">
        <v>49</v>
      </c>
      <c r="F4248">
        <v>4</v>
      </c>
      <c r="G4248">
        <v>0.34832611474875924</v>
      </c>
      <c r="H4248" t="s">
        <v>97</v>
      </c>
      <c r="I4248">
        <v>0</v>
      </c>
      <c r="J4248">
        <v>0</v>
      </c>
      <c r="K4248">
        <v>0</v>
      </c>
    </row>
    <row r="4249" spans="1:11" x14ac:dyDescent="0.2">
      <c r="A4249" t="s">
        <v>16</v>
      </c>
      <c r="B4249" t="s">
        <v>5840</v>
      </c>
      <c r="C4249">
        <v>480</v>
      </c>
      <c r="D4249" t="s">
        <v>8778</v>
      </c>
      <c r="E4249" t="s">
        <v>49</v>
      </c>
      <c r="F4249">
        <v>4</v>
      </c>
      <c r="G4249">
        <v>0.34832611474875924</v>
      </c>
      <c r="H4249" t="s">
        <v>91</v>
      </c>
      <c r="I4249">
        <v>0</v>
      </c>
      <c r="J4249">
        <v>0</v>
      </c>
      <c r="K4249">
        <v>0</v>
      </c>
    </row>
    <row r="4250" spans="1:11" x14ac:dyDescent="0.2">
      <c r="A4250" t="s">
        <v>16</v>
      </c>
      <c r="B4250" t="s">
        <v>5840</v>
      </c>
      <c r="C4250">
        <v>480</v>
      </c>
      <c r="D4250" t="s">
        <v>8742</v>
      </c>
      <c r="E4250" t="s">
        <v>49</v>
      </c>
      <c r="F4250">
        <v>4</v>
      </c>
      <c r="G4250">
        <v>0.34832611474875924</v>
      </c>
      <c r="H4250" t="s">
        <v>95</v>
      </c>
      <c r="I4250">
        <v>0</v>
      </c>
      <c r="J4250">
        <v>0</v>
      </c>
      <c r="K4250">
        <v>0</v>
      </c>
    </row>
    <row r="4251" spans="1:11" x14ac:dyDescent="0.2">
      <c r="A4251" t="s">
        <v>16</v>
      </c>
      <c r="B4251" t="s">
        <v>5840</v>
      </c>
      <c r="C4251">
        <v>480</v>
      </c>
      <c r="D4251" t="s">
        <v>8741</v>
      </c>
      <c r="E4251" t="s">
        <v>49</v>
      </c>
      <c r="F4251">
        <v>4</v>
      </c>
      <c r="G4251">
        <v>0.34832611474875924</v>
      </c>
      <c r="H4251" t="s">
        <v>88</v>
      </c>
      <c r="I4251">
        <v>0</v>
      </c>
      <c r="J4251">
        <v>0</v>
      </c>
      <c r="K4251">
        <v>0</v>
      </c>
    </row>
    <row r="4252" spans="1:11" x14ac:dyDescent="0.2">
      <c r="A4252" t="s">
        <v>16</v>
      </c>
      <c r="B4252" t="s">
        <v>5840</v>
      </c>
      <c r="C4252">
        <v>480</v>
      </c>
      <c r="D4252" t="s">
        <v>8733</v>
      </c>
      <c r="E4252" t="s">
        <v>49</v>
      </c>
      <c r="F4252">
        <v>4</v>
      </c>
      <c r="G4252">
        <v>0.34832611474875924</v>
      </c>
      <c r="H4252" t="s">
        <v>97</v>
      </c>
      <c r="I4252">
        <v>0</v>
      </c>
      <c r="J4252">
        <v>0</v>
      </c>
      <c r="K4252">
        <v>0</v>
      </c>
    </row>
    <row r="4253" spans="1:11" x14ac:dyDescent="0.2">
      <c r="A4253" t="s">
        <v>16</v>
      </c>
      <c r="B4253" t="s">
        <v>5840</v>
      </c>
      <c r="C4253">
        <v>480</v>
      </c>
      <c r="D4253" t="s">
        <v>8738</v>
      </c>
      <c r="E4253" t="s">
        <v>49</v>
      </c>
      <c r="F4253">
        <v>4</v>
      </c>
      <c r="G4253">
        <v>0.34832611474875924</v>
      </c>
      <c r="H4253" t="s">
        <v>91</v>
      </c>
      <c r="I4253">
        <v>0</v>
      </c>
      <c r="J4253">
        <v>0</v>
      </c>
      <c r="K4253">
        <v>0</v>
      </c>
    </row>
    <row r="4254" spans="1:11" x14ac:dyDescent="0.2">
      <c r="A4254" t="s">
        <v>16</v>
      </c>
      <c r="B4254" t="s">
        <v>5840</v>
      </c>
      <c r="C4254">
        <v>480</v>
      </c>
      <c r="D4254" t="s">
        <v>8766</v>
      </c>
      <c r="E4254" t="s">
        <v>49</v>
      </c>
      <c r="F4254">
        <v>4</v>
      </c>
      <c r="G4254">
        <v>0.34832611474875924</v>
      </c>
      <c r="H4254" t="s">
        <v>95</v>
      </c>
      <c r="I4254">
        <v>0</v>
      </c>
      <c r="J4254">
        <v>0</v>
      </c>
      <c r="K4254">
        <v>0</v>
      </c>
    </row>
    <row r="4255" spans="1:11" x14ac:dyDescent="0.2">
      <c r="A4255" t="s">
        <v>16</v>
      </c>
      <c r="B4255" t="s">
        <v>5840</v>
      </c>
      <c r="C4255">
        <v>480</v>
      </c>
      <c r="D4255" t="s">
        <v>8740</v>
      </c>
      <c r="E4255" t="s">
        <v>49</v>
      </c>
      <c r="F4255">
        <v>4</v>
      </c>
      <c r="G4255">
        <v>0.34832611474875924</v>
      </c>
      <c r="H4255" t="s">
        <v>88</v>
      </c>
      <c r="I4255">
        <v>0</v>
      </c>
      <c r="J4255">
        <v>0</v>
      </c>
      <c r="K4255">
        <v>0</v>
      </c>
    </row>
    <row r="4256" spans="1:11" x14ac:dyDescent="0.2">
      <c r="A4256" t="s">
        <v>16</v>
      </c>
      <c r="B4256" t="s">
        <v>5840</v>
      </c>
      <c r="C4256">
        <v>480</v>
      </c>
      <c r="D4256" t="s">
        <v>8739</v>
      </c>
      <c r="E4256" t="s">
        <v>49</v>
      </c>
      <c r="F4256">
        <v>4</v>
      </c>
      <c r="G4256">
        <v>0.34832611474875924</v>
      </c>
      <c r="H4256" t="s">
        <v>97</v>
      </c>
      <c r="I4256">
        <v>0</v>
      </c>
      <c r="J4256">
        <v>0</v>
      </c>
      <c r="K4256">
        <v>0</v>
      </c>
    </row>
    <row r="4257" spans="1:11" x14ac:dyDescent="0.2">
      <c r="A4257" t="s">
        <v>16</v>
      </c>
      <c r="B4257" t="s">
        <v>5840</v>
      </c>
      <c r="C4257">
        <v>480</v>
      </c>
      <c r="D4257" t="s">
        <v>8734</v>
      </c>
      <c r="E4257" t="s">
        <v>49</v>
      </c>
      <c r="F4257">
        <v>4</v>
      </c>
      <c r="G4257">
        <v>0.34832611474875924</v>
      </c>
      <c r="H4257" t="s">
        <v>91</v>
      </c>
      <c r="I4257">
        <v>0</v>
      </c>
      <c r="J4257">
        <v>0</v>
      </c>
      <c r="K4257">
        <v>0</v>
      </c>
    </row>
    <row r="4258" spans="1:11" x14ac:dyDescent="0.2">
      <c r="A4258" t="s">
        <v>16</v>
      </c>
      <c r="B4258" t="s">
        <v>5840</v>
      </c>
      <c r="C4258">
        <v>480</v>
      </c>
      <c r="D4258" t="s">
        <v>8748</v>
      </c>
      <c r="E4258" t="s">
        <v>49</v>
      </c>
      <c r="F4258">
        <v>4</v>
      </c>
      <c r="G4258">
        <v>0.34832611474875924</v>
      </c>
      <c r="H4258" t="s">
        <v>95</v>
      </c>
      <c r="I4258">
        <v>0</v>
      </c>
      <c r="J4258">
        <v>0</v>
      </c>
      <c r="K4258">
        <v>0</v>
      </c>
    </row>
    <row r="4259" spans="1:11" x14ac:dyDescent="0.2">
      <c r="A4259" t="s">
        <v>16</v>
      </c>
      <c r="B4259" t="s">
        <v>5840</v>
      </c>
      <c r="C4259">
        <v>480</v>
      </c>
      <c r="D4259" t="s">
        <v>8750</v>
      </c>
      <c r="E4259" t="s">
        <v>49</v>
      </c>
      <c r="F4259">
        <v>4</v>
      </c>
      <c r="G4259">
        <v>0.34832611474875924</v>
      </c>
      <c r="H4259" t="s">
        <v>88</v>
      </c>
      <c r="I4259">
        <v>0</v>
      </c>
      <c r="J4259">
        <v>0</v>
      </c>
      <c r="K4259">
        <v>0</v>
      </c>
    </row>
    <row r="4260" spans="1:11" x14ac:dyDescent="0.2">
      <c r="A4260" t="s">
        <v>16</v>
      </c>
      <c r="B4260" t="s">
        <v>5840</v>
      </c>
      <c r="C4260">
        <v>480</v>
      </c>
      <c r="D4260" t="s">
        <v>8752</v>
      </c>
      <c r="E4260" t="s">
        <v>49</v>
      </c>
      <c r="F4260">
        <v>4</v>
      </c>
      <c r="G4260">
        <v>0.34832611474875924</v>
      </c>
      <c r="H4260" t="s">
        <v>97</v>
      </c>
      <c r="I4260">
        <v>0</v>
      </c>
      <c r="J4260">
        <v>0</v>
      </c>
      <c r="K4260">
        <v>0</v>
      </c>
    </row>
    <row r="4261" spans="1:11" x14ac:dyDescent="0.2">
      <c r="A4261" t="s">
        <v>16</v>
      </c>
      <c r="B4261" t="s">
        <v>5840</v>
      </c>
      <c r="C4261">
        <v>480</v>
      </c>
      <c r="D4261" t="s">
        <v>8749</v>
      </c>
      <c r="E4261" t="s">
        <v>49</v>
      </c>
      <c r="F4261">
        <v>4</v>
      </c>
      <c r="G4261">
        <v>0.34832611474875924</v>
      </c>
      <c r="H4261" t="s">
        <v>91</v>
      </c>
      <c r="I4261">
        <v>0</v>
      </c>
      <c r="J4261">
        <v>0</v>
      </c>
      <c r="K4261">
        <v>0</v>
      </c>
    </row>
    <row r="4262" spans="1:11" x14ac:dyDescent="0.2">
      <c r="A4262" t="s">
        <v>16</v>
      </c>
      <c r="B4262" t="s">
        <v>5840</v>
      </c>
      <c r="C4262">
        <v>480</v>
      </c>
      <c r="D4262" t="s">
        <v>8735</v>
      </c>
      <c r="E4262" t="s">
        <v>49</v>
      </c>
      <c r="F4262">
        <v>4</v>
      </c>
      <c r="G4262">
        <v>0.34832611474875924</v>
      </c>
      <c r="H4262" t="s">
        <v>95</v>
      </c>
      <c r="I4262">
        <v>0</v>
      </c>
      <c r="J4262">
        <v>0</v>
      </c>
      <c r="K4262">
        <v>0</v>
      </c>
    </row>
    <row r="4263" spans="1:11" x14ac:dyDescent="0.2">
      <c r="A4263" t="s">
        <v>16</v>
      </c>
      <c r="B4263" t="s">
        <v>5840</v>
      </c>
      <c r="C4263">
        <v>480</v>
      </c>
      <c r="D4263" t="s">
        <v>8736</v>
      </c>
      <c r="E4263" t="s">
        <v>49</v>
      </c>
      <c r="F4263">
        <v>4</v>
      </c>
      <c r="G4263">
        <v>0.34832611474875924</v>
      </c>
      <c r="H4263" t="s">
        <v>88</v>
      </c>
      <c r="I4263">
        <v>0</v>
      </c>
      <c r="J4263">
        <v>0</v>
      </c>
      <c r="K4263">
        <v>0</v>
      </c>
    </row>
    <row r="4264" spans="1:11" x14ac:dyDescent="0.2">
      <c r="A4264" t="s">
        <v>16</v>
      </c>
      <c r="B4264" t="s">
        <v>5840</v>
      </c>
      <c r="C4264">
        <v>480</v>
      </c>
      <c r="D4264" t="s">
        <v>8737</v>
      </c>
      <c r="E4264" t="s">
        <v>49</v>
      </c>
      <c r="F4264">
        <v>4</v>
      </c>
      <c r="G4264">
        <v>0.34832611474875924</v>
      </c>
      <c r="H4264" t="s">
        <v>97</v>
      </c>
      <c r="I4264">
        <v>0</v>
      </c>
      <c r="J4264">
        <v>0</v>
      </c>
      <c r="K4264">
        <v>0</v>
      </c>
    </row>
    <row r="4265" spans="1:11" x14ac:dyDescent="0.2">
      <c r="A4265" t="s">
        <v>16</v>
      </c>
      <c r="B4265" t="s">
        <v>5840</v>
      </c>
      <c r="C4265">
        <v>480</v>
      </c>
      <c r="D4265" t="s">
        <v>8767</v>
      </c>
      <c r="E4265" t="s">
        <v>49</v>
      </c>
      <c r="F4265">
        <v>4</v>
      </c>
      <c r="G4265">
        <v>0.34832611474875924</v>
      </c>
      <c r="H4265" t="s">
        <v>91</v>
      </c>
      <c r="I4265">
        <v>0</v>
      </c>
      <c r="J4265">
        <v>0</v>
      </c>
      <c r="K4265">
        <v>0</v>
      </c>
    </row>
    <row r="4266" spans="1:11" x14ac:dyDescent="0.2">
      <c r="A4266" t="s">
        <v>16</v>
      </c>
      <c r="B4266" t="s">
        <v>5840</v>
      </c>
      <c r="C4266">
        <v>480</v>
      </c>
      <c r="D4266" t="s">
        <v>8755</v>
      </c>
      <c r="E4266" t="s">
        <v>49</v>
      </c>
      <c r="F4266">
        <v>4</v>
      </c>
      <c r="G4266">
        <v>0.34832611474875924</v>
      </c>
      <c r="H4266" t="s">
        <v>95</v>
      </c>
      <c r="I4266">
        <v>0</v>
      </c>
      <c r="J4266">
        <v>0</v>
      </c>
      <c r="K4266">
        <v>0</v>
      </c>
    </row>
    <row r="4267" spans="1:11" x14ac:dyDescent="0.2">
      <c r="A4267" t="s">
        <v>16</v>
      </c>
      <c r="B4267" t="s">
        <v>5840</v>
      </c>
      <c r="C4267">
        <v>480</v>
      </c>
      <c r="D4267" t="s">
        <v>8757</v>
      </c>
      <c r="E4267" t="s">
        <v>49</v>
      </c>
      <c r="F4267">
        <v>4</v>
      </c>
      <c r="G4267">
        <v>0.34832611474875924</v>
      </c>
      <c r="H4267" t="s">
        <v>88</v>
      </c>
      <c r="I4267">
        <v>0</v>
      </c>
      <c r="J4267">
        <v>0</v>
      </c>
      <c r="K4267">
        <v>0</v>
      </c>
    </row>
    <row r="4268" spans="1:11" x14ac:dyDescent="0.2">
      <c r="A4268" t="s">
        <v>16</v>
      </c>
      <c r="B4268" t="s">
        <v>5840</v>
      </c>
      <c r="C4268">
        <v>480</v>
      </c>
      <c r="D4268" t="s">
        <v>8756</v>
      </c>
      <c r="E4268" t="s">
        <v>49</v>
      </c>
      <c r="F4268">
        <v>4</v>
      </c>
      <c r="G4268">
        <v>0.34832611474875924</v>
      </c>
      <c r="H4268" t="s">
        <v>97</v>
      </c>
      <c r="I4268">
        <v>0</v>
      </c>
      <c r="J4268">
        <v>0</v>
      </c>
      <c r="K4268">
        <v>0</v>
      </c>
    </row>
    <row r="4269" spans="1:11" x14ac:dyDescent="0.2">
      <c r="A4269" t="s">
        <v>16</v>
      </c>
      <c r="B4269" t="s">
        <v>5840</v>
      </c>
      <c r="C4269">
        <v>480</v>
      </c>
      <c r="D4269" t="s">
        <v>8753</v>
      </c>
      <c r="E4269" t="s">
        <v>49</v>
      </c>
      <c r="F4269">
        <v>4</v>
      </c>
      <c r="G4269">
        <v>0.34832611474875924</v>
      </c>
      <c r="H4269" t="s">
        <v>91</v>
      </c>
      <c r="I4269">
        <v>0</v>
      </c>
      <c r="J4269">
        <v>0</v>
      </c>
      <c r="K4269">
        <v>0</v>
      </c>
    </row>
    <row r="4270" spans="1:11" x14ac:dyDescent="0.2">
      <c r="A4270" t="s">
        <v>16</v>
      </c>
      <c r="B4270" t="s">
        <v>5840</v>
      </c>
      <c r="C4270">
        <v>320</v>
      </c>
      <c r="D4270" t="s">
        <v>8762</v>
      </c>
      <c r="E4270" t="s">
        <v>49</v>
      </c>
      <c r="F4270">
        <v>4</v>
      </c>
      <c r="G4270">
        <v>0.23221740983250616</v>
      </c>
      <c r="H4270" t="s">
        <v>97</v>
      </c>
      <c r="I4270">
        <v>0</v>
      </c>
      <c r="J4270">
        <v>0</v>
      </c>
      <c r="K4270">
        <v>0</v>
      </c>
    </row>
    <row r="4271" spans="1:11" x14ac:dyDescent="0.2">
      <c r="A4271" t="s">
        <v>16</v>
      </c>
      <c r="B4271" t="s">
        <v>5840</v>
      </c>
      <c r="C4271">
        <v>480</v>
      </c>
      <c r="D4271" t="s">
        <v>8761</v>
      </c>
      <c r="E4271" t="s">
        <v>49</v>
      </c>
      <c r="F4271">
        <v>4</v>
      </c>
      <c r="G4271">
        <v>0.34832611474875924</v>
      </c>
      <c r="H4271" t="s">
        <v>95</v>
      </c>
      <c r="I4271">
        <v>0</v>
      </c>
      <c r="J4271">
        <v>0</v>
      </c>
      <c r="K4271">
        <v>0</v>
      </c>
    </row>
    <row r="4272" spans="1:11" x14ac:dyDescent="0.2">
      <c r="A4272" t="s">
        <v>16</v>
      </c>
      <c r="B4272" t="s">
        <v>5840</v>
      </c>
      <c r="C4272">
        <v>480</v>
      </c>
      <c r="D4272" t="s">
        <v>8754</v>
      </c>
      <c r="E4272" t="s">
        <v>49</v>
      </c>
      <c r="F4272">
        <v>4</v>
      </c>
      <c r="G4272">
        <v>0.34832611474875924</v>
      </c>
      <c r="H4272" t="s">
        <v>88</v>
      </c>
      <c r="I4272">
        <v>0</v>
      </c>
      <c r="J4272">
        <v>0</v>
      </c>
      <c r="K4272">
        <v>0</v>
      </c>
    </row>
    <row r="4273" spans="1:11" x14ac:dyDescent="0.2">
      <c r="A4273" t="s">
        <v>16</v>
      </c>
      <c r="B4273" t="s">
        <v>5840</v>
      </c>
      <c r="C4273">
        <v>480</v>
      </c>
      <c r="D4273" t="s">
        <v>8769</v>
      </c>
      <c r="E4273" t="s">
        <v>49</v>
      </c>
      <c r="F4273">
        <v>4</v>
      </c>
      <c r="G4273">
        <v>0.34832611474875924</v>
      </c>
      <c r="H4273" t="s">
        <v>97</v>
      </c>
      <c r="I4273">
        <v>0</v>
      </c>
      <c r="J4273">
        <v>0</v>
      </c>
      <c r="K4273">
        <v>0</v>
      </c>
    </row>
    <row r="4274" spans="1:11" x14ac:dyDescent="0.2">
      <c r="A4274" t="s">
        <v>16</v>
      </c>
      <c r="B4274" t="s">
        <v>5840</v>
      </c>
      <c r="C4274">
        <v>480</v>
      </c>
      <c r="D4274" t="s">
        <v>8764</v>
      </c>
      <c r="E4274" t="s">
        <v>49</v>
      </c>
      <c r="F4274">
        <v>4</v>
      </c>
      <c r="G4274">
        <v>0.34832611474875924</v>
      </c>
      <c r="H4274" t="s">
        <v>91</v>
      </c>
      <c r="I4274">
        <v>0</v>
      </c>
      <c r="J4274">
        <v>0</v>
      </c>
      <c r="K4274">
        <v>0</v>
      </c>
    </row>
    <row r="4275" spans="1:11" x14ac:dyDescent="0.2">
      <c r="A4275" t="s">
        <v>16</v>
      </c>
      <c r="B4275" t="s">
        <v>5840</v>
      </c>
      <c r="C4275">
        <v>480</v>
      </c>
      <c r="D4275" t="s">
        <v>8763</v>
      </c>
      <c r="E4275" t="s">
        <v>49</v>
      </c>
      <c r="F4275">
        <v>4</v>
      </c>
      <c r="G4275">
        <v>0.34832611474875924</v>
      </c>
      <c r="H4275" t="s">
        <v>95</v>
      </c>
      <c r="I4275">
        <v>0</v>
      </c>
      <c r="J4275">
        <v>0</v>
      </c>
      <c r="K4275">
        <v>0</v>
      </c>
    </row>
    <row r="4276" spans="1:11" x14ac:dyDescent="0.2">
      <c r="A4276" t="s">
        <v>16</v>
      </c>
      <c r="B4276" t="s">
        <v>5840</v>
      </c>
      <c r="C4276">
        <v>480</v>
      </c>
      <c r="D4276" t="s">
        <v>8765</v>
      </c>
      <c r="E4276" t="s">
        <v>49</v>
      </c>
      <c r="F4276">
        <v>4</v>
      </c>
      <c r="G4276">
        <v>0.34832611474875924</v>
      </c>
      <c r="H4276" t="s">
        <v>88</v>
      </c>
      <c r="I4276">
        <v>0</v>
      </c>
      <c r="J4276">
        <v>0</v>
      </c>
      <c r="K4276">
        <v>0</v>
      </c>
    </row>
    <row r="4277" spans="1:11" x14ac:dyDescent="0.2">
      <c r="A4277" t="s">
        <v>16</v>
      </c>
      <c r="B4277" t="s">
        <v>5840</v>
      </c>
      <c r="C4277">
        <v>480</v>
      </c>
      <c r="D4277" t="s">
        <v>8771</v>
      </c>
      <c r="E4277" t="s">
        <v>49</v>
      </c>
      <c r="F4277">
        <v>4</v>
      </c>
      <c r="G4277">
        <v>0.34832611474875924</v>
      </c>
      <c r="H4277" t="s">
        <v>97</v>
      </c>
      <c r="I4277">
        <v>0</v>
      </c>
      <c r="J4277">
        <v>0</v>
      </c>
      <c r="K4277">
        <v>0</v>
      </c>
    </row>
    <row r="4278" spans="1:11" x14ac:dyDescent="0.2">
      <c r="A4278" t="s">
        <v>16</v>
      </c>
      <c r="B4278" t="s">
        <v>5840</v>
      </c>
      <c r="C4278">
        <v>480</v>
      </c>
      <c r="D4278" t="s">
        <v>8768</v>
      </c>
      <c r="E4278" t="s">
        <v>49</v>
      </c>
      <c r="F4278">
        <v>4</v>
      </c>
      <c r="G4278">
        <v>0.34832611474875924</v>
      </c>
      <c r="H4278" t="s">
        <v>91</v>
      </c>
      <c r="I4278">
        <v>0</v>
      </c>
      <c r="J4278">
        <v>0</v>
      </c>
      <c r="K4278">
        <v>0</v>
      </c>
    </row>
    <row r="4279" spans="1:11" x14ac:dyDescent="0.2">
      <c r="A4279" t="s">
        <v>16</v>
      </c>
      <c r="B4279" t="s">
        <v>5840</v>
      </c>
      <c r="C4279">
        <v>480</v>
      </c>
      <c r="D4279" t="s">
        <v>8770</v>
      </c>
      <c r="E4279" t="s">
        <v>49</v>
      </c>
      <c r="F4279">
        <v>4</v>
      </c>
      <c r="G4279">
        <v>0.34832611474875924</v>
      </c>
      <c r="H4279" t="s">
        <v>95</v>
      </c>
      <c r="I4279">
        <v>0</v>
      </c>
      <c r="J4279">
        <v>0</v>
      </c>
      <c r="K4279">
        <v>0</v>
      </c>
    </row>
    <row r="4280" spans="1:11" x14ac:dyDescent="0.2">
      <c r="A4280" t="s">
        <v>16</v>
      </c>
      <c r="B4280" t="s">
        <v>5840</v>
      </c>
      <c r="C4280">
        <v>480</v>
      </c>
      <c r="D4280" t="s">
        <v>8772</v>
      </c>
      <c r="E4280" t="s">
        <v>49</v>
      </c>
      <c r="F4280">
        <v>4</v>
      </c>
      <c r="G4280">
        <v>0.34832611474875924</v>
      </c>
      <c r="H4280" t="s">
        <v>88</v>
      </c>
      <c r="I4280">
        <v>0</v>
      </c>
      <c r="J4280">
        <v>0</v>
      </c>
      <c r="K4280">
        <v>0</v>
      </c>
    </row>
    <row r="4281" spans="1:11" x14ac:dyDescent="0.2">
      <c r="A4281" t="s">
        <v>16</v>
      </c>
      <c r="B4281" t="s">
        <v>5840</v>
      </c>
      <c r="C4281">
        <v>480</v>
      </c>
      <c r="D4281" t="s">
        <v>8811</v>
      </c>
      <c r="E4281" t="s">
        <v>49</v>
      </c>
      <c r="F4281">
        <v>4</v>
      </c>
      <c r="G4281">
        <v>0.34832611474875924</v>
      </c>
      <c r="H4281" t="s">
        <v>97</v>
      </c>
      <c r="I4281">
        <v>0</v>
      </c>
      <c r="J4281">
        <v>0</v>
      </c>
      <c r="K4281">
        <v>0</v>
      </c>
    </row>
    <row r="4282" spans="1:11" x14ac:dyDescent="0.2">
      <c r="A4282" t="s">
        <v>16</v>
      </c>
      <c r="B4282" t="s">
        <v>5840</v>
      </c>
      <c r="C4282">
        <v>480</v>
      </c>
      <c r="D4282" t="s">
        <v>8810</v>
      </c>
      <c r="E4282" t="s">
        <v>49</v>
      </c>
      <c r="F4282">
        <v>4</v>
      </c>
      <c r="G4282">
        <v>0.34832611474875924</v>
      </c>
      <c r="H4282" t="s">
        <v>91</v>
      </c>
      <c r="I4282">
        <v>0</v>
      </c>
      <c r="J4282">
        <v>0</v>
      </c>
      <c r="K4282">
        <v>0</v>
      </c>
    </row>
    <row r="4283" spans="1:11" x14ac:dyDescent="0.2">
      <c r="A4283" t="s">
        <v>16</v>
      </c>
      <c r="B4283" t="s">
        <v>5840</v>
      </c>
      <c r="C4283">
        <v>480</v>
      </c>
      <c r="D4283" t="s">
        <v>8809</v>
      </c>
      <c r="E4283" t="s">
        <v>49</v>
      </c>
      <c r="F4283">
        <v>4</v>
      </c>
      <c r="G4283">
        <v>0.34832611474875924</v>
      </c>
      <c r="H4283" t="s">
        <v>95</v>
      </c>
      <c r="I4283">
        <v>0</v>
      </c>
      <c r="J4283">
        <v>0</v>
      </c>
      <c r="K4283">
        <v>0</v>
      </c>
    </row>
    <row r="4284" spans="1:11" x14ac:dyDescent="0.2">
      <c r="A4284" t="s">
        <v>16</v>
      </c>
      <c r="B4284" t="s">
        <v>5840</v>
      </c>
      <c r="C4284">
        <v>480</v>
      </c>
      <c r="D4284" t="s">
        <v>8773</v>
      </c>
      <c r="E4284" t="s">
        <v>49</v>
      </c>
      <c r="F4284">
        <v>4</v>
      </c>
      <c r="G4284">
        <v>0.34832611474875924</v>
      </c>
      <c r="H4284" t="s">
        <v>88</v>
      </c>
      <c r="I4284">
        <v>0</v>
      </c>
      <c r="J4284">
        <v>0</v>
      </c>
      <c r="K4284">
        <v>0</v>
      </c>
    </row>
    <row r="4285" spans="1:11" x14ac:dyDescent="0.2">
      <c r="A4285" t="s">
        <v>16</v>
      </c>
      <c r="B4285" t="s">
        <v>5840</v>
      </c>
      <c r="C4285">
        <v>480</v>
      </c>
      <c r="D4285" t="s">
        <v>8747</v>
      </c>
      <c r="E4285" t="s">
        <v>49</v>
      </c>
      <c r="F4285">
        <v>4</v>
      </c>
      <c r="G4285">
        <v>0.34832611474875924</v>
      </c>
      <c r="H4285" t="s">
        <v>97</v>
      </c>
      <c r="I4285">
        <v>0</v>
      </c>
      <c r="J4285">
        <v>0</v>
      </c>
      <c r="K4285">
        <v>0</v>
      </c>
    </row>
    <row r="4286" spans="1:11" x14ac:dyDescent="0.2">
      <c r="A4286" t="s">
        <v>16</v>
      </c>
      <c r="B4286" t="s">
        <v>5840</v>
      </c>
      <c r="C4286">
        <v>480</v>
      </c>
      <c r="D4286" t="s">
        <v>8746</v>
      </c>
      <c r="E4286" t="s">
        <v>49</v>
      </c>
      <c r="F4286">
        <v>4</v>
      </c>
      <c r="G4286">
        <v>0.34832611474875924</v>
      </c>
      <c r="H4286" t="s">
        <v>91</v>
      </c>
      <c r="I4286">
        <v>0</v>
      </c>
      <c r="J4286">
        <v>0</v>
      </c>
      <c r="K4286">
        <v>0</v>
      </c>
    </row>
    <row r="4287" spans="1:11" x14ac:dyDescent="0.2">
      <c r="A4287" t="s">
        <v>16</v>
      </c>
      <c r="B4287" t="s">
        <v>5840</v>
      </c>
      <c r="C4287">
        <v>480</v>
      </c>
      <c r="D4287" t="s">
        <v>8745</v>
      </c>
      <c r="E4287" t="s">
        <v>49</v>
      </c>
      <c r="F4287">
        <v>4</v>
      </c>
      <c r="G4287">
        <v>0.34832611474875924</v>
      </c>
      <c r="H4287" t="s">
        <v>95</v>
      </c>
      <c r="I4287">
        <v>0</v>
      </c>
      <c r="J4287">
        <v>0</v>
      </c>
      <c r="K4287">
        <v>0</v>
      </c>
    </row>
    <row r="4288" spans="1:11" x14ac:dyDescent="0.2">
      <c r="A4288" t="s">
        <v>16</v>
      </c>
      <c r="B4288" t="s">
        <v>5840</v>
      </c>
      <c r="C4288">
        <v>480</v>
      </c>
      <c r="D4288" t="s">
        <v>8812</v>
      </c>
      <c r="E4288" t="s">
        <v>49</v>
      </c>
      <c r="F4288">
        <v>4</v>
      </c>
      <c r="G4288">
        <v>0.34832611474875924</v>
      </c>
      <c r="H4288" t="s">
        <v>88</v>
      </c>
      <c r="I4288">
        <v>0</v>
      </c>
      <c r="J4288">
        <v>0</v>
      </c>
      <c r="K4288">
        <v>0</v>
      </c>
    </row>
    <row r="4289" spans="1:11" x14ac:dyDescent="0.2">
      <c r="A4289" t="s">
        <v>16</v>
      </c>
      <c r="B4289" t="s">
        <v>5840</v>
      </c>
      <c r="C4289">
        <v>480</v>
      </c>
      <c r="D4289" t="s">
        <v>8803</v>
      </c>
      <c r="E4289" t="s">
        <v>49</v>
      </c>
      <c r="F4289">
        <v>4</v>
      </c>
      <c r="G4289">
        <v>0.34832611474875924</v>
      </c>
      <c r="H4289" t="s">
        <v>97</v>
      </c>
      <c r="I4289">
        <v>0</v>
      </c>
      <c r="J4289">
        <v>0</v>
      </c>
      <c r="K4289">
        <v>0</v>
      </c>
    </row>
    <row r="4290" spans="1:11" x14ac:dyDescent="0.2">
      <c r="A4290" t="s">
        <v>16</v>
      </c>
      <c r="B4290" t="s">
        <v>5840</v>
      </c>
      <c r="C4290">
        <v>480</v>
      </c>
      <c r="D4290" t="s">
        <v>8802</v>
      </c>
      <c r="E4290" t="s">
        <v>49</v>
      </c>
      <c r="F4290">
        <v>4</v>
      </c>
      <c r="G4290">
        <v>0.34832611474875924</v>
      </c>
      <c r="H4290" t="s">
        <v>91</v>
      </c>
      <c r="I4290">
        <v>0</v>
      </c>
      <c r="J4290">
        <v>0</v>
      </c>
      <c r="K4290">
        <v>0</v>
      </c>
    </row>
    <row r="4291" spans="1:11" x14ac:dyDescent="0.2">
      <c r="A4291" t="s">
        <v>16</v>
      </c>
      <c r="B4291" t="s">
        <v>5840</v>
      </c>
      <c r="C4291">
        <v>480</v>
      </c>
      <c r="D4291" t="s">
        <v>8805</v>
      </c>
      <c r="E4291" t="s">
        <v>49</v>
      </c>
      <c r="F4291">
        <v>4</v>
      </c>
      <c r="G4291">
        <v>0.34832611474875924</v>
      </c>
      <c r="H4291" t="s">
        <v>95</v>
      </c>
      <c r="I4291">
        <v>0</v>
      </c>
      <c r="J4291">
        <v>0</v>
      </c>
      <c r="K4291">
        <v>0</v>
      </c>
    </row>
    <row r="4292" spans="1:11" x14ac:dyDescent="0.2">
      <c r="A4292" t="s">
        <v>16</v>
      </c>
      <c r="B4292" t="s">
        <v>5840</v>
      </c>
      <c r="C4292">
        <v>480</v>
      </c>
      <c r="D4292" t="s">
        <v>8804</v>
      </c>
      <c r="E4292" t="s">
        <v>49</v>
      </c>
      <c r="F4292">
        <v>4</v>
      </c>
      <c r="G4292">
        <v>0.34832611474875924</v>
      </c>
      <c r="H4292" t="s">
        <v>88</v>
      </c>
      <c r="I4292">
        <v>0</v>
      </c>
      <c r="J4292">
        <v>0</v>
      </c>
      <c r="K4292">
        <v>0</v>
      </c>
    </row>
    <row r="4293" spans="1:11" x14ac:dyDescent="0.2">
      <c r="A4293" t="s">
        <v>16</v>
      </c>
      <c r="B4293" t="s">
        <v>5840</v>
      </c>
      <c r="C4293">
        <v>480</v>
      </c>
      <c r="D4293" t="s">
        <v>8815</v>
      </c>
      <c r="E4293" t="s">
        <v>49</v>
      </c>
      <c r="F4293">
        <v>4</v>
      </c>
      <c r="G4293">
        <v>0.34832611474875924</v>
      </c>
      <c r="H4293" t="s">
        <v>97</v>
      </c>
      <c r="I4293">
        <v>0</v>
      </c>
      <c r="J4293">
        <v>0</v>
      </c>
      <c r="K4293">
        <v>0</v>
      </c>
    </row>
    <row r="4294" spans="1:11" x14ac:dyDescent="0.2">
      <c r="A4294" t="s">
        <v>16</v>
      </c>
      <c r="B4294" t="s">
        <v>5840</v>
      </c>
      <c r="C4294">
        <v>480</v>
      </c>
      <c r="D4294" t="s">
        <v>8814</v>
      </c>
      <c r="E4294" t="s">
        <v>49</v>
      </c>
      <c r="F4294">
        <v>4</v>
      </c>
      <c r="G4294">
        <v>0.34832611474875924</v>
      </c>
      <c r="H4294" t="s">
        <v>91</v>
      </c>
      <c r="I4294">
        <v>0</v>
      </c>
      <c r="J4294">
        <v>0</v>
      </c>
      <c r="K4294">
        <v>0</v>
      </c>
    </row>
    <row r="4295" spans="1:11" x14ac:dyDescent="0.2">
      <c r="A4295" t="s">
        <v>16</v>
      </c>
      <c r="B4295" t="s">
        <v>5840</v>
      </c>
      <c r="C4295">
        <v>480</v>
      </c>
      <c r="D4295" t="s">
        <v>8813</v>
      </c>
      <c r="E4295" t="s">
        <v>49</v>
      </c>
      <c r="F4295">
        <v>4</v>
      </c>
      <c r="G4295">
        <v>0.34832611474875924</v>
      </c>
      <c r="H4295" t="s">
        <v>95</v>
      </c>
      <c r="I4295">
        <v>0</v>
      </c>
      <c r="J4295">
        <v>0</v>
      </c>
      <c r="K4295">
        <v>0</v>
      </c>
    </row>
    <row r="4296" spans="1:11" x14ac:dyDescent="0.2">
      <c r="A4296" t="s">
        <v>16</v>
      </c>
      <c r="B4296" t="s">
        <v>5840</v>
      </c>
      <c r="C4296">
        <v>480</v>
      </c>
      <c r="D4296" t="s">
        <v>8744</v>
      </c>
      <c r="E4296" t="s">
        <v>49</v>
      </c>
      <c r="F4296">
        <v>4</v>
      </c>
      <c r="G4296">
        <v>0.34832611474875924</v>
      </c>
      <c r="H4296" t="s">
        <v>88</v>
      </c>
      <c r="I4296">
        <v>0</v>
      </c>
      <c r="J4296">
        <v>0</v>
      </c>
      <c r="K4296">
        <v>0</v>
      </c>
    </row>
    <row r="4297" spans="1:11" x14ac:dyDescent="0.2">
      <c r="A4297" t="s">
        <v>16</v>
      </c>
      <c r="B4297" t="s">
        <v>5840</v>
      </c>
      <c r="C4297">
        <v>480</v>
      </c>
      <c r="D4297" t="s">
        <v>8743</v>
      </c>
      <c r="E4297" t="s">
        <v>49</v>
      </c>
      <c r="F4297">
        <v>4</v>
      </c>
      <c r="G4297">
        <v>0.34832611474875924</v>
      </c>
      <c r="H4297" t="s">
        <v>97</v>
      </c>
      <c r="I4297">
        <v>0</v>
      </c>
      <c r="J4297">
        <v>0</v>
      </c>
      <c r="K4297">
        <v>0</v>
      </c>
    </row>
    <row r="4298" spans="1:11" x14ac:dyDescent="0.2">
      <c r="A4298" t="s">
        <v>16</v>
      </c>
      <c r="B4298" t="s">
        <v>5840</v>
      </c>
      <c r="C4298">
        <v>480</v>
      </c>
      <c r="D4298" t="s">
        <v>8751</v>
      </c>
      <c r="E4298" t="s">
        <v>49</v>
      </c>
      <c r="F4298">
        <v>4</v>
      </c>
      <c r="G4298">
        <v>0.34832611474875924</v>
      </c>
      <c r="H4298" t="s">
        <v>91</v>
      </c>
      <c r="I4298">
        <v>0</v>
      </c>
      <c r="J4298">
        <v>0</v>
      </c>
      <c r="K4298">
        <v>0</v>
      </c>
    </row>
    <row r="4299" spans="1:11" x14ac:dyDescent="0.2">
      <c r="A4299" t="s">
        <v>16</v>
      </c>
      <c r="B4299" t="s">
        <v>5772</v>
      </c>
      <c r="C4299">
        <v>750</v>
      </c>
      <c r="D4299" t="s">
        <v>8839</v>
      </c>
      <c r="E4299" t="s">
        <v>49</v>
      </c>
      <c r="F4299">
        <v>5</v>
      </c>
      <c r="G4299">
        <v>0.4750396742544537</v>
      </c>
      <c r="H4299" t="s">
        <v>84</v>
      </c>
      <c r="I4299">
        <v>0</v>
      </c>
      <c r="J4299">
        <v>0</v>
      </c>
      <c r="K4299">
        <v>0</v>
      </c>
    </row>
    <row r="4300" spans="1:11" x14ac:dyDescent="0.2">
      <c r="A4300" t="s">
        <v>16</v>
      </c>
      <c r="B4300" t="s">
        <v>5772</v>
      </c>
      <c r="C4300">
        <v>750</v>
      </c>
      <c r="D4300" t="s">
        <v>8852</v>
      </c>
      <c r="E4300" t="s">
        <v>49</v>
      </c>
      <c r="F4300">
        <v>5</v>
      </c>
      <c r="G4300">
        <v>0.4750396742544537</v>
      </c>
      <c r="H4300" t="s">
        <v>93</v>
      </c>
      <c r="I4300">
        <v>0</v>
      </c>
      <c r="J4300">
        <v>0</v>
      </c>
      <c r="K4300">
        <v>0</v>
      </c>
    </row>
    <row r="4301" spans="1:11" x14ac:dyDescent="0.2">
      <c r="A4301" t="s">
        <v>16</v>
      </c>
      <c r="B4301" t="s">
        <v>5772</v>
      </c>
      <c r="C4301">
        <v>750</v>
      </c>
      <c r="D4301" t="s">
        <v>8834</v>
      </c>
      <c r="E4301" t="s">
        <v>49</v>
      </c>
      <c r="F4301">
        <v>5</v>
      </c>
      <c r="G4301">
        <v>0.4750396742544537</v>
      </c>
      <c r="H4301" t="s">
        <v>89</v>
      </c>
      <c r="I4301">
        <v>0</v>
      </c>
      <c r="J4301">
        <v>0</v>
      </c>
      <c r="K4301">
        <v>0</v>
      </c>
    </row>
    <row r="4302" spans="1:11" x14ac:dyDescent="0.2">
      <c r="A4302" t="s">
        <v>16</v>
      </c>
      <c r="B4302" t="s">
        <v>5772</v>
      </c>
      <c r="C4302">
        <v>750</v>
      </c>
      <c r="D4302" t="s">
        <v>8842</v>
      </c>
      <c r="E4302" t="s">
        <v>49</v>
      </c>
      <c r="F4302">
        <v>5</v>
      </c>
      <c r="G4302">
        <v>0.4750396742544537</v>
      </c>
      <c r="H4302" t="s">
        <v>90</v>
      </c>
      <c r="I4302">
        <v>0</v>
      </c>
      <c r="J4302">
        <v>0</v>
      </c>
      <c r="K4302">
        <v>0</v>
      </c>
    </row>
    <row r="4303" spans="1:11" x14ac:dyDescent="0.2">
      <c r="A4303" t="s">
        <v>16</v>
      </c>
      <c r="B4303" t="s">
        <v>5772</v>
      </c>
      <c r="C4303">
        <v>750</v>
      </c>
      <c r="D4303" t="s">
        <v>8849</v>
      </c>
      <c r="E4303" t="s">
        <v>49</v>
      </c>
      <c r="F4303">
        <v>5</v>
      </c>
      <c r="G4303">
        <v>0.4750396742544537</v>
      </c>
      <c r="H4303" t="s">
        <v>100</v>
      </c>
      <c r="I4303">
        <v>0</v>
      </c>
      <c r="J4303">
        <v>0</v>
      </c>
      <c r="K4303">
        <v>0</v>
      </c>
    </row>
    <row r="4304" spans="1:11" x14ac:dyDescent="0.2">
      <c r="A4304" t="s">
        <v>16</v>
      </c>
      <c r="B4304" t="s">
        <v>5772</v>
      </c>
      <c r="C4304">
        <v>750</v>
      </c>
      <c r="D4304" t="s">
        <v>8840</v>
      </c>
      <c r="E4304" t="s">
        <v>49</v>
      </c>
      <c r="F4304">
        <v>5</v>
      </c>
      <c r="G4304">
        <v>0.4750396742544537</v>
      </c>
      <c r="H4304" t="s">
        <v>84</v>
      </c>
      <c r="I4304">
        <v>0</v>
      </c>
      <c r="J4304">
        <v>0</v>
      </c>
      <c r="K4304">
        <v>0</v>
      </c>
    </row>
    <row r="4305" spans="1:11" x14ac:dyDescent="0.2">
      <c r="A4305" t="s">
        <v>16</v>
      </c>
      <c r="B4305" t="s">
        <v>5772</v>
      </c>
      <c r="C4305">
        <v>750</v>
      </c>
      <c r="D4305" t="s">
        <v>8853</v>
      </c>
      <c r="E4305" t="s">
        <v>49</v>
      </c>
      <c r="F4305">
        <v>5</v>
      </c>
      <c r="G4305">
        <v>0.4750396742544537</v>
      </c>
      <c r="H4305" t="s">
        <v>93</v>
      </c>
      <c r="I4305">
        <v>0</v>
      </c>
      <c r="J4305">
        <v>0</v>
      </c>
      <c r="K4305">
        <v>0</v>
      </c>
    </row>
    <row r="4306" spans="1:11" x14ac:dyDescent="0.2">
      <c r="A4306" t="s">
        <v>16</v>
      </c>
      <c r="B4306" t="s">
        <v>5772</v>
      </c>
      <c r="C4306">
        <v>750</v>
      </c>
      <c r="D4306" t="s">
        <v>8851</v>
      </c>
      <c r="E4306" t="s">
        <v>49</v>
      </c>
      <c r="F4306">
        <v>5</v>
      </c>
      <c r="G4306">
        <v>0.4750396742544537</v>
      </c>
      <c r="H4306" t="s">
        <v>89</v>
      </c>
      <c r="I4306">
        <v>0</v>
      </c>
      <c r="J4306">
        <v>0</v>
      </c>
      <c r="K4306">
        <v>0</v>
      </c>
    </row>
    <row r="4307" spans="1:11" x14ac:dyDescent="0.2">
      <c r="A4307" t="s">
        <v>16</v>
      </c>
      <c r="B4307" t="s">
        <v>5772</v>
      </c>
      <c r="C4307">
        <v>750</v>
      </c>
      <c r="D4307" t="s">
        <v>8843</v>
      </c>
      <c r="E4307" t="s">
        <v>49</v>
      </c>
      <c r="F4307">
        <v>5</v>
      </c>
      <c r="G4307">
        <v>0.4750396742544537</v>
      </c>
      <c r="H4307" t="s">
        <v>90</v>
      </c>
      <c r="I4307">
        <v>0</v>
      </c>
      <c r="J4307">
        <v>0</v>
      </c>
      <c r="K4307">
        <v>0</v>
      </c>
    </row>
    <row r="4308" spans="1:11" x14ac:dyDescent="0.2">
      <c r="A4308" t="s">
        <v>16</v>
      </c>
      <c r="B4308" t="s">
        <v>5772</v>
      </c>
      <c r="C4308">
        <v>750</v>
      </c>
      <c r="D4308" t="s">
        <v>8847</v>
      </c>
      <c r="E4308" t="s">
        <v>49</v>
      </c>
      <c r="F4308">
        <v>5</v>
      </c>
      <c r="G4308">
        <v>0.4750396742544537</v>
      </c>
      <c r="H4308" t="s">
        <v>100</v>
      </c>
      <c r="I4308">
        <v>0</v>
      </c>
      <c r="J4308">
        <v>0</v>
      </c>
      <c r="K4308">
        <v>0</v>
      </c>
    </row>
    <row r="4309" spans="1:11" x14ac:dyDescent="0.2">
      <c r="A4309" t="s">
        <v>16</v>
      </c>
      <c r="B4309" t="s">
        <v>5772</v>
      </c>
      <c r="C4309">
        <v>750</v>
      </c>
      <c r="D4309" t="s">
        <v>8841</v>
      </c>
      <c r="E4309" t="s">
        <v>49</v>
      </c>
      <c r="F4309">
        <v>5</v>
      </c>
      <c r="G4309">
        <v>0.4750396742544537</v>
      </c>
      <c r="H4309" t="s">
        <v>84</v>
      </c>
      <c r="I4309">
        <v>0</v>
      </c>
      <c r="J4309">
        <v>0</v>
      </c>
      <c r="K4309">
        <v>0</v>
      </c>
    </row>
    <row r="4310" spans="1:11" x14ac:dyDescent="0.2">
      <c r="A4310" t="s">
        <v>16</v>
      </c>
      <c r="B4310" t="s">
        <v>5772</v>
      </c>
      <c r="C4310">
        <v>250</v>
      </c>
      <c r="D4310" t="s">
        <v>8836</v>
      </c>
      <c r="E4310" t="s">
        <v>49</v>
      </c>
      <c r="F4310">
        <v>5</v>
      </c>
      <c r="G4310">
        <v>0.1583465580848179</v>
      </c>
      <c r="H4310" t="s">
        <v>93</v>
      </c>
      <c r="I4310">
        <v>0</v>
      </c>
      <c r="J4310">
        <v>0</v>
      </c>
      <c r="K4310">
        <v>0</v>
      </c>
    </row>
    <row r="4311" spans="1:11" x14ac:dyDescent="0.2">
      <c r="A4311" t="s">
        <v>16</v>
      </c>
      <c r="B4311" t="s">
        <v>5772</v>
      </c>
      <c r="C4311">
        <v>750</v>
      </c>
      <c r="D4311" t="s">
        <v>8850</v>
      </c>
      <c r="E4311" t="s">
        <v>49</v>
      </c>
      <c r="F4311">
        <v>5</v>
      </c>
      <c r="G4311">
        <v>0.4750396742544537</v>
      </c>
      <c r="H4311" t="s">
        <v>89</v>
      </c>
      <c r="I4311">
        <v>0</v>
      </c>
      <c r="J4311">
        <v>0</v>
      </c>
      <c r="K4311">
        <v>0</v>
      </c>
    </row>
    <row r="4312" spans="1:11" x14ac:dyDescent="0.2">
      <c r="A4312" t="s">
        <v>16</v>
      </c>
      <c r="B4312" t="s">
        <v>5772</v>
      </c>
      <c r="C4312">
        <v>750</v>
      </c>
      <c r="D4312" t="s">
        <v>8844</v>
      </c>
      <c r="E4312" t="s">
        <v>49</v>
      </c>
      <c r="F4312">
        <v>5</v>
      </c>
      <c r="G4312">
        <v>0.4750396742544537</v>
      </c>
      <c r="H4312" t="s">
        <v>90</v>
      </c>
      <c r="I4312">
        <v>0</v>
      </c>
      <c r="J4312">
        <v>0</v>
      </c>
      <c r="K4312">
        <v>0</v>
      </c>
    </row>
    <row r="4313" spans="1:11" x14ac:dyDescent="0.2">
      <c r="A4313" t="s">
        <v>16</v>
      </c>
      <c r="B4313" t="s">
        <v>5772</v>
      </c>
      <c r="C4313">
        <v>500</v>
      </c>
      <c r="D4313" t="s">
        <v>8846</v>
      </c>
      <c r="E4313" t="s">
        <v>49</v>
      </c>
      <c r="F4313">
        <v>5</v>
      </c>
      <c r="G4313">
        <v>0.3166931161696358</v>
      </c>
      <c r="H4313" t="s">
        <v>100</v>
      </c>
      <c r="I4313">
        <v>0</v>
      </c>
      <c r="J4313">
        <v>0</v>
      </c>
      <c r="K4313">
        <v>0</v>
      </c>
    </row>
    <row r="4314" spans="1:11" x14ac:dyDescent="0.2">
      <c r="A4314" t="s">
        <v>16</v>
      </c>
      <c r="B4314" t="s">
        <v>5772</v>
      </c>
      <c r="C4314">
        <v>750</v>
      </c>
      <c r="D4314" t="s">
        <v>8835</v>
      </c>
      <c r="E4314" t="s">
        <v>49</v>
      </c>
      <c r="F4314">
        <v>5</v>
      </c>
      <c r="G4314">
        <v>0.4750396742544537</v>
      </c>
      <c r="H4314" t="s">
        <v>93</v>
      </c>
      <c r="I4314">
        <v>0</v>
      </c>
      <c r="J4314">
        <v>0</v>
      </c>
      <c r="K4314">
        <v>0</v>
      </c>
    </row>
    <row r="4315" spans="1:11" x14ac:dyDescent="0.2">
      <c r="A4315" t="s">
        <v>16</v>
      </c>
      <c r="B4315" t="s">
        <v>5772</v>
      </c>
      <c r="C4315">
        <v>750</v>
      </c>
      <c r="D4315" t="s">
        <v>8830</v>
      </c>
      <c r="E4315" t="s">
        <v>49</v>
      </c>
      <c r="F4315">
        <v>5</v>
      </c>
      <c r="G4315">
        <v>0.4750396742544537</v>
      </c>
      <c r="H4315" t="s">
        <v>84</v>
      </c>
      <c r="I4315">
        <v>0</v>
      </c>
      <c r="J4315">
        <v>0</v>
      </c>
      <c r="K4315">
        <v>0</v>
      </c>
    </row>
    <row r="4316" spans="1:11" x14ac:dyDescent="0.2">
      <c r="A4316" t="s">
        <v>16</v>
      </c>
      <c r="B4316" t="s">
        <v>5772</v>
      </c>
      <c r="C4316">
        <v>750</v>
      </c>
      <c r="D4316" t="s">
        <v>8854</v>
      </c>
      <c r="E4316" t="s">
        <v>49</v>
      </c>
      <c r="F4316">
        <v>5</v>
      </c>
      <c r="G4316">
        <v>0.4750396742544537</v>
      </c>
      <c r="H4316" t="s">
        <v>93</v>
      </c>
      <c r="I4316">
        <v>0</v>
      </c>
      <c r="J4316">
        <v>0</v>
      </c>
      <c r="K4316">
        <v>0</v>
      </c>
    </row>
    <row r="4317" spans="1:11" x14ac:dyDescent="0.2">
      <c r="A4317" t="s">
        <v>16</v>
      </c>
      <c r="B4317" t="s">
        <v>5772</v>
      </c>
      <c r="C4317">
        <v>750</v>
      </c>
      <c r="D4317" t="s">
        <v>8838</v>
      </c>
      <c r="E4317" t="s">
        <v>49</v>
      </c>
      <c r="F4317">
        <v>5</v>
      </c>
      <c r="G4317">
        <v>0.4750396742544537</v>
      </c>
      <c r="H4317" t="s">
        <v>89</v>
      </c>
      <c r="I4317">
        <v>0</v>
      </c>
      <c r="J4317">
        <v>0</v>
      </c>
      <c r="K4317">
        <v>0</v>
      </c>
    </row>
    <row r="4318" spans="1:11" x14ac:dyDescent="0.2">
      <c r="A4318" t="s">
        <v>16</v>
      </c>
      <c r="B4318" t="s">
        <v>5772</v>
      </c>
      <c r="C4318">
        <v>750</v>
      </c>
      <c r="D4318" t="s">
        <v>8832</v>
      </c>
      <c r="E4318" t="s">
        <v>49</v>
      </c>
      <c r="F4318">
        <v>5</v>
      </c>
      <c r="G4318">
        <v>0.4750396742544537</v>
      </c>
      <c r="H4318" t="s">
        <v>90</v>
      </c>
      <c r="I4318">
        <v>0</v>
      </c>
      <c r="J4318">
        <v>0</v>
      </c>
      <c r="K4318">
        <v>0</v>
      </c>
    </row>
    <row r="4319" spans="1:11" x14ac:dyDescent="0.2">
      <c r="A4319" t="s">
        <v>16</v>
      </c>
      <c r="B4319" t="s">
        <v>5772</v>
      </c>
      <c r="C4319">
        <v>750</v>
      </c>
      <c r="D4319" t="s">
        <v>8848</v>
      </c>
      <c r="E4319" t="s">
        <v>49</v>
      </c>
      <c r="F4319">
        <v>5</v>
      </c>
      <c r="G4319">
        <v>0.4750396742544537</v>
      </c>
      <c r="H4319" t="s">
        <v>100</v>
      </c>
      <c r="I4319">
        <v>0</v>
      </c>
      <c r="J4319">
        <v>0</v>
      </c>
      <c r="K4319">
        <v>0</v>
      </c>
    </row>
    <row r="4320" spans="1:11" x14ac:dyDescent="0.2">
      <c r="A4320" t="s">
        <v>16</v>
      </c>
      <c r="B4320" t="s">
        <v>5772</v>
      </c>
      <c r="C4320">
        <v>250</v>
      </c>
      <c r="D4320" t="s">
        <v>8845</v>
      </c>
      <c r="E4320" t="s">
        <v>49</v>
      </c>
      <c r="F4320">
        <v>5</v>
      </c>
      <c r="G4320">
        <v>0.1583465580848179</v>
      </c>
      <c r="H4320" t="s">
        <v>100</v>
      </c>
      <c r="I4320">
        <v>0</v>
      </c>
      <c r="J4320">
        <v>0</v>
      </c>
      <c r="K4320">
        <v>0</v>
      </c>
    </row>
    <row r="4321" spans="1:11" x14ac:dyDescent="0.2">
      <c r="A4321" t="s">
        <v>16</v>
      </c>
      <c r="B4321" t="s">
        <v>5772</v>
      </c>
      <c r="C4321">
        <v>750</v>
      </c>
      <c r="D4321" t="s">
        <v>8837</v>
      </c>
      <c r="E4321" t="s">
        <v>49</v>
      </c>
      <c r="F4321">
        <v>5</v>
      </c>
      <c r="G4321">
        <v>0.4750396742544537</v>
      </c>
      <c r="H4321" t="s">
        <v>84</v>
      </c>
      <c r="I4321">
        <v>0</v>
      </c>
      <c r="J4321">
        <v>0</v>
      </c>
      <c r="K4321">
        <v>0</v>
      </c>
    </row>
    <row r="4322" spans="1:11" x14ac:dyDescent="0.2">
      <c r="A4322" t="s">
        <v>16</v>
      </c>
      <c r="B4322" t="s">
        <v>5772</v>
      </c>
      <c r="C4322">
        <v>250</v>
      </c>
      <c r="D4322" t="s">
        <v>8833</v>
      </c>
      <c r="E4322" t="s">
        <v>49</v>
      </c>
      <c r="F4322">
        <v>5</v>
      </c>
      <c r="G4322">
        <v>0.1583465580848179</v>
      </c>
      <c r="H4322" t="s">
        <v>84</v>
      </c>
      <c r="I4322">
        <v>0</v>
      </c>
      <c r="J4322">
        <v>0</v>
      </c>
      <c r="K4322">
        <v>0</v>
      </c>
    </row>
    <row r="4323" spans="1:11" x14ac:dyDescent="0.2">
      <c r="A4323" t="s">
        <v>16</v>
      </c>
      <c r="B4323" t="s">
        <v>5772</v>
      </c>
      <c r="C4323">
        <v>500</v>
      </c>
      <c r="D4323" t="s">
        <v>8831</v>
      </c>
      <c r="E4323" t="s">
        <v>49</v>
      </c>
      <c r="F4323">
        <v>5</v>
      </c>
      <c r="G4323">
        <v>0.3166931161696358</v>
      </c>
      <c r="H4323" t="s">
        <v>93</v>
      </c>
      <c r="I4323">
        <v>0</v>
      </c>
      <c r="J4323">
        <v>0</v>
      </c>
      <c r="K4323">
        <v>0</v>
      </c>
    </row>
    <row r="4324" spans="1:11" x14ac:dyDescent="0.2">
      <c r="A4324" t="s">
        <v>16</v>
      </c>
      <c r="B4324" t="s">
        <v>5771</v>
      </c>
      <c r="C4324">
        <v>750</v>
      </c>
      <c r="D4324" t="s">
        <v>8876</v>
      </c>
      <c r="E4324" t="s">
        <v>49</v>
      </c>
      <c r="F4324">
        <v>5</v>
      </c>
      <c r="G4324">
        <v>0.27205335223446087</v>
      </c>
      <c r="H4324" t="s">
        <v>92</v>
      </c>
      <c r="I4324">
        <v>0</v>
      </c>
      <c r="J4324">
        <v>0</v>
      </c>
      <c r="K4324">
        <v>0</v>
      </c>
    </row>
    <row r="4325" spans="1:11" x14ac:dyDescent="0.2">
      <c r="A4325" t="s">
        <v>16</v>
      </c>
      <c r="B4325" t="s">
        <v>5771</v>
      </c>
      <c r="C4325">
        <v>750</v>
      </c>
      <c r="D4325" t="s">
        <v>8865</v>
      </c>
      <c r="E4325" t="s">
        <v>49</v>
      </c>
      <c r="F4325">
        <v>5</v>
      </c>
      <c r="G4325">
        <v>0.27205335223446087</v>
      </c>
      <c r="H4325" t="s">
        <v>92</v>
      </c>
      <c r="I4325">
        <v>0</v>
      </c>
      <c r="J4325">
        <v>0</v>
      </c>
      <c r="K4325">
        <v>0</v>
      </c>
    </row>
    <row r="4326" spans="1:11" x14ac:dyDescent="0.2">
      <c r="A4326" t="s">
        <v>16</v>
      </c>
      <c r="B4326" t="s">
        <v>5771</v>
      </c>
      <c r="C4326">
        <v>500</v>
      </c>
      <c r="D4326" t="s">
        <v>8877</v>
      </c>
      <c r="E4326" t="s">
        <v>49</v>
      </c>
      <c r="F4326">
        <v>5</v>
      </c>
      <c r="G4326">
        <v>0.18136890148964058</v>
      </c>
      <c r="H4326" t="s">
        <v>92</v>
      </c>
      <c r="I4326">
        <v>0</v>
      </c>
      <c r="J4326">
        <v>0</v>
      </c>
      <c r="K4326">
        <v>0</v>
      </c>
    </row>
    <row r="4327" spans="1:11" x14ac:dyDescent="0.2">
      <c r="A4327" t="s">
        <v>16</v>
      </c>
      <c r="B4327" t="s">
        <v>5771</v>
      </c>
      <c r="C4327">
        <v>750</v>
      </c>
      <c r="D4327" t="s">
        <v>8855</v>
      </c>
      <c r="E4327" t="s">
        <v>49</v>
      </c>
      <c r="F4327">
        <v>5</v>
      </c>
      <c r="G4327">
        <v>0.27205335223446087</v>
      </c>
      <c r="H4327" t="s">
        <v>92</v>
      </c>
      <c r="I4327">
        <v>0</v>
      </c>
      <c r="J4327">
        <v>0</v>
      </c>
      <c r="K4327">
        <v>0</v>
      </c>
    </row>
    <row r="4328" spans="1:11" x14ac:dyDescent="0.2">
      <c r="A4328" t="s">
        <v>16</v>
      </c>
      <c r="B4328" t="s">
        <v>5771</v>
      </c>
      <c r="C4328">
        <v>500</v>
      </c>
      <c r="D4328" t="s">
        <v>8861</v>
      </c>
      <c r="E4328" t="s">
        <v>49</v>
      </c>
      <c r="F4328">
        <v>5</v>
      </c>
      <c r="G4328">
        <v>0.18136890148964058</v>
      </c>
      <c r="H4328" t="s">
        <v>87</v>
      </c>
      <c r="I4328">
        <v>0</v>
      </c>
      <c r="J4328">
        <v>0</v>
      </c>
      <c r="K4328">
        <v>0</v>
      </c>
    </row>
    <row r="4329" spans="1:11" x14ac:dyDescent="0.2">
      <c r="A4329" t="s">
        <v>16</v>
      </c>
      <c r="B4329" t="s">
        <v>5771</v>
      </c>
      <c r="C4329">
        <v>750</v>
      </c>
      <c r="D4329" t="s">
        <v>8859</v>
      </c>
      <c r="E4329" t="s">
        <v>49</v>
      </c>
      <c r="F4329">
        <v>5</v>
      </c>
      <c r="G4329">
        <v>0.27205335223446087</v>
      </c>
      <c r="H4329" t="s">
        <v>87</v>
      </c>
      <c r="I4329">
        <v>0</v>
      </c>
      <c r="J4329">
        <v>0</v>
      </c>
      <c r="K4329">
        <v>0</v>
      </c>
    </row>
    <row r="4330" spans="1:11" x14ac:dyDescent="0.2">
      <c r="A4330" t="s">
        <v>16</v>
      </c>
      <c r="B4330" t="s">
        <v>5771</v>
      </c>
      <c r="C4330">
        <v>750</v>
      </c>
      <c r="D4330" t="s">
        <v>8857</v>
      </c>
      <c r="E4330" t="s">
        <v>49</v>
      </c>
      <c r="F4330">
        <v>5</v>
      </c>
      <c r="G4330">
        <v>0.27205335223446087</v>
      </c>
      <c r="H4330" t="s">
        <v>94</v>
      </c>
      <c r="I4330">
        <v>0</v>
      </c>
      <c r="J4330">
        <v>0</v>
      </c>
      <c r="K4330">
        <v>0</v>
      </c>
    </row>
    <row r="4331" spans="1:11" x14ac:dyDescent="0.2">
      <c r="A4331" t="s">
        <v>16</v>
      </c>
      <c r="B4331" t="s">
        <v>5771</v>
      </c>
      <c r="C4331">
        <v>750</v>
      </c>
      <c r="D4331" t="s">
        <v>8856</v>
      </c>
      <c r="E4331" t="s">
        <v>49</v>
      </c>
      <c r="F4331">
        <v>5</v>
      </c>
      <c r="G4331">
        <v>0.27205335223446087</v>
      </c>
      <c r="H4331" t="s">
        <v>92</v>
      </c>
      <c r="I4331">
        <v>0</v>
      </c>
      <c r="J4331">
        <v>0</v>
      </c>
      <c r="K4331">
        <v>0</v>
      </c>
    </row>
    <row r="4332" spans="1:11" x14ac:dyDescent="0.2">
      <c r="A4332" t="s">
        <v>16</v>
      </c>
      <c r="B4332" t="s">
        <v>5771</v>
      </c>
      <c r="C4332">
        <v>750</v>
      </c>
      <c r="D4332" t="s">
        <v>8860</v>
      </c>
      <c r="E4332" t="s">
        <v>49</v>
      </c>
      <c r="F4332">
        <v>5</v>
      </c>
      <c r="G4332">
        <v>0.27205335223446087</v>
      </c>
      <c r="H4332" t="s">
        <v>91</v>
      </c>
      <c r="I4332">
        <v>0</v>
      </c>
      <c r="J4332">
        <v>0</v>
      </c>
      <c r="K4332">
        <v>0</v>
      </c>
    </row>
    <row r="4333" spans="1:11" x14ac:dyDescent="0.2">
      <c r="A4333" t="s">
        <v>16</v>
      </c>
      <c r="B4333" t="s">
        <v>5771</v>
      </c>
      <c r="C4333">
        <v>750</v>
      </c>
      <c r="D4333" t="s">
        <v>8866</v>
      </c>
      <c r="E4333" t="s">
        <v>49</v>
      </c>
      <c r="F4333">
        <v>5</v>
      </c>
      <c r="G4333">
        <v>0.27205335223446087</v>
      </c>
      <c r="H4333" t="s">
        <v>92</v>
      </c>
      <c r="I4333">
        <v>0</v>
      </c>
      <c r="J4333">
        <v>0</v>
      </c>
      <c r="K4333">
        <v>0</v>
      </c>
    </row>
    <row r="4334" spans="1:11" x14ac:dyDescent="0.2">
      <c r="A4334" t="s">
        <v>16</v>
      </c>
      <c r="B4334" t="s">
        <v>5771</v>
      </c>
      <c r="C4334">
        <v>750</v>
      </c>
      <c r="D4334" t="s">
        <v>8864</v>
      </c>
      <c r="E4334" t="s">
        <v>49</v>
      </c>
      <c r="F4334">
        <v>5</v>
      </c>
      <c r="G4334">
        <v>0.27205335223446087</v>
      </c>
      <c r="H4334" t="s">
        <v>87</v>
      </c>
      <c r="I4334">
        <v>0</v>
      </c>
      <c r="J4334">
        <v>0</v>
      </c>
      <c r="K4334">
        <v>0</v>
      </c>
    </row>
    <row r="4335" spans="1:11" x14ac:dyDescent="0.2">
      <c r="A4335" t="s">
        <v>16</v>
      </c>
      <c r="B4335" t="s">
        <v>5771</v>
      </c>
      <c r="C4335">
        <v>750</v>
      </c>
      <c r="D4335" t="s">
        <v>8870</v>
      </c>
      <c r="E4335" t="s">
        <v>49</v>
      </c>
      <c r="F4335">
        <v>5</v>
      </c>
      <c r="G4335">
        <v>0.27205335223446087</v>
      </c>
      <c r="H4335" t="s">
        <v>94</v>
      </c>
      <c r="I4335">
        <v>0</v>
      </c>
      <c r="J4335">
        <v>0</v>
      </c>
      <c r="K4335">
        <v>0</v>
      </c>
    </row>
    <row r="4336" spans="1:11" x14ac:dyDescent="0.2">
      <c r="A4336" t="s">
        <v>16</v>
      </c>
      <c r="B4336" t="s">
        <v>5771</v>
      </c>
      <c r="C4336">
        <v>750</v>
      </c>
      <c r="D4336" t="s">
        <v>8873</v>
      </c>
      <c r="E4336" t="s">
        <v>49</v>
      </c>
      <c r="F4336">
        <v>5</v>
      </c>
      <c r="G4336">
        <v>0.27205335223446087</v>
      </c>
      <c r="H4336" t="s">
        <v>91</v>
      </c>
      <c r="I4336">
        <v>0</v>
      </c>
      <c r="J4336">
        <v>0</v>
      </c>
      <c r="K4336">
        <v>0</v>
      </c>
    </row>
    <row r="4337" spans="1:11" x14ac:dyDescent="0.2">
      <c r="A4337" t="s">
        <v>16</v>
      </c>
      <c r="B4337" t="s">
        <v>5771</v>
      </c>
      <c r="C4337">
        <v>750</v>
      </c>
      <c r="D4337" t="s">
        <v>8867</v>
      </c>
      <c r="E4337" t="s">
        <v>49</v>
      </c>
      <c r="F4337">
        <v>5</v>
      </c>
      <c r="G4337">
        <v>0.27205335223446087</v>
      </c>
      <c r="H4337" t="s">
        <v>95</v>
      </c>
      <c r="I4337">
        <v>0</v>
      </c>
      <c r="J4337">
        <v>0</v>
      </c>
      <c r="K4337">
        <v>0</v>
      </c>
    </row>
    <row r="4338" spans="1:11" x14ac:dyDescent="0.2">
      <c r="A4338" t="s">
        <v>16</v>
      </c>
      <c r="B4338" t="s">
        <v>5771</v>
      </c>
      <c r="C4338">
        <v>750</v>
      </c>
      <c r="D4338" t="s">
        <v>8863</v>
      </c>
      <c r="E4338" t="s">
        <v>49</v>
      </c>
      <c r="F4338">
        <v>5</v>
      </c>
      <c r="G4338">
        <v>0.27205335223446087</v>
      </c>
      <c r="H4338" t="s">
        <v>92</v>
      </c>
      <c r="I4338">
        <v>0</v>
      </c>
      <c r="J4338">
        <v>0</v>
      </c>
      <c r="K4338">
        <v>0</v>
      </c>
    </row>
    <row r="4339" spans="1:11" x14ac:dyDescent="0.2">
      <c r="A4339" t="s">
        <v>16</v>
      </c>
      <c r="B4339" t="s">
        <v>5771</v>
      </c>
      <c r="C4339">
        <v>750</v>
      </c>
      <c r="D4339" t="s">
        <v>8869</v>
      </c>
      <c r="E4339" t="s">
        <v>49</v>
      </c>
      <c r="F4339">
        <v>5</v>
      </c>
      <c r="G4339">
        <v>0.27205335223446087</v>
      </c>
      <c r="H4339" t="s">
        <v>87</v>
      </c>
      <c r="I4339">
        <v>0</v>
      </c>
      <c r="J4339">
        <v>0</v>
      </c>
      <c r="K4339">
        <v>0</v>
      </c>
    </row>
    <row r="4340" spans="1:11" x14ac:dyDescent="0.2">
      <c r="A4340" t="s">
        <v>16</v>
      </c>
      <c r="B4340" t="s">
        <v>5771</v>
      </c>
      <c r="C4340">
        <v>750</v>
      </c>
      <c r="D4340" t="s">
        <v>8862</v>
      </c>
      <c r="E4340" t="s">
        <v>49</v>
      </c>
      <c r="F4340">
        <v>5</v>
      </c>
      <c r="G4340">
        <v>0.27205335223446087</v>
      </c>
      <c r="H4340" t="s">
        <v>94</v>
      </c>
      <c r="I4340">
        <v>0</v>
      </c>
      <c r="J4340">
        <v>0</v>
      </c>
      <c r="K4340">
        <v>0</v>
      </c>
    </row>
    <row r="4341" spans="1:11" x14ac:dyDescent="0.2">
      <c r="A4341" t="s">
        <v>16</v>
      </c>
      <c r="B4341" t="s">
        <v>5771</v>
      </c>
      <c r="C4341">
        <v>750</v>
      </c>
      <c r="D4341" t="s">
        <v>8875</v>
      </c>
      <c r="E4341" t="s">
        <v>49</v>
      </c>
      <c r="F4341">
        <v>5</v>
      </c>
      <c r="G4341">
        <v>0.27205335223446087</v>
      </c>
      <c r="H4341" t="s">
        <v>91</v>
      </c>
      <c r="I4341">
        <v>0</v>
      </c>
      <c r="J4341">
        <v>0</v>
      </c>
      <c r="K4341">
        <v>0</v>
      </c>
    </row>
    <row r="4342" spans="1:11" x14ac:dyDescent="0.2">
      <c r="A4342" t="s">
        <v>16</v>
      </c>
      <c r="B4342" t="s">
        <v>5771</v>
      </c>
      <c r="C4342">
        <v>500</v>
      </c>
      <c r="D4342" t="s">
        <v>8874</v>
      </c>
      <c r="E4342" t="s">
        <v>49</v>
      </c>
      <c r="F4342">
        <v>5</v>
      </c>
      <c r="G4342">
        <v>0.18136890148964058</v>
      </c>
      <c r="H4342" t="s">
        <v>95</v>
      </c>
      <c r="I4342">
        <v>0</v>
      </c>
      <c r="J4342">
        <v>0</v>
      </c>
      <c r="K4342">
        <v>0</v>
      </c>
    </row>
    <row r="4343" spans="1:11" x14ac:dyDescent="0.2">
      <c r="A4343" t="s">
        <v>16</v>
      </c>
      <c r="B4343" t="s">
        <v>5771</v>
      </c>
      <c r="C4343">
        <v>750</v>
      </c>
      <c r="D4343" t="s">
        <v>8871</v>
      </c>
      <c r="E4343" t="s">
        <v>49</v>
      </c>
      <c r="F4343">
        <v>5</v>
      </c>
      <c r="G4343">
        <v>0.27205335223446087</v>
      </c>
      <c r="H4343" t="s">
        <v>95</v>
      </c>
      <c r="I4343">
        <v>0</v>
      </c>
      <c r="J4343">
        <v>0</v>
      </c>
      <c r="K4343">
        <v>0</v>
      </c>
    </row>
    <row r="4344" spans="1:11" x14ac:dyDescent="0.2">
      <c r="A4344" t="s">
        <v>16</v>
      </c>
      <c r="B4344" t="s">
        <v>5771</v>
      </c>
      <c r="C4344">
        <v>750</v>
      </c>
      <c r="D4344" t="s">
        <v>8868</v>
      </c>
      <c r="E4344" t="s">
        <v>49</v>
      </c>
      <c r="F4344">
        <v>5</v>
      </c>
      <c r="G4344">
        <v>0.27205335223446087</v>
      </c>
      <c r="H4344" t="s">
        <v>92</v>
      </c>
      <c r="I4344">
        <v>0</v>
      </c>
      <c r="J4344">
        <v>0</v>
      </c>
      <c r="K4344">
        <v>0</v>
      </c>
    </row>
    <row r="4345" spans="1:11" x14ac:dyDescent="0.2">
      <c r="A4345" t="s">
        <v>16</v>
      </c>
      <c r="B4345" t="s">
        <v>5771</v>
      </c>
      <c r="C4345">
        <v>750</v>
      </c>
      <c r="D4345" t="s">
        <v>8872</v>
      </c>
      <c r="E4345" t="s">
        <v>49</v>
      </c>
      <c r="F4345">
        <v>5</v>
      </c>
      <c r="G4345">
        <v>0.27205335223446087</v>
      </c>
      <c r="H4345" t="s">
        <v>87</v>
      </c>
      <c r="I4345">
        <v>0</v>
      </c>
      <c r="J4345">
        <v>0</v>
      </c>
      <c r="K4345">
        <v>0</v>
      </c>
    </row>
    <row r="4346" spans="1:11" x14ac:dyDescent="0.2">
      <c r="A4346" t="s">
        <v>16</v>
      </c>
      <c r="B4346" t="s">
        <v>5771</v>
      </c>
      <c r="C4346">
        <v>750</v>
      </c>
      <c r="D4346" t="s">
        <v>8858</v>
      </c>
      <c r="E4346" t="s">
        <v>49</v>
      </c>
      <c r="F4346">
        <v>5</v>
      </c>
      <c r="G4346">
        <v>0.27205335223446087</v>
      </c>
      <c r="H4346" t="s">
        <v>94</v>
      </c>
      <c r="I4346">
        <v>0</v>
      </c>
      <c r="J4346">
        <v>0</v>
      </c>
      <c r="K4346">
        <v>0</v>
      </c>
    </row>
    <row r="4347" spans="1:11" x14ac:dyDescent="0.2">
      <c r="A4347" t="s">
        <v>16</v>
      </c>
      <c r="B4347" t="s">
        <v>2351</v>
      </c>
      <c r="C4347">
        <v>90</v>
      </c>
      <c r="D4347" t="s">
        <v>9054</v>
      </c>
      <c r="E4347" t="s">
        <v>51</v>
      </c>
      <c r="F4347">
        <v>3</v>
      </c>
      <c r="G4347">
        <v>0.16487354082144243</v>
      </c>
      <c r="H4347" t="s">
        <v>105</v>
      </c>
      <c r="I4347">
        <v>0</v>
      </c>
      <c r="J4347">
        <v>0</v>
      </c>
      <c r="K4347">
        <v>0</v>
      </c>
    </row>
    <row r="4348" spans="1:11" x14ac:dyDescent="0.2">
      <c r="A4348" t="s">
        <v>16</v>
      </c>
      <c r="B4348" t="s">
        <v>2352</v>
      </c>
      <c r="C4348">
        <v>90</v>
      </c>
      <c r="D4348" t="s">
        <v>9055</v>
      </c>
      <c r="E4348" t="s">
        <v>51</v>
      </c>
      <c r="F4348">
        <v>3</v>
      </c>
      <c r="G4348">
        <v>0.15895497026338148</v>
      </c>
      <c r="H4348" t="s">
        <v>87</v>
      </c>
      <c r="I4348">
        <v>0</v>
      </c>
      <c r="J4348">
        <v>0</v>
      </c>
      <c r="K4348">
        <v>0</v>
      </c>
    </row>
    <row r="4349" spans="1:11" x14ac:dyDescent="0.2">
      <c r="A4349" t="s">
        <v>16</v>
      </c>
      <c r="B4349" t="s">
        <v>676</v>
      </c>
      <c r="C4349">
        <v>200</v>
      </c>
      <c r="D4349" t="s">
        <v>9056</v>
      </c>
      <c r="E4349" t="s">
        <v>51</v>
      </c>
      <c r="F4349">
        <v>2</v>
      </c>
      <c r="G4349">
        <v>0.3643543996561518</v>
      </c>
      <c r="H4349" t="s">
        <v>94</v>
      </c>
      <c r="I4349">
        <v>0</v>
      </c>
      <c r="J4349">
        <v>0</v>
      </c>
      <c r="K4349">
        <v>0</v>
      </c>
    </row>
    <row r="4350" spans="1:11" x14ac:dyDescent="0.2">
      <c r="A4350" t="s">
        <v>16</v>
      </c>
      <c r="B4350" t="s">
        <v>676</v>
      </c>
      <c r="C4350">
        <v>100</v>
      </c>
      <c r="D4350" t="s">
        <v>9057</v>
      </c>
      <c r="E4350" t="s">
        <v>51</v>
      </c>
      <c r="F4350">
        <v>2</v>
      </c>
      <c r="G4350">
        <v>0.1821771998280759</v>
      </c>
      <c r="H4350" t="s">
        <v>94</v>
      </c>
      <c r="I4350">
        <v>0</v>
      </c>
      <c r="J4350">
        <v>0</v>
      </c>
      <c r="K4350">
        <v>0</v>
      </c>
    </row>
    <row r="4351" spans="1:11" x14ac:dyDescent="0.2">
      <c r="A4351" t="s">
        <v>16</v>
      </c>
      <c r="B4351" t="s">
        <v>929</v>
      </c>
      <c r="C4351">
        <v>100</v>
      </c>
      <c r="D4351" t="s">
        <v>9058</v>
      </c>
      <c r="E4351" t="s">
        <v>51</v>
      </c>
      <c r="F4351">
        <v>2</v>
      </c>
      <c r="G4351">
        <v>0.16807616281245813</v>
      </c>
      <c r="H4351" t="s">
        <v>89</v>
      </c>
      <c r="I4351">
        <v>0</v>
      </c>
      <c r="J4351">
        <v>0</v>
      </c>
      <c r="K4351">
        <v>0</v>
      </c>
    </row>
  </sheetData>
  <phoneticPr fontId="6" type="noConversion"/>
  <dataValidations count="1">
    <dataValidation type="list" allowBlank="1" showInputMessage="1" showErrorMessage="1" sqref="H13:H4351" xr:uid="{6932308E-7DFC-46E9-AE8A-0D0FD52B98C7}">
      <formula1>r_WaxCellSelection</formula1>
    </dataValidation>
  </dataValidations>
  <pageMargins left="0.7" right="0.7" top="0.75" bottom="0.75" header="0.3" footer="0.3"/>
  <pageSetup paperSize="9" orientation="portrait" r:id="rId1"/>
  <headerFooter>
    <oddFooter>&amp;C&amp;1#&amp;"Calibri"&amp;12&amp;K000000Classification: Pandora Internal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forcelogic1">
                <anchor moveWithCells="1" sizeWithCells="1">
                  <from>
                    <xdr:col>5</xdr:col>
                    <xdr:colOff>809625</xdr:colOff>
                    <xdr:row>0</xdr:row>
                    <xdr:rowOff>228600</xdr:rowOff>
                  </from>
                  <to>
                    <xdr:col>8</xdr:col>
                    <xdr:colOff>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temp_ManualAdjustment">
                <anchor moveWithCells="1" sizeWithCells="1">
                  <from>
                    <xdr:col>11</xdr:col>
                    <xdr:colOff>485775</xdr:colOff>
                    <xdr:row>7</xdr:row>
                    <xdr:rowOff>123825</xdr:rowOff>
                  </from>
                  <to>
                    <xdr:col>13</xdr:col>
                    <xdr:colOff>438150</xdr:colOff>
                    <xdr:row>10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ED47CB-53FE-41E8-A3FF-833AB854BCC7}">
  <sheetPr codeName="Sheet11">
    <tabColor rgb="FF00B0F0"/>
  </sheetPr>
  <dimension ref="A1:B4997"/>
  <sheetViews>
    <sheetView showGridLines="0" workbookViewId="0">
      <selection activeCell="I25" sqref="I25"/>
    </sheetView>
  </sheetViews>
  <sheetFormatPr defaultRowHeight="14.25" x14ac:dyDescent="0.2"/>
  <cols>
    <col min="1" max="1" width="23.125" customWidth="1"/>
    <col min="2" max="2" width="41.25" customWidth="1"/>
  </cols>
  <sheetData>
    <row r="1" spans="1:2" ht="30" x14ac:dyDescent="0.4">
      <c r="A1" s="35" t="s">
        <v>139</v>
      </c>
    </row>
    <row r="6" spans="1:2" x14ac:dyDescent="0.2">
      <c r="A6" t="s">
        <v>71</v>
      </c>
      <c r="B6" t="s">
        <v>140</v>
      </c>
    </row>
    <row r="7" spans="1:2" x14ac:dyDescent="0.2">
      <c r="A7" s="36" t="s">
        <v>10366</v>
      </c>
      <c r="B7" t="s">
        <v>84</v>
      </c>
    </row>
    <row r="8" spans="1:2" x14ac:dyDescent="0.2">
      <c r="A8" s="36" t="s">
        <v>10351</v>
      </c>
      <c r="B8" t="s">
        <v>87</v>
      </c>
    </row>
    <row r="9" spans="1:2" x14ac:dyDescent="0.2">
      <c r="A9" s="36" t="s">
        <v>10348</v>
      </c>
      <c r="B9" t="s">
        <v>88</v>
      </c>
    </row>
    <row r="10" spans="1:2" x14ac:dyDescent="0.2">
      <c r="A10" s="36" t="s">
        <v>10352</v>
      </c>
      <c r="B10" t="s">
        <v>89</v>
      </c>
    </row>
    <row r="11" spans="1:2" x14ac:dyDescent="0.2">
      <c r="A11" s="36" t="s">
        <v>10353</v>
      </c>
      <c r="B11" t="s">
        <v>90</v>
      </c>
    </row>
    <row r="12" spans="1:2" x14ac:dyDescent="0.2">
      <c r="A12" s="36" t="s">
        <v>10367</v>
      </c>
      <c r="B12" t="s">
        <v>91</v>
      </c>
    </row>
    <row r="13" spans="1:2" x14ac:dyDescent="0.2">
      <c r="A13" s="36" t="s">
        <v>10347</v>
      </c>
      <c r="B13" t="s">
        <v>84</v>
      </c>
    </row>
    <row r="14" spans="1:2" x14ac:dyDescent="0.2">
      <c r="A14" s="36" t="s">
        <v>10350</v>
      </c>
      <c r="B14" t="s">
        <v>87</v>
      </c>
    </row>
    <row r="15" spans="1:2" x14ac:dyDescent="0.2">
      <c r="A15" s="36" t="s">
        <v>10360</v>
      </c>
      <c r="B15" t="s">
        <v>88</v>
      </c>
    </row>
    <row r="16" spans="1:2" x14ac:dyDescent="0.2">
      <c r="A16" s="36" t="s">
        <v>10359</v>
      </c>
      <c r="B16" t="s">
        <v>89</v>
      </c>
    </row>
    <row r="17" spans="1:2" x14ac:dyDescent="0.2">
      <c r="A17" s="36" t="s">
        <v>10362</v>
      </c>
      <c r="B17" t="s">
        <v>90</v>
      </c>
    </row>
    <row r="18" spans="1:2" x14ac:dyDescent="0.2">
      <c r="A18" s="36" t="s">
        <v>10349</v>
      </c>
      <c r="B18" t="s">
        <v>91</v>
      </c>
    </row>
    <row r="19" spans="1:2" x14ac:dyDescent="0.2">
      <c r="A19" s="36" t="s">
        <v>10357</v>
      </c>
      <c r="B19" t="s">
        <v>84</v>
      </c>
    </row>
    <row r="20" spans="1:2" x14ac:dyDescent="0.2">
      <c r="A20" s="36" t="s">
        <v>10358</v>
      </c>
      <c r="B20" t="s">
        <v>87</v>
      </c>
    </row>
    <row r="21" spans="1:2" x14ac:dyDescent="0.2">
      <c r="A21" s="36" t="s">
        <v>10354</v>
      </c>
      <c r="B21" t="s">
        <v>88</v>
      </c>
    </row>
    <row r="22" spans="1:2" x14ac:dyDescent="0.2">
      <c r="A22" s="36" t="s">
        <v>10364</v>
      </c>
      <c r="B22" t="s">
        <v>89</v>
      </c>
    </row>
    <row r="23" spans="1:2" x14ac:dyDescent="0.2">
      <c r="A23" s="36" t="s">
        <v>10369</v>
      </c>
      <c r="B23" t="s">
        <v>90</v>
      </c>
    </row>
    <row r="24" spans="1:2" x14ac:dyDescent="0.2">
      <c r="A24" s="36" t="s">
        <v>10365</v>
      </c>
      <c r="B24" t="s">
        <v>91</v>
      </c>
    </row>
    <row r="25" spans="1:2" x14ac:dyDescent="0.2">
      <c r="A25" s="36" t="s">
        <v>10363</v>
      </c>
      <c r="B25" t="s">
        <v>84</v>
      </c>
    </row>
    <row r="26" spans="1:2" x14ac:dyDescent="0.2">
      <c r="A26" s="36" t="s">
        <v>10370</v>
      </c>
      <c r="B26" t="s">
        <v>87</v>
      </c>
    </row>
    <row r="27" spans="1:2" x14ac:dyDescent="0.2">
      <c r="A27" s="36" t="s">
        <v>10346</v>
      </c>
      <c r="B27" t="s">
        <v>88</v>
      </c>
    </row>
    <row r="28" spans="1:2" x14ac:dyDescent="0.2">
      <c r="A28" s="36" t="s">
        <v>10355</v>
      </c>
      <c r="B28" t="s">
        <v>89</v>
      </c>
    </row>
    <row r="29" spans="1:2" x14ac:dyDescent="0.2">
      <c r="A29" s="36" t="s">
        <v>10368</v>
      </c>
      <c r="B29" t="s">
        <v>90</v>
      </c>
    </row>
    <row r="30" spans="1:2" x14ac:dyDescent="0.2">
      <c r="A30" s="36" t="s">
        <v>10356</v>
      </c>
      <c r="B30" t="s">
        <v>91</v>
      </c>
    </row>
    <row r="31" spans="1:2" x14ac:dyDescent="0.2">
      <c r="A31" s="36" t="s">
        <v>10371</v>
      </c>
      <c r="B31" t="s">
        <v>92</v>
      </c>
    </row>
    <row r="32" spans="1:2" x14ac:dyDescent="0.2">
      <c r="A32" s="36" t="s">
        <v>10361</v>
      </c>
      <c r="B32" t="s">
        <v>84</v>
      </c>
    </row>
    <row r="33" spans="1:2" x14ac:dyDescent="0.2">
      <c r="A33" s="36" t="s">
        <v>8880</v>
      </c>
      <c r="B33" t="s">
        <v>93</v>
      </c>
    </row>
    <row r="34" spans="1:2" x14ac:dyDescent="0.2">
      <c r="A34" s="36" t="s">
        <v>8881</v>
      </c>
      <c r="B34" t="s">
        <v>94</v>
      </c>
    </row>
    <row r="35" spans="1:2" x14ac:dyDescent="0.2">
      <c r="A35" s="36" t="s">
        <v>8882</v>
      </c>
      <c r="B35" t="s">
        <v>95</v>
      </c>
    </row>
    <row r="36" spans="1:2" x14ac:dyDescent="0.2">
      <c r="A36" s="36" t="s">
        <v>8879</v>
      </c>
      <c r="B36" t="s">
        <v>96</v>
      </c>
    </row>
    <row r="37" spans="1:2" x14ac:dyDescent="0.2">
      <c r="A37" s="36" t="s">
        <v>8878</v>
      </c>
      <c r="B37" t="s">
        <v>97</v>
      </c>
    </row>
    <row r="38" spans="1:2" x14ac:dyDescent="0.2">
      <c r="A38" s="36" t="s">
        <v>8885</v>
      </c>
      <c r="B38" t="s">
        <v>98</v>
      </c>
    </row>
    <row r="39" spans="1:2" x14ac:dyDescent="0.2">
      <c r="A39" s="36" t="s">
        <v>8892</v>
      </c>
      <c r="B39" t="s">
        <v>99</v>
      </c>
    </row>
    <row r="40" spans="1:2" x14ac:dyDescent="0.2">
      <c r="A40" s="36" t="s">
        <v>8887</v>
      </c>
      <c r="B40" t="s">
        <v>100</v>
      </c>
    </row>
    <row r="41" spans="1:2" x14ac:dyDescent="0.2">
      <c r="A41" s="36" t="s">
        <v>8894</v>
      </c>
      <c r="B41" t="s">
        <v>101</v>
      </c>
    </row>
    <row r="42" spans="1:2" x14ac:dyDescent="0.2">
      <c r="A42" s="36" t="s">
        <v>8883</v>
      </c>
      <c r="B42" t="s">
        <v>103</v>
      </c>
    </row>
    <row r="43" spans="1:2" x14ac:dyDescent="0.2">
      <c r="A43" s="36" t="s">
        <v>8891</v>
      </c>
      <c r="B43" t="s">
        <v>104</v>
      </c>
    </row>
    <row r="44" spans="1:2" x14ac:dyDescent="0.2">
      <c r="A44" s="36" t="s">
        <v>8895</v>
      </c>
      <c r="B44" t="s">
        <v>105</v>
      </c>
    </row>
    <row r="45" spans="1:2" x14ac:dyDescent="0.2">
      <c r="A45" s="36" t="s">
        <v>8886</v>
      </c>
      <c r="B45" t="s">
        <v>103</v>
      </c>
    </row>
    <row r="46" spans="1:2" x14ac:dyDescent="0.2">
      <c r="A46" s="36" t="s">
        <v>8884</v>
      </c>
      <c r="B46" t="s">
        <v>105</v>
      </c>
    </row>
    <row r="47" spans="1:2" x14ac:dyDescent="0.2">
      <c r="A47" s="36" t="s">
        <v>8889</v>
      </c>
      <c r="B47" t="s">
        <v>98</v>
      </c>
    </row>
    <row r="48" spans="1:2" x14ac:dyDescent="0.2">
      <c r="A48" s="36" t="s">
        <v>8888</v>
      </c>
      <c r="B48" t="s">
        <v>99</v>
      </c>
    </row>
    <row r="49" spans="1:2" x14ac:dyDescent="0.2">
      <c r="A49" s="36" t="s">
        <v>8890</v>
      </c>
      <c r="B49" t="s">
        <v>100</v>
      </c>
    </row>
    <row r="50" spans="1:2" x14ac:dyDescent="0.2">
      <c r="A50" s="36" t="s">
        <v>8893</v>
      </c>
      <c r="B50" t="s">
        <v>101</v>
      </c>
    </row>
    <row r="51" spans="1:2" x14ac:dyDescent="0.2">
      <c r="A51" s="36" t="s">
        <v>8904</v>
      </c>
      <c r="B51" t="s">
        <v>104</v>
      </c>
    </row>
    <row r="52" spans="1:2" x14ac:dyDescent="0.2">
      <c r="A52" s="36" t="s">
        <v>8899</v>
      </c>
      <c r="B52" t="s">
        <v>103</v>
      </c>
    </row>
    <row r="53" spans="1:2" x14ac:dyDescent="0.2">
      <c r="A53" s="36" t="s">
        <v>8912</v>
      </c>
      <c r="B53" t="s">
        <v>105</v>
      </c>
    </row>
    <row r="54" spans="1:2" x14ac:dyDescent="0.2">
      <c r="A54" s="36" t="s">
        <v>8901</v>
      </c>
      <c r="B54" t="s">
        <v>98</v>
      </c>
    </row>
    <row r="55" spans="1:2" x14ac:dyDescent="0.2">
      <c r="A55" s="36" t="s">
        <v>8906</v>
      </c>
      <c r="B55" t="s">
        <v>99</v>
      </c>
    </row>
    <row r="56" spans="1:2" x14ac:dyDescent="0.2">
      <c r="A56" s="36" t="s">
        <v>8898</v>
      </c>
      <c r="B56" t="s">
        <v>100</v>
      </c>
    </row>
    <row r="57" spans="1:2" x14ac:dyDescent="0.2">
      <c r="A57" s="36" t="s">
        <v>8911</v>
      </c>
      <c r="B57" t="s">
        <v>101</v>
      </c>
    </row>
    <row r="58" spans="1:2" x14ac:dyDescent="0.2">
      <c r="A58" s="36" t="s">
        <v>8909</v>
      </c>
      <c r="B58" t="s">
        <v>94</v>
      </c>
    </row>
    <row r="59" spans="1:2" x14ac:dyDescent="0.2">
      <c r="A59" s="36" t="s">
        <v>8907</v>
      </c>
      <c r="B59" t="s">
        <v>103</v>
      </c>
    </row>
    <row r="60" spans="1:2" x14ac:dyDescent="0.2">
      <c r="A60" s="36" t="s">
        <v>8903</v>
      </c>
      <c r="B60" t="s">
        <v>92</v>
      </c>
    </row>
    <row r="61" spans="1:2" x14ac:dyDescent="0.2">
      <c r="A61" s="36" t="s">
        <v>8897</v>
      </c>
      <c r="B61" t="s">
        <v>94</v>
      </c>
    </row>
    <row r="62" spans="1:2" x14ac:dyDescent="0.2">
      <c r="A62" s="36" t="s">
        <v>8896</v>
      </c>
      <c r="B62" t="s">
        <v>104</v>
      </c>
    </row>
    <row r="63" spans="1:2" x14ac:dyDescent="0.2">
      <c r="A63" s="36" t="s">
        <v>8910</v>
      </c>
      <c r="B63" t="s">
        <v>105</v>
      </c>
    </row>
    <row r="64" spans="1:2" x14ac:dyDescent="0.2">
      <c r="A64" s="36" t="s">
        <v>8900</v>
      </c>
      <c r="B64" t="s">
        <v>98</v>
      </c>
    </row>
    <row r="65" spans="1:2" x14ac:dyDescent="0.2">
      <c r="A65" s="36" t="s">
        <v>8905</v>
      </c>
      <c r="B65" t="s">
        <v>99</v>
      </c>
    </row>
    <row r="66" spans="1:2" x14ac:dyDescent="0.2">
      <c r="A66" s="36" t="s">
        <v>8902</v>
      </c>
      <c r="B66" t="s">
        <v>100</v>
      </c>
    </row>
    <row r="67" spans="1:2" x14ac:dyDescent="0.2">
      <c r="A67" s="36" t="s">
        <v>8908</v>
      </c>
      <c r="B67" t="s">
        <v>101</v>
      </c>
    </row>
    <row r="68" spans="1:2" x14ac:dyDescent="0.2">
      <c r="A68" s="36" t="s">
        <v>8921</v>
      </c>
      <c r="B68" t="s">
        <v>103</v>
      </c>
    </row>
    <row r="69" spans="1:2" x14ac:dyDescent="0.2">
      <c r="A69" s="36" t="s">
        <v>8917</v>
      </c>
      <c r="B69" t="s">
        <v>93</v>
      </c>
    </row>
    <row r="70" spans="1:2" x14ac:dyDescent="0.2">
      <c r="A70" s="36" t="s">
        <v>8913</v>
      </c>
      <c r="B70" t="s">
        <v>95</v>
      </c>
    </row>
    <row r="71" spans="1:2" x14ac:dyDescent="0.2">
      <c r="A71" s="36" t="s">
        <v>8922</v>
      </c>
      <c r="B71" t="s">
        <v>96</v>
      </c>
    </row>
    <row r="72" spans="1:2" x14ac:dyDescent="0.2">
      <c r="A72" s="36" t="s">
        <v>8919</v>
      </c>
      <c r="B72" t="s">
        <v>103</v>
      </c>
    </row>
    <row r="73" spans="1:2" x14ac:dyDescent="0.2">
      <c r="A73" s="36" t="s">
        <v>8920</v>
      </c>
      <c r="B73" t="s">
        <v>93</v>
      </c>
    </row>
    <row r="74" spans="1:2" x14ac:dyDescent="0.2">
      <c r="A74" s="36" t="s">
        <v>8914</v>
      </c>
      <c r="B74" t="s">
        <v>95</v>
      </c>
    </row>
    <row r="75" spans="1:2" x14ac:dyDescent="0.2">
      <c r="A75" s="36" t="s">
        <v>8924</v>
      </c>
      <c r="B75" t="s">
        <v>96</v>
      </c>
    </row>
    <row r="76" spans="1:2" x14ac:dyDescent="0.2">
      <c r="A76" s="36" t="s">
        <v>8916</v>
      </c>
      <c r="B76" t="s">
        <v>103</v>
      </c>
    </row>
    <row r="77" spans="1:2" x14ac:dyDescent="0.2">
      <c r="A77" s="36" t="s">
        <v>8915</v>
      </c>
      <c r="B77" t="s">
        <v>95</v>
      </c>
    </row>
    <row r="78" spans="1:2" x14ac:dyDescent="0.2">
      <c r="A78" s="36" t="s">
        <v>8918</v>
      </c>
      <c r="B78" t="s">
        <v>96</v>
      </c>
    </row>
    <row r="79" spans="1:2" x14ac:dyDescent="0.2">
      <c r="A79" s="36" t="s">
        <v>8923</v>
      </c>
      <c r="B79" t="s">
        <v>93</v>
      </c>
    </row>
    <row r="80" spans="1:2" x14ac:dyDescent="0.2">
      <c r="A80" s="36" t="s">
        <v>8945</v>
      </c>
      <c r="B80" t="s">
        <v>97</v>
      </c>
    </row>
    <row r="81" spans="1:2" x14ac:dyDescent="0.2">
      <c r="A81" s="36" t="s">
        <v>8928</v>
      </c>
      <c r="B81" t="s">
        <v>92</v>
      </c>
    </row>
    <row r="82" spans="1:2" x14ac:dyDescent="0.2">
      <c r="A82" s="36" t="s">
        <v>8940</v>
      </c>
      <c r="B82" t="s">
        <v>94</v>
      </c>
    </row>
    <row r="83" spans="1:2" x14ac:dyDescent="0.2">
      <c r="A83" s="36" t="s">
        <v>8946</v>
      </c>
      <c r="B83" t="s">
        <v>97</v>
      </c>
    </row>
    <row r="84" spans="1:2" x14ac:dyDescent="0.2">
      <c r="A84" s="36" t="s">
        <v>8936</v>
      </c>
      <c r="B84" t="s">
        <v>104</v>
      </c>
    </row>
    <row r="85" spans="1:2" x14ac:dyDescent="0.2">
      <c r="A85" s="36" t="s">
        <v>8965</v>
      </c>
      <c r="B85" t="s">
        <v>105</v>
      </c>
    </row>
    <row r="86" spans="1:2" x14ac:dyDescent="0.2">
      <c r="A86" s="36" t="s">
        <v>8954</v>
      </c>
      <c r="B86" t="s">
        <v>92</v>
      </c>
    </row>
    <row r="87" spans="1:2" x14ac:dyDescent="0.2">
      <c r="A87" s="36" t="s">
        <v>8930</v>
      </c>
      <c r="B87" t="s">
        <v>98</v>
      </c>
    </row>
    <row r="88" spans="1:2" x14ac:dyDescent="0.2">
      <c r="A88" s="36" t="s">
        <v>8948</v>
      </c>
      <c r="B88" t="s">
        <v>94</v>
      </c>
    </row>
    <row r="89" spans="1:2" x14ac:dyDescent="0.2">
      <c r="A89" s="36" t="s">
        <v>8927</v>
      </c>
      <c r="B89" t="s">
        <v>99</v>
      </c>
    </row>
    <row r="90" spans="1:2" x14ac:dyDescent="0.2">
      <c r="A90" s="36" t="s">
        <v>8939</v>
      </c>
      <c r="B90" t="s">
        <v>100</v>
      </c>
    </row>
    <row r="91" spans="1:2" x14ac:dyDescent="0.2">
      <c r="A91" s="36" t="s">
        <v>8956</v>
      </c>
      <c r="B91" t="s">
        <v>101</v>
      </c>
    </row>
    <row r="92" spans="1:2" x14ac:dyDescent="0.2">
      <c r="A92" s="36" t="s">
        <v>8929</v>
      </c>
      <c r="B92" t="s">
        <v>97</v>
      </c>
    </row>
    <row r="93" spans="1:2" x14ac:dyDescent="0.2">
      <c r="A93" s="36" t="s">
        <v>8931</v>
      </c>
      <c r="B93" t="s">
        <v>100</v>
      </c>
    </row>
    <row r="94" spans="1:2" x14ac:dyDescent="0.2">
      <c r="A94" s="36" t="s">
        <v>8932</v>
      </c>
      <c r="B94" t="s">
        <v>104</v>
      </c>
    </row>
    <row r="95" spans="1:2" x14ac:dyDescent="0.2">
      <c r="A95" s="36" t="s">
        <v>8926</v>
      </c>
      <c r="B95" t="s">
        <v>105</v>
      </c>
    </row>
    <row r="96" spans="1:2" x14ac:dyDescent="0.2">
      <c r="A96" s="36" t="s">
        <v>8957</v>
      </c>
      <c r="B96" t="s">
        <v>92</v>
      </c>
    </row>
    <row r="97" spans="1:2" x14ac:dyDescent="0.2">
      <c r="A97" s="36" t="s">
        <v>8962</v>
      </c>
      <c r="B97" t="s">
        <v>98</v>
      </c>
    </row>
    <row r="98" spans="1:2" x14ac:dyDescent="0.2">
      <c r="A98" s="36" t="s">
        <v>8955</v>
      </c>
      <c r="B98" t="s">
        <v>94</v>
      </c>
    </row>
    <row r="99" spans="1:2" x14ac:dyDescent="0.2">
      <c r="A99" s="36" t="s">
        <v>8959</v>
      </c>
      <c r="B99" t="s">
        <v>99</v>
      </c>
    </row>
    <row r="100" spans="1:2" x14ac:dyDescent="0.2">
      <c r="A100" s="36" t="s">
        <v>8952</v>
      </c>
      <c r="B100" t="s">
        <v>101</v>
      </c>
    </row>
    <row r="101" spans="1:2" x14ac:dyDescent="0.2">
      <c r="A101" s="36" t="s">
        <v>8947</v>
      </c>
      <c r="B101" t="s">
        <v>97</v>
      </c>
    </row>
    <row r="102" spans="1:2" x14ac:dyDescent="0.2">
      <c r="A102" s="36" t="s">
        <v>8961</v>
      </c>
      <c r="B102" t="s">
        <v>100</v>
      </c>
    </row>
    <row r="103" spans="1:2" x14ac:dyDescent="0.2">
      <c r="A103" s="36" t="s">
        <v>8963</v>
      </c>
      <c r="B103" t="s">
        <v>103</v>
      </c>
    </row>
    <row r="104" spans="1:2" x14ac:dyDescent="0.2">
      <c r="A104" s="36" t="s">
        <v>8944</v>
      </c>
      <c r="B104" t="s">
        <v>95</v>
      </c>
    </row>
    <row r="105" spans="1:2" x14ac:dyDescent="0.2">
      <c r="A105" s="36" t="s">
        <v>8937</v>
      </c>
      <c r="B105" t="s">
        <v>96</v>
      </c>
    </row>
    <row r="106" spans="1:2" x14ac:dyDescent="0.2">
      <c r="A106" s="36" t="s">
        <v>8949</v>
      </c>
      <c r="B106" t="s">
        <v>104</v>
      </c>
    </row>
    <row r="107" spans="1:2" x14ac:dyDescent="0.2">
      <c r="A107" s="36" t="s">
        <v>8942</v>
      </c>
      <c r="B107" t="s">
        <v>105</v>
      </c>
    </row>
    <row r="108" spans="1:2" x14ac:dyDescent="0.2">
      <c r="A108" s="36" t="s">
        <v>8933</v>
      </c>
      <c r="B108" t="s">
        <v>92</v>
      </c>
    </row>
    <row r="109" spans="1:2" x14ac:dyDescent="0.2">
      <c r="A109" s="36" t="s">
        <v>8964</v>
      </c>
      <c r="B109" t="s">
        <v>98</v>
      </c>
    </row>
    <row r="110" spans="1:2" x14ac:dyDescent="0.2">
      <c r="A110" s="36" t="s">
        <v>8960</v>
      </c>
      <c r="B110" t="s">
        <v>94</v>
      </c>
    </row>
    <row r="111" spans="1:2" x14ac:dyDescent="0.2">
      <c r="A111" s="36" t="s">
        <v>8934</v>
      </c>
      <c r="B111" t="s">
        <v>99</v>
      </c>
    </row>
    <row r="112" spans="1:2" x14ac:dyDescent="0.2">
      <c r="A112" s="36" t="s">
        <v>8950</v>
      </c>
      <c r="B112" t="s">
        <v>101</v>
      </c>
    </row>
    <row r="113" spans="1:2" x14ac:dyDescent="0.2">
      <c r="A113" s="36" t="s">
        <v>8951</v>
      </c>
      <c r="B113" t="s">
        <v>93</v>
      </c>
    </row>
    <row r="114" spans="1:2" x14ac:dyDescent="0.2">
      <c r="A114" s="36" t="s">
        <v>8941</v>
      </c>
      <c r="B114" t="s">
        <v>97</v>
      </c>
    </row>
    <row r="115" spans="1:2" x14ac:dyDescent="0.2">
      <c r="A115" s="36" t="s">
        <v>8938</v>
      </c>
      <c r="B115" t="s">
        <v>100</v>
      </c>
    </row>
    <row r="116" spans="1:2" x14ac:dyDescent="0.2">
      <c r="A116" s="36" t="s">
        <v>8943</v>
      </c>
      <c r="B116" t="s">
        <v>103</v>
      </c>
    </row>
    <row r="117" spans="1:2" x14ac:dyDescent="0.2">
      <c r="A117" s="36" t="s">
        <v>8925</v>
      </c>
      <c r="B117" t="s">
        <v>95</v>
      </c>
    </row>
    <row r="118" spans="1:2" x14ac:dyDescent="0.2">
      <c r="A118" s="36" t="s">
        <v>8935</v>
      </c>
      <c r="B118" t="s">
        <v>96</v>
      </c>
    </row>
    <row r="119" spans="1:2" x14ac:dyDescent="0.2">
      <c r="A119" s="36" t="s">
        <v>8958</v>
      </c>
      <c r="B119" t="s">
        <v>104</v>
      </c>
    </row>
    <row r="120" spans="1:2" x14ac:dyDescent="0.2">
      <c r="A120" s="36" t="s">
        <v>8953</v>
      </c>
      <c r="B120" t="s">
        <v>105</v>
      </c>
    </row>
    <row r="121" spans="1:2" x14ac:dyDescent="0.2">
      <c r="A121" s="36" t="s">
        <v>8980</v>
      </c>
      <c r="B121" t="s">
        <v>92</v>
      </c>
    </row>
    <row r="122" spans="1:2" x14ac:dyDescent="0.2">
      <c r="A122" s="36" t="s">
        <v>8968</v>
      </c>
      <c r="B122" t="s">
        <v>98</v>
      </c>
    </row>
    <row r="123" spans="1:2" x14ac:dyDescent="0.2">
      <c r="A123" s="36" t="s">
        <v>8971</v>
      </c>
      <c r="B123" t="s">
        <v>94</v>
      </c>
    </row>
    <row r="124" spans="1:2" x14ac:dyDescent="0.2">
      <c r="A124" s="36" t="s">
        <v>8966</v>
      </c>
      <c r="B124" t="s">
        <v>99</v>
      </c>
    </row>
    <row r="125" spans="1:2" x14ac:dyDescent="0.2">
      <c r="A125" s="36" t="s">
        <v>8969</v>
      </c>
      <c r="B125" t="s">
        <v>101</v>
      </c>
    </row>
    <row r="126" spans="1:2" x14ac:dyDescent="0.2">
      <c r="A126" s="36" t="s">
        <v>8978</v>
      </c>
      <c r="B126" t="s">
        <v>93</v>
      </c>
    </row>
    <row r="127" spans="1:2" x14ac:dyDescent="0.2">
      <c r="A127" s="36" t="s">
        <v>8970</v>
      </c>
      <c r="B127" t="s">
        <v>97</v>
      </c>
    </row>
    <row r="128" spans="1:2" x14ac:dyDescent="0.2">
      <c r="A128" s="36" t="s">
        <v>8983</v>
      </c>
      <c r="B128" t="s">
        <v>92</v>
      </c>
    </row>
    <row r="129" spans="1:2" x14ac:dyDescent="0.2">
      <c r="A129" s="36" t="s">
        <v>8981</v>
      </c>
      <c r="B129" t="s">
        <v>100</v>
      </c>
    </row>
    <row r="130" spans="1:2" x14ac:dyDescent="0.2">
      <c r="A130" s="36" t="s">
        <v>8974</v>
      </c>
      <c r="B130" t="s">
        <v>103</v>
      </c>
    </row>
    <row r="131" spans="1:2" x14ac:dyDescent="0.2">
      <c r="A131" s="36" t="s">
        <v>8977</v>
      </c>
      <c r="B131" t="s">
        <v>95</v>
      </c>
    </row>
    <row r="132" spans="1:2" x14ac:dyDescent="0.2">
      <c r="A132" s="36" t="s">
        <v>8989</v>
      </c>
      <c r="B132" t="s">
        <v>96</v>
      </c>
    </row>
    <row r="133" spans="1:2" x14ac:dyDescent="0.2">
      <c r="A133" s="36" t="s">
        <v>8992</v>
      </c>
      <c r="B133" t="s">
        <v>98</v>
      </c>
    </row>
    <row r="134" spans="1:2" x14ac:dyDescent="0.2">
      <c r="A134" s="36" t="s">
        <v>8976</v>
      </c>
      <c r="B134" t="s">
        <v>94</v>
      </c>
    </row>
    <row r="135" spans="1:2" x14ac:dyDescent="0.2">
      <c r="A135" s="36" t="s">
        <v>8985</v>
      </c>
      <c r="B135" t="s">
        <v>104</v>
      </c>
    </row>
    <row r="136" spans="1:2" x14ac:dyDescent="0.2">
      <c r="A136" s="36" t="s">
        <v>8987</v>
      </c>
      <c r="B136" t="s">
        <v>99</v>
      </c>
    </row>
    <row r="137" spans="1:2" x14ac:dyDescent="0.2">
      <c r="A137" s="36" t="s">
        <v>8988</v>
      </c>
      <c r="B137" t="s">
        <v>101</v>
      </c>
    </row>
    <row r="138" spans="1:2" x14ac:dyDescent="0.2">
      <c r="A138" s="36" t="s">
        <v>8984</v>
      </c>
      <c r="B138" t="s">
        <v>105</v>
      </c>
    </row>
    <row r="139" spans="1:2" x14ac:dyDescent="0.2">
      <c r="A139" s="36" t="s">
        <v>8979</v>
      </c>
      <c r="B139" t="s">
        <v>93</v>
      </c>
    </row>
    <row r="140" spans="1:2" x14ac:dyDescent="0.2">
      <c r="A140" s="36" t="s">
        <v>8986</v>
      </c>
      <c r="B140" t="s">
        <v>97</v>
      </c>
    </row>
    <row r="141" spans="1:2" x14ac:dyDescent="0.2">
      <c r="A141" s="36" t="s">
        <v>8990</v>
      </c>
      <c r="B141" t="s">
        <v>92</v>
      </c>
    </row>
    <row r="142" spans="1:2" x14ac:dyDescent="0.2">
      <c r="A142" s="36" t="s">
        <v>8975</v>
      </c>
      <c r="B142" t="s">
        <v>100</v>
      </c>
    </row>
    <row r="143" spans="1:2" x14ac:dyDescent="0.2">
      <c r="A143" s="36" t="s">
        <v>8967</v>
      </c>
      <c r="B143" t="s">
        <v>103</v>
      </c>
    </row>
    <row r="144" spans="1:2" x14ac:dyDescent="0.2">
      <c r="A144" s="36" t="s">
        <v>8982</v>
      </c>
      <c r="B144" t="s">
        <v>95</v>
      </c>
    </row>
    <row r="145" spans="1:2" x14ac:dyDescent="0.2">
      <c r="A145" s="36" t="s">
        <v>8972</v>
      </c>
      <c r="B145" t="s">
        <v>96</v>
      </c>
    </row>
    <row r="146" spans="1:2" x14ac:dyDescent="0.2">
      <c r="A146" s="36" t="s">
        <v>8973</v>
      </c>
      <c r="B146" t="s">
        <v>98</v>
      </c>
    </row>
    <row r="147" spans="1:2" x14ac:dyDescent="0.2">
      <c r="A147" s="36" t="s">
        <v>8991</v>
      </c>
      <c r="B147" t="s">
        <v>87</v>
      </c>
    </row>
    <row r="148" spans="1:2" x14ac:dyDescent="0.2">
      <c r="A148" s="36" t="s">
        <v>8996</v>
      </c>
      <c r="B148" t="s">
        <v>88</v>
      </c>
    </row>
    <row r="149" spans="1:2" x14ac:dyDescent="0.2">
      <c r="A149" s="36" t="s">
        <v>8993</v>
      </c>
      <c r="B149" t="s">
        <v>89</v>
      </c>
    </row>
    <row r="150" spans="1:2" x14ac:dyDescent="0.2">
      <c r="A150" s="36" t="s">
        <v>8995</v>
      </c>
      <c r="B150" t="s">
        <v>88</v>
      </c>
    </row>
    <row r="151" spans="1:2" x14ac:dyDescent="0.2">
      <c r="A151" s="36" t="s">
        <v>8997</v>
      </c>
      <c r="B151" t="s">
        <v>89</v>
      </c>
    </row>
    <row r="152" spans="1:2" x14ac:dyDescent="0.2">
      <c r="A152" s="36" t="s">
        <v>8994</v>
      </c>
      <c r="B152" t="s">
        <v>89</v>
      </c>
    </row>
    <row r="153" spans="1:2" x14ac:dyDescent="0.2">
      <c r="A153" s="36" t="s">
        <v>9000</v>
      </c>
      <c r="B153" t="s">
        <v>90</v>
      </c>
    </row>
    <row r="154" spans="1:2" x14ac:dyDescent="0.2">
      <c r="A154" s="36" t="s">
        <v>8998</v>
      </c>
      <c r="B154" t="s">
        <v>91</v>
      </c>
    </row>
    <row r="155" spans="1:2" x14ac:dyDescent="0.2">
      <c r="A155" s="36" t="s">
        <v>8999</v>
      </c>
      <c r="B155" t="s">
        <v>94</v>
      </c>
    </row>
    <row r="156" spans="1:2" x14ac:dyDescent="0.2">
      <c r="A156" s="36" t="s">
        <v>9001</v>
      </c>
      <c r="B156" t="s">
        <v>104</v>
      </c>
    </row>
    <row r="157" spans="1:2" x14ac:dyDescent="0.2">
      <c r="A157" s="36" t="s">
        <v>9014</v>
      </c>
      <c r="B157" t="s">
        <v>96</v>
      </c>
    </row>
    <row r="158" spans="1:2" x14ac:dyDescent="0.2">
      <c r="A158" s="36" t="s">
        <v>9008</v>
      </c>
      <c r="B158" t="s">
        <v>99</v>
      </c>
    </row>
    <row r="159" spans="1:2" x14ac:dyDescent="0.2">
      <c r="A159" s="36" t="s">
        <v>9013</v>
      </c>
      <c r="B159" t="s">
        <v>101</v>
      </c>
    </row>
    <row r="160" spans="1:2" x14ac:dyDescent="0.2">
      <c r="A160" s="36" t="s">
        <v>9009</v>
      </c>
      <c r="B160" t="s">
        <v>105</v>
      </c>
    </row>
    <row r="161" spans="1:2" x14ac:dyDescent="0.2">
      <c r="A161" s="36" t="s">
        <v>9011</v>
      </c>
      <c r="B161" t="s">
        <v>93</v>
      </c>
    </row>
    <row r="162" spans="1:2" x14ac:dyDescent="0.2">
      <c r="A162" s="36" t="s">
        <v>9002</v>
      </c>
      <c r="B162" t="s">
        <v>97</v>
      </c>
    </row>
    <row r="163" spans="1:2" x14ac:dyDescent="0.2">
      <c r="A163" s="36" t="s">
        <v>9006</v>
      </c>
      <c r="B163" t="s">
        <v>92</v>
      </c>
    </row>
    <row r="164" spans="1:2" x14ac:dyDescent="0.2">
      <c r="A164" s="36" t="s">
        <v>9010</v>
      </c>
      <c r="B164" t="s">
        <v>94</v>
      </c>
    </row>
    <row r="165" spans="1:2" x14ac:dyDescent="0.2">
      <c r="A165" s="36" t="s">
        <v>9016</v>
      </c>
      <c r="B165" t="s">
        <v>100</v>
      </c>
    </row>
    <row r="166" spans="1:2" x14ac:dyDescent="0.2">
      <c r="A166" s="36" t="s">
        <v>9005</v>
      </c>
      <c r="B166" t="s">
        <v>103</v>
      </c>
    </row>
    <row r="167" spans="1:2" x14ac:dyDescent="0.2">
      <c r="A167" s="36" t="s">
        <v>9004</v>
      </c>
      <c r="B167" t="s">
        <v>104</v>
      </c>
    </row>
    <row r="168" spans="1:2" x14ac:dyDescent="0.2">
      <c r="A168" s="36" t="s">
        <v>9003</v>
      </c>
      <c r="B168" t="s">
        <v>95</v>
      </c>
    </row>
    <row r="169" spans="1:2" x14ac:dyDescent="0.2">
      <c r="A169" s="36" t="s">
        <v>9012</v>
      </c>
      <c r="B169" t="s">
        <v>98</v>
      </c>
    </row>
    <row r="170" spans="1:2" x14ac:dyDescent="0.2">
      <c r="A170" s="36" t="s">
        <v>9017</v>
      </c>
      <c r="B170" t="s">
        <v>87</v>
      </c>
    </row>
    <row r="171" spans="1:2" x14ac:dyDescent="0.2">
      <c r="A171" s="36" t="s">
        <v>9007</v>
      </c>
      <c r="B171" t="s">
        <v>96</v>
      </c>
    </row>
    <row r="172" spans="1:2" x14ac:dyDescent="0.2">
      <c r="A172" s="36" t="s">
        <v>9015</v>
      </c>
      <c r="B172" t="s">
        <v>84</v>
      </c>
    </row>
    <row r="173" spans="1:2" x14ac:dyDescent="0.2">
      <c r="A173" s="36" t="s">
        <v>9021</v>
      </c>
      <c r="B173" t="s">
        <v>88</v>
      </c>
    </row>
    <row r="174" spans="1:2" x14ac:dyDescent="0.2">
      <c r="A174" s="36" t="s">
        <v>9020</v>
      </c>
      <c r="B174" t="s">
        <v>96</v>
      </c>
    </row>
    <row r="175" spans="1:2" x14ac:dyDescent="0.2">
      <c r="A175" s="36" t="s">
        <v>9022</v>
      </c>
      <c r="B175" t="s">
        <v>99</v>
      </c>
    </row>
    <row r="176" spans="1:2" x14ac:dyDescent="0.2">
      <c r="A176" s="36" t="s">
        <v>9023</v>
      </c>
      <c r="B176" t="s">
        <v>89</v>
      </c>
    </row>
    <row r="177" spans="1:2" x14ac:dyDescent="0.2">
      <c r="A177" s="36" t="s">
        <v>9018</v>
      </c>
      <c r="B177" t="s">
        <v>90</v>
      </c>
    </row>
    <row r="178" spans="1:2" x14ac:dyDescent="0.2">
      <c r="A178" s="36" t="s">
        <v>9024</v>
      </c>
      <c r="B178" t="s">
        <v>91</v>
      </c>
    </row>
    <row r="179" spans="1:2" x14ac:dyDescent="0.2">
      <c r="A179" s="36" t="s">
        <v>9019</v>
      </c>
      <c r="B179" t="s">
        <v>103</v>
      </c>
    </row>
    <row r="180" spans="1:2" x14ac:dyDescent="0.2">
      <c r="A180" s="36" t="s">
        <v>9040</v>
      </c>
      <c r="B180" t="s">
        <v>101</v>
      </c>
    </row>
    <row r="181" spans="1:2" x14ac:dyDescent="0.2">
      <c r="A181" s="36" t="s">
        <v>9038</v>
      </c>
      <c r="B181" t="s">
        <v>105</v>
      </c>
    </row>
    <row r="182" spans="1:2" x14ac:dyDescent="0.2">
      <c r="A182" s="36" t="s">
        <v>9039</v>
      </c>
      <c r="B182" t="s">
        <v>93</v>
      </c>
    </row>
    <row r="183" spans="1:2" x14ac:dyDescent="0.2">
      <c r="A183" s="36" t="s">
        <v>9047</v>
      </c>
      <c r="B183" t="s">
        <v>97</v>
      </c>
    </row>
    <row r="184" spans="1:2" x14ac:dyDescent="0.2">
      <c r="A184" s="36" t="s">
        <v>9045</v>
      </c>
      <c r="B184" t="s">
        <v>101</v>
      </c>
    </row>
    <row r="185" spans="1:2" x14ac:dyDescent="0.2">
      <c r="A185" s="36" t="s">
        <v>9037</v>
      </c>
      <c r="B185" t="s">
        <v>105</v>
      </c>
    </row>
    <row r="186" spans="1:2" x14ac:dyDescent="0.2">
      <c r="A186" s="36" t="s">
        <v>9031</v>
      </c>
      <c r="B186" t="s">
        <v>93</v>
      </c>
    </row>
    <row r="187" spans="1:2" x14ac:dyDescent="0.2">
      <c r="A187" s="36" t="s">
        <v>9032</v>
      </c>
      <c r="B187" t="s">
        <v>97</v>
      </c>
    </row>
    <row r="188" spans="1:2" x14ac:dyDescent="0.2">
      <c r="A188" s="36" t="s">
        <v>9029</v>
      </c>
      <c r="B188" t="s">
        <v>101</v>
      </c>
    </row>
    <row r="189" spans="1:2" x14ac:dyDescent="0.2">
      <c r="A189" s="36" t="s">
        <v>9048</v>
      </c>
      <c r="B189" t="s">
        <v>105</v>
      </c>
    </row>
    <row r="190" spans="1:2" x14ac:dyDescent="0.2">
      <c r="A190" s="36" t="s">
        <v>9035</v>
      </c>
      <c r="B190" t="s">
        <v>93</v>
      </c>
    </row>
    <row r="191" spans="1:2" x14ac:dyDescent="0.2">
      <c r="A191" s="36" t="s">
        <v>9026</v>
      </c>
      <c r="B191" t="s">
        <v>97</v>
      </c>
    </row>
    <row r="192" spans="1:2" x14ac:dyDescent="0.2">
      <c r="A192" s="36" t="s">
        <v>9027</v>
      </c>
      <c r="B192" t="s">
        <v>101</v>
      </c>
    </row>
    <row r="193" spans="1:2" x14ac:dyDescent="0.2">
      <c r="A193" s="36" t="s">
        <v>9041</v>
      </c>
      <c r="B193" t="s">
        <v>105</v>
      </c>
    </row>
    <row r="194" spans="1:2" x14ac:dyDescent="0.2">
      <c r="A194" s="36" t="s">
        <v>9043</v>
      </c>
      <c r="B194" t="s">
        <v>93</v>
      </c>
    </row>
    <row r="195" spans="1:2" x14ac:dyDescent="0.2">
      <c r="A195" s="36" t="s">
        <v>9042</v>
      </c>
      <c r="B195" t="s">
        <v>97</v>
      </c>
    </row>
    <row r="196" spans="1:2" x14ac:dyDescent="0.2">
      <c r="A196" s="36" t="s">
        <v>9044</v>
      </c>
      <c r="B196" t="s">
        <v>101</v>
      </c>
    </row>
    <row r="197" spans="1:2" x14ac:dyDescent="0.2">
      <c r="A197" s="36" t="s">
        <v>9046</v>
      </c>
      <c r="B197" t="s">
        <v>105</v>
      </c>
    </row>
    <row r="198" spans="1:2" x14ac:dyDescent="0.2">
      <c r="A198" s="36" t="s">
        <v>9030</v>
      </c>
      <c r="B198" t="s">
        <v>93</v>
      </c>
    </row>
    <row r="199" spans="1:2" x14ac:dyDescent="0.2">
      <c r="A199" s="36" t="s">
        <v>9028</v>
      </c>
      <c r="B199" t="s">
        <v>97</v>
      </c>
    </row>
    <row r="200" spans="1:2" x14ac:dyDescent="0.2">
      <c r="A200" s="36" t="s">
        <v>9033</v>
      </c>
      <c r="B200" t="s">
        <v>101</v>
      </c>
    </row>
    <row r="201" spans="1:2" x14ac:dyDescent="0.2">
      <c r="A201" s="36" t="s">
        <v>9034</v>
      </c>
      <c r="B201" t="s">
        <v>97</v>
      </c>
    </row>
    <row r="202" spans="1:2" x14ac:dyDescent="0.2">
      <c r="A202" s="36" t="s">
        <v>9025</v>
      </c>
      <c r="B202" t="s">
        <v>105</v>
      </c>
    </row>
    <row r="203" spans="1:2" x14ac:dyDescent="0.2">
      <c r="A203" s="36" t="s">
        <v>9036</v>
      </c>
      <c r="B203" t="s">
        <v>93</v>
      </c>
    </row>
    <row r="204" spans="1:2" x14ac:dyDescent="0.2">
      <c r="A204" s="36" t="s">
        <v>9050</v>
      </c>
      <c r="B204" t="s">
        <v>92</v>
      </c>
    </row>
    <row r="205" spans="1:2" x14ac:dyDescent="0.2">
      <c r="A205" s="36" t="s">
        <v>9049</v>
      </c>
      <c r="B205" t="s">
        <v>94</v>
      </c>
    </row>
    <row r="206" spans="1:2" x14ac:dyDescent="0.2">
      <c r="A206" s="36" t="s">
        <v>9052</v>
      </c>
      <c r="B206" t="s">
        <v>100</v>
      </c>
    </row>
    <row r="207" spans="1:2" x14ac:dyDescent="0.2">
      <c r="A207" s="36" t="s">
        <v>9051</v>
      </c>
      <c r="B207" t="s">
        <v>89</v>
      </c>
    </row>
    <row r="208" spans="1:2" x14ac:dyDescent="0.2">
      <c r="A208" s="36" t="s">
        <v>9053</v>
      </c>
      <c r="B208" t="s">
        <v>104</v>
      </c>
    </row>
    <row r="209" spans="1:2" x14ac:dyDescent="0.2">
      <c r="A209" s="36" t="s">
        <v>8490</v>
      </c>
      <c r="B209" t="s">
        <v>84</v>
      </c>
    </row>
    <row r="210" spans="1:2" x14ac:dyDescent="0.2">
      <c r="A210" s="36" t="s">
        <v>8528</v>
      </c>
      <c r="B210" t="s">
        <v>87</v>
      </c>
    </row>
    <row r="211" spans="1:2" x14ac:dyDescent="0.2">
      <c r="A211" s="36" t="s">
        <v>8532</v>
      </c>
      <c r="B211" t="s">
        <v>88</v>
      </c>
    </row>
    <row r="212" spans="1:2" x14ac:dyDescent="0.2">
      <c r="A212" s="36" t="s">
        <v>8491</v>
      </c>
      <c r="B212" t="s">
        <v>89</v>
      </c>
    </row>
    <row r="213" spans="1:2" x14ac:dyDescent="0.2">
      <c r="A213" s="36" t="s">
        <v>8516</v>
      </c>
      <c r="B213" t="s">
        <v>90</v>
      </c>
    </row>
    <row r="214" spans="1:2" x14ac:dyDescent="0.2">
      <c r="A214" s="36" t="s">
        <v>8520</v>
      </c>
      <c r="B214" t="s">
        <v>91</v>
      </c>
    </row>
    <row r="215" spans="1:2" x14ac:dyDescent="0.2">
      <c r="A215" s="36" t="s">
        <v>8509</v>
      </c>
      <c r="B215" t="s">
        <v>92</v>
      </c>
    </row>
    <row r="216" spans="1:2" x14ac:dyDescent="0.2">
      <c r="A216" s="36" t="s">
        <v>8494</v>
      </c>
      <c r="B216" t="s">
        <v>93</v>
      </c>
    </row>
    <row r="217" spans="1:2" x14ac:dyDescent="0.2">
      <c r="A217" s="36" t="s">
        <v>8510</v>
      </c>
      <c r="B217" t="s">
        <v>94</v>
      </c>
    </row>
    <row r="218" spans="1:2" x14ac:dyDescent="0.2">
      <c r="A218" s="36" t="s">
        <v>8492</v>
      </c>
      <c r="B218" t="s">
        <v>95</v>
      </c>
    </row>
    <row r="219" spans="1:2" x14ac:dyDescent="0.2">
      <c r="A219" s="36" t="s">
        <v>8504</v>
      </c>
      <c r="B219" t="s">
        <v>96</v>
      </c>
    </row>
    <row r="220" spans="1:2" x14ac:dyDescent="0.2">
      <c r="A220" s="36" t="s">
        <v>8496</v>
      </c>
      <c r="B220" t="s">
        <v>97</v>
      </c>
    </row>
    <row r="221" spans="1:2" x14ac:dyDescent="0.2">
      <c r="A221" s="36" t="s">
        <v>8486</v>
      </c>
      <c r="B221" t="s">
        <v>98</v>
      </c>
    </row>
    <row r="222" spans="1:2" x14ac:dyDescent="0.2">
      <c r="A222" s="36" t="s">
        <v>8500</v>
      </c>
      <c r="B222" t="s">
        <v>99</v>
      </c>
    </row>
    <row r="223" spans="1:2" x14ac:dyDescent="0.2">
      <c r="A223" s="36" t="s">
        <v>8502</v>
      </c>
      <c r="B223" t="s">
        <v>100</v>
      </c>
    </row>
    <row r="224" spans="1:2" x14ac:dyDescent="0.2">
      <c r="A224" s="36" t="s">
        <v>8517</v>
      </c>
      <c r="B224" t="s">
        <v>101</v>
      </c>
    </row>
    <row r="225" spans="1:2" x14ac:dyDescent="0.2">
      <c r="A225" s="36" t="s">
        <v>8506</v>
      </c>
      <c r="B225" t="s">
        <v>103</v>
      </c>
    </row>
    <row r="226" spans="1:2" x14ac:dyDescent="0.2">
      <c r="A226" s="36" t="s">
        <v>8531</v>
      </c>
      <c r="B226" t="s">
        <v>104</v>
      </c>
    </row>
    <row r="227" spans="1:2" x14ac:dyDescent="0.2">
      <c r="A227" s="36" t="s">
        <v>8519</v>
      </c>
      <c r="B227" t="s">
        <v>105</v>
      </c>
    </row>
    <row r="228" spans="1:2" x14ac:dyDescent="0.2">
      <c r="A228" s="36" t="s">
        <v>8523</v>
      </c>
      <c r="B228" t="s">
        <v>97</v>
      </c>
    </row>
    <row r="229" spans="1:2" x14ac:dyDescent="0.2">
      <c r="A229" s="36" t="s">
        <v>8534</v>
      </c>
      <c r="B229" t="s">
        <v>84</v>
      </c>
    </row>
    <row r="230" spans="1:2" x14ac:dyDescent="0.2">
      <c r="A230" s="36" t="s">
        <v>8530</v>
      </c>
      <c r="B230" t="s">
        <v>87</v>
      </c>
    </row>
    <row r="231" spans="1:2" x14ac:dyDescent="0.2">
      <c r="A231" s="36" t="s">
        <v>8513</v>
      </c>
      <c r="B231" t="s">
        <v>88</v>
      </c>
    </row>
    <row r="232" spans="1:2" x14ac:dyDescent="0.2">
      <c r="A232" s="36" t="s">
        <v>8515</v>
      </c>
      <c r="B232" t="s">
        <v>89</v>
      </c>
    </row>
    <row r="233" spans="1:2" x14ac:dyDescent="0.2">
      <c r="A233" s="36" t="s">
        <v>8522</v>
      </c>
      <c r="B233" t="s">
        <v>90</v>
      </c>
    </row>
    <row r="234" spans="1:2" x14ac:dyDescent="0.2">
      <c r="A234" s="36" t="s">
        <v>8533</v>
      </c>
      <c r="B234" t="s">
        <v>91</v>
      </c>
    </row>
    <row r="235" spans="1:2" x14ac:dyDescent="0.2">
      <c r="A235" s="36" t="s">
        <v>8488</v>
      </c>
      <c r="B235" t="s">
        <v>92</v>
      </c>
    </row>
    <row r="236" spans="1:2" x14ac:dyDescent="0.2">
      <c r="A236" s="36" t="s">
        <v>8521</v>
      </c>
      <c r="B236" t="s">
        <v>93</v>
      </c>
    </row>
    <row r="237" spans="1:2" x14ac:dyDescent="0.2">
      <c r="A237" s="36" t="s">
        <v>8489</v>
      </c>
      <c r="B237" t="s">
        <v>94</v>
      </c>
    </row>
    <row r="238" spans="1:2" x14ac:dyDescent="0.2">
      <c r="A238" s="36" t="s">
        <v>8518</v>
      </c>
      <c r="B238" t="s">
        <v>95</v>
      </c>
    </row>
    <row r="239" spans="1:2" x14ac:dyDescent="0.2">
      <c r="A239" s="36" t="s">
        <v>8527</v>
      </c>
      <c r="B239" t="s">
        <v>96</v>
      </c>
    </row>
    <row r="240" spans="1:2" x14ac:dyDescent="0.2">
      <c r="A240" s="36" t="s">
        <v>8524</v>
      </c>
      <c r="B240" t="s">
        <v>98</v>
      </c>
    </row>
    <row r="241" spans="1:2" x14ac:dyDescent="0.2">
      <c r="A241" s="36" t="s">
        <v>8499</v>
      </c>
      <c r="B241" t="s">
        <v>99</v>
      </c>
    </row>
    <row r="242" spans="1:2" x14ac:dyDescent="0.2">
      <c r="A242" s="36" t="s">
        <v>8505</v>
      </c>
      <c r="B242" t="s">
        <v>100</v>
      </c>
    </row>
    <row r="243" spans="1:2" x14ac:dyDescent="0.2">
      <c r="A243" s="36" t="s">
        <v>8512</v>
      </c>
      <c r="B243" t="s">
        <v>101</v>
      </c>
    </row>
    <row r="244" spans="1:2" x14ac:dyDescent="0.2">
      <c r="A244" s="36" t="s">
        <v>8493</v>
      </c>
      <c r="B244" t="s">
        <v>103</v>
      </c>
    </row>
    <row r="245" spans="1:2" x14ac:dyDescent="0.2">
      <c r="A245" s="36" t="s">
        <v>8501</v>
      </c>
      <c r="B245" t="s">
        <v>104</v>
      </c>
    </row>
    <row r="246" spans="1:2" x14ac:dyDescent="0.2">
      <c r="A246" s="36" t="s">
        <v>8503</v>
      </c>
      <c r="B246" t="s">
        <v>105</v>
      </c>
    </row>
    <row r="247" spans="1:2" x14ac:dyDescent="0.2">
      <c r="A247" s="36" t="s">
        <v>8487</v>
      </c>
      <c r="B247" t="s">
        <v>97</v>
      </c>
    </row>
    <row r="248" spans="1:2" x14ac:dyDescent="0.2">
      <c r="A248" s="36" t="s">
        <v>8485</v>
      </c>
      <c r="B248" t="s">
        <v>95</v>
      </c>
    </row>
    <row r="249" spans="1:2" x14ac:dyDescent="0.2">
      <c r="A249" s="36" t="s">
        <v>8495</v>
      </c>
      <c r="B249" t="s">
        <v>97</v>
      </c>
    </row>
    <row r="250" spans="1:2" x14ac:dyDescent="0.2">
      <c r="A250" s="36" t="s">
        <v>8508</v>
      </c>
      <c r="B250" t="s">
        <v>84</v>
      </c>
    </row>
    <row r="251" spans="1:2" x14ac:dyDescent="0.2">
      <c r="A251" s="36" t="s">
        <v>8498</v>
      </c>
      <c r="B251" t="s">
        <v>87</v>
      </c>
    </row>
    <row r="252" spans="1:2" x14ac:dyDescent="0.2">
      <c r="A252" s="36" t="s">
        <v>8511</v>
      </c>
      <c r="B252" t="s">
        <v>88</v>
      </c>
    </row>
    <row r="253" spans="1:2" x14ac:dyDescent="0.2">
      <c r="A253" s="36" t="s">
        <v>8514</v>
      </c>
      <c r="B253" t="s">
        <v>89</v>
      </c>
    </row>
    <row r="254" spans="1:2" x14ac:dyDescent="0.2">
      <c r="A254" s="36" t="s">
        <v>8526</v>
      </c>
      <c r="B254" t="s">
        <v>90</v>
      </c>
    </row>
    <row r="255" spans="1:2" x14ac:dyDescent="0.2">
      <c r="A255" s="36" t="s">
        <v>8497</v>
      </c>
      <c r="B255" t="s">
        <v>91</v>
      </c>
    </row>
    <row r="256" spans="1:2" x14ac:dyDescent="0.2">
      <c r="A256" s="36" t="s">
        <v>8535</v>
      </c>
      <c r="B256" t="s">
        <v>92</v>
      </c>
    </row>
    <row r="257" spans="1:2" x14ac:dyDescent="0.2">
      <c r="A257" s="36" t="s">
        <v>8525</v>
      </c>
      <c r="B257" t="s">
        <v>93</v>
      </c>
    </row>
    <row r="258" spans="1:2" x14ac:dyDescent="0.2">
      <c r="A258" s="36" t="s">
        <v>8507</v>
      </c>
      <c r="B258" t="s">
        <v>94</v>
      </c>
    </row>
    <row r="259" spans="1:2" x14ac:dyDescent="0.2">
      <c r="A259" s="36" t="s">
        <v>8529</v>
      </c>
      <c r="B259" t="s">
        <v>96</v>
      </c>
    </row>
    <row r="260" spans="1:2" x14ac:dyDescent="0.2">
      <c r="A260" s="36" t="s">
        <v>9144</v>
      </c>
      <c r="B260" t="s">
        <v>93</v>
      </c>
    </row>
    <row r="261" spans="1:2" x14ac:dyDescent="0.2">
      <c r="A261" s="36" t="s">
        <v>9145</v>
      </c>
      <c r="B261" t="s">
        <v>94</v>
      </c>
    </row>
    <row r="262" spans="1:2" x14ac:dyDescent="0.2">
      <c r="A262" s="36" t="s">
        <v>9143</v>
      </c>
      <c r="B262" t="s">
        <v>95</v>
      </c>
    </row>
    <row r="263" spans="1:2" x14ac:dyDescent="0.2">
      <c r="A263" s="36" t="s">
        <v>9140</v>
      </c>
      <c r="B263" t="s">
        <v>93</v>
      </c>
    </row>
    <row r="264" spans="1:2" x14ac:dyDescent="0.2">
      <c r="A264" s="36" t="s">
        <v>9146</v>
      </c>
      <c r="B264" t="s">
        <v>94</v>
      </c>
    </row>
    <row r="265" spans="1:2" x14ac:dyDescent="0.2">
      <c r="A265" s="36" t="s">
        <v>9877</v>
      </c>
      <c r="B265" t="s">
        <v>96</v>
      </c>
    </row>
    <row r="266" spans="1:2" x14ac:dyDescent="0.2">
      <c r="A266" s="36" t="s">
        <v>9879</v>
      </c>
      <c r="B266" t="s">
        <v>97</v>
      </c>
    </row>
    <row r="267" spans="1:2" x14ac:dyDescent="0.2">
      <c r="A267" s="36" t="s">
        <v>9878</v>
      </c>
      <c r="B267" t="s">
        <v>98</v>
      </c>
    </row>
    <row r="268" spans="1:2" x14ac:dyDescent="0.2">
      <c r="A268" s="36" t="s">
        <v>9876</v>
      </c>
      <c r="B268" t="s">
        <v>99</v>
      </c>
    </row>
    <row r="269" spans="1:2" x14ac:dyDescent="0.2">
      <c r="A269" s="36" t="s">
        <v>9883</v>
      </c>
      <c r="B269" t="s">
        <v>100</v>
      </c>
    </row>
    <row r="270" spans="1:2" x14ac:dyDescent="0.2">
      <c r="A270" s="36" t="s">
        <v>9881</v>
      </c>
      <c r="B270" t="s">
        <v>101</v>
      </c>
    </row>
    <row r="271" spans="1:2" x14ac:dyDescent="0.2">
      <c r="A271" s="36" t="s">
        <v>9880</v>
      </c>
      <c r="B271" t="s">
        <v>103</v>
      </c>
    </row>
    <row r="272" spans="1:2" x14ac:dyDescent="0.2">
      <c r="A272" s="36" t="s">
        <v>9154</v>
      </c>
      <c r="B272" t="s">
        <v>104</v>
      </c>
    </row>
    <row r="273" spans="1:2" x14ac:dyDescent="0.2">
      <c r="A273" s="36" t="s">
        <v>9150</v>
      </c>
      <c r="B273" t="s">
        <v>105</v>
      </c>
    </row>
    <row r="274" spans="1:2" x14ac:dyDescent="0.2">
      <c r="A274" s="36" t="s">
        <v>9149</v>
      </c>
      <c r="B274" t="s">
        <v>92</v>
      </c>
    </row>
    <row r="275" spans="1:2" x14ac:dyDescent="0.2">
      <c r="A275" s="36" t="s">
        <v>9151</v>
      </c>
      <c r="B275" t="s">
        <v>87</v>
      </c>
    </row>
    <row r="276" spans="1:2" x14ac:dyDescent="0.2">
      <c r="A276" s="36" t="s">
        <v>9148</v>
      </c>
      <c r="B276" t="s">
        <v>88</v>
      </c>
    </row>
    <row r="277" spans="1:2" x14ac:dyDescent="0.2">
      <c r="A277" s="36" t="s">
        <v>9147</v>
      </c>
      <c r="B277" t="s">
        <v>89</v>
      </c>
    </row>
    <row r="278" spans="1:2" x14ac:dyDescent="0.2">
      <c r="A278" s="36" t="s">
        <v>9152</v>
      </c>
      <c r="B278" t="s">
        <v>90</v>
      </c>
    </row>
    <row r="279" spans="1:2" x14ac:dyDescent="0.2">
      <c r="A279" s="36" t="s">
        <v>9156</v>
      </c>
      <c r="B279" t="s">
        <v>104</v>
      </c>
    </row>
    <row r="280" spans="1:2" x14ac:dyDescent="0.2">
      <c r="A280" s="36" t="s">
        <v>9153</v>
      </c>
      <c r="B280" t="s">
        <v>105</v>
      </c>
    </row>
    <row r="281" spans="1:2" x14ac:dyDescent="0.2">
      <c r="A281" s="36" t="s">
        <v>9155</v>
      </c>
      <c r="B281" t="s">
        <v>92</v>
      </c>
    </row>
    <row r="282" spans="1:2" x14ac:dyDescent="0.2">
      <c r="A282" s="36" t="s">
        <v>9353</v>
      </c>
      <c r="B282" t="s">
        <v>91</v>
      </c>
    </row>
    <row r="283" spans="1:2" x14ac:dyDescent="0.2">
      <c r="A283" s="36" t="s">
        <v>9374</v>
      </c>
      <c r="B283" t="s">
        <v>84</v>
      </c>
    </row>
    <row r="284" spans="1:2" x14ac:dyDescent="0.2">
      <c r="A284" s="36" t="s">
        <v>9379</v>
      </c>
      <c r="B284" t="s">
        <v>96</v>
      </c>
    </row>
    <row r="285" spans="1:2" x14ac:dyDescent="0.2">
      <c r="A285" s="36" t="s">
        <v>9364</v>
      </c>
      <c r="B285" t="s">
        <v>97</v>
      </c>
    </row>
    <row r="286" spans="1:2" x14ac:dyDescent="0.2">
      <c r="A286" s="36" t="s">
        <v>9351</v>
      </c>
      <c r="B286" t="s">
        <v>98</v>
      </c>
    </row>
    <row r="287" spans="1:2" x14ac:dyDescent="0.2">
      <c r="A287" s="36" t="s">
        <v>9355</v>
      </c>
      <c r="B287" t="s">
        <v>99</v>
      </c>
    </row>
    <row r="288" spans="1:2" x14ac:dyDescent="0.2">
      <c r="A288" s="36" t="s">
        <v>9423</v>
      </c>
      <c r="B288" t="s">
        <v>100</v>
      </c>
    </row>
    <row r="289" spans="1:2" x14ac:dyDescent="0.2">
      <c r="A289" s="36" t="s">
        <v>9362</v>
      </c>
      <c r="B289" t="s">
        <v>91</v>
      </c>
    </row>
    <row r="290" spans="1:2" x14ac:dyDescent="0.2">
      <c r="A290" s="36" t="s">
        <v>9363</v>
      </c>
      <c r="B290" t="s">
        <v>84</v>
      </c>
    </row>
    <row r="291" spans="1:2" x14ac:dyDescent="0.2">
      <c r="A291" s="36" t="s">
        <v>9360</v>
      </c>
      <c r="B291" t="s">
        <v>96</v>
      </c>
    </row>
    <row r="292" spans="1:2" x14ac:dyDescent="0.2">
      <c r="A292" s="36" t="s">
        <v>9414</v>
      </c>
      <c r="B292" t="s">
        <v>97</v>
      </c>
    </row>
    <row r="293" spans="1:2" x14ac:dyDescent="0.2">
      <c r="A293" s="36" t="s">
        <v>9352</v>
      </c>
      <c r="B293" t="s">
        <v>98</v>
      </c>
    </row>
    <row r="294" spans="1:2" x14ac:dyDescent="0.2">
      <c r="A294" s="36" t="s">
        <v>9425</v>
      </c>
      <c r="B294" t="s">
        <v>99</v>
      </c>
    </row>
    <row r="295" spans="1:2" x14ac:dyDescent="0.2">
      <c r="A295" s="36" t="s">
        <v>9420</v>
      </c>
      <c r="B295" t="s">
        <v>100</v>
      </c>
    </row>
    <row r="296" spans="1:2" x14ac:dyDescent="0.2">
      <c r="A296" s="36" t="s">
        <v>9356</v>
      </c>
      <c r="B296" t="s">
        <v>91</v>
      </c>
    </row>
    <row r="297" spans="1:2" x14ac:dyDescent="0.2">
      <c r="A297" s="36" t="s">
        <v>9357</v>
      </c>
      <c r="B297" t="s">
        <v>84</v>
      </c>
    </row>
    <row r="298" spans="1:2" x14ac:dyDescent="0.2">
      <c r="A298" s="36" t="s">
        <v>9378</v>
      </c>
      <c r="B298" t="s">
        <v>96</v>
      </c>
    </row>
    <row r="299" spans="1:2" x14ac:dyDescent="0.2">
      <c r="A299" s="36" t="s">
        <v>9361</v>
      </c>
      <c r="B299" t="s">
        <v>97</v>
      </c>
    </row>
    <row r="300" spans="1:2" x14ac:dyDescent="0.2">
      <c r="A300" s="36" t="s">
        <v>9358</v>
      </c>
      <c r="B300" t="s">
        <v>98</v>
      </c>
    </row>
    <row r="301" spans="1:2" x14ac:dyDescent="0.2">
      <c r="A301" s="36" t="s">
        <v>9390</v>
      </c>
      <c r="B301" t="s">
        <v>99</v>
      </c>
    </row>
    <row r="302" spans="1:2" x14ac:dyDescent="0.2">
      <c r="A302" s="36" t="s">
        <v>9367</v>
      </c>
      <c r="B302" t="s">
        <v>100</v>
      </c>
    </row>
    <row r="303" spans="1:2" x14ac:dyDescent="0.2">
      <c r="A303" s="36" t="s">
        <v>9383</v>
      </c>
      <c r="B303" t="s">
        <v>91</v>
      </c>
    </row>
    <row r="304" spans="1:2" x14ac:dyDescent="0.2">
      <c r="A304" s="36" t="s">
        <v>9366</v>
      </c>
      <c r="B304" t="s">
        <v>84</v>
      </c>
    </row>
    <row r="305" spans="1:2" x14ac:dyDescent="0.2">
      <c r="A305" s="36" t="s">
        <v>9369</v>
      </c>
      <c r="B305" t="s">
        <v>96</v>
      </c>
    </row>
    <row r="306" spans="1:2" x14ac:dyDescent="0.2">
      <c r="A306" s="36" t="s">
        <v>9403</v>
      </c>
      <c r="B306" t="s">
        <v>97</v>
      </c>
    </row>
    <row r="307" spans="1:2" x14ac:dyDescent="0.2">
      <c r="A307" s="36" t="s">
        <v>9349</v>
      </c>
      <c r="B307" t="s">
        <v>98</v>
      </c>
    </row>
    <row r="308" spans="1:2" x14ac:dyDescent="0.2">
      <c r="A308" s="36" t="s">
        <v>9398</v>
      </c>
      <c r="B308" t="s">
        <v>99</v>
      </c>
    </row>
    <row r="309" spans="1:2" x14ac:dyDescent="0.2">
      <c r="A309" s="36" t="s">
        <v>9377</v>
      </c>
      <c r="B309" t="s">
        <v>100</v>
      </c>
    </row>
    <row r="310" spans="1:2" x14ac:dyDescent="0.2">
      <c r="A310" s="36" t="s">
        <v>9396</v>
      </c>
      <c r="B310" t="s">
        <v>91</v>
      </c>
    </row>
    <row r="311" spans="1:2" x14ac:dyDescent="0.2">
      <c r="A311" s="36" t="s">
        <v>9401</v>
      </c>
      <c r="B311" t="s">
        <v>84</v>
      </c>
    </row>
    <row r="312" spans="1:2" x14ac:dyDescent="0.2">
      <c r="A312" s="36" t="s">
        <v>9418</v>
      </c>
      <c r="B312" t="s">
        <v>96</v>
      </c>
    </row>
    <row r="313" spans="1:2" x14ac:dyDescent="0.2">
      <c r="A313" s="36" t="s">
        <v>9407</v>
      </c>
      <c r="B313" t="s">
        <v>97</v>
      </c>
    </row>
    <row r="314" spans="1:2" x14ac:dyDescent="0.2">
      <c r="A314" s="36" t="s">
        <v>9408</v>
      </c>
      <c r="B314" t="s">
        <v>98</v>
      </c>
    </row>
    <row r="315" spans="1:2" x14ac:dyDescent="0.2">
      <c r="A315" s="36" t="s">
        <v>9400</v>
      </c>
      <c r="B315" t="s">
        <v>99</v>
      </c>
    </row>
    <row r="316" spans="1:2" x14ac:dyDescent="0.2">
      <c r="A316" s="36" t="s">
        <v>9422</v>
      </c>
      <c r="B316" t="s">
        <v>100</v>
      </c>
    </row>
    <row r="317" spans="1:2" x14ac:dyDescent="0.2">
      <c r="A317" s="36" t="s">
        <v>9413</v>
      </c>
      <c r="B317" t="s">
        <v>91</v>
      </c>
    </row>
    <row r="318" spans="1:2" x14ac:dyDescent="0.2">
      <c r="A318" s="36" t="s">
        <v>9405</v>
      </c>
      <c r="B318" t="s">
        <v>84</v>
      </c>
    </row>
    <row r="319" spans="1:2" x14ac:dyDescent="0.2">
      <c r="A319" s="36" t="s">
        <v>9406</v>
      </c>
      <c r="B319" t="s">
        <v>96</v>
      </c>
    </row>
    <row r="320" spans="1:2" x14ac:dyDescent="0.2">
      <c r="A320" s="36" t="s">
        <v>9380</v>
      </c>
      <c r="B320" t="s">
        <v>97</v>
      </c>
    </row>
    <row r="321" spans="1:2" x14ac:dyDescent="0.2">
      <c r="A321" s="36" t="s">
        <v>9409</v>
      </c>
      <c r="B321" t="s">
        <v>98</v>
      </c>
    </row>
    <row r="322" spans="1:2" x14ac:dyDescent="0.2">
      <c r="A322" s="36" t="s">
        <v>9410</v>
      </c>
      <c r="B322" t="s">
        <v>99</v>
      </c>
    </row>
    <row r="323" spans="1:2" x14ac:dyDescent="0.2">
      <c r="A323" s="36" t="s">
        <v>9391</v>
      </c>
      <c r="B323" t="s">
        <v>100</v>
      </c>
    </row>
    <row r="324" spans="1:2" x14ac:dyDescent="0.2">
      <c r="A324" s="36" t="s">
        <v>9376</v>
      </c>
      <c r="B324" t="s">
        <v>91</v>
      </c>
    </row>
    <row r="325" spans="1:2" x14ac:dyDescent="0.2">
      <c r="A325" s="36" t="s">
        <v>9416</v>
      </c>
      <c r="B325" t="s">
        <v>84</v>
      </c>
    </row>
    <row r="326" spans="1:2" x14ac:dyDescent="0.2">
      <c r="A326" s="36" t="s">
        <v>9386</v>
      </c>
      <c r="B326" t="s">
        <v>96</v>
      </c>
    </row>
    <row r="327" spans="1:2" x14ac:dyDescent="0.2">
      <c r="A327" s="36" t="s">
        <v>9417</v>
      </c>
      <c r="B327" t="s">
        <v>97</v>
      </c>
    </row>
    <row r="328" spans="1:2" x14ac:dyDescent="0.2">
      <c r="A328" s="36" t="s">
        <v>9411</v>
      </c>
      <c r="B328" t="s">
        <v>98</v>
      </c>
    </row>
    <row r="329" spans="1:2" x14ac:dyDescent="0.2">
      <c r="A329" s="36" t="s">
        <v>9419</v>
      </c>
      <c r="B329" t="s">
        <v>99</v>
      </c>
    </row>
    <row r="330" spans="1:2" x14ac:dyDescent="0.2">
      <c r="A330" s="36" t="s">
        <v>9385</v>
      </c>
      <c r="B330" t="s">
        <v>100</v>
      </c>
    </row>
    <row r="331" spans="1:2" x14ac:dyDescent="0.2">
      <c r="A331" s="36" t="s">
        <v>9381</v>
      </c>
      <c r="B331" t="s">
        <v>91</v>
      </c>
    </row>
    <row r="332" spans="1:2" x14ac:dyDescent="0.2">
      <c r="A332" s="36" t="s">
        <v>9421</v>
      </c>
      <c r="B332" t="s">
        <v>84</v>
      </c>
    </row>
    <row r="333" spans="1:2" x14ac:dyDescent="0.2">
      <c r="A333" s="36" t="s">
        <v>9415</v>
      </c>
      <c r="B333" t="s">
        <v>96</v>
      </c>
    </row>
    <row r="334" spans="1:2" x14ac:dyDescent="0.2">
      <c r="A334" s="36" t="s">
        <v>9412</v>
      </c>
      <c r="B334" t="s">
        <v>97</v>
      </c>
    </row>
    <row r="335" spans="1:2" x14ac:dyDescent="0.2">
      <c r="A335" s="36" t="s">
        <v>9393</v>
      </c>
      <c r="B335" t="s">
        <v>98</v>
      </c>
    </row>
    <row r="336" spans="1:2" x14ac:dyDescent="0.2">
      <c r="A336" s="36" t="s">
        <v>9424</v>
      </c>
      <c r="B336" t="s">
        <v>99</v>
      </c>
    </row>
    <row r="337" spans="1:2" x14ac:dyDescent="0.2">
      <c r="A337" s="36" t="s">
        <v>9354</v>
      </c>
      <c r="B337" t="s">
        <v>100</v>
      </c>
    </row>
    <row r="338" spans="1:2" x14ac:dyDescent="0.2">
      <c r="A338" s="36" t="s">
        <v>9350</v>
      </c>
      <c r="B338" t="s">
        <v>91</v>
      </c>
    </row>
    <row r="339" spans="1:2" x14ac:dyDescent="0.2">
      <c r="A339" s="36" t="s">
        <v>9384</v>
      </c>
      <c r="B339" t="s">
        <v>84</v>
      </c>
    </row>
    <row r="340" spans="1:2" x14ac:dyDescent="0.2">
      <c r="A340" s="36" t="s">
        <v>9399</v>
      </c>
      <c r="B340" t="s">
        <v>96</v>
      </c>
    </row>
    <row r="341" spans="1:2" x14ac:dyDescent="0.2">
      <c r="A341" s="36" t="s">
        <v>9392</v>
      </c>
      <c r="B341" t="s">
        <v>97</v>
      </c>
    </row>
    <row r="342" spans="1:2" x14ac:dyDescent="0.2">
      <c r="A342" s="36" t="s">
        <v>9404</v>
      </c>
      <c r="B342" t="s">
        <v>98</v>
      </c>
    </row>
    <row r="343" spans="1:2" x14ac:dyDescent="0.2">
      <c r="A343" s="36" t="s">
        <v>9394</v>
      </c>
      <c r="B343" t="s">
        <v>99</v>
      </c>
    </row>
    <row r="344" spans="1:2" x14ac:dyDescent="0.2">
      <c r="A344" s="36" t="s">
        <v>9395</v>
      </c>
      <c r="B344" t="s">
        <v>100</v>
      </c>
    </row>
    <row r="345" spans="1:2" x14ac:dyDescent="0.2">
      <c r="A345" s="36" t="s">
        <v>9397</v>
      </c>
      <c r="B345" t="s">
        <v>91</v>
      </c>
    </row>
    <row r="346" spans="1:2" x14ac:dyDescent="0.2">
      <c r="A346" s="36" t="s">
        <v>9387</v>
      </c>
      <c r="B346" t="s">
        <v>84</v>
      </c>
    </row>
    <row r="347" spans="1:2" x14ac:dyDescent="0.2">
      <c r="A347" s="36" t="s">
        <v>9388</v>
      </c>
      <c r="B347" t="s">
        <v>96</v>
      </c>
    </row>
    <row r="348" spans="1:2" x14ac:dyDescent="0.2">
      <c r="A348" s="36" t="s">
        <v>9370</v>
      </c>
      <c r="B348" t="s">
        <v>97</v>
      </c>
    </row>
    <row r="349" spans="1:2" x14ac:dyDescent="0.2">
      <c r="A349" s="36" t="s">
        <v>9371</v>
      </c>
      <c r="B349" t="s">
        <v>98</v>
      </c>
    </row>
    <row r="350" spans="1:2" x14ac:dyDescent="0.2">
      <c r="A350" s="36" t="s">
        <v>9372</v>
      </c>
      <c r="B350" t="s">
        <v>99</v>
      </c>
    </row>
    <row r="351" spans="1:2" x14ac:dyDescent="0.2">
      <c r="A351" s="36" t="s">
        <v>9402</v>
      </c>
      <c r="B351" t="s">
        <v>100</v>
      </c>
    </row>
    <row r="352" spans="1:2" x14ac:dyDescent="0.2">
      <c r="A352" s="36" t="s">
        <v>9373</v>
      </c>
      <c r="B352" t="s">
        <v>91</v>
      </c>
    </row>
    <row r="353" spans="1:2" x14ac:dyDescent="0.2">
      <c r="A353" s="36" t="s">
        <v>9365</v>
      </c>
      <c r="B353" t="s">
        <v>84</v>
      </c>
    </row>
    <row r="354" spans="1:2" x14ac:dyDescent="0.2">
      <c r="A354" s="36" t="s">
        <v>9368</v>
      </c>
      <c r="B354" t="s">
        <v>96</v>
      </c>
    </row>
    <row r="355" spans="1:2" x14ac:dyDescent="0.2">
      <c r="A355" s="36" t="s">
        <v>9375</v>
      </c>
      <c r="B355" t="s">
        <v>97</v>
      </c>
    </row>
    <row r="356" spans="1:2" x14ac:dyDescent="0.2">
      <c r="A356" s="36" t="s">
        <v>9437</v>
      </c>
      <c r="B356" t="s">
        <v>101</v>
      </c>
    </row>
    <row r="357" spans="1:2" x14ac:dyDescent="0.2">
      <c r="A357" s="36" t="s">
        <v>9441</v>
      </c>
      <c r="B357" t="s">
        <v>103</v>
      </c>
    </row>
    <row r="358" spans="1:2" x14ac:dyDescent="0.2">
      <c r="A358" s="36" t="s">
        <v>9442</v>
      </c>
      <c r="B358" t="s">
        <v>101</v>
      </c>
    </row>
    <row r="359" spans="1:2" x14ac:dyDescent="0.2">
      <c r="A359" s="36" t="s">
        <v>9438</v>
      </c>
      <c r="B359" t="s">
        <v>103</v>
      </c>
    </row>
    <row r="360" spans="1:2" x14ac:dyDescent="0.2">
      <c r="A360" s="36" t="s">
        <v>9440</v>
      </c>
      <c r="B360" t="s">
        <v>101</v>
      </c>
    </row>
    <row r="361" spans="1:2" x14ac:dyDescent="0.2">
      <c r="A361" s="36" t="s">
        <v>9436</v>
      </c>
      <c r="B361" t="s">
        <v>103</v>
      </c>
    </row>
    <row r="362" spans="1:2" x14ac:dyDescent="0.2">
      <c r="A362" s="36" t="s">
        <v>9444</v>
      </c>
      <c r="B362" t="s">
        <v>101</v>
      </c>
    </row>
    <row r="363" spans="1:2" x14ac:dyDescent="0.2">
      <c r="A363" s="36" t="s">
        <v>9445</v>
      </c>
      <c r="B363" t="s">
        <v>103</v>
      </c>
    </row>
    <row r="364" spans="1:2" x14ac:dyDescent="0.2">
      <c r="A364" s="36" t="s">
        <v>9446</v>
      </c>
      <c r="B364" t="s">
        <v>101</v>
      </c>
    </row>
    <row r="365" spans="1:2" x14ac:dyDescent="0.2">
      <c r="A365" s="36" t="s">
        <v>9435</v>
      </c>
      <c r="B365" t="s">
        <v>103</v>
      </c>
    </row>
    <row r="366" spans="1:2" x14ac:dyDescent="0.2">
      <c r="A366" s="36" t="s">
        <v>9800</v>
      </c>
      <c r="B366" t="s">
        <v>87</v>
      </c>
    </row>
    <row r="367" spans="1:2" x14ac:dyDescent="0.2">
      <c r="A367" s="36" t="s">
        <v>9799</v>
      </c>
      <c r="B367" t="s">
        <v>88</v>
      </c>
    </row>
    <row r="368" spans="1:2" x14ac:dyDescent="0.2">
      <c r="A368" s="36" t="s">
        <v>9801</v>
      </c>
      <c r="B368" t="s">
        <v>87</v>
      </c>
    </row>
    <row r="369" spans="1:2" x14ac:dyDescent="0.2">
      <c r="A369" s="36" t="s">
        <v>9798</v>
      </c>
      <c r="B369" t="s">
        <v>88</v>
      </c>
    </row>
    <row r="370" spans="1:2" x14ac:dyDescent="0.2">
      <c r="A370" s="36" t="s">
        <v>9141</v>
      </c>
      <c r="B370" t="s">
        <v>95</v>
      </c>
    </row>
    <row r="371" spans="1:2" x14ac:dyDescent="0.2">
      <c r="A371" s="36" t="s">
        <v>9872</v>
      </c>
      <c r="B371" t="s">
        <v>89</v>
      </c>
    </row>
    <row r="372" spans="1:2" x14ac:dyDescent="0.2">
      <c r="A372" s="36" t="s">
        <v>9138</v>
      </c>
      <c r="B372" t="s">
        <v>90</v>
      </c>
    </row>
    <row r="373" spans="1:2" x14ac:dyDescent="0.2">
      <c r="A373" s="36" t="s">
        <v>9139</v>
      </c>
      <c r="B373" t="s">
        <v>90</v>
      </c>
    </row>
    <row r="374" spans="1:2" x14ac:dyDescent="0.2">
      <c r="A374" s="36" t="s">
        <v>9137</v>
      </c>
      <c r="B374" t="s">
        <v>104</v>
      </c>
    </row>
    <row r="375" spans="1:2" x14ac:dyDescent="0.2">
      <c r="A375" s="36" t="s">
        <v>9120</v>
      </c>
      <c r="B375" t="s">
        <v>105</v>
      </c>
    </row>
    <row r="376" spans="1:2" x14ac:dyDescent="0.2">
      <c r="A376" s="36" t="s">
        <v>9121</v>
      </c>
      <c r="B376" t="s">
        <v>92</v>
      </c>
    </row>
    <row r="377" spans="1:2" x14ac:dyDescent="0.2">
      <c r="A377" s="36" t="s">
        <v>9119</v>
      </c>
      <c r="B377" t="s">
        <v>105</v>
      </c>
    </row>
    <row r="378" spans="1:2" x14ac:dyDescent="0.2">
      <c r="A378" s="36" t="s">
        <v>9123</v>
      </c>
      <c r="B378" t="s">
        <v>92</v>
      </c>
    </row>
    <row r="379" spans="1:2" x14ac:dyDescent="0.2">
      <c r="A379" s="36" t="s">
        <v>9573</v>
      </c>
      <c r="B379" t="s">
        <v>89</v>
      </c>
    </row>
    <row r="380" spans="1:2" x14ac:dyDescent="0.2">
      <c r="A380" s="36" t="s">
        <v>9575</v>
      </c>
      <c r="B380" t="s">
        <v>95</v>
      </c>
    </row>
    <row r="381" spans="1:2" x14ac:dyDescent="0.2">
      <c r="A381" s="36" t="s">
        <v>9576</v>
      </c>
      <c r="B381" t="s">
        <v>93</v>
      </c>
    </row>
    <row r="382" spans="1:2" x14ac:dyDescent="0.2">
      <c r="A382" s="36" t="s">
        <v>9106</v>
      </c>
      <c r="B382" t="s">
        <v>94</v>
      </c>
    </row>
    <row r="383" spans="1:2" x14ac:dyDescent="0.2">
      <c r="A383" s="36" t="s">
        <v>9108</v>
      </c>
      <c r="B383" t="s">
        <v>89</v>
      </c>
    </row>
    <row r="384" spans="1:2" x14ac:dyDescent="0.2">
      <c r="A384" s="36" t="s">
        <v>9111</v>
      </c>
      <c r="B384" t="s">
        <v>90</v>
      </c>
    </row>
    <row r="385" spans="1:2" x14ac:dyDescent="0.2">
      <c r="A385" s="36" t="s">
        <v>9110</v>
      </c>
      <c r="B385" t="s">
        <v>94</v>
      </c>
    </row>
    <row r="386" spans="1:2" x14ac:dyDescent="0.2">
      <c r="A386" s="36" t="s">
        <v>9105</v>
      </c>
      <c r="B386" t="s">
        <v>89</v>
      </c>
    </row>
    <row r="387" spans="1:2" x14ac:dyDescent="0.2">
      <c r="A387" s="36" t="s">
        <v>9107</v>
      </c>
      <c r="B387" t="s">
        <v>90</v>
      </c>
    </row>
    <row r="388" spans="1:2" x14ac:dyDescent="0.2">
      <c r="A388" s="36" t="s">
        <v>9118</v>
      </c>
      <c r="B388" t="s">
        <v>104</v>
      </c>
    </row>
    <row r="389" spans="1:2" x14ac:dyDescent="0.2">
      <c r="A389" s="36" t="s">
        <v>9112</v>
      </c>
      <c r="B389" t="s">
        <v>95</v>
      </c>
    </row>
    <row r="390" spans="1:2" x14ac:dyDescent="0.2">
      <c r="A390" s="36" t="s">
        <v>9117</v>
      </c>
      <c r="B390" t="s">
        <v>104</v>
      </c>
    </row>
    <row r="391" spans="1:2" x14ac:dyDescent="0.2">
      <c r="A391" s="36" t="s">
        <v>9116</v>
      </c>
      <c r="B391" t="s">
        <v>95</v>
      </c>
    </row>
    <row r="392" spans="1:2" x14ac:dyDescent="0.2">
      <c r="A392" s="36" t="s">
        <v>9113</v>
      </c>
      <c r="B392" t="s">
        <v>104</v>
      </c>
    </row>
    <row r="393" spans="1:2" x14ac:dyDescent="0.2">
      <c r="A393" s="36" t="s">
        <v>9115</v>
      </c>
      <c r="B393" t="s">
        <v>95</v>
      </c>
    </row>
    <row r="394" spans="1:2" x14ac:dyDescent="0.2">
      <c r="A394" s="36" t="s">
        <v>10269</v>
      </c>
      <c r="B394" t="s">
        <v>87</v>
      </c>
    </row>
    <row r="395" spans="1:2" x14ac:dyDescent="0.2">
      <c r="A395" s="36" t="s">
        <v>10270</v>
      </c>
      <c r="B395" t="s">
        <v>88</v>
      </c>
    </row>
    <row r="396" spans="1:2" x14ac:dyDescent="0.2">
      <c r="A396" s="36" t="s">
        <v>10267</v>
      </c>
      <c r="B396" t="s">
        <v>93</v>
      </c>
    </row>
    <row r="397" spans="1:2" x14ac:dyDescent="0.2">
      <c r="A397" s="36" t="s">
        <v>10271</v>
      </c>
      <c r="B397" t="s">
        <v>87</v>
      </c>
    </row>
    <row r="398" spans="1:2" x14ac:dyDescent="0.2">
      <c r="A398" s="36" t="s">
        <v>10273</v>
      </c>
      <c r="B398" t="s">
        <v>88</v>
      </c>
    </row>
    <row r="399" spans="1:2" x14ac:dyDescent="0.2">
      <c r="A399" s="36" t="s">
        <v>10268</v>
      </c>
      <c r="B399" t="s">
        <v>93</v>
      </c>
    </row>
    <row r="400" spans="1:2" x14ac:dyDescent="0.2">
      <c r="A400" s="36" t="s">
        <v>10272</v>
      </c>
      <c r="B400" t="s">
        <v>87</v>
      </c>
    </row>
    <row r="401" spans="1:2" x14ac:dyDescent="0.2">
      <c r="A401" s="36" t="s">
        <v>9882</v>
      </c>
      <c r="B401" t="s">
        <v>105</v>
      </c>
    </row>
    <row r="402" spans="1:2" x14ac:dyDescent="0.2">
      <c r="A402" s="36" t="s">
        <v>10257</v>
      </c>
      <c r="B402" t="s">
        <v>92</v>
      </c>
    </row>
    <row r="403" spans="1:2" x14ac:dyDescent="0.2">
      <c r="A403" s="36" t="s">
        <v>10253</v>
      </c>
      <c r="B403" t="s">
        <v>94</v>
      </c>
    </row>
    <row r="404" spans="1:2" x14ac:dyDescent="0.2">
      <c r="A404" s="36" t="s">
        <v>10262</v>
      </c>
      <c r="B404" t="s">
        <v>92</v>
      </c>
    </row>
    <row r="405" spans="1:2" x14ac:dyDescent="0.2">
      <c r="A405" s="36" t="s">
        <v>10259</v>
      </c>
      <c r="B405" t="s">
        <v>89</v>
      </c>
    </row>
    <row r="406" spans="1:2" x14ac:dyDescent="0.2">
      <c r="A406" s="36" t="s">
        <v>10255</v>
      </c>
      <c r="B406" t="s">
        <v>90</v>
      </c>
    </row>
    <row r="407" spans="1:2" x14ac:dyDescent="0.2">
      <c r="A407" s="36" t="s">
        <v>10258</v>
      </c>
      <c r="B407" t="s">
        <v>105</v>
      </c>
    </row>
    <row r="408" spans="1:2" x14ac:dyDescent="0.2">
      <c r="A408" s="36" t="s">
        <v>10266</v>
      </c>
      <c r="B408" t="s">
        <v>94</v>
      </c>
    </row>
    <row r="409" spans="1:2" x14ac:dyDescent="0.2">
      <c r="A409" s="36" t="s">
        <v>10264</v>
      </c>
      <c r="B409" t="s">
        <v>92</v>
      </c>
    </row>
    <row r="410" spans="1:2" x14ac:dyDescent="0.2">
      <c r="A410" s="36" t="s">
        <v>10260</v>
      </c>
      <c r="B410" t="s">
        <v>89</v>
      </c>
    </row>
    <row r="411" spans="1:2" x14ac:dyDescent="0.2">
      <c r="A411" s="36" t="s">
        <v>10265</v>
      </c>
      <c r="B411" t="s">
        <v>90</v>
      </c>
    </row>
    <row r="412" spans="1:2" x14ac:dyDescent="0.2">
      <c r="A412" s="36" t="s">
        <v>10261</v>
      </c>
      <c r="B412" t="s">
        <v>105</v>
      </c>
    </row>
    <row r="413" spans="1:2" x14ac:dyDescent="0.2">
      <c r="A413" s="36" t="s">
        <v>9389</v>
      </c>
      <c r="B413" t="s">
        <v>98</v>
      </c>
    </row>
    <row r="414" spans="1:2" x14ac:dyDescent="0.2">
      <c r="A414" s="36" t="s">
        <v>9997</v>
      </c>
      <c r="B414" t="s">
        <v>88</v>
      </c>
    </row>
    <row r="415" spans="1:2" x14ac:dyDescent="0.2">
      <c r="A415" s="36" t="s">
        <v>9999</v>
      </c>
      <c r="B415" t="s">
        <v>93</v>
      </c>
    </row>
    <row r="416" spans="1:2" x14ac:dyDescent="0.2">
      <c r="A416" s="36" t="s">
        <v>10004</v>
      </c>
      <c r="B416" t="s">
        <v>88</v>
      </c>
    </row>
    <row r="417" spans="1:2" x14ac:dyDescent="0.2">
      <c r="A417" s="36" t="s">
        <v>10002</v>
      </c>
      <c r="B417" t="s">
        <v>104</v>
      </c>
    </row>
    <row r="418" spans="1:2" x14ac:dyDescent="0.2">
      <c r="A418" s="36" t="s">
        <v>10001</v>
      </c>
      <c r="B418" t="s">
        <v>95</v>
      </c>
    </row>
    <row r="419" spans="1:2" x14ac:dyDescent="0.2">
      <c r="A419" s="36" t="s">
        <v>10003</v>
      </c>
      <c r="B419" t="s">
        <v>93</v>
      </c>
    </row>
    <row r="420" spans="1:2" x14ac:dyDescent="0.2">
      <c r="A420" s="36" t="s">
        <v>9434</v>
      </c>
      <c r="B420" t="s">
        <v>101</v>
      </c>
    </row>
    <row r="421" spans="1:2" x14ac:dyDescent="0.2">
      <c r="A421" s="36" t="s">
        <v>9439</v>
      </c>
      <c r="B421" t="s">
        <v>103</v>
      </c>
    </row>
    <row r="422" spans="1:2" x14ac:dyDescent="0.2">
      <c r="A422" s="36" t="s">
        <v>9443</v>
      </c>
      <c r="B422" t="s">
        <v>101</v>
      </c>
    </row>
    <row r="423" spans="1:2" x14ac:dyDescent="0.2">
      <c r="A423" s="36" t="s">
        <v>9135</v>
      </c>
      <c r="B423" t="s">
        <v>87</v>
      </c>
    </row>
    <row r="424" spans="1:2" x14ac:dyDescent="0.2">
      <c r="A424" s="36" t="s">
        <v>9873</v>
      </c>
      <c r="B424" t="s">
        <v>94</v>
      </c>
    </row>
    <row r="425" spans="1:2" x14ac:dyDescent="0.2">
      <c r="A425" s="36" t="s">
        <v>9064</v>
      </c>
      <c r="B425" t="s">
        <v>92</v>
      </c>
    </row>
    <row r="426" spans="1:2" x14ac:dyDescent="0.2">
      <c r="A426" s="36" t="s">
        <v>9060</v>
      </c>
      <c r="B426" t="s">
        <v>89</v>
      </c>
    </row>
    <row r="427" spans="1:2" x14ac:dyDescent="0.2">
      <c r="A427" s="36" t="s">
        <v>9059</v>
      </c>
      <c r="B427" t="s">
        <v>90</v>
      </c>
    </row>
    <row r="428" spans="1:2" x14ac:dyDescent="0.2">
      <c r="A428" s="36" t="s">
        <v>9061</v>
      </c>
      <c r="B428" t="s">
        <v>105</v>
      </c>
    </row>
    <row r="429" spans="1:2" x14ac:dyDescent="0.2">
      <c r="A429" s="36" t="s">
        <v>9063</v>
      </c>
      <c r="B429" t="s">
        <v>92</v>
      </c>
    </row>
    <row r="430" spans="1:2" x14ac:dyDescent="0.2">
      <c r="A430" s="36" t="s">
        <v>9062</v>
      </c>
      <c r="B430" t="s">
        <v>89</v>
      </c>
    </row>
    <row r="431" spans="1:2" x14ac:dyDescent="0.2">
      <c r="A431" s="36" t="s">
        <v>9864</v>
      </c>
      <c r="B431" t="s">
        <v>88</v>
      </c>
    </row>
    <row r="432" spans="1:2" x14ac:dyDescent="0.2">
      <c r="A432" s="36" t="s">
        <v>9865</v>
      </c>
      <c r="B432" t="s">
        <v>104</v>
      </c>
    </row>
    <row r="433" spans="1:2" x14ac:dyDescent="0.2">
      <c r="A433" s="36" t="s">
        <v>9869</v>
      </c>
      <c r="B433" t="s">
        <v>87</v>
      </c>
    </row>
    <row r="434" spans="1:2" x14ac:dyDescent="0.2">
      <c r="A434" s="36" t="s">
        <v>9870</v>
      </c>
      <c r="B434" t="s">
        <v>87</v>
      </c>
    </row>
    <row r="435" spans="1:2" x14ac:dyDescent="0.2">
      <c r="A435" s="36" t="s">
        <v>9109</v>
      </c>
      <c r="B435" t="s">
        <v>94</v>
      </c>
    </row>
    <row r="436" spans="1:2" x14ac:dyDescent="0.2">
      <c r="A436" s="36" t="s">
        <v>9114</v>
      </c>
      <c r="B436" t="s">
        <v>95</v>
      </c>
    </row>
    <row r="437" spans="1:2" x14ac:dyDescent="0.2">
      <c r="A437" s="36" t="s">
        <v>9565</v>
      </c>
      <c r="B437" t="s">
        <v>93</v>
      </c>
    </row>
    <row r="438" spans="1:2" x14ac:dyDescent="0.2">
      <c r="A438" s="36" t="s">
        <v>9564</v>
      </c>
      <c r="B438" t="s">
        <v>90</v>
      </c>
    </row>
    <row r="439" spans="1:2" x14ac:dyDescent="0.2">
      <c r="A439" s="36" t="s">
        <v>9563</v>
      </c>
      <c r="B439" t="s">
        <v>105</v>
      </c>
    </row>
    <row r="440" spans="1:2" x14ac:dyDescent="0.2">
      <c r="A440" s="36" t="s">
        <v>9566</v>
      </c>
      <c r="B440" t="s">
        <v>93</v>
      </c>
    </row>
    <row r="441" spans="1:2" x14ac:dyDescent="0.2">
      <c r="A441" s="36" t="s">
        <v>9567</v>
      </c>
      <c r="B441" t="s">
        <v>90</v>
      </c>
    </row>
    <row r="442" spans="1:2" x14ac:dyDescent="0.2">
      <c r="A442" s="36" t="s">
        <v>9562</v>
      </c>
      <c r="B442" t="s">
        <v>105</v>
      </c>
    </row>
    <row r="443" spans="1:2" x14ac:dyDescent="0.2">
      <c r="A443" s="36" t="s">
        <v>9284</v>
      </c>
      <c r="B443" t="s">
        <v>103</v>
      </c>
    </row>
    <row r="444" spans="1:2" x14ac:dyDescent="0.2">
      <c r="A444" s="36" t="s">
        <v>9283</v>
      </c>
      <c r="B444" t="s">
        <v>88</v>
      </c>
    </row>
    <row r="445" spans="1:2" x14ac:dyDescent="0.2">
      <c r="A445" s="36" t="s">
        <v>9282</v>
      </c>
      <c r="B445" t="s">
        <v>103</v>
      </c>
    </row>
    <row r="446" spans="1:2" x14ac:dyDescent="0.2">
      <c r="A446" s="36" t="s">
        <v>9286</v>
      </c>
      <c r="B446" t="s">
        <v>88</v>
      </c>
    </row>
    <row r="447" spans="1:2" x14ac:dyDescent="0.2">
      <c r="A447" s="36" t="s">
        <v>9287</v>
      </c>
      <c r="B447" t="s">
        <v>103</v>
      </c>
    </row>
    <row r="448" spans="1:2" x14ac:dyDescent="0.2">
      <c r="A448" s="36" t="s">
        <v>9289</v>
      </c>
      <c r="B448" t="s">
        <v>88</v>
      </c>
    </row>
    <row r="449" spans="1:2" x14ac:dyDescent="0.2">
      <c r="A449" s="36" t="s">
        <v>10010</v>
      </c>
      <c r="B449" t="s">
        <v>104</v>
      </c>
    </row>
    <row r="450" spans="1:2" x14ac:dyDescent="0.2">
      <c r="A450" s="36" t="s">
        <v>10011</v>
      </c>
      <c r="B450" t="s">
        <v>95</v>
      </c>
    </row>
    <row r="451" spans="1:2" x14ac:dyDescent="0.2">
      <c r="A451" s="36" t="s">
        <v>10016</v>
      </c>
      <c r="B451" t="s">
        <v>104</v>
      </c>
    </row>
    <row r="452" spans="1:2" x14ac:dyDescent="0.2">
      <c r="A452" s="36" t="s">
        <v>10009</v>
      </c>
      <c r="B452" t="s">
        <v>95</v>
      </c>
    </row>
    <row r="453" spans="1:2" x14ac:dyDescent="0.2">
      <c r="A453" s="36" t="s">
        <v>10007</v>
      </c>
      <c r="B453" t="s">
        <v>104</v>
      </c>
    </row>
    <row r="454" spans="1:2" x14ac:dyDescent="0.2">
      <c r="A454" s="36" t="s">
        <v>10013</v>
      </c>
      <c r="B454" t="s">
        <v>95</v>
      </c>
    </row>
    <row r="455" spans="1:2" x14ac:dyDescent="0.2">
      <c r="A455" s="36" t="s">
        <v>10019</v>
      </c>
      <c r="B455" t="s">
        <v>104</v>
      </c>
    </row>
    <row r="456" spans="1:2" x14ac:dyDescent="0.2">
      <c r="A456" s="36" t="s">
        <v>10015</v>
      </c>
      <c r="B456" t="s">
        <v>95</v>
      </c>
    </row>
    <row r="457" spans="1:2" x14ac:dyDescent="0.2">
      <c r="A457" s="36" t="s">
        <v>10017</v>
      </c>
      <c r="B457" t="s">
        <v>104</v>
      </c>
    </row>
    <row r="458" spans="1:2" x14ac:dyDescent="0.2">
      <c r="A458" s="36" t="s">
        <v>10014</v>
      </c>
      <c r="B458" t="s">
        <v>95</v>
      </c>
    </row>
    <row r="459" spans="1:2" x14ac:dyDescent="0.2">
      <c r="A459" s="36" t="s">
        <v>10018</v>
      </c>
      <c r="B459" t="s">
        <v>104</v>
      </c>
    </row>
    <row r="460" spans="1:2" x14ac:dyDescent="0.2">
      <c r="A460" s="36" t="s">
        <v>10008</v>
      </c>
      <c r="B460" t="s">
        <v>95</v>
      </c>
    </row>
    <row r="461" spans="1:2" x14ac:dyDescent="0.2">
      <c r="A461" s="36" t="s">
        <v>10012</v>
      </c>
      <c r="B461" t="s">
        <v>104</v>
      </c>
    </row>
    <row r="462" spans="1:2" x14ac:dyDescent="0.2">
      <c r="A462" s="36" t="s">
        <v>9142</v>
      </c>
      <c r="B462" t="s">
        <v>94</v>
      </c>
    </row>
    <row r="463" spans="1:2" x14ac:dyDescent="0.2">
      <c r="A463" s="36" t="s">
        <v>10254</v>
      </c>
      <c r="B463" t="s">
        <v>92</v>
      </c>
    </row>
    <row r="464" spans="1:2" x14ac:dyDescent="0.2">
      <c r="A464" s="36" t="s">
        <v>10256</v>
      </c>
      <c r="B464" t="s">
        <v>89</v>
      </c>
    </row>
    <row r="465" spans="1:2" x14ac:dyDescent="0.2">
      <c r="A465" s="36" t="s">
        <v>10263</v>
      </c>
      <c r="B465" t="s">
        <v>94</v>
      </c>
    </row>
    <row r="466" spans="1:2" x14ac:dyDescent="0.2">
      <c r="A466" s="36" t="s">
        <v>9803</v>
      </c>
      <c r="B466" t="s">
        <v>101</v>
      </c>
    </row>
    <row r="467" spans="1:2" x14ac:dyDescent="0.2">
      <c r="A467" s="36" t="s">
        <v>9998</v>
      </c>
      <c r="B467" t="s">
        <v>93</v>
      </c>
    </row>
    <row r="468" spans="1:2" x14ac:dyDescent="0.2">
      <c r="A468" s="36" t="s">
        <v>9072</v>
      </c>
      <c r="B468" t="s">
        <v>87</v>
      </c>
    </row>
    <row r="469" spans="1:2" x14ac:dyDescent="0.2">
      <c r="A469" s="36" t="s">
        <v>9073</v>
      </c>
      <c r="B469" t="s">
        <v>92</v>
      </c>
    </row>
    <row r="470" spans="1:2" x14ac:dyDescent="0.2">
      <c r="A470" s="36" t="s">
        <v>9075</v>
      </c>
      <c r="B470" t="s">
        <v>89</v>
      </c>
    </row>
    <row r="471" spans="1:2" x14ac:dyDescent="0.2">
      <c r="A471" s="36" t="s">
        <v>9071</v>
      </c>
      <c r="B471" t="s">
        <v>90</v>
      </c>
    </row>
    <row r="472" spans="1:2" x14ac:dyDescent="0.2">
      <c r="A472" s="36" t="s">
        <v>9077</v>
      </c>
      <c r="B472" t="s">
        <v>105</v>
      </c>
    </row>
    <row r="473" spans="1:2" x14ac:dyDescent="0.2">
      <c r="A473" s="36" t="s">
        <v>9078</v>
      </c>
      <c r="B473" t="s">
        <v>87</v>
      </c>
    </row>
    <row r="474" spans="1:2" x14ac:dyDescent="0.2">
      <c r="A474" s="36" t="s">
        <v>9076</v>
      </c>
      <c r="B474" t="s">
        <v>92</v>
      </c>
    </row>
    <row r="475" spans="1:2" x14ac:dyDescent="0.2">
      <c r="A475" s="36" t="s">
        <v>9074</v>
      </c>
      <c r="B475" t="s">
        <v>89</v>
      </c>
    </row>
    <row r="476" spans="1:2" x14ac:dyDescent="0.2">
      <c r="A476" s="36" t="s">
        <v>9079</v>
      </c>
      <c r="B476" t="s">
        <v>90</v>
      </c>
    </row>
    <row r="477" spans="1:2" x14ac:dyDescent="0.2">
      <c r="A477" s="36" t="s">
        <v>9995</v>
      </c>
      <c r="B477" t="s">
        <v>101</v>
      </c>
    </row>
    <row r="478" spans="1:2" x14ac:dyDescent="0.2">
      <c r="A478" s="36" t="s">
        <v>10052</v>
      </c>
      <c r="B478" t="s">
        <v>94</v>
      </c>
    </row>
    <row r="479" spans="1:2" x14ac:dyDescent="0.2">
      <c r="A479" s="36" t="s">
        <v>10049</v>
      </c>
      <c r="B479" t="s">
        <v>93</v>
      </c>
    </row>
    <row r="480" spans="1:2" x14ac:dyDescent="0.2">
      <c r="A480" s="36" t="s">
        <v>10054</v>
      </c>
      <c r="B480" t="s">
        <v>94</v>
      </c>
    </row>
    <row r="481" spans="1:2" x14ac:dyDescent="0.2">
      <c r="A481" s="36" t="s">
        <v>10051</v>
      </c>
      <c r="B481" t="s">
        <v>93</v>
      </c>
    </row>
    <row r="482" spans="1:2" x14ac:dyDescent="0.2">
      <c r="A482" s="36" t="s">
        <v>10055</v>
      </c>
      <c r="B482" t="s">
        <v>94</v>
      </c>
    </row>
    <row r="483" spans="1:2" x14ac:dyDescent="0.2">
      <c r="A483" s="36" t="s">
        <v>10050</v>
      </c>
      <c r="B483" t="s">
        <v>93</v>
      </c>
    </row>
    <row r="484" spans="1:2" x14ac:dyDescent="0.2">
      <c r="A484" s="36" t="s">
        <v>10053</v>
      </c>
      <c r="B484" t="s">
        <v>94</v>
      </c>
    </row>
    <row r="485" spans="1:2" x14ac:dyDescent="0.2">
      <c r="A485" s="36" t="s">
        <v>9429</v>
      </c>
      <c r="B485" t="s">
        <v>105</v>
      </c>
    </row>
    <row r="486" spans="1:2" x14ac:dyDescent="0.2">
      <c r="A486" s="36" t="s">
        <v>9431</v>
      </c>
      <c r="B486" t="s">
        <v>103</v>
      </c>
    </row>
    <row r="487" spans="1:2" x14ac:dyDescent="0.2">
      <c r="A487" s="36" t="s">
        <v>9427</v>
      </c>
      <c r="B487" t="s">
        <v>87</v>
      </c>
    </row>
    <row r="488" spans="1:2" x14ac:dyDescent="0.2">
      <c r="A488" s="36" t="s">
        <v>9428</v>
      </c>
      <c r="B488" t="s">
        <v>101</v>
      </c>
    </row>
    <row r="489" spans="1:2" x14ac:dyDescent="0.2">
      <c r="A489" s="36" t="s">
        <v>9757</v>
      </c>
      <c r="B489" t="s">
        <v>88</v>
      </c>
    </row>
    <row r="490" spans="1:2" x14ac:dyDescent="0.2">
      <c r="A490" s="36" t="s">
        <v>9756</v>
      </c>
      <c r="B490" t="s">
        <v>92</v>
      </c>
    </row>
    <row r="491" spans="1:2" x14ac:dyDescent="0.2">
      <c r="A491" s="36" t="s">
        <v>9760</v>
      </c>
      <c r="B491" t="s">
        <v>105</v>
      </c>
    </row>
    <row r="492" spans="1:2" x14ac:dyDescent="0.2">
      <c r="A492" s="36" t="s">
        <v>9754</v>
      </c>
      <c r="B492" t="s">
        <v>89</v>
      </c>
    </row>
    <row r="493" spans="1:2" x14ac:dyDescent="0.2">
      <c r="A493" s="36" t="s">
        <v>9755</v>
      </c>
      <c r="B493" t="s">
        <v>90</v>
      </c>
    </row>
    <row r="494" spans="1:2" x14ac:dyDescent="0.2">
      <c r="A494" s="36" t="s">
        <v>9759</v>
      </c>
      <c r="B494" t="s">
        <v>103</v>
      </c>
    </row>
    <row r="495" spans="1:2" x14ac:dyDescent="0.2">
      <c r="A495" s="36" t="s">
        <v>9753</v>
      </c>
      <c r="B495" t="s">
        <v>88</v>
      </c>
    </row>
    <row r="496" spans="1:2" x14ac:dyDescent="0.2">
      <c r="A496" s="36" t="s">
        <v>9758</v>
      </c>
      <c r="B496" t="s">
        <v>87</v>
      </c>
    </row>
    <row r="497" spans="1:2" x14ac:dyDescent="0.2">
      <c r="A497" s="36" t="s">
        <v>9752</v>
      </c>
      <c r="B497" t="s">
        <v>101</v>
      </c>
    </row>
    <row r="498" spans="1:2" x14ac:dyDescent="0.2">
      <c r="A498" s="36" t="s">
        <v>9128</v>
      </c>
      <c r="B498" t="s">
        <v>92</v>
      </c>
    </row>
    <row r="499" spans="1:2" x14ac:dyDescent="0.2">
      <c r="A499" s="36" t="s">
        <v>9125</v>
      </c>
      <c r="B499" t="s">
        <v>105</v>
      </c>
    </row>
    <row r="500" spans="1:2" x14ac:dyDescent="0.2">
      <c r="A500" s="36" t="s">
        <v>9131</v>
      </c>
      <c r="B500" t="s">
        <v>89</v>
      </c>
    </row>
    <row r="501" spans="1:2" x14ac:dyDescent="0.2">
      <c r="A501" s="36" t="s">
        <v>9129</v>
      </c>
      <c r="B501" t="s">
        <v>90</v>
      </c>
    </row>
    <row r="502" spans="1:2" x14ac:dyDescent="0.2">
      <c r="A502" s="36" t="s">
        <v>9130</v>
      </c>
      <c r="B502" t="s">
        <v>103</v>
      </c>
    </row>
    <row r="503" spans="1:2" x14ac:dyDescent="0.2">
      <c r="A503" s="36" t="s">
        <v>9127</v>
      </c>
      <c r="B503" t="s">
        <v>88</v>
      </c>
    </row>
    <row r="504" spans="1:2" x14ac:dyDescent="0.2">
      <c r="A504" s="36" t="s">
        <v>9126</v>
      </c>
      <c r="B504" t="s">
        <v>87</v>
      </c>
    </row>
    <row r="505" spans="1:2" x14ac:dyDescent="0.2">
      <c r="A505" s="36" t="s">
        <v>10145</v>
      </c>
      <c r="B505" t="s">
        <v>101</v>
      </c>
    </row>
    <row r="506" spans="1:2" x14ac:dyDescent="0.2">
      <c r="A506" s="36" t="s">
        <v>10144</v>
      </c>
      <c r="B506" t="s">
        <v>93</v>
      </c>
    </row>
    <row r="507" spans="1:2" x14ac:dyDescent="0.2">
      <c r="A507" s="36" t="s">
        <v>10147</v>
      </c>
      <c r="B507" t="s">
        <v>92</v>
      </c>
    </row>
    <row r="508" spans="1:2" x14ac:dyDescent="0.2">
      <c r="A508" s="36" t="s">
        <v>10146</v>
      </c>
      <c r="B508" t="s">
        <v>101</v>
      </c>
    </row>
    <row r="509" spans="1:2" x14ac:dyDescent="0.2">
      <c r="A509" s="36" t="s">
        <v>10143</v>
      </c>
      <c r="B509" t="s">
        <v>93</v>
      </c>
    </row>
    <row r="510" spans="1:2" x14ac:dyDescent="0.2">
      <c r="A510" s="36" t="s">
        <v>10181</v>
      </c>
      <c r="B510" t="s">
        <v>105</v>
      </c>
    </row>
    <row r="511" spans="1:2" x14ac:dyDescent="0.2">
      <c r="A511" s="36" t="s">
        <v>10184</v>
      </c>
      <c r="B511" t="s">
        <v>89</v>
      </c>
    </row>
    <row r="512" spans="1:2" x14ac:dyDescent="0.2">
      <c r="A512" s="36" t="s">
        <v>10183</v>
      </c>
      <c r="B512" t="s">
        <v>90</v>
      </c>
    </row>
    <row r="513" spans="1:2" x14ac:dyDescent="0.2">
      <c r="A513" s="36" t="s">
        <v>9863</v>
      </c>
      <c r="B513" t="s">
        <v>88</v>
      </c>
    </row>
    <row r="514" spans="1:2" x14ac:dyDescent="0.2">
      <c r="A514" s="36" t="s">
        <v>9867</v>
      </c>
      <c r="B514" t="s">
        <v>87</v>
      </c>
    </row>
    <row r="515" spans="1:2" x14ac:dyDescent="0.2">
      <c r="A515" s="36" t="s">
        <v>9844</v>
      </c>
      <c r="B515" t="s">
        <v>103</v>
      </c>
    </row>
    <row r="516" spans="1:2" x14ac:dyDescent="0.2">
      <c r="A516" s="36" t="s">
        <v>9822</v>
      </c>
      <c r="B516" t="s">
        <v>95</v>
      </c>
    </row>
    <row r="517" spans="1:2" x14ac:dyDescent="0.2">
      <c r="A517" s="36" t="s">
        <v>9831</v>
      </c>
      <c r="B517" t="s">
        <v>94</v>
      </c>
    </row>
    <row r="518" spans="1:2" x14ac:dyDescent="0.2">
      <c r="A518" s="36" t="s">
        <v>9817</v>
      </c>
      <c r="B518" t="s">
        <v>92</v>
      </c>
    </row>
    <row r="519" spans="1:2" x14ac:dyDescent="0.2">
      <c r="A519" s="36" t="s">
        <v>9825</v>
      </c>
      <c r="B519" t="s">
        <v>103</v>
      </c>
    </row>
    <row r="520" spans="1:2" x14ac:dyDescent="0.2">
      <c r="A520" s="36" t="s">
        <v>9841</v>
      </c>
      <c r="B520" t="s">
        <v>95</v>
      </c>
    </row>
    <row r="521" spans="1:2" x14ac:dyDescent="0.2">
      <c r="A521" s="36" t="s">
        <v>9847</v>
      </c>
      <c r="B521" t="s">
        <v>94</v>
      </c>
    </row>
    <row r="522" spans="1:2" x14ac:dyDescent="0.2">
      <c r="A522" s="36" t="s">
        <v>9832</v>
      </c>
      <c r="B522" t="s">
        <v>92</v>
      </c>
    </row>
    <row r="523" spans="1:2" x14ac:dyDescent="0.2">
      <c r="A523" s="36" t="s">
        <v>9818</v>
      </c>
      <c r="B523" t="s">
        <v>103</v>
      </c>
    </row>
    <row r="524" spans="1:2" x14ac:dyDescent="0.2">
      <c r="A524" s="36" t="s">
        <v>9833</v>
      </c>
      <c r="B524" t="s">
        <v>95</v>
      </c>
    </row>
    <row r="525" spans="1:2" x14ac:dyDescent="0.2">
      <c r="A525" s="36" t="s">
        <v>9819</v>
      </c>
      <c r="B525" t="s">
        <v>94</v>
      </c>
    </row>
    <row r="526" spans="1:2" x14ac:dyDescent="0.2">
      <c r="A526" s="36" t="s">
        <v>9834</v>
      </c>
      <c r="B526" t="s">
        <v>92</v>
      </c>
    </row>
    <row r="527" spans="1:2" x14ac:dyDescent="0.2">
      <c r="A527" s="36" t="s">
        <v>9836</v>
      </c>
      <c r="B527" t="s">
        <v>103</v>
      </c>
    </row>
    <row r="528" spans="1:2" x14ac:dyDescent="0.2">
      <c r="A528" s="36" t="s">
        <v>9829</v>
      </c>
      <c r="B528" t="s">
        <v>95</v>
      </c>
    </row>
    <row r="529" spans="1:2" x14ac:dyDescent="0.2">
      <c r="A529" s="36" t="s">
        <v>9827</v>
      </c>
      <c r="B529" t="s">
        <v>94</v>
      </c>
    </row>
    <row r="530" spans="1:2" x14ac:dyDescent="0.2">
      <c r="A530" s="36" t="s">
        <v>9828</v>
      </c>
      <c r="B530" t="s">
        <v>92</v>
      </c>
    </row>
    <row r="531" spans="1:2" x14ac:dyDescent="0.2">
      <c r="A531" s="36" t="s">
        <v>9812</v>
      </c>
      <c r="B531" t="s">
        <v>103</v>
      </c>
    </row>
    <row r="532" spans="1:2" x14ac:dyDescent="0.2">
      <c r="A532" s="36" t="s">
        <v>9839</v>
      </c>
      <c r="B532" t="s">
        <v>95</v>
      </c>
    </row>
    <row r="533" spans="1:2" x14ac:dyDescent="0.2">
      <c r="A533" s="36" t="s">
        <v>9840</v>
      </c>
      <c r="B533" t="s">
        <v>94</v>
      </c>
    </row>
    <row r="534" spans="1:2" x14ac:dyDescent="0.2">
      <c r="A534" s="36" t="s">
        <v>9846</v>
      </c>
      <c r="B534" t="s">
        <v>92</v>
      </c>
    </row>
    <row r="535" spans="1:2" x14ac:dyDescent="0.2">
      <c r="A535" s="36" t="s">
        <v>9842</v>
      </c>
      <c r="B535" t="s">
        <v>103</v>
      </c>
    </row>
    <row r="536" spans="1:2" x14ac:dyDescent="0.2">
      <c r="A536" s="36" t="s">
        <v>9816</v>
      </c>
      <c r="B536" t="s">
        <v>95</v>
      </c>
    </row>
    <row r="537" spans="1:2" x14ac:dyDescent="0.2">
      <c r="A537" s="36" t="s">
        <v>9820</v>
      </c>
      <c r="B537" t="s">
        <v>94</v>
      </c>
    </row>
    <row r="538" spans="1:2" x14ac:dyDescent="0.2">
      <c r="A538" s="36" t="s">
        <v>9824</v>
      </c>
      <c r="B538" t="s">
        <v>92</v>
      </c>
    </row>
    <row r="539" spans="1:2" x14ac:dyDescent="0.2">
      <c r="A539" s="36" t="s">
        <v>9837</v>
      </c>
      <c r="B539" t="s">
        <v>103</v>
      </c>
    </row>
    <row r="540" spans="1:2" x14ac:dyDescent="0.2">
      <c r="A540" s="36" t="s">
        <v>9811</v>
      </c>
      <c r="B540" t="s">
        <v>95</v>
      </c>
    </row>
    <row r="541" spans="1:2" x14ac:dyDescent="0.2">
      <c r="A541" s="36" t="s">
        <v>9821</v>
      </c>
      <c r="B541" t="s">
        <v>94</v>
      </c>
    </row>
    <row r="542" spans="1:2" x14ac:dyDescent="0.2">
      <c r="A542" s="36" t="s">
        <v>9813</v>
      </c>
      <c r="B542" t="s">
        <v>92</v>
      </c>
    </row>
    <row r="543" spans="1:2" x14ac:dyDescent="0.2">
      <c r="A543" s="36" t="s">
        <v>9850</v>
      </c>
      <c r="B543" t="s">
        <v>103</v>
      </c>
    </row>
    <row r="544" spans="1:2" x14ac:dyDescent="0.2">
      <c r="A544" s="36" t="s">
        <v>9814</v>
      </c>
      <c r="B544" t="s">
        <v>95</v>
      </c>
    </row>
    <row r="545" spans="1:2" x14ac:dyDescent="0.2">
      <c r="A545" s="36" t="s">
        <v>9848</v>
      </c>
      <c r="B545" t="s">
        <v>94</v>
      </c>
    </row>
    <row r="546" spans="1:2" x14ac:dyDescent="0.2">
      <c r="A546" s="36" t="s">
        <v>9823</v>
      </c>
      <c r="B546" t="s">
        <v>92</v>
      </c>
    </row>
    <row r="547" spans="1:2" x14ac:dyDescent="0.2">
      <c r="A547" s="36" t="s">
        <v>9849</v>
      </c>
      <c r="B547" t="s">
        <v>103</v>
      </c>
    </row>
    <row r="548" spans="1:2" x14ac:dyDescent="0.2">
      <c r="A548" s="36" t="s">
        <v>9826</v>
      </c>
      <c r="B548" t="s">
        <v>95</v>
      </c>
    </row>
    <row r="549" spans="1:2" x14ac:dyDescent="0.2">
      <c r="A549" s="36" t="s">
        <v>9830</v>
      </c>
      <c r="B549" t="s">
        <v>94</v>
      </c>
    </row>
    <row r="550" spans="1:2" x14ac:dyDescent="0.2">
      <c r="A550" s="36" t="s">
        <v>9815</v>
      </c>
      <c r="B550" t="s">
        <v>92</v>
      </c>
    </row>
    <row r="551" spans="1:2" x14ac:dyDescent="0.2">
      <c r="A551" s="36" t="s">
        <v>9845</v>
      </c>
      <c r="B551" t="s">
        <v>103</v>
      </c>
    </row>
    <row r="552" spans="1:2" x14ac:dyDescent="0.2">
      <c r="A552" s="36" t="s">
        <v>9838</v>
      </c>
      <c r="B552" t="s">
        <v>95</v>
      </c>
    </row>
    <row r="553" spans="1:2" x14ac:dyDescent="0.2">
      <c r="A553" s="36" t="s">
        <v>9081</v>
      </c>
      <c r="B553" t="s">
        <v>105</v>
      </c>
    </row>
    <row r="554" spans="1:2" x14ac:dyDescent="0.2">
      <c r="A554" s="36" t="s">
        <v>9544</v>
      </c>
      <c r="B554" t="s">
        <v>89</v>
      </c>
    </row>
    <row r="555" spans="1:2" x14ac:dyDescent="0.2">
      <c r="A555" s="36" t="s">
        <v>9547</v>
      </c>
      <c r="B555" t="s">
        <v>90</v>
      </c>
    </row>
    <row r="556" spans="1:2" x14ac:dyDescent="0.2">
      <c r="A556" s="36" t="s">
        <v>9546</v>
      </c>
      <c r="B556" t="s">
        <v>101</v>
      </c>
    </row>
    <row r="557" spans="1:2" x14ac:dyDescent="0.2">
      <c r="A557" s="36" t="s">
        <v>9548</v>
      </c>
      <c r="B557" t="s">
        <v>88</v>
      </c>
    </row>
    <row r="558" spans="1:2" x14ac:dyDescent="0.2">
      <c r="A558" s="36" t="s">
        <v>9545</v>
      </c>
      <c r="B558" t="s">
        <v>87</v>
      </c>
    </row>
    <row r="559" spans="1:2" x14ac:dyDescent="0.2">
      <c r="A559" s="36" t="s">
        <v>9549</v>
      </c>
      <c r="B559" t="s">
        <v>104</v>
      </c>
    </row>
    <row r="560" spans="1:2" x14ac:dyDescent="0.2">
      <c r="A560" s="36" t="s">
        <v>9359</v>
      </c>
      <c r="B560" t="s">
        <v>99</v>
      </c>
    </row>
    <row r="561" spans="1:2" x14ac:dyDescent="0.2">
      <c r="A561" s="36" t="s">
        <v>9382</v>
      </c>
      <c r="B561" t="s">
        <v>100</v>
      </c>
    </row>
    <row r="562" spans="1:2" x14ac:dyDescent="0.2">
      <c r="A562" s="36" t="s">
        <v>10323</v>
      </c>
      <c r="B562" t="s">
        <v>93</v>
      </c>
    </row>
    <row r="563" spans="1:2" x14ac:dyDescent="0.2">
      <c r="A563" s="36" t="s">
        <v>10326</v>
      </c>
      <c r="B563" t="s">
        <v>105</v>
      </c>
    </row>
    <row r="564" spans="1:2" x14ac:dyDescent="0.2">
      <c r="A564" s="36" t="s">
        <v>10327</v>
      </c>
      <c r="B564" t="s">
        <v>89</v>
      </c>
    </row>
    <row r="565" spans="1:2" x14ac:dyDescent="0.2">
      <c r="A565" s="36" t="s">
        <v>10325</v>
      </c>
      <c r="B565" t="s">
        <v>90</v>
      </c>
    </row>
    <row r="566" spans="1:2" x14ac:dyDescent="0.2">
      <c r="A566" s="36" t="s">
        <v>10324</v>
      </c>
      <c r="B566" t="s">
        <v>93</v>
      </c>
    </row>
    <row r="567" spans="1:2" x14ac:dyDescent="0.2">
      <c r="A567" s="36" t="s">
        <v>10319</v>
      </c>
      <c r="B567" t="s">
        <v>105</v>
      </c>
    </row>
    <row r="568" spans="1:2" x14ac:dyDescent="0.2">
      <c r="A568" s="36" t="s">
        <v>10321</v>
      </c>
      <c r="B568" t="s">
        <v>89</v>
      </c>
    </row>
    <row r="569" spans="1:2" x14ac:dyDescent="0.2">
      <c r="A569" s="36" t="s">
        <v>10322</v>
      </c>
      <c r="B569" t="s">
        <v>90</v>
      </c>
    </row>
    <row r="570" spans="1:2" x14ac:dyDescent="0.2">
      <c r="A570" s="36" t="s">
        <v>10320</v>
      </c>
      <c r="B570" t="s">
        <v>93</v>
      </c>
    </row>
    <row r="571" spans="1:2" x14ac:dyDescent="0.2">
      <c r="A571" s="36" t="s">
        <v>9288</v>
      </c>
      <c r="B571" t="s">
        <v>88</v>
      </c>
    </row>
    <row r="572" spans="1:2" x14ac:dyDescent="0.2">
      <c r="A572" s="36" t="s">
        <v>9285</v>
      </c>
      <c r="B572" t="s">
        <v>88</v>
      </c>
    </row>
    <row r="573" spans="1:2" x14ac:dyDescent="0.2">
      <c r="A573" s="36" t="s">
        <v>9460</v>
      </c>
      <c r="B573" t="s">
        <v>101</v>
      </c>
    </row>
    <row r="574" spans="1:2" x14ac:dyDescent="0.2">
      <c r="A574" s="36" t="s">
        <v>9463</v>
      </c>
      <c r="B574" t="s">
        <v>87</v>
      </c>
    </row>
    <row r="575" spans="1:2" x14ac:dyDescent="0.2">
      <c r="A575" s="36" t="s">
        <v>9462</v>
      </c>
      <c r="B575" t="s">
        <v>104</v>
      </c>
    </row>
    <row r="576" spans="1:2" x14ac:dyDescent="0.2">
      <c r="A576" s="36" t="s">
        <v>9461</v>
      </c>
      <c r="B576" t="s">
        <v>101</v>
      </c>
    </row>
    <row r="577" spans="1:2" x14ac:dyDescent="0.2">
      <c r="A577" s="36" t="s">
        <v>9458</v>
      </c>
      <c r="B577" t="s">
        <v>87</v>
      </c>
    </row>
    <row r="578" spans="1:2" x14ac:dyDescent="0.2">
      <c r="A578" s="36" t="s">
        <v>9457</v>
      </c>
      <c r="B578" t="s">
        <v>104</v>
      </c>
    </row>
    <row r="579" spans="1:2" x14ac:dyDescent="0.2">
      <c r="A579" s="36" t="s">
        <v>9465</v>
      </c>
      <c r="B579" t="s">
        <v>101</v>
      </c>
    </row>
    <row r="580" spans="1:2" x14ac:dyDescent="0.2">
      <c r="A580" s="36" t="s">
        <v>9464</v>
      </c>
      <c r="B580" t="s">
        <v>87</v>
      </c>
    </row>
    <row r="581" spans="1:2" x14ac:dyDescent="0.2">
      <c r="A581" s="36" t="s">
        <v>9466</v>
      </c>
      <c r="B581" t="s">
        <v>104</v>
      </c>
    </row>
    <row r="582" spans="1:2" x14ac:dyDescent="0.2">
      <c r="A582" s="36" t="s">
        <v>9345</v>
      </c>
      <c r="B582" t="s">
        <v>105</v>
      </c>
    </row>
    <row r="583" spans="1:2" x14ac:dyDescent="0.2">
      <c r="A583" s="36" t="s">
        <v>9347</v>
      </c>
      <c r="B583" t="s">
        <v>89</v>
      </c>
    </row>
    <row r="584" spans="1:2" x14ac:dyDescent="0.2">
      <c r="A584" s="36" t="s">
        <v>9346</v>
      </c>
      <c r="B584" t="s">
        <v>88</v>
      </c>
    </row>
    <row r="585" spans="1:2" x14ac:dyDescent="0.2">
      <c r="A585" s="36" t="s">
        <v>9344</v>
      </c>
      <c r="B585" t="s">
        <v>90</v>
      </c>
    </row>
    <row r="586" spans="1:2" x14ac:dyDescent="0.2">
      <c r="A586" s="36" t="s">
        <v>9348</v>
      </c>
      <c r="B586" t="s">
        <v>93</v>
      </c>
    </row>
    <row r="587" spans="1:2" x14ac:dyDescent="0.2">
      <c r="A587" s="36" t="s">
        <v>9343</v>
      </c>
      <c r="B587" t="s">
        <v>105</v>
      </c>
    </row>
    <row r="588" spans="1:2" x14ac:dyDescent="0.2">
      <c r="A588" s="36" t="s">
        <v>9433</v>
      </c>
      <c r="B588" t="s">
        <v>101</v>
      </c>
    </row>
    <row r="589" spans="1:2" x14ac:dyDescent="0.2">
      <c r="A589" s="36" t="s">
        <v>9857</v>
      </c>
      <c r="B589" t="s">
        <v>89</v>
      </c>
    </row>
    <row r="590" spans="1:2" x14ac:dyDescent="0.2">
      <c r="A590" s="36" t="s">
        <v>9856</v>
      </c>
      <c r="B590" t="s">
        <v>87</v>
      </c>
    </row>
    <row r="591" spans="1:2" x14ac:dyDescent="0.2">
      <c r="A591" s="36" t="s">
        <v>9858</v>
      </c>
      <c r="B591" t="s">
        <v>88</v>
      </c>
    </row>
    <row r="592" spans="1:2" x14ac:dyDescent="0.2">
      <c r="A592" s="36" t="s">
        <v>9797</v>
      </c>
      <c r="B592" t="s">
        <v>87</v>
      </c>
    </row>
    <row r="593" spans="1:2" x14ac:dyDescent="0.2">
      <c r="A593" s="36" t="s">
        <v>9553</v>
      </c>
      <c r="B593" t="s">
        <v>90</v>
      </c>
    </row>
    <row r="594" spans="1:2" x14ac:dyDescent="0.2">
      <c r="A594" s="36" t="s">
        <v>10020</v>
      </c>
      <c r="B594" t="s">
        <v>104</v>
      </c>
    </row>
    <row r="595" spans="1:2" x14ac:dyDescent="0.2">
      <c r="A595" s="36" t="s">
        <v>9472</v>
      </c>
      <c r="B595" t="s">
        <v>93</v>
      </c>
    </row>
    <row r="596" spans="1:2" x14ac:dyDescent="0.2">
      <c r="A596" s="36" t="s">
        <v>9475</v>
      </c>
      <c r="B596" t="s">
        <v>105</v>
      </c>
    </row>
    <row r="597" spans="1:2" x14ac:dyDescent="0.2">
      <c r="A597" s="36" t="s">
        <v>9471</v>
      </c>
      <c r="B597" t="s">
        <v>101</v>
      </c>
    </row>
    <row r="598" spans="1:2" x14ac:dyDescent="0.2">
      <c r="A598" s="36" t="s">
        <v>9470</v>
      </c>
      <c r="B598" t="s">
        <v>90</v>
      </c>
    </row>
    <row r="599" spans="1:2" x14ac:dyDescent="0.2">
      <c r="A599" s="36" t="s">
        <v>9467</v>
      </c>
      <c r="B599" t="s">
        <v>89</v>
      </c>
    </row>
    <row r="600" spans="1:2" x14ac:dyDescent="0.2">
      <c r="A600" s="36" t="s">
        <v>9478</v>
      </c>
      <c r="B600" t="s">
        <v>88</v>
      </c>
    </row>
    <row r="601" spans="1:2" x14ac:dyDescent="0.2">
      <c r="A601" s="36" t="s">
        <v>9474</v>
      </c>
      <c r="B601" t="s">
        <v>104</v>
      </c>
    </row>
    <row r="602" spans="1:2" x14ac:dyDescent="0.2">
      <c r="A602" s="36" t="s">
        <v>9469</v>
      </c>
      <c r="B602" t="s">
        <v>93</v>
      </c>
    </row>
    <row r="603" spans="1:2" x14ac:dyDescent="0.2">
      <c r="A603" s="36" t="s">
        <v>9476</v>
      </c>
      <c r="B603" t="s">
        <v>91</v>
      </c>
    </row>
    <row r="604" spans="1:2" x14ac:dyDescent="0.2">
      <c r="A604" s="36" t="s">
        <v>9468</v>
      </c>
      <c r="B604" t="s">
        <v>84</v>
      </c>
    </row>
    <row r="605" spans="1:2" x14ac:dyDescent="0.2">
      <c r="A605" s="36" t="s">
        <v>9477</v>
      </c>
      <c r="B605" t="s">
        <v>105</v>
      </c>
    </row>
    <row r="606" spans="1:2" x14ac:dyDescent="0.2">
      <c r="A606" s="36" t="s">
        <v>9555</v>
      </c>
      <c r="B606" t="s">
        <v>101</v>
      </c>
    </row>
    <row r="607" spans="1:2" x14ac:dyDescent="0.2">
      <c r="A607" s="36" t="s">
        <v>9560</v>
      </c>
      <c r="B607" t="s">
        <v>90</v>
      </c>
    </row>
    <row r="608" spans="1:2" x14ac:dyDescent="0.2">
      <c r="A608" s="36" t="s">
        <v>9556</v>
      </c>
      <c r="B608" t="s">
        <v>89</v>
      </c>
    </row>
    <row r="609" spans="1:2" x14ac:dyDescent="0.2">
      <c r="A609" s="36" t="s">
        <v>9558</v>
      </c>
      <c r="B609" t="s">
        <v>88</v>
      </c>
    </row>
    <row r="610" spans="1:2" x14ac:dyDescent="0.2">
      <c r="A610" s="36" t="s">
        <v>9561</v>
      </c>
      <c r="B610" t="s">
        <v>87</v>
      </c>
    </row>
    <row r="611" spans="1:2" x14ac:dyDescent="0.2">
      <c r="A611" s="36" t="s">
        <v>9559</v>
      </c>
      <c r="B611" t="s">
        <v>99</v>
      </c>
    </row>
    <row r="612" spans="1:2" x14ac:dyDescent="0.2">
      <c r="A612" s="36" t="s">
        <v>9557</v>
      </c>
      <c r="B612" t="s">
        <v>100</v>
      </c>
    </row>
    <row r="613" spans="1:2" x14ac:dyDescent="0.2">
      <c r="A613" s="36" t="s">
        <v>9554</v>
      </c>
      <c r="B613" t="s">
        <v>101</v>
      </c>
    </row>
    <row r="614" spans="1:2" x14ac:dyDescent="0.2">
      <c r="A614" s="36" t="s">
        <v>9578</v>
      </c>
      <c r="B614" t="s">
        <v>104</v>
      </c>
    </row>
    <row r="615" spans="1:2" x14ac:dyDescent="0.2">
      <c r="A615" s="36" t="s">
        <v>9994</v>
      </c>
      <c r="B615" t="s">
        <v>93</v>
      </c>
    </row>
    <row r="616" spans="1:2" x14ac:dyDescent="0.2">
      <c r="A616" s="36" t="s">
        <v>9871</v>
      </c>
      <c r="B616" t="s">
        <v>91</v>
      </c>
    </row>
    <row r="617" spans="1:2" x14ac:dyDescent="0.2">
      <c r="A617" s="36" t="s">
        <v>9103</v>
      </c>
      <c r="B617" t="s">
        <v>84</v>
      </c>
    </row>
    <row r="618" spans="1:2" x14ac:dyDescent="0.2">
      <c r="A618" s="36" t="s">
        <v>9104</v>
      </c>
      <c r="B618" t="s">
        <v>105</v>
      </c>
    </row>
    <row r="619" spans="1:2" x14ac:dyDescent="0.2">
      <c r="A619" s="36" t="s">
        <v>9102</v>
      </c>
      <c r="B619" t="s">
        <v>84</v>
      </c>
    </row>
    <row r="620" spans="1:2" x14ac:dyDescent="0.2">
      <c r="A620" s="36" t="s">
        <v>10103</v>
      </c>
      <c r="B620" t="s">
        <v>90</v>
      </c>
    </row>
    <row r="621" spans="1:2" x14ac:dyDescent="0.2">
      <c r="A621" s="36" t="s">
        <v>10099</v>
      </c>
      <c r="B621" t="s">
        <v>89</v>
      </c>
    </row>
    <row r="622" spans="1:2" x14ac:dyDescent="0.2">
      <c r="A622" s="36" t="s">
        <v>10097</v>
      </c>
      <c r="B622" t="s">
        <v>88</v>
      </c>
    </row>
    <row r="623" spans="1:2" x14ac:dyDescent="0.2">
      <c r="A623" s="36" t="s">
        <v>10101</v>
      </c>
      <c r="B623" t="s">
        <v>90</v>
      </c>
    </row>
    <row r="624" spans="1:2" x14ac:dyDescent="0.2">
      <c r="A624" s="36" t="s">
        <v>10096</v>
      </c>
      <c r="B624" t="s">
        <v>89</v>
      </c>
    </row>
    <row r="625" spans="1:2" x14ac:dyDescent="0.2">
      <c r="A625" s="36" t="s">
        <v>10090</v>
      </c>
      <c r="B625" t="s">
        <v>88</v>
      </c>
    </row>
    <row r="626" spans="1:2" x14ac:dyDescent="0.2">
      <c r="A626" s="36" t="s">
        <v>10105</v>
      </c>
      <c r="B626" t="s">
        <v>90</v>
      </c>
    </row>
    <row r="627" spans="1:2" x14ac:dyDescent="0.2">
      <c r="A627" s="36" t="s">
        <v>10104</v>
      </c>
      <c r="B627" t="s">
        <v>89</v>
      </c>
    </row>
    <row r="628" spans="1:2" x14ac:dyDescent="0.2">
      <c r="A628" s="36" t="s">
        <v>10100</v>
      </c>
      <c r="B628" t="s">
        <v>88</v>
      </c>
    </row>
    <row r="629" spans="1:2" x14ac:dyDescent="0.2">
      <c r="A629" s="36" t="s">
        <v>10092</v>
      </c>
      <c r="B629" t="s">
        <v>90</v>
      </c>
    </row>
    <row r="630" spans="1:2" x14ac:dyDescent="0.2">
      <c r="A630" s="36" t="s">
        <v>10091</v>
      </c>
      <c r="B630" t="s">
        <v>89</v>
      </c>
    </row>
    <row r="631" spans="1:2" x14ac:dyDescent="0.2">
      <c r="A631" s="36" t="s">
        <v>10089</v>
      </c>
      <c r="B631" t="s">
        <v>88</v>
      </c>
    </row>
    <row r="632" spans="1:2" x14ac:dyDescent="0.2">
      <c r="A632" s="36" t="s">
        <v>10093</v>
      </c>
      <c r="B632" t="s">
        <v>90</v>
      </c>
    </row>
    <row r="633" spans="1:2" x14ac:dyDescent="0.2">
      <c r="A633" s="36" t="s">
        <v>10088</v>
      </c>
      <c r="B633" t="s">
        <v>89</v>
      </c>
    </row>
    <row r="634" spans="1:2" x14ac:dyDescent="0.2">
      <c r="A634" s="36" t="s">
        <v>10094</v>
      </c>
      <c r="B634" t="s">
        <v>88</v>
      </c>
    </row>
    <row r="635" spans="1:2" x14ac:dyDescent="0.2">
      <c r="A635" s="36" t="s">
        <v>10095</v>
      </c>
      <c r="B635" t="s">
        <v>90</v>
      </c>
    </row>
    <row r="636" spans="1:2" x14ac:dyDescent="0.2">
      <c r="A636" s="36" t="s">
        <v>10123</v>
      </c>
      <c r="B636" t="s">
        <v>87</v>
      </c>
    </row>
    <row r="637" spans="1:2" x14ac:dyDescent="0.2">
      <c r="A637" s="36" t="s">
        <v>10110</v>
      </c>
      <c r="B637" t="s">
        <v>99</v>
      </c>
    </row>
    <row r="638" spans="1:2" x14ac:dyDescent="0.2">
      <c r="A638" s="36" t="s">
        <v>10122</v>
      </c>
      <c r="B638" t="s">
        <v>100</v>
      </c>
    </row>
    <row r="639" spans="1:2" x14ac:dyDescent="0.2">
      <c r="A639" s="36" t="s">
        <v>10116</v>
      </c>
      <c r="B639" t="s">
        <v>87</v>
      </c>
    </row>
    <row r="640" spans="1:2" x14ac:dyDescent="0.2">
      <c r="A640" s="36" t="s">
        <v>10121</v>
      </c>
      <c r="B640" t="s">
        <v>99</v>
      </c>
    </row>
    <row r="641" spans="1:2" x14ac:dyDescent="0.2">
      <c r="A641" s="36" t="s">
        <v>10115</v>
      </c>
      <c r="B641" t="s">
        <v>100</v>
      </c>
    </row>
    <row r="642" spans="1:2" x14ac:dyDescent="0.2">
      <c r="A642" s="36" t="s">
        <v>10108</v>
      </c>
      <c r="B642" t="s">
        <v>87</v>
      </c>
    </row>
    <row r="643" spans="1:2" x14ac:dyDescent="0.2">
      <c r="A643" s="36" t="s">
        <v>10118</v>
      </c>
      <c r="B643" t="s">
        <v>99</v>
      </c>
    </row>
    <row r="644" spans="1:2" x14ac:dyDescent="0.2">
      <c r="A644" s="36" t="s">
        <v>10107</v>
      </c>
      <c r="B644" t="s">
        <v>100</v>
      </c>
    </row>
    <row r="645" spans="1:2" x14ac:dyDescent="0.2">
      <c r="A645" s="36" t="s">
        <v>10111</v>
      </c>
      <c r="B645" t="s">
        <v>87</v>
      </c>
    </row>
    <row r="646" spans="1:2" x14ac:dyDescent="0.2">
      <c r="A646" s="36" t="s">
        <v>10109</v>
      </c>
      <c r="B646" t="s">
        <v>99</v>
      </c>
    </row>
    <row r="647" spans="1:2" x14ac:dyDescent="0.2">
      <c r="A647" s="36" t="s">
        <v>10119</v>
      </c>
      <c r="B647" t="s">
        <v>100</v>
      </c>
    </row>
    <row r="648" spans="1:2" x14ac:dyDescent="0.2">
      <c r="A648" s="36" t="s">
        <v>10114</v>
      </c>
      <c r="B648" t="s">
        <v>87</v>
      </c>
    </row>
    <row r="649" spans="1:2" x14ac:dyDescent="0.2">
      <c r="A649" s="36" t="s">
        <v>10112</v>
      </c>
      <c r="B649" t="s">
        <v>99</v>
      </c>
    </row>
    <row r="650" spans="1:2" x14ac:dyDescent="0.2">
      <c r="A650" s="36" t="s">
        <v>10120</v>
      </c>
      <c r="B650" t="s">
        <v>100</v>
      </c>
    </row>
    <row r="651" spans="1:2" x14ac:dyDescent="0.2">
      <c r="A651" s="36" t="s">
        <v>10113</v>
      </c>
      <c r="B651" t="s">
        <v>87</v>
      </c>
    </row>
    <row r="652" spans="1:2" x14ac:dyDescent="0.2">
      <c r="A652" s="36" t="s">
        <v>10274</v>
      </c>
      <c r="B652" t="s">
        <v>98</v>
      </c>
    </row>
    <row r="653" spans="1:2" x14ac:dyDescent="0.2">
      <c r="A653" s="36" t="s">
        <v>9136</v>
      </c>
      <c r="B653" t="s">
        <v>104</v>
      </c>
    </row>
    <row r="654" spans="1:2" x14ac:dyDescent="0.2">
      <c r="A654" s="36" t="s">
        <v>10056</v>
      </c>
      <c r="B654" t="s">
        <v>91</v>
      </c>
    </row>
    <row r="655" spans="1:2" x14ac:dyDescent="0.2">
      <c r="A655" s="36" t="s">
        <v>9094</v>
      </c>
      <c r="B655" t="s">
        <v>93</v>
      </c>
    </row>
    <row r="656" spans="1:2" x14ac:dyDescent="0.2">
      <c r="A656" s="36" t="s">
        <v>9092</v>
      </c>
      <c r="B656" t="s">
        <v>105</v>
      </c>
    </row>
    <row r="657" spans="1:2" x14ac:dyDescent="0.2">
      <c r="A657" s="36" t="s">
        <v>9093</v>
      </c>
      <c r="B657" t="s">
        <v>101</v>
      </c>
    </row>
    <row r="658" spans="1:2" x14ac:dyDescent="0.2">
      <c r="A658" s="36" t="s">
        <v>9097</v>
      </c>
      <c r="B658" t="s">
        <v>98</v>
      </c>
    </row>
    <row r="659" spans="1:2" x14ac:dyDescent="0.2">
      <c r="A659" s="36" t="s">
        <v>9087</v>
      </c>
      <c r="B659" t="s">
        <v>104</v>
      </c>
    </row>
    <row r="660" spans="1:2" x14ac:dyDescent="0.2">
      <c r="A660" s="36" t="s">
        <v>9088</v>
      </c>
      <c r="B660" t="s">
        <v>93</v>
      </c>
    </row>
    <row r="661" spans="1:2" x14ac:dyDescent="0.2">
      <c r="A661" s="36" t="s">
        <v>9098</v>
      </c>
      <c r="B661" t="s">
        <v>96</v>
      </c>
    </row>
    <row r="662" spans="1:2" x14ac:dyDescent="0.2">
      <c r="A662" s="36" t="s">
        <v>9101</v>
      </c>
      <c r="B662" t="s">
        <v>97</v>
      </c>
    </row>
    <row r="663" spans="1:2" x14ac:dyDescent="0.2">
      <c r="A663" s="36" t="s">
        <v>9089</v>
      </c>
      <c r="B663" t="s">
        <v>91</v>
      </c>
    </row>
    <row r="664" spans="1:2" x14ac:dyDescent="0.2">
      <c r="A664" s="36" t="s">
        <v>9084</v>
      </c>
      <c r="B664" t="s">
        <v>105</v>
      </c>
    </row>
    <row r="665" spans="1:2" x14ac:dyDescent="0.2">
      <c r="A665" s="36" t="s">
        <v>9091</v>
      </c>
      <c r="B665" t="s">
        <v>84</v>
      </c>
    </row>
    <row r="666" spans="1:2" x14ac:dyDescent="0.2">
      <c r="A666" s="36" t="s">
        <v>9086</v>
      </c>
      <c r="B666" t="s">
        <v>101</v>
      </c>
    </row>
    <row r="667" spans="1:2" x14ac:dyDescent="0.2">
      <c r="A667" s="36" t="s">
        <v>9099</v>
      </c>
      <c r="B667" t="s">
        <v>98</v>
      </c>
    </row>
    <row r="668" spans="1:2" x14ac:dyDescent="0.2">
      <c r="A668" s="36" t="s">
        <v>9083</v>
      </c>
      <c r="B668" t="s">
        <v>104</v>
      </c>
    </row>
    <row r="669" spans="1:2" x14ac:dyDescent="0.2">
      <c r="A669" s="36" t="s">
        <v>9100</v>
      </c>
      <c r="B669" t="s">
        <v>93</v>
      </c>
    </row>
    <row r="670" spans="1:2" x14ac:dyDescent="0.2">
      <c r="A670" s="36" t="s">
        <v>9082</v>
      </c>
      <c r="B670" t="s">
        <v>96</v>
      </c>
    </row>
    <row r="671" spans="1:2" x14ac:dyDescent="0.2">
      <c r="A671" s="36" t="s">
        <v>9096</v>
      </c>
      <c r="B671" t="s">
        <v>97</v>
      </c>
    </row>
    <row r="672" spans="1:2" x14ac:dyDescent="0.2">
      <c r="A672" s="36" t="s">
        <v>9085</v>
      </c>
      <c r="B672" t="s">
        <v>91</v>
      </c>
    </row>
    <row r="673" spans="1:2" x14ac:dyDescent="0.2">
      <c r="A673" s="36" t="s">
        <v>9090</v>
      </c>
      <c r="B673" t="s">
        <v>105</v>
      </c>
    </row>
    <row r="674" spans="1:2" x14ac:dyDescent="0.2">
      <c r="A674" s="36" t="s">
        <v>9132</v>
      </c>
      <c r="B674" t="s">
        <v>94</v>
      </c>
    </row>
    <row r="675" spans="1:2" x14ac:dyDescent="0.2">
      <c r="A675" s="36" t="s">
        <v>9122</v>
      </c>
      <c r="B675" t="s">
        <v>92</v>
      </c>
    </row>
    <row r="676" spans="1:2" x14ac:dyDescent="0.2">
      <c r="A676" s="36" t="s">
        <v>9430</v>
      </c>
      <c r="B676" t="s">
        <v>84</v>
      </c>
    </row>
    <row r="677" spans="1:2" x14ac:dyDescent="0.2">
      <c r="A677" s="36" t="s">
        <v>10048</v>
      </c>
      <c r="B677" t="s">
        <v>101</v>
      </c>
    </row>
    <row r="678" spans="1:2" x14ac:dyDescent="0.2">
      <c r="A678" s="36" t="s">
        <v>10046</v>
      </c>
      <c r="B678" t="s">
        <v>103</v>
      </c>
    </row>
    <row r="679" spans="1:2" x14ac:dyDescent="0.2">
      <c r="A679" s="36" t="s">
        <v>10041</v>
      </c>
      <c r="B679" t="s">
        <v>94</v>
      </c>
    </row>
    <row r="680" spans="1:2" x14ac:dyDescent="0.2">
      <c r="A680" s="36" t="s">
        <v>10043</v>
      </c>
      <c r="B680" t="s">
        <v>101</v>
      </c>
    </row>
    <row r="681" spans="1:2" x14ac:dyDescent="0.2">
      <c r="A681" s="36" t="s">
        <v>10042</v>
      </c>
      <c r="B681" t="s">
        <v>103</v>
      </c>
    </row>
    <row r="682" spans="1:2" x14ac:dyDescent="0.2">
      <c r="A682" s="36" t="s">
        <v>10047</v>
      </c>
      <c r="B682" t="s">
        <v>94</v>
      </c>
    </row>
    <row r="683" spans="1:2" x14ac:dyDescent="0.2">
      <c r="A683" s="36" t="s">
        <v>10045</v>
      </c>
      <c r="B683" t="s">
        <v>101</v>
      </c>
    </row>
    <row r="684" spans="1:2" x14ac:dyDescent="0.2">
      <c r="A684" s="36" t="s">
        <v>10040</v>
      </c>
      <c r="B684" t="s">
        <v>103</v>
      </c>
    </row>
    <row r="685" spans="1:2" x14ac:dyDescent="0.2">
      <c r="A685" s="36" t="s">
        <v>10044</v>
      </c>
      <c r="B685" t="s">
        <v>94</v>
      </c>
    </row>
    <row r="686" spans="1:2" x14ac:dyDescent="0.2">
      <c r="A686" s="36" t="s">
        <v>9574</v>
      </c>
      <c r="B686" t="s">
        <v>98</v>
      </c>
    </row>
    <row r="687" spans="1:2" x14ac:dyDescent="0.2">
      <c r="A687" s="36" t="s">
        <v>10175</v>
      </c>
      <c r="B687" t="s">
        <v>104</v>
      </c>
    </row>
    <row r="688" spans="1:2" x14ac:dyDescent="0.2">
      <c r="A688" s="36" t="s">
        <v>10174</v>
      </c>
      <c r="B688" t="s">
        <v>95</v>
      </c>
    </row>
    <row r="689" spans="1:2" x14ac:dyDescent="0.2">
      <c r="A689" s="36" t="s">
        <v>10178</v>
      </c>
      <c r="B689" t="s">
        <v>104</v>
      </c>
    </row>
    <row r="690" spans="1:2" x14ac:dyDescent="0.2">
      <c r="A690" s="36" t="s">
        <v>10176</v>
      </c>
      <c r="B690" t="s">
        <v>95</v>
      </c>
    </row>
    <row r="691" spans="1:2" x14ac:dyDescent="0.2">
      <c r="A691" s="36" t="s">
        <v>10179</v>
      </c>
      <c r="B691" t="s">
        <v>104</v>
      </c>
    </row>
    <row r="692" spans="1:2" x14ac:dyDescent="0.2">
      <c r="A692" s="36" t="s">
        <v>9124</v>
      </c>
      <c r="B692" t="s">
        <v>93</v>
      </c>
    </row>
    <row r="693" spans="1:2" x14ac:dyDescent="0.2">
      <c r="A693" s="36" t="s">
        <v>9568</v>
      </c>
      <c r="B693" t="s">
        <v>96</v>
      </c>
    </row>
    <row r="694" spans="1:2" x14ac:dyDescent="0.2">
      <c r="A694" s="36" t="s">
        <v>9571</v>
      </c>
      <c r="B694" t="s">
        <v>97</v>
      </c>
    </row>
    <row r="695" spans="1:2" x14ac:dyDescent="0.2">
      <c r="A695" s="36" t="s">
        <v>10157</v>
      </c>
      <c r="B695" t="s">
        <v>91</v>
      </c>
    </row>
    <row r="696" spans="1:2" x14ac:dyDescent="0.2">
      <c r="A696" s="36" t="s">
        <v>9432</v>
      </c>
      <c r="B696" t="s">
        <v>105</v>
      </c>
    </row>
    <row r="697" spans="1:2" x14ac:dyDescent="0.2">
      <c r="A697" s="36" t="s">
        <v>10148</v>
      </c>
      <c r="B697" t="s">
        <v>92</v>
      </c>
    </row>
    <row r="698" spans="1:2" x14ac:dyDescent="0.2">
      <c r="A698" s="36" t="s">
        <v>9788</v>
      </c>
      <c r="B698" t="s">
        <v>84</v>
      </c>
    </row>
    <row r="699" spans="1:2" x14ac:dyDescent="0.2">
      <c r="A699" s="36" t="s">
        <v>9789</v>
      </c>
      <c r="B699" t="s">
        <v>98</v>
      </c>
    </row>
    <row r="700" spans="1:2" x14ac:dyDescent="0.2">
      <c r="A700" s="36" t="s">
        <v>9793</v>
      </c>
      <c r="B700" t="s">
        <v>91</v>
      </c>
    </row>
    <row r="701" spans="1:2" x14ac:dyDescent="0.2">
      <c r="A701" s="36" t="s">
        <v>9794</v>
      </c>
      <c r="B701" t="s">
        <v>91</v>
      </c>
    </row>
    <row r="702" spans="1:2" x14ac:dyDescent="0.2">
      <c r="A702" s="36" t="s">
        <v>9341</v>
      </c>
      <c r="B702" t="s">
        <v>96</v>
      </c>
    </row>
    <row r="703" spans="1:2" x14ac:dyDescent="0.2">
      <c r="A703" s="36" t="s">
        <v>9335</v>
      </c>
      <c r="B703" t="s">
        <v>97</v>
      </c>
    </row>
    <row r="704" spans="1:2" x14ac:dyDescent="0.2">
      <c r="A704" s="36" t="s">
        <v>9337</v>
      </c>
      <c r="B704" t="s">
        <v>93</v>
      </c>
    </row>
    <row r="705" spans="1:2" x14ac:dyDescent="0.2">
      <c r="A705" s="36" t="s">
        <v>9338</v>
      </c>
      <c r="B705" t="s">
        <v>96</v>
      </c>
    </row>
    <row r="706" spans="1:2" x14ac:dyDescent="0.2">
      <c r="A706" s="36" t="s">
        <v>9336</v>
      </c>
      <c r="B706" t="s">
        <v>97</v>
      </c>
    </row>
    <row r="707" spans="1:2" x14ac:dyDescent="0.2">
      <c r="A707" s="36" t="s">
        <v>9334</v>
      </c>
      <c r="B707" t="s">
        <v>93</v>
      </c>
    </row>
    <row r="708" spans="1:2" x14ac:dyDescent="0.2">
      <c r="A708" s="36" t="s">
        <v>9340</v>
      </c>
      <c r="B708" t="s">
        <v>96</v>
      </c>
    </row>
    <row r="709" spans="1:2" x14ac:dyDescent="0.2">
      <c r="A709" s="36" t="s">
        <v>9550</v>
      </c>
      <c r="B709" t="s">
        <v>89</v>
      </c>
    </row>
    <row r="710" spans="1:2" x14ac:dyDescent="0.2">
      <c r="A710" s="36" t="s">
        <v>9197</v>
      </c>
      <c r="B710" t="s">
        <v>84</v>
      </c>
    </row>
    <row r="711" spans="1:2" x14ac:dyDescent="0.2">
      <c r="A711" s="36" t="s">
        <v>9180</v>
      </c>
      <c r="B711" t="s">
        <v>105</v>
      </c>
    </row>
    <row r="712" spans="1:2" x14ac:dyDescent="0.2">
      <c r="A712" s="36" t="s">
        <v>9187</v>
      </c>
      <c r="B712" t="s">
        <v>92</v>
      </c>
    </row>
    <row r="713" spans="1:2" x14ac:dyDescent="0.2">
      <c r="A713" s="36" t="s">
        <v>9191</v>
      </c>
      <c r="B713" t="s">
        <v>88</v>
      </c>
    </row>
    <row r="714" spans="1:2" x14ac:dyDescent="0.2">
      <c r="A714" s="36" t="s">
        <v>9185</v>
      </c>
      <c r="B714" t="s">
        <v>98</v>
      </c>
    </row>
    <row r="715" spans="1:2" x14ac:dyDescent="0.2">
      <c r="A715" s="36" t="s">
        <v>9188</v>
      </c>
      <c r="B715" t="s">
        <v>84</v>
      </c>
    </row>
    <row r="716" spans="1:2" x14ac:dyDescent="0.2">
      <c r="A716" s="36" t="s">
        <v>9184</v>
      </c>
      <c r="B716" t="s">
        <v>105</v>
      </c>
    </row>
    <row r="717" spans="1:2" x14ac:dyDescent="0.2">
      <c r="A717" s="36" t="s">
        <v>9194</v>
      </c>
      <c r="B717" t="s">
        <v>95</v>
      </c>
    </row>
    <row r="718" spans="1:2" x14ac:dyDescent="0.2">
      <c r="A718" s="36" t="s">
        <v>9183</v>
      </c>
      <c r="B718" t="s">
        <v>99</v>
      </c>
    </row>
    <row r="719" spans="1:2" x14ac:dyDescent="0.2">
      <c r="A719" s="36" t="s">
        <v>9196</v>
      </c>
      <c r="B719" t="s">
        <v>100</v>
      </c>
    </row>
    <row r="720" spans="1:2" x14ac:dyDescent="0.2">
      <c r="A720" s="36" t="s">
        <v>9177</v>
      </c>
      <c r="B720" t="s">
        <v>92</v>
      </c>
    </row>
    <row r="721" spans="1:2" x14ac:dyDescent="0.2">
      <c r="A721" s="36" t="s">
        <v>9178</v>
      </c>
      <c r="B721" t="s">
        <v>88</v>
      </c>
    </row>
    <row r="722" spans="1:2" x14ac:dyDescent="0.2">
      <c r="A722" s="36" t="s">
        <v>9179</v>
      </c>
      <c r="B722" t="s">
        <v>101</v>
      </c>
    </row>
    <row r="723" spans="1:2" x14ac:dyDescent="0.2">
      <c r="A723" s="36" t="s">
        <v>9199</v>
      </c>
      <c r="B723" t="s">
        <v>98</v>
      </c>
    </row>
    <row r="724" spans="1:2" x14ac:dyDescent="0.2">
      <c r="A724" s="36" t="s">
        <v>9198</v>
      </c>
      <c r="B724" t="s">
        <v>84</v>
      </c>
    </row>
    <row r="725" spans="1:2" x14ac:dyDescent="0.2">
      <c r="A725" s="36" t="s">
        <v>9189</v>
      </c>
      <c r="B725" t="s">
        <v>105</v>
      </c>
    </row>
    <row r="726" spans="1:2" x14ac:dyDescent="0.2">
      <c r="A726" s="36" t="s">
        <v>9193</v>
      </c>
      <c r="B726" t="s">
        <v>95</v>
      </c>
    </row>
    <row r="727" spans="1:2" x14ac:dyDescent="0.2">
      <c r="A727" s="36" t="s">
        <v>9192</v>
      </c>
      <c r="B727" t="s">
        <v>99</v>
      </c>
    </row>
    <row r="728" spans="1:2" x14ac:dyDescent="0.2">
      <c r="A728" s="36" t="s">
        <v>9186</v>
      </c>
      <c r="B728" t="s">
        <v>100</v>
      </c>
    </row>
    <row r="729" spans="1:2" x14ac:dyDescent="0.2">
      <c r="A729" s="36" t="s">
        <v>9195</v>
      </c>
      <c r="B729" t="s">
        <v>92</v>
      </c>
    </row>
    <row r="730" spans="1:2" x14ac:dyDescent="0.2">
      <c r="A730" s="36" t="s">
        <v>9190</v>
      </c>
      <c r="B730" t="s">
        <v>88</v>
      </c>
    </row>
    <row r="731" spans="1:2" x14ac:dyDescent="0.2">
      <c r="A731" s="36" t="s">
        <v>9182</v>
      </c>
      <c r="B731" t="s">
        <v>101</v>
      </c>
    </row>
    <row r="732" spans="1:2" x14ac:dyDescent="0.2">
      <c r="A732" s="36" t="s">
        <v>9202</v>
      </c>
      <c r="B732" t="s">
        <v>89</v>
      </c>
    </row>
    <row r="733" spans="1:2" x14ac:dyDescent="0.2">
      <c r="A733" s="36" t="s">
        <v>9204</v>
      </c>
      <c r="B733" t="s">
        <v>103</v>
      </c>
    </row>
    <row r="734" spans="1:2" x14ac:dyDescent="0.2">
      <c r="A734" s="36" t="s">
        <v>9205</v>
      </c>
      <c r="B734" t="s">
        <v>90</v>
      </c>
    </row>
    <row r="735" spans="1:2" x14ac:dyDescent="0.2">
      <c r="A735" s="36" t="s">
        <v>9212</v>
      </c>
      <c r="B735" t="s">
        <v>87</v>
      </c>
    </row>
    <row r="736" spans="1:2" x14ac:dyDescent="0.2">
      <c r="A736" s="36" t="s">
        <v>9213</v>
      </c>
      <c r="B736" t="s">
        <v>97</v>
      </c>
    </row>
    <row r="737" spans="1:2" x14ac:dyDescent="0.2">
      <c r="A737" s="36" t="s">
        <v>9200</v>
      </c>
      <c r="B737" t="s">
        <v>93</v>
      </c>
    </row>
    <row r="738" spans="1:2" x14ac:dyDescent="0.2">
      <c r="A738" s="36" t="s">
        <v>9203</v>
      </c>
      <c r="B738" t="s">
        <v>91</v>
      </c>
    </row>
    <row r="739" spans="1:2" x14ac:dyDescent="0.2">
      <c r="A739" s="36" t="s">
        <v>9208</v>
      </c>
      <c r="B739" t="s">
        <v>94</v>
      </c>
    </row>
    <row r="740" spans="1:2" x14ac:dyDescent="0.2">
      <c r="A740" s="36" t="s">
        <v>9211</v>
      </c>
      <c r="B740" t="s">
        <v>104</v>
      </c>
    </row>
    <row r="741" spans="1:2" x14ac:dyDescent="0.2">
      <c r="A741" s="36" t="s">
        <v>9207</v>
      </c>
      <c r="B741" t="s">
        <v>89</v>
      </c>
    </row>
    <row r="742" spans="1:2" x14ac:dyDescent="0.2">
      <c r="A742" s="36" t="s">
        <v>9214</v>
      </c>
      <c r="B742" t="s">
        <v>103</v>
      </c>
    </row>
    <row r="743" spans="1:2" x14ac:dyDescent="0.2">
      <c r="A743" s="36" t="s">
        <v>9209</v>
      </c>
      <c r="B743" t="s">
        <v>90</v>
      </c>
    </row>
    <row r="744" spans="1:2" x14ac:dyDescent="0.2">
      <c r="A744" s="36" t="s">
        <v>9210</v>
      </c>
      <c r="B744" t="s">
        <v>87</v>
      </c>
    </row>
    <row r="745" spans="1:2" x14ac:dyDescent="0.2">
      <c r="A745" s="36" t="s">
        <v>9201</v>
      </c>
      <c r="B745" t="s">
        <v>97</v>
      </c>
    </row>
    <row r="746" spans="1:2" x14ac:dyDescent="0.2">
      <c r="A746" s="36" t="s">
        <v>9228</v>
      </c>
      <c r="B746" t="s">
        <v>98</v>
      </c>
    </row>
    <row r="747" spans="1:2" x14ac:dyDescent="0.2">
      <c r="A747" s="36" t="s">
        <v>9217</v>
      </c>
      <c r="B747" t="s">
        <v>84</v>
      </c>
    </row>
    <row r="748" spans="1:2" x14ac:dyDescent="0.2">
      <c r="A748" s="36" t="s">
        <v>9224</v>
      </c>
      <c r="B748" t="s">
        <v>105</v>
      </c>
    </row>
    <row r="749" spans="1:2" x14ac:dyDescent="0.2">
      <c r="A749" s="36" t="s">
        <v>9219</v>
      </c>
      <c r="B749" t="s">
        <v>95</v>
      </c>
    </row>
    <row r="750" spans="1:2" x14ac:dyDescent="0.2">
      <c r="A750" s="36" t="s">
        <v>9227</v>
      </c>
      <c r="B750" t="s">
        <v>93</v>
      </c>
    </row>
    <row r="751" spans="1:2" x14ac:dyDescent="0.2">
      <c r="A751" s="36" t="s">
        <v>9226</v>
      </c>
      <c r="B751" t="s">
        <v>91</v>
      </c>
    </row>
    <row r="752" spans="1:2" x14ac:dyDescent="0.2">
      <c r="A752" s="36" t="s">
        <v>9222</v>
      </c>
      <c r="B752" t="s">
        <v>99</v>
      </c>
    </row>
    <row r="753" spans="1:2" x14ac:dyDescent="0.2">
      <c r="A753" s="36" t="s">
        <v>9225</v>
      </c>
      <c r="B753" t="s">
        <v>100</v>
      </c>
    </row>
    <row r="754" spans="1:2" x14ac:dyDescent="0.2">
      <c r="A754" s="36" t="s">
        <v>9218</v>
      </c>
      <c r="B754" t="s">
        <v>96</v>
      </c>
    </row>
    <row r="755" spans="1:2" x14ac:dyDescent="0.2">
      <c r="A755" s="36" t="s">
        <v>9215</v>
      </c>
      <c r="B755" t="s">
        <v>98</v>
      </c>
    </row>
    <row r="756" spans="1:2" x14ac:dyDescent="0.2">
      <c r="A756" s="36" t="s">
        <v>9221</v>
      </c>
      <c r="B756" t="s">
        <v>84</v>
      </c>
    </row>
    <row r="757" spans="1:2" x14ac:dyDescent="0.2">
      <c r="A757" s="36" t="s">
        <v>9220</v>
      </c>
      <c r="B757" t="s">
        <v>105</v>
      </c>
    </row>
    <row r="758" spans="1:2" x14ac:dyDescent="0.2">
      <c r="A758" s="36" t="s">
        <v>9216</v>
      </c>
      <c r="B758" t="s">
        <v>95</v>
      </c>
    </row>
    <row r="759" spans="1:2" x14ac:dyDescent="0.2">
      <c r="A759" s="36" t="s">
        <v>9223</v>
      </c>
      <c r="B759" t="s">
        <v>93</v>
      </c>
    </row>
    <row r="760" spans="1:2" x14ac:dyDescent="0.2">
      <c r="A760" s="36" t="s">
        <v>9235</v>
      </c>
      <c r="B760" t="s">
        <v>92</v>
      </c>
    </row>
    <row r="761" spans="1:2" x14ac:dyDescent="0.2">
      <c r="A761" s="36" t="s">
        <v>9243</v>
      </c>
      <c r="B761" t="s">
        <v>94</v>
      </c>
    </row>
    <row r="762" spans="1:2" x14ac:dyDescent="0.2">
      <c r="A762" s="36" t="s">
        <v>9249</v>
      </c>
      <c r="B762" t="s">
        <v>104</v>
      </c>
    </row>
    <row r="763" spans="1:2" x14ac:dyDescent="0.2">
      <c r="A763" s="36" t="s">
        <v>9238</v>
      </c>
      <c r="B763" t="s">
        <v>88</v>
      </c>
    </row>
    <row r="764" spans="1:2" x14ac:dyDescent="0.2">
      <c r="A764" s="36" t="s">
        <v>9251</v>
      </c>
      <c r="B764" t="s">
        <v>101</v>
      </c>
    </row>
    <row r="765" spans="1:2" x14ac:dyDescent="0.2">
      <c r="A765" s="36" t="s">
        <v>9234</v>
      </c>
      <c r="B765" t="s">
        <v>89</v>
      </c>
    </row>
    <row r="766" spans="1:2" x14ac:dyDescent="0.2">
      <c r="A766" s="36" t="s">
        <v>9246</v>
      </c>
      <c r="B766" t="s">
        <v>103</v>
      </c>
    </row>
    <row r="767" spans="1:2" x14ac:dyDescent="0.2">
      <c r="A767" s="36" t="s">
        <v>9240</v>
      </c>
      <c r="B767" t="s">
        <v>90</v>
      </c>
    </row>
    <row r="768" spans="1:2" x14ac:dyDescent="0.2">
      <c r="A768" s="36" t="s">
        <v>9239</v>
      </c>
      <c r="B768" t="s">
        <v>92</v>
      </c>
    </row>
    <row r="769" spans="1:2" x14ac:dyDescent="0.2">
      <c r="A769" s="36" t="s">
        <v>9230</v>
      </c>
      <c r="B769" t="s">
        <v>94</v>
      </c>
    </row>
    <row r="770" spans="1:2" x14ac:dyDescent="0.2">
      <c r="A770" s="36" t="s">
        <v>9237</v>
      </c>
      <c r="B770" t="s">
        <v>104</v>
      </c>
    </row>
    <row r="771" spans="1:2" x14ac:dyDescent="0.2">
      <c r="A771" s="36" t="s">
        <v>9248</v>
      </c>
      <c r="B771" t="s">
        <v>88</v>
      </c>
    </row>
    <row r="772" spans="1:2" x14ac:dyDescent="0.2">
      <c r="A772" s="36" t="s">
        <v>9242</v>
      </c>
      <c r="B772" t="s">
        <v>101</v>
      </c>
    </row>
    <row r="773" spans="1:2" x14ac:dyDescent="0.2">
      <c r="A773" s="36" t="s">
        <v>9245</v>
      </c>
      <c r="B773" t="s">
        <v>89</v>
      </c>
    </row>
    <row r="774" spans="1:2" x14ac:dyDescent="0.2">
      <c r="A774" s="36" t="s">
        <v>9236</v>
      </c>
      <c r="B774" t="s">
        <v>103</v>
      </c>
    </row>
    <row r="775" spans="1:2" x14ac:dyDescent="0.2">
      <c r="A775" s="36" t="s">
        <v>9250</v>
      </c>
      <c r="B775" t="s">
        <v>90</v>
      </c>
    </row>
    <row r="776" spans="1:2" x14ac:dyDescent="0.2">
      <c r="A776" s="36" t="s">
        <v>9247</v>
      </c>
      <c r="B776" t="s">
        <v>92</v>
      </c>
    </row>
    <row r="777" spans="1:2" x14ac:dyDescent="0.2">
      <c r="A777" s="36" t="s">
        <v>9241</v>
      </c>
      <c r="B777" t="s">
        <v>94</v>
      </c>
    </row>
    <row r="778" spans="1:2" x14ac:dyDescent="0.2">
      <c r="A778" s="36" t="s">
        <v>9231</v>
      </c>
      <c r="B778" t="s">
        <v>104</v>
      </c>
    </row>
    <row r="779" spans="1:2" x14ac:dyDescent="0.2">
      <c r="A779" s="36" t="s">
        <v>9244</v>
      </c>
      <c r="B779" t="s">
        <v>88</v>
      </c>
    </row>
    <row r="780" spans="1:2" x14ac:dyDescent="0.2">
      <c r="A780" s="36" t="s">
        <v>9229</v>
      </c>
      <c r="B780" t="s">
        <v>101</v>
      </c>
    </row>
    <row r="781" spans="1:2" x14ac:dyDescent="0.2">
      <c r="A781" s="36" t="s">
        <v>9232</v>
      </c>
      <c r="B781" t="s">
        <v>89</v>
      </c>
    </row>
    <row r="782" spans="1:2" x14ac:dyDescent="0.2">
      <c r="A782" s="36" t="s">
        <v>9265</v>
      </c>
      <c r="B782" t="s">
        <v>87</v>
      </c>
    </row>
    <row r="783" spans="1:2" x14ac:dyDescent="0.2">
      <c r="A783" s="36" t="s">
        <v>9260</v>
      </c>
      <c r="B783" t="s">
        <v>97</v>
      </c>
    </row>
    <row r="784" spans="1:2" x14ac:dyDescent="0.2">
      <c r="A784" s="36" t="s">
        <v>9262</v>
      </c>
      <c r="B784" t="s">
        <v>91</v>
      </c>
    </row>
    <row r="785" spans="1:2" x14ac:dyDescent="0.2">
      <c r="A785" s="36" t="s">
        <v>9266</v>
      </c>
      <c r="B785" t="s">
        <v>99</v>
      </c>
    </row>
    <row r="786" spans="1:2" x14ac:dyDescent="0.2">
      <c r="A786" s="36" t="s">
        <v>9264</v>
      </c>
      <c r="B786" t="s">
        <v>100</v>
      </c>
    </row>
    <row r="787" spans="1:2" x14ac:dyDescent="0.2">
      <c r="A787" s="36" t="s">
        <v>9253</v>
      </c>
      <c r="B787" t="s">
        <v>96</v>
      </c>
    </row>
    <row r="788" spans="1:2" x14ac:dyDescent="0.2">
      <c r="A788" s="36" t="s">
        <v>9267</v>
      </c>
      <c r="B788" t="s">
        <v>87</v>
      </c>
    </row>
    <row r="789" spans="1:2" x14ac:dyDescent="0.2">
      <c r="A789" s="36" t="s">
        <v>9255</v>
      </c>
      <c r="B789" t="s">
        <v>98</v>
      </c>
    </row>
    <row r="790" spans="1:2" x14ac:dyDescent="0.2">
      <c r="A790" s="36" t="s">
        <v>9256</v>
      </c>
      <c r="B790" t="s">
        <v>84</v>
      </c>
    </row>
    <row r="791" spans="1:2" x14ac:dyDescent="0.2">
      <c r="A791" s="36" t="s">
        <v>9257</v>
      </c>
      <c r="B791" t="s">
        <v>97</v>
      </c>
    </row>
    <row r="792" spans="1:2" x14ac:dyDescent="0.2">
      <c r="A792" s="36" t="s">
        <v>9263</v>
      </c>
      <c r="B792" t="s">
        <v>91</v>
      </c>
    </row>
    <row r="793" spans="1:2" x14ac:dyDescent="0.2">
      <c r="A793" s="36" t="s">
        <v>9259</v>
      </c>
      <c r="B793" t="s">
        <v>99</v>
      </c>
    </row>
    <row r="794" spans="1:2" x14ac:dyDescent="0.2">
      <c r="A794" s="36" t="s">
        <v>9258</v>
      </c>
      <c r="B794" t="s">
        <v>100</v>
      </c>
    </row>
    <row r="795" spans="1:2" x14ac:dyDescent="0.2">
      <c r="A795" s="36" t="s">
        <v>9261</v>
      </c>
      <c r="B795" t="s">
        <v>96</v>
      </c>
    </row>
    <row r="796" spans="1:2" x14ac:dyDescent="0.2">
      <c r="A796" s="36" t="s">
        <v>9276</v>
      </c>
      <c r="B796" t="s">
        <v>105</v>
      </c>
    </row>
    <row r="797" spans="1:2" x14ac:dyDescent="0.2">
      <c r="A797" s="36" t="s">
        <v>9272</v>
      </c>
      <c r="B797" t="s">
        <v>95</v>
      </c>
    </row>
    <row r="798" spans="1:2" x14ac:dyDescent="0.2">
      <c r="A798" s="36" t="s">
        <v>9271</v>
      </c>
      <c r="B798" t="s">
        <v>93</v>
      </c>
    </row>
    <row r="799" spans="1:2" x14ac:dyDescent="0.2">
      <c r="A799" s="36" t="s">
        <v>9270</v>
      </c>
      <c r="B799" t="s">
        <v>103</v>
      </c>
    </row>
    <row r="800" spans="1:2" x14ac:dyDescent="0.2">
      <c r="A800" s="36" t="s">
        <v>9273</v>
      </c>
      <c r="B800" t="s">
        <v>90</v>
      </c>
    </row>
    <row r="801" spans="1:2" x14ac:dyDescent="0.2">
      <c r="A801" s="36" t="s">
        <v>9269</v>
      </c>
      <c r="B801" t="s">
        <v>87</v>
      </c>
    </row>
    <row r="802" spans="1:2" x14ac:dyDescent="0.2">
      <c r="A802" s="36" t="s">
        <v>9275</v>
      </c>
      <c r="B802" t="s">
        <v>98</v>
      </c>
    </row>
    <row r="803" spans="1:2" x14ac:dyDescent="0.2">
      <c r="A803" s="36" t="s">
        <v>9277</v>
      </c>
      <c r="B803" t="s">
        <v>84</v>
      </c>
    </row>
    <row r="804" spans="1:2" x14ac:dyDescent="0.2">
      <c r="A804" s="36" t="s">
        <v>9278</v>
      </c>
      <c r="B804" t="s">
        <v>105</v>
      </c>
    </row>
    <row r="805" spans="1:2" x14ac:dyDescent="0.2">
      <c r="A805" s="36" t="s">
        <v>9280</v>
      </c>
      <c r="B805" t="s">
        <v>95</v>
      </c>
    </row>
    <row r="806" spans="1:2" x14ac:dyDescent="0.2">
      <c r="A806" s="36" t="s">
        <v>9274</v>
      </c>
      <c r="B806" t="s">
        <v>93</v>
      </c>
    </row>
    <row r="807" spans="1:2" x14ac:dyDescent="0.2">
      <c r="A807" s="36" t="s">
        <v>9279</v>
      </c>
      <c r="B807" t="s">
        <v>103</v>
      </c>
    </row>
    <row r="808" spans="1:2" x14ac:dyDescent="0.2">
      <c r="A808" s="36" t="s">
        <v>9281</v>
      </c>
      <c r="B808" t="s">
        <v>90</v>
      </c>
    </row>
    <row r="809" spans="1:2" x14ac:dyDescent="0.2">
      <c r="A809" s="36" t="s">
        <v>10000</v>
      </c>
      <c r="B809" t="s">
        <v>104</v>
      </c>
    </row>
    <row r="810" spans="1:2" x14ac:dyDescent="0.2">
      <c r="A810" s="36" t="s">
        <v>9459</v>
      </c>
      <c r="B810" t="s">
        <v>101</v>
      </c>
    </row>
    <row r="811" spans="1:2" x14ac:dyDescent="0.2">
      <c r="A811" s="36" t="s">
        <v>9342</v>
      </c>
      <c r="B811" t="s">
        <v>97</v>
      </c>
    </row>
    <row r="812" spans="1:2" x14ac:dyDescent="0.2">
      <c r="A812" s="36" t="s">
        <v>9455</v>
      </c>
      <c r="B812" t="s">
        <v>91</v>
      </c>
    </row>
    <row r="813" spans="1:2" x14ac:dyDescent="0.2">
      <c r="A813" s="36" t="s">
        <v>9456</v>
      </c>
      <c r="B813" t="s">
        <v>99</v>
      </c>
    </row>
    <row r="814" spans="1:2" x14ac:dyDescent="0.2">
      <c r="A814" s="36" t="s">
        <v>9134</v>
      </c>
      <c r="B814" t="s">
        <v>100</v>
      </c>
    </row>
    <row r="815" spans="1:2" x14ac:dyDescent="0.2">
      <c r="A815" s="36" t="s">
        <v>9473</v>
      </c>
      <c r="B815" t="s">
        <v>96</v>
      </c>
    </row>
    <row r="816" spans="1:2" x14ac:dyDescent="0.2">
      <c r="A816" s="36" t="s">
        <v>9577</v>
      </c>
      <c r="B816" t="s">
        <v>92</v>
      </c>
    </row>
    <row r="817" spans="1:2" x14ac:dyDescent="0.2">
      <c r="A817" s="36" t="s">
        <v>9308</v>
      </c>
      <c r="B817" t="s">
        <v>94</v>
      </c>
    </row>
    <row r="818" spans="1:2" x14ac:dyDescent="0.2">
      <c r="A818" s="36" t="s">
        <v>9296</v>
      </c>
      <c r="B818" t="s">
        <v>88</v>
      </c>
    </row>
    <row r="819" spans="1:2" x14ac:dyDescent="0.2">
      <c r="A819" s="36" t="s">
        <v>9312</v>
      </c>
      <c r="B819" t="s">
        <v>94</v>
      </c>
    </row>
    <row r="820" spans="1:2" x14ac:dyDescent="0.2">
      <c r="A820" s="36" t="s">
        <v>9324</v>
      </c>
      <c r="B820" t="s">
        <v>88</v>
      </c>
    </row>
    <row r="821" spans="1:2" x14ac:dyDescent="0.2">
      <c r="A821" s="36" t="s">
        <v>9313</v>
      </c>
      <c r="B821" t="s">
        <v>94</v>
      </c>
    </row>
    <row r="822" spans="1:2" x14ac:dyDescent="0.2">
      <c r="A822" s="36" t="s">
        <v>9303</v>
      </c>
      <c r="B822" t="s">
        <v>88</v>
      </c>
    </row>
    <row r="823" spans="1:2" x14ac:dyDescent="0.2">
      <c r="A823" s="36" t="s">
        <v>9307</v>
      </c>
      <c r="B823" t="s">
        <v>94</v>
      </c>
    </row>
    <row r="824" spans="1:2" x14ac:dyDescent="0.2">
      <c r="A824" s="36" t="s">
        <v>9323</v>
      </c>
      <c r="B824" t="s">
        <v>88</v>
      </c>
    </row>
    <row r="825" spans="1:2" x14ac:dyDescent="0.2">
      <c r="A825" s="36" t="s">
        <v>9298</v>
      </c>
      <c r="B825" t="s">
        <v>94</v>
      </c>
    </row>
    <row r="826" spans="1:2" x14ac:dyDescent="0.2">
      <c r="A826" s="36" t="s">
        <v>9299</v>
      </c>
      <c r="B826" t="s">
        <v>88</v>
      </c>
    </row>
    <row r="827" spans="1:2" x14ac:dyDescent="0.2">
      <c r="A827" s="36" t="s">
        <v>9292</v>
      </c>
      <c r="B827" t="s">
        <v>94</v>
      </c>
    </row>
    <row r="828" spans="1:2" x14ac:dyDescent="0.2">
      <c r="A828" s="36" t="s">
        <v>9304</v>
      </c>
      <c r="B828" t="s">
        <v>88</v>
      </c>
    </row>
    <row r="829" spans="1:2" x14ac:dyDescent="0.2">
      <c r="A829" s="36" t="s">
        <v>9320</v>
      </c>
      <c r="B829" t="s">
        <v>94</v>
      </c>
    </row>
    <row r="830" spans="1:2" x14ac:dyDescent="0.2">
      <c r="A830" s="36" t="s">
        <v>9305</v>
      </c>
      <c r="B830" t="s">
        <v>88</v>
      </c>
    </row>
    <row r="831" spans="1:2" x14ac:dyDescent="0.2">
      <c r="A831" s="36" t="s">
        <v>9306</v>
      </c>
      <c r="B831" t="s">
        <v>94</v>
      </c>
    </row>
    <row r="832" spans="1:2" x14ac:dyDescent="0.2">
      <c r="A832" s="36" t="s">
        <v>9302</v>
      </c>
      <c r="B832" t="s">
        <v>88</v>
      </c>
    </row>
    <row r="833" spans="1:2" x14ac:dyDescent="0.2">
      <c r="A833" s="36" t="s">
        <v>9301</v>
      </c>
      <c r="B833" t="s">
        <v>94</v>
      </c>
    </row>
    <row r="834" spans="1:2" x14ac:dyDescent="0.2">
      <c r="A834" s="36" t="s">
        <v>9311</v>
      </c>
      <c r="B834" t="s">
        <v>88</v>
      </c>
    </row>
    <row r="835" spans="1:2" x14ac:dyDescent="0.2">
      <c r="A835" s="36" t="s">
        <v>9300</v>
      </c>
      <c r="B835" t="s">
        <v>94</v>
      </c>
    </row>
    <row r="836" spans="1:2" x14ac:dyDescent="0.2">
      <c r="A836" s="36" t="s">
        <v>9314</v>
      </c>
      <c r="B836" t="s">
        <v>88</v>
      </c>
    </row>
    <row r="837" spans="1:2" x14ac:dyDescent="0.2">
      <c r="A837" s="36" t="s">
        <v>9310</v>
      </c>
      <c r="B837" t="s">
        <v>94</v>
      </c>
    </row>
    <row r="838" spans="1:2" x14ac:dyDescent="0.2">
      <c r="A838" s="36" t="s">
        <v>9321</v>
      </c>
      <c r="B838" t="s">
        <v>88</v>
      </c>
    </row>
    <row r="839" spans="1:2" x14ac:dyDescent="0.2">
      <c r="A839" s="36" t="s">
        <v>9309</v>
      </c>
      <c r="B839" t="s">
        <v>94</v>
      </c>
    </row>
    <row r="840" spans="1:2" x14ac:dyDescent="0.2">
      <c r="A840" s="36" t="s">
        <v>9315</v>
      </c>
      <c r="B840" t="s">
        <v>88</v>
      </c>
    </row>
    <row r="841" spans="1:2" x14ac:dyDescent="0.2">
      <c r="A841" s="36" t="s">
        <v>9293</v>
      </c>
      <c r="B841" t="s">
        <v>94</v>
      </c>
    </row>
    <row r="842" spans="1:2" x14ac:dyDescent="0.2">
      <c r="A842" s="36" t="s">
        <v>9317</v>
      </c>
      <c r="B842" t="s">
        <v>88</v>
      </c>
    </row>
    <row r="843" spans="1:2" x14ac:dyDescent="0.2">
      <c r="A843" s="36" t="s">
        <v>9316</v>
      </c>
      <c r="B843" t="s">
        <v>94</v>
      </c>
    </row>
    <row r="844" spans="1:2" x14ac:dyDescent="0.2">
      <c r="A844" s="36" t="s">
        <v>9290</v>
      </c>
      <c r="B844" t="s">
        <v>88</v>
      </c>
    </row>
    <row r="845" spans="1:2" x14ac:dyDescent="0.2">
      <c r="A845" s="36" t="s">
        <v>9319</v>
      </c>
      <c r="B845" t="s">
        <v>94</v>
      </c>
    </row>
    <row r="846" spans="1:2" x14ac:dyDescent="0.2">
      <c r="A846" s="36" t="s">
        <v>9318</v>
      </c>
      <c r="B846" t="s">
        <v>88</v>
      </c>
    </row>
    <row r="847" spans="1:2" x14ac:dyDescent="0.2">
      <c r="A847" s="36" t="s">
        <v>9291</v>
      </c>
      <c r="B847" t="s">
        <v>94</v>
      </c>
    </row>
    <row r="848" spans="1:2" x14ac:dyDescent="0.2">
      <c r="A848" s="36" t="s">
        <v>9325</v>
      </c>
      <c r="B848" t="s">
        <v>88</v>
      </c>
    </row>
    <row r="849" spans="1:2" x14ac:dyDescent="0.2">
      <c r="A849" s="36" t="s">
        <v>9294</v>
      </c>
      <c r="B849" t="s">
        <v>94</v>
      </c>
    </row>
    <row r="850" spans="1:2" x14ac:dyDescent="0.2">
      <c r="A850" s="36" t="s">
        <v>9297</v>
      </c>
      <c r="B850" t="s">
        <v>88</v>
      </c>
    </row>
    <row r="851" spans="1:2" x14ac:dyDescent="0.2">
      <c r="A851" s="36" t="s">
        <v>9295</v>
      </c>
      <c r="B851" t="s">
        <v>94</v>
      </c>
    </row>
    <row r="852" spans="1:2" x14ac:dyDescent="0.2">
      <c r="A852" s="36" t="s">
        <v>9322</v>
      </c>
      <c r="B852" t="s">
        <v>88</v>
      </c>
    </row>
    <row r="853" spans="1:2" x14ac:dyDescent="0.2">
      <c r="A853" s="36" t="s">
        <v>9860</v>
      </c>
      <c r="B853" t="s">
        <v>89</v>
      </c>
    </row>
    <row r="854" spans="1:2" x14ac:dyDescent="0.2">
      <c r="A854" s="36" t="s">
        <v>10150</v>
      </c>
      <c r="B854" t="s">
        <v>87</v>
      </c>
    </row>
    <row r="855" spans="1:2" x14ac:dyDescent="0.2">
      <c r="A855" s="36" t="s">
        <v>10152</v>
      </c>
      <c r="B855" t="s">
        <v>98</v>
      </c>
    </row>
    <row r="856" spans="1:2" x14ac:dyDescent="0.2">
      <c r="A856" s="36" t="s">
        <v>10149</v>
      </c>
      <c r="B856" t="s">
        <v>87</v>
      </c>
    </row>
    <row r="857" spans="1:2" x14ac:dyDescent="0.2">
      <c r="A857" s="36" t="s">
        <v>10151</v>
      </c>
      <c r="B857" t="s">
        <v>98</v>
      </c>
    </row>
    <row r="858" spans="1:2" x14ac:dyDescent="0.2">
      <c r="A858" s="36" t="s">
        <v>10275</v>
      </c>
      <c r="B858" t="s">
        <v>91</v>
      </c>
    </row>
    <row r="859" spans="1:2" x14ac:dyDescent="0.2">
      <c r="A859" s="36" t="s">
        <v>9806</v>
      </c>
      <c r="B859" t="s">
        <v>97</v>
      </c>
    </row>
    <row r="860" spans="1:2" x14ac:dyDescent="0.2">
      <c r="A860" s="36" t="s">
        <v>10208</v>
      </c>
      <c r="B860" t="s">
        <v>100</v>
      </c>
    </row>
    <row r="861" spans="1:2" x14ac:dyDescent="0.2">
      <c r="A861" s="36" t="s">
        <v>10205</v>
      </c>
      <c r="B861" t="s">
        <v>96</v>
      </c>
    </row>
    <row r="862" spans="1:2" x14ac:dyDescent="0.2">
      <c r="A862" s="36" t="s">
        <v>10207</v>
      </c>
      <c r="B862" t="s">
        <v>99</v>
      </c>
    </row>
    <row r="863" spans="1:2" x14ac:dyDescent="0.2">
      <c r="A863" s="36" t="s">
        <v>10214</v>
      </c>
      <c r="B863" t="s">
        <v>84</v>
      </c>
    </row>
    <row r="864" spans="1:2" x14ac:dyDescent="0.2">
      <c r="A864" s="36" t="s">
        <v>10213</v>
      </c>
      <c r="B864" t="s">
        <v>105</v>
      </c>
    </row>
    <row r="865" spans="1:2" x14ac:dyDescent="0.2">
      <c r="A865" s="36" t="s">
        <v>10221</v>
      </c>
      <c r="B865" t="s">
        <v>92</v>
      </c>
    </row>
    <row r="866" spans="1:2" x14ac:dyDescent="0.2">
      <c r="A866" s="36" t="s">
        <v>10225</v>
      </c>
      <c r="B866" t="s">
        <v>95</v>
      </c>
    </row>
    <row r="867" spans="1:2" x14ac:dyDescent="0.2">
      <c r="A867" s="36" t="s">
        <v>10217</v>
      </c>
      <c r="B867" t="s">
        <v>93</v>
      </c>
    </row>
    <row r="868" spans="1:2" x14ac:dyDescent="0.2">
      <c r="A868" s="36" t="s">
        <v>10215</v>
      </c>
      <c r="B868" t="s">
        <v>104</v>
      </c>
    </row>
    <row r="869" spans="1:2" x14ac:dyDescent="0.2">
      <c r="A869" s="36" t="s">
        <v>10210</v>
      </c>
      <c r="B869" t="s">
        <v>100</v>
      </c>
    </row>
    <row r="870" spans="1:2" x14ac:dyDescent="0.2">
      <c r="A870" s="36" t="s">
        <v>10224</v>
      </c>
      <c r="B870" t="s">
        <v>96</v>
      </c>
    </row>
    <row r="871" spans="1:2" x14ac:dyDescent="0.2">
      <c r="A871" s="36" t="s">
        <v>10212</v>
      </c>
      <c r="B871" t="s">
        <v>99</v>
      </c>
    </row>
    <row r="872" spans="1:2" x14ac:dyDescent="0.2">
      <c r="A872" s="36" t="s">
        <v>10223</v>
      </c>
      <c r="B872" t="s">
        <v>84</v>
      </c>
    </row>
    <row r="873" spans="1:2" x14ac:dyDescent="0.2">
      <c r="A873" s="36" t="s">
        <v>10206</v>
      </c>
      <c r="B873" t="s">
        <v>105</v>
      </c>
    </row>
    <row r="874" spans="1:2" x14ac:dyDescent="0.2">
      <c r="A874" s="36" t="s">
        <v>10220</v>
      </c>
      <c r="B874" t="s">
        <v>92</v>
      </c>
    </row>
    <row r="875" spans="1:2" x14ac:dyDescent="0.2">
      <c r="A875" s="36" t="s">
        <v>10216</v>
      </c>
      <c r="B875" t="s">
        <v>95</v>
      </c>
    </row>
    <row r="876" spans="1:2" x14ac:dyDescent="0.2">
      <c r="A876" s="36" t="s">
        <v>10211</v>
      </c>
      <c r="B876" t="s">
        <v>93</v>
      </c>
    </row>
    <row r="877" spans="1:2" x14ac:dyDescent="0.2">
      <c r="A877" s="36" t="s">
        <v>10209</v>
      </c>
      <c r="B877" t="s">
        <v>104</v>
      </c>
    </row>
    <row r="878" spans="1:2" x14ac:dyDescent="0.2">
      <c r="A878" s="36" t="s">
        <v>10222</v>
      </c>
      <c r="B878" t="s">
        <v>100</v>
      </c>
    </row>
    <row r="879" spans="1:2" x14ac:dyDescent="0.2">
      <c r="A879" s="36" t="s">
        <v>10218</v>
      </c>
      <c r="B879" t="s">
        <v>96</v>
      </c>
    </row>
    <row r="880" spans="1:2" x14ac:dyDescent="0.2">
      <c r="A880" s="36" t="s">
        <v>10241</v>
      </c>
      <c r="B880" t="s">
        <v>89</v>
      </c>
    </row>
    <row r="881" spans="1:2" x14ac:dyDescent="0.2">
      <c r="A881" s="36" t="s">
        <v>10236</v>
      </c>
      <c r="B881" t="s">
        <v>101</v>
      </c>
    </row>
    <row r="882" spans="1:2" x14ac:dyDescent="0.2">
      <c r="A882" s="36" t="s">
        <v>10229</v>
      </c>
      <c r="B882" t="s">
        <v>103</v>
      </c>
    </row>
    <row r="883" spans="1:2" x14ac:dyDescent="0.2">
      <c r="A883" s="36" t="s">
        <v>10227</v>
      </c>
      <c r="B883" t="s">
        <v>90</v>
      </c>
    </row>
    <row r="884" spans="1:2" x14ac:dyDescent="0.2">
      <c r="A884" s="36" t="s">
        <v>10231</v>
      </c>
      <c r="B884" t="s">
        <v>97</v>
      </c>
    </row>
    <row r="885" spans="1:2" x14ac:dyDescent="0.2">
      <c r="A885" s="36" t="s">
        <v>10228</v>
      </c>
      <c r="B885" t="s">
        <v>91</v>
      </c>
    </row>
    <row r="886" spans="1:2" x14ac:dyDescent="0.2">
      <c r="A886" s="36" t="s">
        <v>10243</v>
      </c>
      <c r="B886" t="s">
        <v>89</v>
      </c>
    </row>
    <row r="887" spans="1:2" x14ac:dyDescent="0.2">
      <c r="A887" s="36" t="s">
        <v>10239</v>
      </c>
      <c r="B887" t="s">
        <v>101</v>
      </c>
    </row>
    <row r="888" spans="1:2" x14ac:dyDescent="0.2">
      <c r="A888" s="36" t="s">
        <v>10244</v>
      </c>
      <c r="B888" t="s">
        <v>103</v>
      </c>
    </row>
    <row r="889" spans="1:2" x14ac:dyDescent="0.2">
      <c r="A889" s="36" t="s">
        <v>10240</v>
      </c>
      <c r="B889" t="s">
        <v>87</v>
      </c>
    </row>
    <row r="890" spans="1:2" x14ac:dyDescent="0.2">
      <c r="A890" s="36" t="s">
        <v>10246</v>
      </c>
      <c r="B890" t="s">
        <v>90</v>
      </c>
    </row>
    <row r="891" spans="1:2" x14ac:dyDescent="0.2">
      <c r="A891" s="36" t="s">
        <v>10245</v>
      </c>
      <c r="B891" t="s">
        <v>97</v>
      </c>
    </row>
    <row r="892" spans="1:2" x14ac:dyDescent="0.2">
      <c r="A892" s="36" t="s">
        <v>10238</v>
      </c>
      <c r="B892" t="s">
        <v>91</v>
      </c>
    </row>
    <row r="893" spans="1:2" x14ac:dyDescent="0.2">
      <c r="A893" s="36" t="s">
        <v>10233</v>
      </c>
      <c r="B893" t="s">
        <v>89</v>
      </c>
    </row>
    <row r="894" spans="1:2" x14ac:dyDescent="0.2">
      <c r="A894" s="36" t="s">
        <v>10235</v>
      </c>
      <c r="B894" t="s">
        <v>101</v>
      </c>
    </row>
    <row r="895" spans="1:2" x14ac:dyDescent="0.2">
      <c r="A895" s="36" t="s">
        <v>10226</v>
      </c>
      <c r="B895" t="s">
        <v>103</v>
      </c>
    </row>
    <row r="896" spans="1:2" x14ac:dyDescent="0.2">
      <c r="A896" s="36" t="s">
        <v>10232</v>
      </c>
      <c r="B896" t="s">
        <v>87</v>
      </c>
    </row>
    <row r="897" spans="1:2" x14ac:dyDescent="0.2">
      <c r="A897" s="36" t="s">
        <v>10237</v>
      </c>
      <c r="B897" t="s">
        <v>90</v>
      </c>
    </row>
    <row r="898" spans="1:2" x14ac:dyDescent="0.2">
      <c r="A898" s="36" t="s">
        <v>10242</v>
      </c>
      <c r="B898" t="s">
        <v>97</v>
      </c>
    </row>
    <row r="899" spans="1:2" x14ac:dyDescent="0.2">
      <c r="A899" s="36" t="s">
        <v>10230</v>
      </c>
      <c r="B899" t="s">
        <v>91</v>
      </c>
    </row>
    <row r="900" spans="1:2" x14ac:dyDescent="0.2">
      <c r="A900" s="36" t="s">
        <v>10374</v>
      </c>
      <c r="B900" t="s">
        <v>98</v>
      </c>
    </row>
    <row r="901" spans="1:2" x14ac:dyDescent="0.2">
      <c r="A901" s="36" t="s">
        <v>10376</v>
      </c>
      <c r="B901" t="s">
        <v>99</v>
      </c>
    </row>
    <row r="902" spans="1:2" x14ac:dyDescent="0.2">
      <c r="A902" s="36" t="s">
        <v>10375</v>
      </c>
      <c r="B902" t="s">
        <v>84</v>
      </c>
    </row>
    <row r="903" spans="1:2" x14ac:dyDescent="0.2">
      <c r="A903" s="36" t="s">
        <v>9333</v>
      </c>
      <c r="B903" t="s">
        <v>105</v>
      </c>
    </row>
    <row r="904" spans="1:2" x14ac:dyDescent="0.2">
      <c r="A904" s="36" t="s">
        <v>9330</v>
      </c>
      <c r="B904" t="s">
        <v>92</v>
      </c>
    </row>
    <row r="905" spans="1:2" x14ac:dyDescent="0.2">
      <c r="A905" s="36" t="s">
        <v>9329</v>
      </c>
      <c r="B905" t="s">
        <v>105</v>
      </c>
    </row>
    <row r="906" spans="1:2" x14ac:dyDescent="0.2">
      <c r="A906" s="36" t="s">
        <v>9331</v>
      </c>
      <c r="B906" t="s">
        <v>92</v>
      </c>
    </row>
    <row r="907" spans="1:2" x14ac:dyDescent="0.2">
      <c r="A907" s="36" t="s">
        <v>9332</v>
      </c>
      <c r="B907" t="s">
        <v>105</v>
      </c>
    </row>
    <row r="908" spans="1:2" x14ac:dyDescent="0.2">
      <c r="A908" s="36" t="s">
        <v>9866</v>
      </c>
      <c r="B908" t="s">
        <v>104</v>
      </c>
    </row>
    <row r="909" spans="1:2" x14ac:dyDescent="0.2">
      <c r="A909" s="36" t="s">
        <v>9868</v>
      </c>
      <c r="B909" t="s">
        <v>87</v>
      </c>
    </row>
    <row r="910" spans="1:2" x14ac:dyDescent="0.2">
      <c r="A910" s="36" t="s">
        <v>9569</v>
      </c>
      <c r="B910" t="s">
        <v>95</v>
      </c>
    </row>
    <row r="911" spans="1:2" x14ac:dyDescent="0.2">
      <c r="A911" s="36" t="s">
        <v>9572</v>
      </c>
      <c r="B911" t="s">
        <v>93</v>
      </c>
    </row>
    <row r="912" spans="1:2" x14ac:dyDescent="0.2">
      <c r="A912" s="36" t="s">
        <v>9486</v>
      </c>
      <c r="B912" t="s">
        <v>98</v>
      </c>
    </row>
    <row r="913" spans="1:2" x14ac:dyDescent="0.2">
      <c r="A913" s="36" t="s">
        <v>10131</v>
      </c>
      <c r="B913" t="s">
        <v>95</v>
      </c>
    </row>
    <row r="914" spans="1:2" x14ac:dyDescent="0.2">
      <c r="A914" s="36" t="s">
        <v>10133</v>
      </c>
      <c r="B914" t="s">
        <v>93</v>
      </c>
    </row>
    <row r="915" spans="1:2" x14ac:dyDescent="0.2">
      <c r="A915" s="36" t="s">
        <v>10132</v>
      </c>
      <c r="B915" t="s">
        <v>100</v>
      </c>
    </row>
    <row r="916" spans="1:2" x14ac:dyDescent="0.2">
      <c r="A916" s="36" t="s">
        <v>10142</v>
      </c>
      <c r="B916" t="s">
        <v>96</v>
      </c>
    </row>
    <row r="917" spans="1:2" x14ac:dyDescent="0.2">
      <c r="A917" s="36" t="s">
        <v>9339</v>
      </c>
      <c r="B917" t="s">
        <v>93</v>
      </c>
    </row>
    <row r="918" spans="1:2" x14ac:dyDescent="0.2">
      <c r="A918" s="36" t="s">
        <v>10021</v>
      </c>
      <c r="B918" t="s">
        <v>104</v>
      </c>
    </row>
    <row r="919" spans="1:2" x14ac:dyDescent="0.2">
      <c r="A919" s="36" t="s">
        <v>10006</v>
      </c>
      <c r="B919" t="s">
        <v>95</v>
      </c>
    </row>
    <row r="920" spans="1:2" x14ac:dyDescent="0.2">
      <c r="A920" s="36" t="s">
        <v>9181</v>
      </c>
      <c r="B920" t="s">
        <v>99</v>
      </c>
    </row>
    <row r="921" spans="1:2" x14ac:dyDescent="0.2">
      <c r="A921" s="36" t="s">
        <v>9254</v>
      </c>
      <c r="B921" t="s">
        <v>84</v>
      </c>
    </row>
    <row r="922" spans="1:2" x14ac:dyDescent="0.2">
      <c r="A922" s="36" t="s">
        <v>9268</v>
      </c>
      <c r="B922" t="s">
        <v>103</v>
      </c>
    </row>
    <row r="923" spans="1:2" x14ac:dyDescent="0.2">
      <c r="A923" s="36" t="s">
        <v>9496</v>
      </c>
      <c r="B923" t="s">
        <v>89</v>
      </c>
    </row>
    <row r="924" spans="1:2" x14ac:dyDescent="0.2">
      <c r="A924" s="36" t="s">
        <v>9500</v>
      </c>
      <c r="B924" t="s">
        <v>101</v>
      </c>
    </row>
    <row r="925" spans="1:2" x14ac:dyDescent="0.2">
      <c r="A925" s="36" t="s">
        <v>9494</v>
      </c>
      <c r="B925" t="s">
        <v>98</v>
      </c>
    </row>
    <row r="926" spans="1:2" x14ac:dyDescent="0.2">
      <c r="A926" s="36" t="s">
        <v>9493</v>
      </c>
      <c r="B926" t="s">
        <v>89</v>
      </c>
    </row>
    <row r="927" spans="1:2" x14ac:dyDescent="0.2">
      <c r="A927" s="36" t="s">
        <v>9491</v>
      </c>
      <c r="B927" t="s">
        <v>101</v>
      </c>
    </row>
    <row r="928" spans="1:2" x14ac:dyDescent="0.2">
      <c r="A928" s="36" t="s">
        <v>9492</v>
      </c>
      <c r="B928" t="s">
        <v>98</v>
      </c>
    </row>
    <row r="929" spans="1:2" x14ac:dyDescent="0.2">
      <c r="A929" s="36" t="s">
        <v>9488</v>
      </c>
      <c r="B929" t="s">
        <v>89</v>
      </c>
    </row>
    <row r="930" spans="1:2" x14ac:dyDescent="0.2">
      <c r="A930" s="36" t="s">
        <v>9497</v>
      </c>
      <c r="B930" t="s">
        <v>101</v>
      </c>
    </row>
    <row r="931" spans="1:2" x14ac:dyDescent="0.2">
      <c r="A931" s="36" t="s">
        <v>9489</v>
      </c>
      <c r="B931" t="s">
        <v>98</v>
      </c>
    </row>
    <row r="932" spans="1:2" x14ac:dyDescent="0.2">
      <c r="A932" s="36" t="s">
        <v>9499</v>
      </c>
      <c r="B932" t="s">
        <v>89</v>
      </c>
    </row>
    <row r="933" spans="1:2" x14ac:dyDescent="0.2">
      <c r="A933" s="36" t="s">
        <v>9498</v>
      </c>
      <c r="B933" t="s">
        <v>101</v>
      </c>
    </row>
    <row r="934" spans="1:2" x14ac:dyDescent="0.2">
      <c r="A934" s="36" t="s">
        <v>9490</v>
      </c>
      <c r="B934" t="s">
        <v>98</v>
      </c>
    </row>
    <row r="935" spans="1:2" x14ac:dyDescent="0.2">
      <c r="A935" s="36" t="s">
        <v>9495</v>
      </c>
      <c r="B935" t="s">
        <v>89</v>
      </c>
    </row>
    <row r="936" spans="1:2" x14ac:dyDescent="0.2">
      <c r="A936" s="36" t="s">
        <v>9804</v>
      </c>
      <c r="B936" t="s">
        <v>90</v>
      </c>
    </row>
    <row r="937" spans="1:2" x14ac:dyDescent="0.2">
      <c r="A937" s="36" t="s">
        <v>9802</v>
      </c>
      <c r="B937" t="s">
        <v>99</v>
      </c>
    </row>
    <row r="938" spans="1:2" x14ac:dyDescent="0.2">
      <c r="A938" s="36" t="s">
        <v>9501</v>
      </c>
      <c r="B938" t="s">
        <v>84</v>
      </c>
    </row>
    <row r="939" spans="1:2" x14ac:dyDescent="0.2">
      <c r="A939" s="36" t="s">
        <v>9996</v>
      </c>
      <c r="B939" t="s">
        <v>100</v>
      </c>
    </row>
    <row r="940" spans="1:2" x14ac:dyDescent="0.2">
      <c r="A940" s="36" t="s">
        <v>10057</v>
      </c>
      <c r="B940" t="s">
        <v>96</v>
      </c>
    </row>
    <row r="941" spans="1:2" x14ac:dyDescent="0.2">
      <c r="A941" s="36" t="s">
        <v>9426</v>
      </c>
      <c r="B941" t="s">
        <v>103</v>
      </c>
    </row>
    <row r="942" spans="1:2" x14ac:dyDescent="0.2">
      <c r="A942" s="36" t="s">
        <v>10158</v>
      </c>
      <c r="B942" t="s">
        <v>104</v>
      </c>
    </row>
    <row r="943" spans="1:2" x14ac:dyDescent="0.2">
      <c r="A943" s="36" t="s">
        <v>9851</v>
      </c>
      <c r="B943" t="s">
        <v>92</v>
      </c>
    </row>
    <row r="944" spans="1:2" x14ac:dyDescent="0.2">
      <c r="A944" s="36" t="s">
        <v>9852</v>
      </c>
      <c r="B944" t="s">
        <v>97</v>
      </c>
    </row>
    <row r="945" spans="1:2" x14ac:dyDescent="0.2">
      <c r="A945" s="36" t="s">
        <v>9855</v>
      </c>
      <c r="B945" t="s">
        <v>91</v>
      </c>
    </row>
    <row r="946" spans="1:2" x14ac:dyDescent="0.2">
      <c r="A946" s="36" t="s">
        <v>9853</v>
      </c>
      <c r="B946" t="s">
        <v>90</v>
      </c>
    </row>
    <row r="947" spans="1:2" x14ac:dyDescent="0.2">
      <c r="A947" s="36" t="s">
        <v>10185</v>
      </c>
      <c r="B947" t="s">
        <v>99</v>
      </c>
    </row>
    <row r="948" spans="1:2" x14ac:dyDescent="0.2">
      <c r="A948" s="36" t="s">
        <v>10219</v>
      </c>
      <c r="B948" t="s">
        <v>84</v>
      </c>
    </row>
    <row r="949" spans="1:2" x14ac:dyDescent="0.2">
      <c r="A949" s="36" t="s">
        <v>10234</v>
      </c>
      <c r="B949" t="s">
        <v>87</v>
      </c>
    </row>
    <row r="950" spans="1:2" x14ac:dyDescent="0.2">
      <c r="A950" s="36" t="s">
        <v>9805</v>
      </c>
      <c r="B950" t="s">
        <v>100</v>
      </c>
    </row>
    <row r="951" spans="1:2" x14ac:dyDescent="0.2">
      <c r="A951" s="36" t="s">
        <v>10024</v>
      </c>
      <c r="B951" t="s">
        <v>96</v>
      </c>
    </row>
    <row r="952" spans="1:2" x14ac:dyDescent="0.2">
      <c r="A952" s="36" t="s">
        <v>10022</v>
      </c>
      <c r="B952" t="s">
        <v>95</v>
      </c>
    </row>
    <row r="953" spans="1:2" x14ac:dyDescent="0.2">
      <c r="A953" s="36" t="s">
        <v>10027</v>
      </c>
      <c r="B953" t="s">
        <v>104</v>
      </c>
    </row>
    <row r="954" spans="1:2" x14ac:dyDescent="0.2">
      <c r="A954" s="36" t="s">
        <v>10032</v>
      </c>
      <c r="B954" t="s">
        <v>96</v>
      </c>
    </row>
    <row r="955" spans="1:2" x14ac:dyDescent="0.2">
      <c r="A955" s="36" t="s">
        <v>10033</v>
      </c>
      <c r="B955" t="s">
        <v>95</v>
      </c>
    </row>
    <row r="956" spans="1:2" x14ac:dyDescent="0.2">
      <c r="A956" s="36" t="s">
        <v>10031</v>
      </c>
      <c r="B956" t="s">
        <v>104</v>
      </c>
    </row>
    <row r="957" spans="1:2" x14ac:dyDescent="0.2">
      <c r="A957" s="36" t="s">
        <v>10035</v>
      </c>
      <c r="B957" t="s">
        <v>96</v>
      </c>
    </row>
    <row r="958" spans="1:2" x14ac:dyDescent="0.2">
      <c r="A958" s="36" t="s">
        <v>10023</v>
      </c>
      <c r="B958" t="s">
        <v>95</v>
      </c>
    </row>
    <row r="959" spans="1:2" x14ac:dyDescent="0.2">
      <c r="A959" s="36" t="s">
        <v>10037</v>
      </c>
      <c r="B959" t="s">
        <v>104</v>
      </c>
    </row>
    <row r="960" spans="1:2" x14ac:dyDescent="0.2">
      <c r="A960" s="36" t="s">
        <v>10030</v>
      </c>
      <c r="B960" t="s">
        <v>96</v>
      </c>
    </row>
    <row r="961" spans="1:2" x14ac:dyDescent="0.2">
      <c r="A961" s="36" t="s">
        <v>10034</v>
      </c>
      <c r="B961" t="s">
        <v>95</v>
      </c>
    </row>
    <row r="962" spans="1:2" x14ac:dyDescent="0.2">
      <c r="A962" s="36" t="s">
        <v>10039</v>
      </c>
      <c r="B962" t="s">
        <v>104</v>
      </c>
    </row>
    <row r="963" spans="1:2" x14ac:dyDescent="0.2">
      <c r="A963" s="36" t="s">
        <v>10028</v>
      </c>
      <c r="B963" t="s">
        <v>96</v>
      </c>
    </row>
    <row r="964" spans="1:2" x14ac:dyDescent="0.2">
      <c r="A964" s="36" t="s">
        <v>10025</v>
      </c>
      <c r="B964" t="s">
        <v>95</v>
      </c>
    </row>
    <row r="965" spans="1:2" x14ac:dyDescent="0.2">
      <c r="A965" s="36" t="s">
        <v>10026</v>
      </c>
      <c r="B965" t="s">
        <v>104</v>
      </c>
    </row>
    <row r="966" spans="1:2" x14ac:dyDescent="0.2">
      <c r="A966" s="36" t="s">
        <v>10036</v>
      </c>
      <c r="B966" t="s">
        <v>96</v>
      </c>
    </row>
    <row r="967" spans="1:2" x14ac:dyDescent="0.2">
      <c r="A967" s="36" t="s">
        <v>10038</v>
      </c>
      <c r="B967" t="s">
        <v>95</v>
      </c>
    </row>
    <row r="968" spans="1:2" x14ac:dyDescent="0.2">
      <c r="A968" s="36" t="s">
        <v>10029</v>
      </c>
      <c r="B968" t="s">
        <v>104</v>
      </c>
    </row>
    <row r="969" spans="1:2" x14ac:dyDescent="0.2">
      <c r="A969" s="36" t="s">
        <v>10182</v>
      </c>
      <c r="B969" t="s">
        <v>105</v>
      </c>
    </row>
    <row r="970" spans="1:2" x14ac:dyDescent="0.2">
      <c r="A970" s="36" t="s">
        <v>9766</v>
      </c>
      <c r="B970" t="s">
        <v>92</v>
      </c>
    </row>
    <row r="971" spans="1:2" x14ac:dyDescent="0.2">
      <c r="A971" s="36" t="s">
        <v>9767</v>
      </c>
      <c r="B971" t="s">
        <v>93</v>
      </c>
    </row>
    <row r="972" spans="1:2" x14ac:dyDescent="0.2">
      <c r="A972" s="36" t="s">
        <v>10159</v>
      </c>
      <c r="B972" t="s">
        <v>97</v>
      </c>
    </row>
    <row r="973" spans="1:2" x14ac:dyDescent="0.2">
      <c r="A973" s="36" t="s">
        <v>10316</v>
      </c>
      <c r="B973" t="s">
        <v>91</v>
      </c>
    </row>
    <row r="974" spans="1:2" x14ac:dyDescent="0.2">
      <c r="A974" s="36" t="s">
        <v>10318</v>
      </c>
      <c r="B974" t="s">
        <v>103</v>
      </c>
    </row>
    <row r="975" spans="1:2" x14ac:dyDescent="0.2">
      <c r="A975" s="36" t="s">
        <v>10317</v>
      </c>
      <c r="B975" t="s">
        <v>90</v>
      </c>
    </row>
    <row r="976" spans="1:2" x14ac:dyDescent="0.2">
      <c r="A976" s="36" t="s">
        <v>9843</v>
      </c>
      <c r="B976" t="s">
        <v>92</v>
      </c>
    </row>
    <row r="977" spans="1:2" x14ac:dyDescent="0.2">
      <c r="A977" s="36" t="s">
        <v>9835</v>
      </c>
      <c r="B977" t="s">
        <v>103</v>
      </c>
    </row>
    <row r="978" spans="1:2" x14ac:dyDescent="0.2">
      <c r="A978" s="36" t="s">
        <v>9080</v>
      </c>
      <c r="B978" t="s">
        <v>84</v>
      </c>
    </row>
    <row r="979" spans="1:2" x14ac:dyDescent="0.2">
      <c r="A979" s="36" t="s">
        <v>9174</v>
      </c>
      <c r="B979" t="s">
        <v>100</v>
      </c>
    </row>
    <row r="980" spans="1:2" x14ac:dyDescent="0.2">
      <c r="A980" s="36" t="s">
        <v>9326</v>
      </c>
      <c r="B980" t="s">
        <v>87</v>
      </c>
    </row>
    <row r="981" spans="1:2" x14ac:dyDescent="0.2">
      <c r="A981" s="36" t="s">
        <v>9487</v>
      </c>
      <c r="B981" t="s">
        <v>99</v>
      </c>
    </row>
    <row r="982" spans="1:2" x14ac:dyDescent="0.2">
      <c r="A982" s="36" t="s">
        <v>9551</v>
      </c>
      <c r="B982" t="s">
        <v>93</v>
      </c>
    </row>
    <row r="983" spans="1:2" x14ac:dyDescent="0.2">
      <c r="A983" s="36" t="s">
        <v>9552</v>
      </c>
      <c r="B983" t="s">
        <v>97</v>
      </c>
    </row>
    <row r="984" spans="1:2" x14ac:dyDescent="0.2">
      <c r="A984" s="36" t="s">
        <v>9993</v>
      </c>
      <c r="B984" t="s">
        <v>91</v>
      </c>
    </row>
    <row r="985" spans="1:2" x14ac:dyDescent="0.2">
      <c r="A985" s="36" t="s">
        <v>9861</v>
      </c>
      <c r="B985" t="s">
        <v>105</v>
      </c>
    </row>
    <row r="986" spans="1:2" x14ac:dyDescent="0.2">
      <c r="A986" s="36" t="s">
        <v>10188</v>
      </c>
      <c r="B986" t="s">
        <v>100</v>
      </c>
    </row>
    <row r="987" spans="1:2" x14ac:dyDescent="0.2">
      <c r="A987" s="36" t="s">
        <v>10190</v>
      </c>
      <c r="B987" t="s">
        <v>87</v>
      </c>
    </row>
    <row r="988" spans="1:2" x14ac:dyDescent="0.2">
      <c r="A988" s="36" t="s">
        <v>10194</v>
      </c>
      <c r="B988" t="s">
        <v>99</v>
      </c>
    </row>
    <row r="989" spans="1:2" x14ac:dyDescent="0.2">
      <c r="A989" s="36" t="s">
        <v>10195</v>
      </c>
      <c r="B989" t="s">
        <v>90</v>
      </c>
    </row>
    <row r="990" spans="1:2" x14ac:dyDescent="0.2">
      <c r="A990" s="36" t="s">
        <v>9485</v>
      </c>
      <c r="B990" t="s">
        <v>93</v>
      </c>
    </row>
    <row r="991" spans="1:2" x14ac:dyDescent="0.2">
      <c r="A991" s="36" t="s">
        <v>10102</v>
      </c>
      <c r="B991" t="s">
        <v>90</v>
      </c>
    </row>
    <row r="992" spans="1:2" x14ac:dyDescent="0.2">
      <c r="A992" s="36" t="s">
        <v>10098</v>
      </c>
      <c r="B992" t="s">
        <v>90</v>
      </c>
    </row>
    <row r="993" spans="1:2" x14ac:dyDescent="0.2">
      <c r="A993" s="36" t="s">
        <v>10106</v>
      </c>
      <c r="B993" t="s">
        <v>100</v>
      </c>
    </row>
    <row r="994" spans="1:2" x14ac:dyDescent="0.2">
      <c r="A994" s="36" t="s">
        <v>10117</v>
      </c>
      <c r="B994" t="s">
        <v>87</v>
      </c>
    </row>
    <row r="995" spans="1:2" x14ac:dyDescent="0.2">
      <c r="A995" s="36" t="s">
        <v>9502</v>
      </c>
      <c r="B995" t="s">
        <v>84</v>
      </c>
    </row>
    <row r="996" spans="1:2" x14ac:dyDescent="0.2">
      <c r="A996" s="36" t="s">
        <v>9503</v>
      </c>
      <c r="B996" t="s">
        <v>97</v>
      </c>
    </row>
    <row r="997" spans="1:2" x14ac:dyDescent="0.2">
      <c r="A997" s="36" t="s">
        <v>9859</v>
      </c>
      <c r="B997" t="s">
        <v>91</v>
      </c>
    </row>
    <row r="998" spans="1:2" x14ac:dyDescent="0.2">
      <c r="A998" s="36" t="s">
        <v>9095</v>
      </c>
      <c r="B998" t="s">
        <v>105</v>
      </c>
    </row>
    <row r="999" spans="1:2" x14ac:dyDescent="0.2">
      <c r="A999" s="36" t="s">
        <v>9133</v>
      </c>
      <c r="B999" t="s">
        <v>92</v>
      </c>
    </row>
    <row r="1000" spans="1:2" x14ac:dyDescent="0.2">
      <c r="A1000" s="36" t="s">
        <v>9484</v>
      </c>
      <c r="B1000" t="s">
        <v>84</v>
      </c>
    </row>
    <row r="1001" spans="1:2" x14ac:dyDescent="0.2">
      <c r="A1001" s="36" t="s">
        <v>9483</v>
      </c>
      <c r="B1001" t="s">
        <v>93</v>
      </c>
    </row>
    <row r="1002" spans="1:2" x14ac:dyDescent="0.2">
      <c r="A1002" s="36" t="s">
        <v>9650</v>
      </c>
      <c r="B1002" t="s">
        <v>99</v>
      </c>
    </row>
    <row r="1003" spans="1:2" x14ac:dyDescent="0.2">
      <c r="A1003" s="36" t="s">
        <v>9649</v>
      </c>
      <c r="B1003" t="s">
        <v>97</v>
      </c>
    </row>
    <row r="1004" spans="1:2" x14ac:dyDescent="0.2">
      <c r="A1004" s="36" t="s">
        <v>9646</v>
      </c>
      <c r="B1004" t="s">
        <v>91</v>
      </c>
    </row>
    <row r="1005" spans="1:2" x14ac:dyDescent="0.2">
      <c r="A1005" s="36" t="s">
        <v>9640</v>
      </c>
      <c r="B1005" t="s">
        <v>99</v>
      </c>
    </row>
    <row r="1006" spans="1:2" x14ac:dyDescent="0.2">
      <c r="A1006" s="36" t="s">
        <v>9651</v>
      </c>
      <c r="B1006" t="s">
        <v>97</v>
      </c>
    </row>
    <row r="1007" spans="1:2" x14ac:dyDescent="0.2">
      <c r="A1007" s="36" t="s">
        <v>9644</v>
      </c>
      <c r="B1007" t="s">
        <v>91</v>
      </c>
    </row>
    <row r="1008" spans="1:2" x14ac:dyDescent="0.2">
      <c r="A1008" s="36" t="s">
        <v>9643</v>
      </c>
      <c r="B1008" t="s">
        <v>99</v>
      </c>
    </row>
    <row r="1009" spans="1:2" x14ac:dyDescent="0.2">
      <c r="A1009" s="36" t="s">
        <v>9647</v>
      </c>
      <c r="B1009" t="s">
        <v>97</v>
      </c>
    </row>
    <row r="1010" spans="1:2" x14ac:dyDescent="0.2">
      <c r="A1010" s="36" t="s">
        <v>9648</v>
      </c>
      <c r="B1010" t="s">
        <v>91</v>
      </c>
    </row>
    <row r="1011" spans="1:2" x14ac:dyDescent="0.2">
      <c r="A1011" s="36" t="s">
        <v>9645</v>
      </c>
      <c r="B1011" t="s">
        <v>99</v>
      </c>
    </row>
    <row r="1012" spans="1:2" x14ac:dyDescent="0.2">
      <c r="A1012" s="36" t="s">
        <v>9641</v>
      </c>
      <c r="B1012" t="s">
        <v>97</v>
      </c>
    </row>
    <row r="1013" spans="1:2" x14ac:dyDescent="0.2">
      <c r="A1013" s="36" t="s">
        <v>9657</v>
      </c>
      <c r="B1013" t="s">
        <v>92</v>
      </c>
    </row>
    <row r="1014" spans="1:2" x14ac:dyDescent="0.2">
      <c r="A1014" s="36" t="s">
        <v>9689</v>
      </c>
      <c r="B1014" t="s">
        <v>103</v>
      </c>
    </row>
    <row r="1015" spans="1:2" x14ac:dyDescent="0.2">
      <c r="A1015" s="36" t="s">
        <v>9692</v>
      </c>
      <c r="B1015" t="s">
        <v>101</v>
      </c>
    </row>
    <row r="1016" spans="1:2" x14ac:dyDescent="0.2">
      <c r="A1016" s="36" t="s">
        <v>9690</v>
      </c>
      <c r="B1016" t="s">
        <v>105</v>
      </c>
    </row>
    <row r="1017" spans="1:2" x14ac:dyDescent="0.2">
      <c r="A1017" s="36" t="s">
        <v>9670</v>
      </c>
      <c r="B1017" t="s">
        <v>92</v>
      </c>
    </row>
    <row r="1018" spans="1:2" x14ac:dyDescent="0.2">
      <c r="A1018" s="36" t="s">
        <v>9656</v>
      </c>
      <c r="B1018" t="s">
        <v>103</v>
      </c>
    </row>
    <row r="1019" spans="1:2" x14ac:dyDescent="0.2">
      <c r="A1019" s="36" t="s">
        <v>9679</v>
      </c>
      <c r="B1019" t="s">
        <v>101</v>
      </c>
    </row>
    <row r="1020" spans="1:2" x14ac:dyDescent="0.2">
      <c r="A1020" s="36" t="s">
        <v>9652</v>
      </c>
      <c r="B1020" t="s">
        <v>105</v>
      </c>
    </row>
    <row r="1021" spans="1:2" x14ac:dyDescent="0.2">
      <c r="A1021" s="36" t="s">
        <v>9655</v>
      </c>
      <c r="B1021" t="s">
        <v>92</v>
      </c>
    </row>
    <row r="1022" spans="1:2" x14ac:dyDescent="0.2">
      <c r="A1022" s="36" t="s">
        <v>9685</v>
      </c>
      <c r="B1022" t="s">
        <v>103</v>
      </c>
    </row>
    <row r="1023" spans="1:2" x14ac:dyDescent="0.2">
      <c r="A1023" s="36" t="s">
        <v>9667</v>
      </c>
      <c r="B1023" t="s">
        <v>101</v>
      </c>
    </row>
    <row r="1024" spans="1:2" x14ac:dyDescent="0.2">
      <c r="A1024" s="36" t="s">
        <v>9680</v>
      </c>
      <c r="B1024" t="s">
        <v>105</v>
      </c>
    </row>
    <row r="1025" spans="1:2" x14ac:dyDescent="0.2">
      <c r="A1025" s="36" t="s">
        <v>9693</v>
      </c>
      <c r="B1025" t="s">
        <v>92</v>
      </c>
    </row>
    <row r="1026" spans="1:2" x14ac:dyDescent="0.2">
      <c r="A1026" s="36" t="s">
        <v>9691</v>
      </c>
      <c r="B1026" t="s">
        <v>103</v>
      </c>
    </row>
    <row r="1027" spans="1:2" x14ac:dyDescent="0.2">
      <c r="A1027" s="36" t="s">
        <v>9700</v>
      </c>
      <c r="B1027" t="s">
        <v>101</v>
      </c>
    </row>
    <row r="1028" spans="1:2" x14ac:dyDescent="0.2">
      <c r="A1028" s="36" t="s">
        <v>9653</v>
      </c>
      <c r="B1028" t="s">
        <v>105</v>
      </c>
    </row>
    <row r="1029" spans="1:2" x14ac:dyDescent="0.2">
      <c r="A1029" s="36" t="s">
        <v>9654</v>
      </c>
      <c r="B1029" t="s">
        <v>92</v>
      </c>
    </row>
    <row r="1030" spans="1:2" x14ac:dyDescent="0.2">
      <c r="A1030" s="36" t="s">
        <v>9675</v>
      </c>
      <c r="B1030" t="s">
        <v>103</v>
      </c>
    </row>
    <row r="1031" spans="1:2" x14ac:dyDescent="0.2">
      <c r="A1031" s="36" t="s">
        <v>9677</v>
      </c>
      <c r="B1031" t="s">
        <v>101</v>
      </c>
    </row>
    <row r="1032" spans="1:2" x14ac:dyDescent="0.2">
      <c r="A1032" s="36" t="s">
        <v>9696</v>
      </c>
      <c r="B1032" t="s">
        <v>105</v>
      </c>
    </row>
    <row r="1033" spans="1:2" x14ac:dyDescent="0.2">
      <c r="A1033" s="36" t="s">
        <v>9658</v>
      </c>
      <c r="B1033" t="s">
        <v>92</v>
      </c>
    </row>
    <row r="1034" spans="1:2" x14ac:dyDescent="0.2">
      <c r="A1034" s="36" t="s">
        <v>9662</v>
      </c>
      <c r="B1034" t="s">
        <v>103</v>
      </c>
    </row>
    <row r="1035" spans="1:2" x14ac:dyDescent="0.2">
      <c r="A1035" s="36" t="s">
        <v>9694</v>
      </c>
      <c r="B1035" t="s">
        <v>101</v>
      </c>
    </row>
    <row r="1036" spans="1:2" x14ac:dyDescent="0.2">
      <c r="A1036" s="36" t="s">
        <v>9687</v>
      </c>
      <c r="B1036" t="s">
        <v>105</v>
      </c>
    </row>
    <row r="1037" spans="1:2" x14ac:dyDescent="0.2">
      <c r="A1037" s="36" t="s">
        <v>9684</v>
      </c>
      <c r="B1037" t="s">
        <v>92</v>
      </c>
    </row>
    <row r="1038" spans="1:2" x14ac:dyDescent="0.2">
      <c r="A1038" s="36" t="s">
        <v>9699</v>
      </c>
      <c r="B1038" t="s">
        <v>103</v>
      </c>
    </row>
    <row r="1039" spans="1:2" x14ac:dyDescent="0.2">
      <c r="A1039" s="36" t="s">
        <v>9661</v>
      </c>
      <c r="B1039" t="s">
        <v>101</v>
      </c>
    </row>
    <row r="1040" spans="1:2" x14ac:dyDescent="0.2">
      <c r="A1040" s="36" t="s">
        <v>9660</v>
      </c>
      <c r="B1040" t="s">
        <v>105</v>
      </c>
    </row>
    <row r="1041" spans="1:2" x14ac:dyDescent="0.2">
      <c r="A1041" s="36" t="s">
        <v>9688</v>
      </c>
      <c r="B1041" t="s">
        <v>92</v>
      </c>
    </row>
    <row r="1042" spans="1:2" x14ac:dyDescent="0.2">
      <c r="A1042" s="36" t="s">
        <v>9673</v>
      </c>
      <c r="B1042" t="s">
        <v>103</v>
      </c>
    </row>
    <row r="1043" spans="1:2" x14ac:dyDescent="0.2">
      <c r="A1043" s="36" t="s">
        <v>9698</v>
      </c>
      <c r="B1043" t="s">
        <v>101</v>
      </c>
    </row>
    <row r="1044" spans="1:2" x14ac:dyDescent="0.2">
      <c r="A1044" s="36" t="s">
        <v>9669</v>
      </c>
      <c r="B1044" t="s">
        <v>105</v>
      </c>
    </row>
    <row r="1045" spans="1:2" x14ac:dyDescent="0.2">
      <c r="A1045" s="36" t="s">
        <v>9676</v>
      </c>
      <c r="B1045" t="s">
        <v>92</v>
      </c>
    </row>
    <row r="1046" spans="1:2" x14ac:dyDescent="0.2">
      <c r="A1046" s="36" t="s">
        <v>9674</v>
      </c>
      <c r="B1046" t="s">
        <v>103</v>
      </c>
    </row>
    <row r="1047" spans="1:2" x14ac:dyDescent="0.2">
      <c r="A1047" s="36" t="s">
        <v>9678</v>
      </c>
      <c r="B1047" t="s">
        <v>101</v>
      </c>
    </row>
    <row r="1048" spans="1:2" x14ac:dyDescent="0.2">
      <c r="A1048" s="36" t="s">
        <v>9686</v>
      </c>
      <c r="B1048" t="s">
        <v>105</v>
      </c>
    </row>
    <row r="1049" spans="1:2" x14ac:dyDescent="0.2">
      <c r="A1049" s="36" t="s">
        <v>9683</v>
      </c>
      <c r="B1049" t="s">
        <v>92</v>
      </c>
    </row>
    <row r="1050" spans="1:2" x14ac:dyDescent="0.2">
      <c r="A1050" s="36" t="s">
        <v>9681</v>
      </c>
      <c r="B1050" t="s">
        <v>103</v>
      </c>
    </row>
    <row r="1051" spans="1:2" x14ac:dyDescent="0.2">
      <c r="A1051" s="36" t="s">
        <v>9682</v>
      </c>
      <c r="B1051" t="s">
        <v>101</v>
      </c>
    </row>
    <row r="1052" spans="1:2" x14ac:dyDescent="0.2">
      <c r="A1052" s="36" t="s">
        <v>9663</v>
      </c>
      <c r="B1052" t="s">
        <v>105</v>
      </c>
    </row>
    <row r="1053" spans="1:2" x14ac:dyDescent="0.2">
      <c r="A1053" s="36" t="s">
        <v>9666</v>
      </c>
      <c r="B1053" t="s">
        <v>92</v>
      </c>
    </row>
    <row r="1054" spans="1:2" x14ac:dyDescent="0.2">
      <c r="A1054" s="36" t="s">
        <v>9695</v>
      </c>
      <c r="B1054" t="s">
        <v>103</v>
      </c>
    </row>
    <row r="1055" spans="1:2" x14ac:dyDescent="0.2">
      <c r="A1055" s="36" t="s">
        <v>9664</v>
      </c>
      <c r="B1055" t="s">
        <v>101</v>
      </c>
    </row>
    <row r="1056" spans="1:2" x14ac:dyDescent="0.2">
      <c r="A1056" s="36" t="s">
        <v>9701</v>
      </c>
      <c r="B1056" t="s">
        <v>105</v>
      </c>
    </row>
    <row r="1057" spans="1:2" x14ac:dyDescent="0.2">
      <c r="A1057" s="36" t="s">
        <v>9672</v>
      </c>
      <c r="B1057" t="s">
        <v>92</v>
      </c>
    </row>
    <row r="1058" spans="1:2" x14ac:dyDescent="0.2">
      <c r="A1058" s="36" t="s">
        <v>9659</v>
      </c>
      <c r="B1058" t="s">
        <v>103</v>
      </c>
    </row>
    <row r="1059" spans="1:2" x14ac:dyDescent="0.2">
      <c r="A1059" s="36" t="s">
        <v>9671</v>
      </c>
      <c r="B1059" t="s">
        <v>101</v>
      </c>
    </row>
    <row r="1060" spans="1:2" x14ac:dyDescent="0.2">
      <c r="A1060" s="36" t="s">
        <v>9668</v>
      </c>
      <c r="B1060" t="s">
        <v>105</v>
      </c>
    </row>
    <row r="1061" spans="1:2" x14ac:dyDescent="0.2">
      <c r="A1061" s="36" t="s">
        <v>9665</v>
      </c>
      <c r="B1061" t="s">
        <v>92</v>
      </c>
    </row>
    <row r="1062" spans="1:2" x14ac:dyDescent="0.2">
      <c r="A1062" s="36" t="s">
        <v>9697</v>
      </c>
      <c r="B1062" t="s">
        <v>103</v>
      </c>
    </row>
    <row r="1063" spans="1:2" x14ac:dyDescent="0.2">
      <c r="A1063" s="36" t="s">
        <v>9710</v>
      </c>
      <c r="B1063" t="s">
        <v>98</v>
      </c>
    </row>
    <row r="1064" spans="1:2" x14ac:dyDescent="0.2">
      <c r="A1064" s="36" t="s">
        <v>9704</v>
      </c>
      <c r="B1064" t="s">
        <v>84</v>
      </c>
    </row>
    <row r="1065" spans="1:2" x14ac:dyDescent="0.2">
      <c r="A1065" s="36" t="s">
        <v>9727</v>
      </c>
      <c r="B1065" t="s">
        <v>93</v>
      </c>
    </row>
    <row r="1066" spans="1:2" x14ac:dyDescent="0.2">
      <c r="A1066" s="36" t="s">
        <v>9729</v>
      </c>
      <c r="B1066" t="s">
        <v>100</v>
      </c>
    </row>
    <row r="1067" spans="1:2" x14ac:dyDescent="0.2">
      <c r="A1067" s="36" t="s">
        <v>9715</v>
      </c>
      <c r="B1067" t="s">
        <v>87</v>
      </c>
    </row>
    <row r="1068" spans="1:2" x14ac:dyDescent="0.2">
      <c r="A1068" s="36" t="s">
        <v>9744</v>
      </c>
      <c r="B1068" t="s">
        <v>89</v>
      </c>
    </row>
    <row r="1069" spans="1:2" x14ac:dyDescent="0.2">
      <c r="A1069" s="36" t="s">
        <v>9750</v>
      </c>
      <c r="B1069" t="s">
        <v>98</v>
      </c>
    </row>
    <row r="1070" spans="1:2" x14ac:dyDescent="0.2">
      <c r="A1070" s="36" t="s">
        <v>9719</v>
      </c>
      <c r="B1070" t="s">
        <v>84</v>
      </c>
    </row>
    <row r="1071" spans="1:2" x14ac:dyDescent="0.2">
      <c r="A1071" s="36" t="s">
        <v>9716</v>
      </c>
      <c r="B1071" t="s">
        <v>93</v>
      </c>
    </row>
    <row r="1072" spans="1:2" x14ac:dyDescent="0.2">
      <c r="A1072" s="36" t="s">
        <v>9708</v>
      </c>
      <c r="B1072" t="s">
        <v>100</v>
      </c>
    </row>
    <row r="1073" spans="1:2" x14ac:dyDescent="0.2">
      <c r="A1073" s="36" t="s">
        <v>9748</v>
      </c>
      <c r="B1073" t="s">
        <v>87</v>
      </c>
    </row>
    <row r="1074" spans="1:2" x14ac:dyDescent="0.2">
      <c r="A1074" s="36" t="s">
        <v>9731</v>
      </c>
      <c r="B1074" t="s">
        <v>89</v>
      </c>
    </row>
    <row r="1075" spans="1:2" x14ac:dyDescent="0.2">
      <c r="A1075" s="36" t="s">
        <v>9745</v>
      </c>
      <c r="B1075" t="s">
        <v>98</v>
      </c>
    </row>
    <row r="1076" spans="1:2" x14ac:dyDescent="0.2">
      <c r="A1076" s="36" t="s">
        <v>9746</v>
      </c>
      <c r="B1076" t="s">
        <v>84</v>
      </c>
    </row>
    <row r="1077" spans="1:2" x14ac:dyDescent="0.2">
      <c r="A1077" s="36" t="s">
        <v>9736</v>
      </c>
      <c r="B1077" t="s">
        <v>93</v>
      </c>
    </row>
    <row r="1078" spans="1:2" x14ac:dyDescent="0.2">
      <c r="A1078" s="36" t="s">
        <v>9738</v>
      </c>
      <c r="B1078" t="s">
        <v>100</v>
      </c>
    </row>
    <row r="1079" spans="1:2" x14ac:dyDescent="0.2">
      <c r="A1079" s="36" t="s">
        <v>9747</v>
      </c>
      <c r="B1079" t="s">
        <v>87</v>
      </c>
    </row>
    <row r="1080" spans="1:2" x14ac:dyDescent="0.2">
      <c r="A1080" s="36" t="s">
        <v>9741</v>
      </c>
      <c r="B1080" t="s">
        <v>89</v>
      </c>
    </row>
    <row r="1081" spans="1:2" x14ac:dyDescent="0.2">
      <c r="A1081" s="36" t="s">
        <v>9720</v>
      </c>
      <c r="B1081" t="s">
        <v>98</v>
      </c>
    </row>
    <row r="1082" spans="1:2" x14ac:dyDescent="0.2">
      <c r="A1082" s="36" t="s">
        <v>9714</v>
      </c>
      <c r="B1082" t="s">
        <v>84</v>
      </c>
    </row>
    <row r="1083" spans="1:2" x14ac:dyDescent="0.2">
      <c r="A1083" s="36" t="s">
        <v>9721</v>
      </c>
      <c r="B1083" t="s">
        <v>93</v>
      </c>
    </row>
    <row r="1084" spans="1:2" x14ac:dyDescent="0.2">
      <c r="A1084" s="36" t="s">
        <v>9730</v>
      </c>
      <c r="B1084" t="s">
        <v>100</v>
      </c>
    </row>
    <row r="1085" spans="1:2" x14ac:dyDescent="0.2">
      <c r="A1085" s="36" t="s">
        <v>9718</v>
      </c>
      <c r="B1085" t="s">
        <v>87</v>
      </c>
    </row>
    <row r="1086" spans="1:2" x14ac:dyDescent="0.2">
      <c r="A1086" s="36" t="s">
        <v>9717</v>
      </c>
      <c r="B1086" t="s">
        <v>89</v>
      </c>
    </row>
    <row r="1087" spans="1:2" x14ac:dyDescent="0.2">
      <c r="A1087" s="36" t="s">
        <v>9724</v>
      </c>
      <c r="B1087" t="s">
        <v>98</v>
      </c>
    </row>
    <row r="1088" spans="1:2" x14ac:dyDescent="0.2">
      <c r="A1088" s="36" t="s">
        <v>9712</v>
      </c>
      <c r="B1088" t="s">
        <v>84</v>
      </c>
    </row>
    <row r="1089" spans="1:2" x14ac:dyDescent="0.2">
      <c r="A1089" s="36" t="s">
        <v>9723</v>
      </c>
      <c r="B1089" t="s">
        <v>93</v>
      </c>
    </row>
    <row r="1090" spans="1:2" x14ac:dyDescent="0.2">
      <c r="A1090" s="36" t="s">
        <v>9703</v>
      </c>
      <c r="B1090" t="s">
        <v>100</v>
      </c>
    </row>
    <row r="1091" spans="1:2" x14ac:dyDescent="0.2">
      <c r="A1091" s="36" t="s">
        <v>9749</v>
      </c>
      <c r="B1091" t="s">
        <v>87</v>
      </c>
    </row>
    <row r="1092" spans="1:2" x14ac:dyDescent="0.2">
      <c r="A1092" s="36" t="s">
        <v>9728</v>
      </c>
      <c r="B1092" t="s">
        <v>89</v>
      </c>
    </row>
    <row r="1093" spans="1:2" x14ac:dyDescent="0.2">
      <c r="A1093" s="36" t="s">
        <v>9709</v>
      </c>
      <c r="B1093" t="s">
        <v>98</v>
      </c>
    </row>
    <row r="1094" spans="1:2" x14ac:dyDescent="0.2">
      <c r="A1094" s="36" t="s">
        <v>9740</v>
      </c>
      <c r="B1094" t="s">
        <v>84</v>
      </c>
    </row>
    <row r="1095" spans="1:2" x14ac:dyDescent="0.2">
      <c r="A1095" s="36" t="s">
        <v>9739</v>
      </c>
      <c r="B1095" t="s">
        <v>93</v>
      </c>
    </row>
    <row r="1096" spans="1:2" x14ac:dyDescent="0.2">
      <c r="A1096" s="36" t="s">
        <v>9705</v>
      </c>
      <c r="B1096" t="s">
        <v>100</v>
      </c>
    </row>
    <row r="1097" spans="1:2" x14ac:dyDescent="0.2">
      <c r="A1097" s="36" t="s">
        <v>9725</v>
      </c>
      <c r="B1097" t="s">
        <v>87</v>
      </c>
    </row>
    <row r="1098" spans="1:2" x14ac:dyDescent="0.2">
      <c r="A1098" s="36" t="s">
        <v>9743</v>
      </c>
      <c r="B1098" t="s">
        <v>89</v>
      </c>
    </row>
    <row r="1099" spans="1:2" x14ac:dyDescent="0.2">
      <c r="A1099" s="36" t="s">
        <v>9722</v>
      </c>
      <c r="B1099" t="s">
        <v>98</v>
      </c>
    </row>
    <row r="1100" spans="1:2" x14ac:dyDescent="0.2">
      <c r="A1100" s="36" t="s">
        <v>9702</v>
      </c>
      <c r="B1100" t="s">
        <v>84</v>
      </c>
    </row>
    <row r="1101" spans="1:2" x14ac:dyDescent="0.2">
      <c r="A1101" s="36" t="s">
        <v>9733</v>
      </c>
      <c r="B1101" t="s">
        <v>93</v>
      </c>
    </row>
    <row r="1102" spans="1:2" x14ac:dyDescent="0.2">
      <c r="A1102" s="36" t="s">
        <v>9732</v>
      </c>
      <c r="B1102" t="s">
        <v>100</v>
      </c>
    </row>
    <row r="1103" spans="1:2" x14ac:dyDescent="0.2">
      <c r="A1103" s="36" t="s">
        <v>9742</v>
      </c>
      <c r="B1103" t="s">
        <v>87</v>
      </c>
    </row>
    <row r="1104" spans="1:2" x14ac:dyDescent="0.2">
      <c r="A1104" s="36" t="s">
        <v>9711</v>
      </c>
      <c r="B1104" t="s">
        <v>89</v>
      </c>
    </row>
    <row r="1105" spans="1:2" x14ac:dyDescent="0.2">
      <c r="A1105" s="36" t="s">
        <v>9713</v>
      </c>
      <c r="B1105" t="s">
        <v>98</v>
      </c>
    </row>
    <row r="1106" spans="1:2" x14ac:dyDescent="0.2">
      <c r="A1106" s="36" t="s">
        <v>9707</v>
      </c>
      <c r="B1106" t="s">
        <v>84</v>
      </c>
    </row>
    <row r="1107" spans="1:2" x14ac:dyDescent="0.2">
      <c r="A1107" s="36" t="s">
        <v>9751</v>
      </c>
      <c r="B1107" t="s">
        <v>93</v>
      </c>
    </row>
    <row r="1108" spans="1:2" x14ac:dyDescent="0.2">
      <c r="A1108" s="36" t="s">
        <v>9735</v>
      </c>
      <c r="B1108" t="s">
        <v>100</v>
      </c>
    </row>
    <row r="1109" spans="1:2" x14ac:dyDescent="0.2">
      <c r="A1109" s="36" t="s">
        <v>9737</v>
      </c>
      <c r="B1109" t="s">
        <v>87</v>
      </c>
    </row>
    <row r="1110" spans="1:2" x14ac:dyDescent="0.2">
      <c r="A1110" s="36" t="s">
        <v>9734</v>
      </c>
      <c r="B1110" t="s">
        <v>89</v>
      </c>
    </row>
    <row r="1111" spans="1:2" x14ac:dyDescent="0.2">
      <c r="A1111" s="36" t="s">
        <v>9706</v>
      </c>
      <c r="B1111" t="s">
        <v>98</v>
      </c>
    </row>
    <row r="1112" spans="1:2" x14ac:dyDescent="0.2">
      <c r="A1112" s="36" t="s">
        <v>9726</v>
      </c>
      <c r="B1112" t="s">
        <v>84</v>
      </c>
    </row>
    <row r="1113" spans="1:2" x14ac:dyDescent="0.2">
      <c r="A1113" s="36" t="s">
        <v>10373</v>
      </c>
      <c r="B1113" t="s">
        <v>98</v>
      </c>
    </row>
    <row r="1114" spans="1:2" x14ac:dyDescent="0.2">
      <c r="A1114" s="36" t="s">
        <v>9854</v>
      </c>
      <c r="B1114" t="s">
        <v>90</v>
      </c>
    </row>
    <row r="1115" spans="1:2" x14ac:dyDescent="0.2">
      <c r="A1115" s="36" t="s">
        <v>9888</v>
      </c>
      <c r="B1115" t="s">
        <v>90</v>
      </c>
    </row>
    <row r="1116" spans="1:2" x14ac:dyDescent="0.2">
      <c r="A1116" s="36" t="s">
        <v>10165</v>
      </c>
      <c r="B1116" t="s">
        <v>91</v>
      </c>
    </row>
    <row r="1117" spans="1:2" x14ac:dyDescent="0.2">
      <c r="A1117" s="36" t="s">
        <v>10177</v>
      </c>
      <c r="B1117" t="s">
        <v>95</v>
      </c>
    </row>
    <row r="1118" spans="1:2" x14ac:dyDescent="0.2">
      <c r="A1118" s="36" t="s">
        <v>9570</v>
      </c>
      <c r="B1118" t="s">
        <v>90</v>
      </c>
    </row>
    <row r="1119" spans="1:2" x14ac:dyDescent="0.2">
      <c r="A1119" s="36" t="s">
        <v>10249</v>
      </c>
      <c r="B1119" t="s">
        <v>99</v>
      </c>
    </row>
    <row r="1120" spans="1:2" x14ac:dyDescent="0.2">
      <c r="A1120" s="36" t="s">
        <v>10248</v>
      </c>
      <c r="B1120" t="s">
        <v>91</v>
      </c>
    </row>
    <row r="1121" spans="1:2" x14ac:dyDescent="0.2">
      <c r="A1121" s="36" t="s">
        <v>10252</v>
      </c>
      <c r="B1121" t="s">
        <v>97</v>
      </c>
    </row>
    <row r="1122" spans="1:2" x14ac:dyDescent="0.2">
      <c r="A1122" s="36" t="s">
        <v>10250</v>
      </c>
      <c r="B1122" t="s">
        <v>96</v>
      </c>
    </row>
    <row r="1123" spans="1:2" x14ac:dyDescent="0.2">
      <c r="A1123" s="36" t="s">
        <v>9632</v>
      </c>
      <c r="B1123" t="s">
        <v>104</v>
      </c>
    </row>
    <row r="1124" spans="1:2" x14ac:dyDescent="0.2">
      <c r="A1124" s="36" t="s">
        <v>9635</v>
      </c>
      <c r="B1124" t="s">
        <v>90</v>
      </c>
    </row>
    <row r="1125" spans="1:2" x14ac:dyDescent="0.2">
      <c r="A1125" s="36" t="s">
        <v>9636</v>
      </c>
      <c r="B1125" t="s">
        <v>99</v>
      </c>
    </row>
    <row r="1126" spans="1:2" x14ac:dyDescent="0.2">
      <c r="A1126" s="36" t="s">
        <v>9638</v>
      </c>
      <c r="B1126" t="s">
        <v>91</v>
      </c>
    </row>
    <row r="1127" spans="1:2" x14ac:dyDescent="0.2">
      <c r="A1127" s="36" t="s">
        <v>9768</v>
      </c>
      <c r="B1127" t="s">
        <v>93</v>
      </c>
    </row>
    <row r="1128" spans="1:2" x14ac:dyDescent="0.2">
      <c r="A1128" s="36" t="s">
        <v>9791</v>
      </c>
      <c r="B1128" t="s">
        <v>84</v>
      </c>
    </row>
    <row r="1129" spans="1:2" x14ac:dyDescent="0.2">
      <c r="A1129" s="36" t="s">
        <v>9790</v>
      </c>
      <c r="B1129" t="s">
        <v>84</v>
      </c>
    </row>
    <row r="1130" spans="1:2" x14ac:dyDescent="0.2">
      <c r="A1130" s="36" t="s">
        <v>9787</v>
      </c>
      <c r="B1130" t="s">
        <v>98</v>
      </c>
    </row>
    <row r="1131" spans="1:2" x14ac:dyDescent="0.2">
      <c r="A1131" s="36" t="s">
        <v>9792</v>
      </c>
      <c r="B1131" t="s">
        <v>91</v>
      </c>
    </row>
    <row r="1132" spans="1:2" x14ac:dyDescent="0.2">
      <c r="A1132" s="36" t="s">
        <v>9795</v>
      </c>
      <c r="B1132" t="s">
        <v>91</v>
      </c>
    </row>
    <row r="1133" spans="1:2" x14ac:dyDescent="0.2">
      <c r="A1133" s="36" t="s">
        <v>9796</v>
      </c>
      <c r="B1133" t="s">
        <v>91</v>
      </c>
    </row>
    <row r="1134" spans="1:2" x14ac:dyDescent="0.2">
      <c r="A1134" s="36" t="s">
        <v>10137</v>
      </c>
      <c r="B1134" t="s">
        <v>97</v>
      </c>
    </row>
    <row r="1135" spans="1:2" x14ac:dyDescent="0.2">
      <c r="A1135" s="36" t="s">
        <v>10134</v>
      </c>
      <c r="B1135" t="s">
        <v>96</v>
      </c>
    </row>
    <row r="1136" spans="1:2" x14ac:dyDescent="0.2">
      <c r="A1136" s="36" t="s">
        <v>10135</v>
      </c>
      <c r="B1136" t="s">
        <v>104</v>
      </c>
    </row>
    <row r="1137" spans="1:2" x14ac:dyDescent="0.2">
      <c r="A1137" s="36" t="s">
        <v>10138</v>
      </c>
      <c r="B1137" t="s">
        <v>95</v>
      </c>
    </row>
    <row r="1138" spans="1:2" x14ac:dyDescent="0.2">
      <c r="A1138" s="36" t="s">
        <v>10141</v>
      </c>
      <c r="B1138" t="s">
        <v>90</v>
      </c>
    </row>
    <row r="1139" spans="1:2" x14ac:dyDescent="0.2">
      <c r="A1139" s="36" t="s">
        <v>10140</v>
      </c>
      <c r="B1139" t="s">
        <v>99</v>
      </c>
    </row>
    <row r="1140" spans="1:2" x14ac:dyDescent="0.2">
      <c r="A1140" s="36" t="s">
        <v>10186</v>
      </c>
      <c r="B1140" t="s">
        <v>97</v>
      </c>
    </row>
    <row r="1141" spans="1:2" x14ac:dyDescent="0.2">
      <c r="A1141" s="36" t="s">
        <v>10187</v>
      </c>
      <c r="B1141" t="s">
        <v>96</v>
      </c>
    </row>
    <row r="1142" spans="1:2" x14ac:dyDescent="0.2">
      <c r="A1142" s="36" t="s">
        <v>9206</v>
      </c>
      <c r="B1142" t="s">
        <v>104</v>
      </c>
    </row>
    <row r="1143" spans="1:2" x14ac:dyDescent="0.2">
      <c r="A1143" s="36" t="s">
        <v>9233</v>
      </c>
      <c r="B1143" t="s">
        <v>90</v>
      </c>
    </row>
    <row r="1144" spans="1:2" x14ac:dyDescent="0.2">
      <c r="A1144" s="36" t="s">
        <v>9252</v>
      </c>
      <c r="B1144" t="s">
        <v>99</v>
      </c>
    </row>
    <row r="1145" spans="1:2" x14ac:dyDescent="0.2">
      <c r="A1145" s="36" t="s">
        <v>9327</v>
      </c>
      <c r="B1145" t="s">
        <v>95</v>
      </c>
    </row>
    <row r="1146" spans="1:2" x14ac:dyDescent="0.2">
      <c r="A1146" s="36" t="s">
        <v>9515</v>
      </c>
      <c r="B1146" t="s">
        <v>97</v>
      </c>
    </row>
    <row r="1147" spans="1:2" x14ac:dyDescent="0.2">
      <c r="A1147" s="36" t="s">
        <v>9517</v>
      </c>
      <c r="B1147" t="s">
        <v>97</v>
      </c>
    </row>
    <row r="1148" spans="1:2" x14ac:dyDescent="0.2">
      <c r="A1148" s="36" t="s">
        <v>9519</v>
      </c>
      <c r="B1148" t="s">
        <v>97</v>
      </c>
    </row>
    <row r="1149" spans="1:2" x14ac:dyDescent="0.2">
      <c r="A1149" s="36" t="s">
        <v>9518</v>
      </c>
      <c r="B1149" t="s">
        <v>97</v>
      </c>
    </row>
    <row r="1150" spans="1:2" x14ac:dyDescent="0.2">
      <c r="A1150" s="36" t="s">
        <v>9524</v>
      </c>
      <c r="B1150" t="s">
        <v>104</v>
      </c>
    </row>
    <row r="1151" spans="1:2" x14ac:dyDescent="0.2">
      <c r="A1151" s="36" t="s">
        <v>9523</v>
      </c>
      <c r="B1151" t="s">
        <v>96</v>
      </c>
    </row>
    <row r="1152" spans="1:2" x14ac:dyDescent="0.2">
      <c r="A1152" s="36" t="s">
        <v>9527</v>
      </c>
      <c r="B1152" t="s">
        <v>95</v>
      </c>
    </row>
    <row r="1153" spans="1:2" x14ac:dyDescent="0.2">
      <c r="A1153" s="36" t="s">
        <v>10154</v>
      </c>
      <c r="B1153" t="s">
        <v>90</v>
      </c>
    </row>
    <row r="1154" spans="1:2" x14ac:dyDescent="0.2">
      <c r="A1154" s="36" t="s">
        <v>10164</v>
      </c>
      <c r="B1154" t="s">
        <v>99</v>
      </c>
    </row>
    <row r="1155" spans="1:2" x14ac:dyDescent="0.2">
      <c r="A1155" s="36" t="s">
        <v>10189</v>
      </c>
      <c r="B1155" t="s">
        <v>104</v>
      </c>
    </row>
    <row r="1156" spans="1:2" x14ac:dyDescent="0.2">
      <c r="A1156" s="36" t="s">
        <v>10192</v>
      </c>
      <c r="B1156" t="s">
        <v>96</v>
      </c>
    </row>
    <row r="1157" spans="1:2" x14ac:dyDescent="0.2">
      <c r="A1157" s="36" t="s">
        <v>10193</v>
      </c>
      <c r="B1157" t="s">
        <v>95</v>
      </c>
    </row>
    <row r="1158" spans="1:2" x14ac:dyDescent="0.2">
      <c r="A1158" s="36" t="s">
        <v>10196</v>
      </c>
      <c r="B1158" t="s">
        <v>90</v>
      </c>
    </row>
    <row r="1159" spans="1:2" x14ac:dyDescent="0.2">
      <c r="A1159" s="36" t="s">
        <v>10153</v>
      </c>
      <c r="B1159" t="s">
        <v>87</v>
      </c>
    </row>
    <row r="1160" spans="1:2" x14ac:dyDescent="0.2">
      <c r="A1160" s="36" t="s">
        <v>9482</v>
      </c>
      <c r="B1160" t="s">
        <v>93</v>
      </c>
    </row>
    <row r="1161" spans="1:2" x14ac:dyDescent="0.2">
      <c r="A1161" s="36" t="s">
        <v>9328</v>
      </c>
      <c r="B1161" t="s">
        <v>105</v>
      </c>
    </row>
    <row r="1162" spans="1:2" x14ac:dyDescent="0.2">
      <c r="A1162" s="36" t="s">
        <v>9514</v>
      </c>
      <c r="B1162" t="s">
        <v>99</v>
      </c>
    </row>
    <row r="1163" spans="1:2" x14ac:dyDescent="0.2">
      <c r="A1163" s="36" t="s">
        <v>10180</v>
      </c>
      <c r="B1163" t="s">
        <v>104</v>
      </c>
    </row>
    <row r="1164" spans="1:2" x14ac:dyDescent="0.2">
      <c r="A1164" s="36" t="s">
        <v>10315</v>
      </c>
      <c r="B1164" t="s">
        <v>96</v>
      </c>
    </row>
    <row r="1165" spans="1:2" x14ac:dyDescent="0.2">
      <c r="A1165" s="36" t="s">
        <v>9504</v>
      </c>
      <c r="B1165" t="s">
        <v>95</v>
      </c>
    </row>
    <row r="1166" spans="1:2" x14ac:dyDescent="0.2">
      <c r="A1166" s="36" t="s">
        <v>9512</v>
      </c>
      <c r="B1166" t="s">
        <v>91</v>
      </c>
    </row>
    <row r="1167" spans="1:2" x14ac:dyDescent="0.2">
      <c r="A1167" s="36" t="s">
        <v>9507</v>
      </c>
      <c r="B1167" t="s">
        <v>95</v>
      </c>
    </row>
    <row r="1168" spans="1:2" x14ac:dyDescent="0.2">
      <c r="A1168" s="36" t="s">
        <v>9506</v>
      </c>
      <c r="B1168" t="s">
        <v>91</v>
      </c>
    </row>
    <row r="1169" spans="1:2" x14ac:dyDescent="0.2">
      <c r="A1169" s="36" t="s">
        <v>9513</v>
      </c>
      <c r="B1169" t="s">
        <v>95</v>
      </c>
    </row>
    <row r="1170" spans="1:2" x14ac:dyDescent="0.2">
      <c r="A1170" s="36" t="s">
        <v>9505</v>
      </c>
      <c r="B1170" t="s">
        <v>91</v>
      </c>
    </row>
    <row r="1171" spans="1:2" x14ac:dyDescent="0.2">
      <c r="A1171" s="36" t="s">
        <v>9508</v>
      </c>
      <c r="B1171" t="s">
        <v>95</v>
      </c>
    </row>
    <row r="1172" spans="1:2" x14ac:dyDescent="0.2">
      <c r="A1172" s="36" t="s">
        <v>9511</v>
      </c>
      <c r="B1172" t="s">
        <v>91</v>
      </c>
    </row>
    <row r="1173" spans="1:2" x14ac:dyDescent="0.2">
      <c r="A1173" s="36" t="s">
        <v>9510</v>
      </c>
      <c r="B1173" t="s">
        <v>95</v>
      </c>
    </row>
    <row r="1174" spans="1:2" x14ac:dyDescent="0.2">
      <c r="A1174" s="36" t="s">
        <v>9630</v>
      </c>
      <c r="B1174" t="s">
        <v>99</v>
      </c>
    </row>
    <row r="1175" spans="1:2" x14ac:dyDescent="0.2">
      <c r="A1175" s="36" t="s">
        <v>9631</v>
      </c>
      <c r="B1175" t="s">
        <v>90</v>
      </c>
    </row>
    <row r="1176" spans="1:2" x14ac:dyDescent="0.2">
      <c r="A1176" s="36" t="s">
        <v>9639</v>
      </c>
      <c r="B1176" t="s">
        <v>104</v>
      </c>
    </row>
    <row r="1177" spans="1:2" x14ac:dyDescent="0.2">
      <c r="A1177" s="36" t="s">
        <v>10136</v>
      </c>
      <c r="B1177" t="s">
        <v>96</v>
      </c>
    </row>
    <row r="1178" spans="1:2" x14ac:dyDescent="0.2">
      <c r="A1178" s="36" t="s">
        <v>10139</v>
      </c>
      <c r="B1178" t="s">
        <v>100</v>
      </c>
    </row>
    <row r="1179" spans="1:2" x14ac:dyDescent="0.2">
      <c r="A1179" s="36" t="s">
        <v>10372</v>
      </c>
      <c r="B1179" t="s">
        <v>99</v>
      </c>
    </row>
    <row r="1180" spans="1:2" x14ac:dyDescent="0.2">
      <c r="A1180" s="36" t="s">
        <v>10005</v>
      </c>
      <c r="B1180" t="s">
        <v>90</v>
      </c>
    </row>
    <row r="1181" spans="1:2" x14ac:dyDescent="0.2">
      <c r="A1181" s="36" t="s">
        <v>10305</v>
      </c>
      <c r="B1181" t="s">
        <v>104</v>
      </c>
    </row>
    <row r="1182" spans="1:2" x14ac:dyDescent="0.2">
      <c r="A1182" s="36" t="s">
        <v>10289</v>
      </c>
      <c r="B1182" t="s">
        <v>96</v>
      </c>
    </row>
    <row r="1183" spans="1:2" x14ac:dyDescent="0.2">
      <c r="A1183" s="36" t="s">
        <v>10288</v>
      </c>
      <c r="B1183" t="s">
        <v>97</v>
      </c>
    </row>
    <row r="1184" spans="1:2" x14ac:dyDescent="0.2">
      <c r="A1184" s="36" t="s">
        <v>10287</v>
      </c>
      <c r="B1184" t="s">
        <v>100</v>
      </c>
    </row>
    <row r="1185" spans="1:2" x14ac:dyDescent="0.2">
      <c r="A1185" s="36" t="s">
        <v>10286</v>
      </c>
      <c r="B1185" t="s">
        <v>87</v>
      </c>
    </row>
    <row r="1186" spans="1:2" x14ac:dyDescent="0.2">
      <c r="A1186" s="36" t="s">
        <v>10284</v>
      </c>
      <c r="B1186" t="s">
        <v>89</v>
      </c>
    </row>
    <row r="1187" spans="1:2" x14ac:dyDescent="0.2">
      <c r="A1187" s="36" t="s">
        <v>9531</v>
      </c>
      <c r="B1187" t="s">
        <v>99</v>
      </c>
    </row>
    <row r="1188" spans="1:2" x14ac:dyDescent="0.2">
      <c r="A1188" s="36" t="s">
        <v>9534</v>
      </c>
      <c r="B1188" t="s">
        <v>90</v>
      </c>
    </row>
    <row r="1189" spans="1:2" x14ac:dyDescent="0.2">
      <c r="A1189" s="36" t="s">
        <v>9535</v>
      </c>
      <c r="B1189" t="s">
        <v>96</v>
      </c>
    </row>
    <row r="1190" spans="1:2" x14ac:dyDescent="0.2">
      <c r="A1190" s="36" t="s">
        <v>9533</v>
      </c>
      <c r="B1190" t="s">
        <v>99</v>
      </c>
    </row>
    <row r="1191" spans="1:2" x14ac:dyDescent="0.2">
      <c r="A1191" s="36" t="s">
        <v>9529</v>
      </c>
      <c r="B1191" t="s">
        <v>90</v>
      </c>
    </row>
    <row r="1192" spans="1:2" x14ac:dyDescent="0.2">
      <c r="A1192" s="36" t="s">
        <v>9528</v>
      </c>
      <c r="B1192" t="s">
        <v>96</v>
      </c>
    </row>
    <row r="1193" spans="1:2" x14ac:dyDescent="0.2">
      <c r="A1193" s="36" t="s">
        <v>9536</v>
      </c>
      <c r="B1193" t="s">
        <v>99</v>
      </c>
    </row>
    <row r="1194" spans="1:2" x14ac:dyDescent="0.2">
      <c r="A1194" s="36" t="s">
        <v>9530</v>
      </c>
      <c r="B1194" t="s">
        <v>90</v>
      </c>
    </row>
    <row r="1195" spans="1:2" x14ac:dyDescent="0.2">
      <c r="A1195" s="36" t="s">
        <v>10130</v>
      </c>
      <c r="B1195" t="s">
        <v>104</v>
      </c>
    </row>
    <row r="1196" spans="1:2" x14ac:dyDescent="0.2">
      <c r="A1196" s="36" t="s">
        <v>10128</v>
      </c>
      <c r="B1196" t="s">
        <v>97</v>
      </c>
    </row>
    <row r="1197" spans="1:2" x14ac:dyDescent="0.2">
      <c r="A1197" s="36" t="s">
        <v>10129</v>
      </c>
      <c r="B1197" t="s">
        <v>104</v>
      </c>
    </row>
    <row r="1198" spans="1:2" x14ac:dyDescent="0.2">
      <c r="A1198" s="36" t="s">
        <v>10294</v>
      </c>
      <c r="B1198" t="s">
        <v>100</v>
      </c>
    </row>
    <row r="1199" spans="1:2" x14ac:dyDescent="0.2">
      <c r="A1199" s="36" t="s">
        <v>10293</v>
      </c>
      <c r="B1199" t="s">
        <v>87</v>
      </c>
    </row>
    <row r="1200" spans="1:2" x14ac:dyDescent="0.2">
      <c r="A1200" s="36" t="s">
        <v>10295</v>
      </c>
      <c r="B1200" t="s">
        <v>89</v>
      </c>
    </row>
    <row r="1201" spans="1:2" x14ac:dyDescent="0.2">
      <c r="A1201" s="36" t="s">
        <v>10299</v>
      </c>
      <c r="B1201" t="s">
        <v>93</v>
      </c>
    </row>
    <row r="1202" spans="1:2" x14ac:dyDescent="0.2">
      <c r="A1202" s="36" t="s">
        <v>10292</v>
      </c>
      <c r="B1202" t="s">
        <v>97</v>
      </c>
    </row>
    <row r="1203" spans="1:2" x14ac:dyDescent="0.2">
      <c r="A1203" s="36" t="s">
        <v>10298</v>
      </c>
      <c r="B1203" t="s">
        <v>100</v>
      </c>
    </row>
    <row r="1204" spans="1:2" x14ac:dyDescent="0.2">
      <c r="A1204" s="36" t="s">
        <v>10296</v>
      </c>
      <c r="B1204" t="s">
        <v>91</v>
      </c>
    </row>
    <row r="1205" spans="1:2" x14ac:dyDescent="0.2">
      <c r="A1205" s="36" t="s">
        <v>10290</v>
      </c>
      <c r="B1205" t="s">
        <v>87</v>
      </c>
    </row>
    <row r="1206" spans="1:2" x14ac:dyDescent="0.2">
      <c r="A1206" s="36" t="s">
        <v>9521</v>
      </c>
      <c r="B1206" t="s">
        <v>89</v>
      </c>
    </row>
    <row r="1207" spans="1:2" x14ac:dyDescent="0.2">
      <c r="A1207" s="36" t="s">
        <v>10162</v>
      </c>
      <c r="B1207" t="s">
        <v>96</v>
      </c>
    </row>
    <row r="1208" spans="1:2" x14ac:dyDescent="0.2">
      <c r="A1208" s="36" t="s">
        <v>9164</v>
      </c>
      <c r="B1208" t="s">
        <v>104</v>
      </c>
    </row>
    <row r="1209" spans="1:2" x14ac:dyDescent="0.2">
      <c r="A1209" s="36" t="s">
        <v>9160</v>
      </c>
      <c r="B1209" t="s">
        <v>93</v>
      </c>
    </row>
    <row r="1210" spans="1:2" x14ac:dyDescent="0.2">
      <c r="A1210" s="36" t="s">
        <v>9157</v>
      </c>
      <c r="B1210" t="s">
        <v>97</v>
      </c>
    </row>
    <row r="1211" spans="1:2" x14ac:dyDescent="0.2">
      <c r="A1211" s="36" t="s">
        <v>9159</v>
      </c>
      <c r="B1211" t="s">
        <v>104</v>
      </c>
    </row>
    <row r="1212" spans="1:2" x14ac:dyDescent="0.2">
      <c r="A1212" s="36" t="s">
        <v>9161</v>
      </c>
      <c r="B1212" t="s">
        <v>93</v>
      </c>
    </row>
    <row r="1213" spans="1:2" x14ac:dyDescent="0.2">
      <c r="A1213" s="36" t="s">
        <v>9162</v>
      </c>
      <c r="B1213" t="s">
        <v>97</v>
      </c>
    </row>
    <row r="1214" spans="1:2" x14ac:dyDescent="0.2">
      <c r="A1214" s="36" t="s">
        <v>9171</v>
      </c>
      <c r="B1214" t="s">
        <v>100</v>
      </c>
    </row>
    <row r="1215" spans="1:2" x14ac:dyDescent="0.2">
      <c r="A1215" s="36" t="s">
        <v>9168</v>
      </c>
      <c r="B1215" t="s">
        <v>91</v>
      </c>
    </row>
    <row r="1216" spans="1:2" x14ac:dyDescent="0.2">
      <c r="A1216" s="36" t="s">
        <v>9173</v>
      </c>
      <c r="B1216" t="s">
        <v>89</v>
      </c>
    </row>
    <row r="1217" spans="1:2" x14ac:dyDescent="0.2">
      <c r="A1217" s="36" t="s">
        <v>9172</v>
      </c>
      <c r="B1217" t="s">
        <v>87</v>
      </c>
    </row>
    <row r="1218" spans="1:2" x14ac:dyDescent="0.2">
      <c r="A1218" s="36" t="s">
        <v>9169</v>
      </c>
      <c r="B1218" t="s">
        <v>95</v>
      </c>
    </row>
    <row r="1219" spans="1:2" x14ac:dyDescent="0.2">
      <c r="A1219" s="36" t="s">
        <v>9166</v>
      </c>
      <c r="B1219" t="s">
        <v>99</v>
      </c>
    </row>
    <row r="1220" spans="1:2" x14ac:dyDescent="0.2">
      <c r="A1220" s="36" t="s">
        <v>9584</v>
      </c>
      <c r="B1220" t="s">
        <v>96</v>
      </c>
    </row>
    <row r="1221" spans="1:2" x14ac:dyDescent="0.2">
      <c r="A1221" s="36" t="s">
        <v>9610</v>
      </c>
      <c r="B1221" t="s">
        <v>90</v>
      </c>
    </row>
    <row r="1222" spans="1:2" x14ac:dyDescent="0.2">
      <c r="A1222" s="36" t="s">
        <v>9613</v>
      </c>
      <c r="B1222" t="s">
        <v>100</v>
      </c>
    </row>
    <row r="1223" spans="1:2" x14ac:dyDescent="0.2">
      <c r="A1223" s="36" t="s">
        <v>9604</v>
      </c>
      <c r="B1223" t="s">
        <v>91</v>
      </c>
    </row>
    <row r="1224" spans="1:2" x14ac:dyDescent="0.2">
      <c r="A1224" s="36" t="s">
        <v>9603</v>
      </c>
      <c r="B1224" t="s">
        <v>89</v>
      </c>
    </row>
    <row r="1225" spans="1:2" x14ac:dyDescent="0.2">
      <c r="A1225" s="36" t="s">
        <v>9628</v>
      </c>
      <c r="B1225" t="s">
        <v>87</v>
      </c>
    </row>
    <row r="1226" spans="1:2" x14ac:dyDescent="0.2">
      <c r="A1226" s="36" t="s">
        <v>9585</v>
      </c>
      <c r="B1226" t="s">
        <v>96</v>
      </c>
    </row>
    <row r="1227" spans="1:2" x14ac:dyDescent="0.2">
      <c r="A1227" s="36" t="s">
        <v>9587</v>
      </c>
      <c r="B1227" t="s">
        <v>90</v>
      </c>
    </row>
    <row r="1228" spans="1:2" x14ac:dyDescent="0.2">
      <c r="A1228" s="36" t="s">
        <v>9626</v>
      </c>
      <c r="B1228" t="s">
        <v>100</v>
      </c>
    </row>
    <row r="1229" spans="1:2" x14ac:dyDescent="0.2">
      <c r="A1229" s="36" t="s">
        <v>9609</v>
      </c>
      <c r="B1229" t="s">
        <v>91</v>
      </c>
    </row>
    <row r="1230" spans="1:2" x14ac:dyDescent="0.2">
      <c r="A1230" s="36" t="s">
        <v>9615</v>
      </c>
      <c r="B1230" t="s">
        <v>89</v>
      </c>
    </row>
    <row r="1231" spans="1:2" x14ac:dyDescent="0.2">
      <c r="A1231" s="36" t="s">
        <v>9606</v>
      </c>
      <c r="B1231" t="s">
        <v>87</v>
      </c>
    </row>
    <row r="1232" spans="1:2" x14ac:dyDescent="0.2">
      <c r="A1232" s="36" t="s">
        <v>9617</v>
      </c>
      <c r="B1232" t="s">
        <v>96</v>
      </c>
    </row>
    <row r="1233" spans="1:2" x14ac:dyDescent="0.2">
      <c r="A1233" s="36" t="s">
        <v>9611</v>
      </c>
      <c r="B1233" t="s">
        <v>90</v>
      </c>
    </row>
    <row r="1234" spans="1:2" x14ac:dyDescent="0.2">
      <c r="A1234" s="36" t="s">
        <v>9607</v>
      </c>
      <c r="B1234" t="s">
        <v>100</v>
      </c>
    </row>
    <row r="1235" spans="1:2" x14ac:dyDescent="0.2">
      <c r="A1235" s="36" t="s">
        <v>9621</v>
      </c>
      <c r="B1235" t="s">
        <v>91</v>
      </c>
    </row>
    <row r="1236" spans="1:2" x14ac:dyDescent="0.2">
      <c r="A1236" s="36" t="s">
        <v>9597</v>
      </c>
      <c r="B1236" t="s">
        <v>89</v>
      </c>
    </row>
    <row r="1237" spans="1:2" x14ac:dyDescent="0.2">
      <c r="A1237" s="36" t="s">
        <v>9602</v>
      </c>
      <c r="B1237" t="s">
        <v>87</v>
      </c>
    </row>
    <row r="1238" spans="1:2" x14ac:dyDescent="0.2">
      <c r="A1238" s="36" t="s">
        <v>9601</v>
      </c>
      <c r="B1238" t="s">
        <v>96</v>
      </c>
    </row>
    <row r="1239" spans="1:2" x14ac:dyDescent="0.2">
      <c r="A1239" s="36" t="s">
        <v>9600</v>
      </c>
      <c r="B1239" t="s">
        <v>90</v>
      </c>
    </row>
    <row r="1240" spans="1:2" x14ac:dyDescent="0.2">
      <c r="A1240" s="36" t="s">
        <v>9627</v>
      </c>
      <c r="B1240" t="s">
        <v>100</v>
      </c>
    </row>
    <row r="1241" spans="1:2" x14ac:dyDescent="0.2">
      <c r="A1241" s="36" t="s">
        <v>9612</v>
      </c>
      <c r="B1241" t="s">
        <v>91</v>
      </c>
    </row>
    <row r="1242" spans="1:2" x14ac:dyDescent="0.2">
      <c r="A1242" s="36" t="s">
        <v>9589</v>
      </c>
      <c r="B1242" t="s">
        <v>89</v>
      </c>
    </row>
    <row r="1243" spans="1:2" x14ac:dyDescent="0.2">
      <c r="A1243" s="36" t="s">
        <v>9629</v>
      </c>
      <c r="B1243" t="s">
        <v>87</v>
      </c>
    </row>
    <row r="1244" spans="1:2" x14ac:dyDescent="0.2">
      <c r="A1244" s="36" t="s">
        <v>9582</v>
      </c>
      <c r="B1244" t="s">
        <v>96</v>
      </c>
    </row>
    <row r="1245" spans="1:2" x14ac:dyDescent="0.2">
      <c r="A1245" s="36" t="s">
        <v>9625</v>
      </c>
      <c r="B1245" t="s">
        <v>90</v>
      </c>
    </row>
    <row r="1246" spans="1:2" x14ac:dyDescent="0.2">
      <c r="A1246" s="36" t="s">
        <v>9583</v>
      </c>
      <c r="B1246" t="s">
        <v>100</v>
      </c>
    </row>
    <row r="1247" spans="1:2" x14ac:dyDescent="0.2">
      <c r="A1247" s="36" t="s">
        <v>9614</v>
      </c>
      <c r="B1247" t="s">
        <v>91</v>
      </c>
    </row>
    <row r="1248" spans="1:2" x14ac:dyDescent="0.2">
      <c r="A1248" s="36" t="s">
        <v>9595</v>
      </c>
      <c r="B1248" t="s">
        <v>89</v>
      </c>
    </row>
    <row r="1249" spans="1:2" x14ac:dyDescent="0.2">
      <c r="A1249" s="36" t="s">
        <v>9599</v>
      </c>
      <c r="B1249" t="s">
        <v>87</v>
      </c>
    </row>
    <row r="1250" spans="1:2" x14ac:dyDescent="0.2">
      <c r="A1250" s="36" t="s">
        <v>9586</v>
      </c>
      <c r="B1250" t="s">
        <v>96</v>
      </c>
    </row>
    <row r="1251" spans="1:2" x14ac:dyDescent="0.2">
      <c r="A1251" s="36" t="s">
        <v>9624</v>
      </c>
      <c r="B1251" t="s">
        <v>90</v>
      </c>
    </row>
    <row r="1252" spans="1:2" x14ac:dyDescent="0.2">
      <c r="A1252" s="36" t="s">
        <v>9623</v>
      </c>
      <c r="B1252" t="s">
        <v>100</v>
      </c>
    </row>
    <row r="1253" spans="1:2" x14ac:dyDescent="0.2">
      <c r="A1253" s="36" t="s">
        <v>9605</v>
      </c>
      <c r="B1253" t="s">
        <v>91</v>
      </c>
    </row>
    <row r="1254" spans="1:2" x14ac:dyDescent="0.2">
      <c r="A1254" s="36" t="s">
        <v>9620</v>
      </c>
      <c r="B1254" t="s">
        <v>89</v>
      </c>
    </row>
    <row r="1255" spans="1:2" x14ac:dyDescent="0.2">
      <c r="A1255" s="36" t="s">
        <v>9616</v>
      </c>
      <c r="B1255" t="s">
        <v>87</v>
      </c>
    </row>
    <row r="1256" spans="1:2" x14ac:dyDescent="0.2">
      <c r="A1256" s="36" t="s">
        <v>9619</v>
      </c>
      <c r="B1256" t="s">
        <v>96</v>
      </c>
    </row>
    <row r="1257" spans="1:2" x14ac:dyDescent="0.2">
      <c r="A1257" s="36" t="s">
        <v>9622</v>
      </c>
      <c r="B1257" t="s">
        <v>90</v>
      </c>
    </row>
    <row r="1258" spans="1:2" x14ac:dyDescent="0.2">
      <c r="A1258" s="36" t="s">
        <v>9598</v>
      </c>
      <c r="B1258" t="s">
        <v>100</v>
      </c>
    </row>
    <row r="1259" spans="1:2" x14ac:dyDescent="0.2">
      <c r="A1259" s="36" t="s">
        <v>9590</v>
      </c>
      <c r="B1259" t="s">
        <v>91</v>
      </c>
    </row>
    <row r="1260" spans="1:2" x14ac:dyDescent="0.2">
      <c r="A1260" s="36" t="s">
        <v>9608</v>
      </c>
      <c r="B1260" t="s">
        <v>89</v>
      </c>
    </row>
    <row r="1261" spans="1:2" x14ac:dyDescent="0.2">
      <c r="A1261" s="36" t="s">
        <v>9596</v>
      </c>
      <c r="B1261" t="s">
        <v>87</v>
      </c>
    </row>
    <row r="1262" spans="1:2" x14ac:dyDescent="0.2">
      <c r="A1262" s="36" t="s">
        <v>9588</v>
      </c>
      <c r="B1262" t="s">
        <v>96</v>
      </c>
    </row>
    <row r="1263" spans="1:2" x14ac:dyDescent="0.2">
      <c r="A1263" s="36" t="s">
        <v>9593</v>
      </c>
      <c r="B1263" t="s">
        <v>90</v>
      </c>
    </row>
    <row r="1264" spans="1:2" x14ac:dyDescent="0.2">
      <c r="A1264" s="36" t="s">
        <v>9592</v>
      </c>
      <c r="B1264" t="s">
        <v>100</v>
      </c>
    </row>
    <row r="1265" spans="1:2" x14ac:dyDescent="0.2">
      <c r="A1265" s="36" t="s">
        <v>9594</v>
      </c>
      <c r="B1265" t="s">
        <v>91</v>
      </c>
    </row>
    <row r="1266" spans="1:2" x14ac:dyDescent="0.2">
      <c r="A1266" s="36" t="s">
        <v>9618</v>
      </c>
      <c r="B1266" t="s">
        <v>89</v>
      </c>
    </row>
    <row r="1267" spans="1:2" x14ac:dyDescent="0.2">
      <c r="A1267" s="36" t="s">
        <v>9769</v>
      </c>
      <c r="B1267" t="s">
        <v>93</v>
      </c>
    </row>
    <row r="1268" spans="1:2" x14ac:dyDescent="0.2">
      <c r="A1268" s="36" t="s">
        <v>9990</v>
      </c>
      <c r="B1268" t="s">
        <v>95</v>
      </c>
    </row>
    <row r="1269" spans="1:2" x14ac:dyDescent="0.2">
      <c r="A1269" s="36" t="s">
        <v>9991</v>
      </c>
      <c r="B1269" t="s">
        <v>84</v>
      </c>
    </row>
    <row r="1270" spans="1:2" x14ac:dyDescent="0.2">
      <c r="A1270" s="36" t="s">
        <v>10160</v>
      </c>
      <c r="B1270" t="s">
        <v>98</v>
      </c>
    </row>
    <row r="1271" spans="1:2" x14ac:dyDescent="0.2">
      <c r="A1271" s="36" t="s">
        <v>10161</v>
      </c>
      <c r="B1271" t="s">
        <v>104</v>
      </c>
    </row>
    <row r="1272" spans="1:2" x14ac:dyDescent="0.2">
      <c r="A1272" s="36" t="s">
        <v>10163</v>
      </c>
      <c r="B1272" t="s">
        <v>99</v>
      </c>
    </row>
    <row r="1273" spans="1:2" x14ac:dyDescent="0.2">
      <c r="A1273" s="36" t="s">
        <v>10279</v>
      </c>
      <c r="B1273" t="s">
        <v>97</v>
      </c>
    </row>
    <row r="1274" spans="1:2" x14ac:dyDescent="0.2">
      <c r="A1274" s="36" t="s">
        <v>10281</v>
      </c>
      <c r="B1274" t="s">
        <v>95</v>
      </c>
    </row>
    <row r="1275" spans="1:2" x14ac:dyDescent="0.2">
      <c r="A1275" s="36" t="s">
        <v>10280</v>
      </c>
      <c r="B1275" t="s">
        <v>84</v>
      </c>
    </row>
    <row r="1276" spans="1:2" x14ac:dyDescent="0.2">
      <c r="A1276" s="36" t="s">
        <v>10277</v>
      </c>
      <c r="B1276" t="s">
        <v>98</v>
      </c>
    </row>
    <row r="1277" spans="1:2" x14ac:dyDescent="0.2">
      <c r="A1277" s="36" t="s">
        <v>10304</v>
      </c>
      <c r="B1277" t="s">
        <v>104</v>
      </c>
    </row>
    <row r="1278" spans="1:2" x14ac:dyDescent="0.2">
      <c r="A1278" s="36" t="s">
        <v>10302</v>
      </c>
      <c r="B1278" t="s">
        <v>99</v>
      </c>
    </row>
    <row r="1279" spans="1:2" x14ac:dyDescent="0.2">
      <c r="A1279" s="36" t="s">
        <v>10301</v>
      </c>
      <c r="B1279" t="s">
        <v>101</v>
      </c>
    </row>
    <row r="1280" spans="1:2" x14ac:dyDescent="0.2">
      <c r="A1280" s="36" t="s">
        <v>10300</v>
      </c>
      <c r="B1280" t="s">
        <v>93</v>
      </c>
    </row>
    <row r="1281" spans="1:2" x14ac:dyDescent="0.2">
      <c r="A1281" s="36" t="s">
        <v>10125</v>
      </c>
      <c r="B1281" t="s">
        <v>97</v>
      </c>
    </row>
    <row r="1282" spans="1:2" x14ac:dyDescent="0.2">
      <c r="A1282" s="36" t="s">
        <v>9862</v>
      </c>
      <c r="B1282" t="s">
        <v>95</v>
      </c>
    </row>
    <row r="1283" spans="1:2" x14ac:dyDescent="0.2">
      <c r="A1283" s="36" t="s">
        <v>10191</v>
      </c>
      <c r="B1283" t="s">
        <v>84</v>
      </c>
    </row>
    <row r="1284" spans="1:2" x14ac:dyDescent="0.2">
      <c r="A1284" s="36" t="s">
        <v>9538</v>
      </c>
      <c r="B1284" t="s">
        <v>98</v>
      </c>
    </row>
    <row r="1285" spans="1:2" x14ac:dyDescent="0.2">
      <c r="A1285" s="36" t="s">
        <v>9642</v>
      </c>
      <c r="B1285" t="s">
        <v>99</v>
      </c>
    </row>
    <row r="1286" spans="1:2" x14ac:dyDescent="0.2">
      <c r="A1286" s="36" t="s">
        <v>9875</v>
      </c>
      <c r="B1286" t="s">
        <v>104</v>
      </c>
    </row>
    <row r="1287" spans="1:2" x14ac:dyDescent="0.2">
      <c r="A1287" s="36" t="s">
        <v>10127</v>
      </c>
      <c r="B1287" t="s">
        <v>97</v>
      </c>
    </row>
    <row r="1288" spans="1:2" x14ac:dyDescent="0.2">
      <c r="A1288" s="36" t="s">
        <v>10307</v>
      </c>
      <c r="B1288" t="s">
        <v>101</v>
      </c>
    </row>
    <row r="1289" spans="1:2" x14ac:dyDescent="0.2">
      <c r="A1289" s="36" t="s">
        <v>10313</v>
      </c>
      <c r="B1289" t="s">
        <v>93</v>
      </c>
    </row>
    <row r="1290" spans="1:2" x14ac:dyDescent="0.2">
      <c r="A1290" s="36" t="s">
        <v>10202</v>
      </c>
      <c r="B1290" t="s">
        <v>95</v>
      </c>
    </row>
    <row r="1291" spans="1:2" x14ac:dyDescent="0.2">
      <c r="A1291" s="36" t="s">
        <v>10199</v>
      </c>
      <c r="B1291" t="s">
        <v>84</v>
      </c>
    </row>
    <row r="1292" spans="1:2" x14ac:dyDescent="0.2">
      <c r="A1292" s="36" t="s">
        <v>10197</v>
      </c>
      <c r="B1292" t="s">
        <v>98</v>
      </c>
    </row>
    <row r="1293" spans="1:2" x14ac:dyDescent="0.2">
      <c r="A1293" s="36" t="s">
        <v>10204</v>
      </c>
      <c r="B1293" t="s">
        <v>104</v>
      </c>
    </row>
    <row r="1294" spans="1:2" x14ac:dyDescent="0.2">
      <c r="A1294" s="36" t="s">
        <v>10198</v>
      </c>
      <c r="B1294" t="s">
        <v>99</v>
      </c>
    </row>
    <row r="1295" spans="1:2" x14ac:dyDescent="0.2">
      <c r="A1295" s="36" t="s">
        <v>10201</v>
      </c>
      <c r="B1295" t="s">
        <v>101</v>
      </c>
    </row>
    <row r="1296" spans="1:2" x14ac:dyDescent="0.2">
      <c r="A1296" s="36" t="s">
        <v>10200</v>
      </c>
      <c r="B1296" t="s">
        <v>93</v>
      </c>
    </row>
    <row r="1297" spans="1:2" x14ac:dyDescent="0.2">
      <c r="A1297" s="36" t="s">
        <v>10291</v>
      </c>
      <c r="B1297" t="s">
        <v>97</v>
      </c>
    </row>
    <row r="1298" spans="1:2" x14ac:dyDescent="0.2">
      <c r="A1298" s="36" t="s">
        <v>10297</v>
      </c>
      <c r="B1298" t="s">
        <v>105</v>
      </c>
    </row>
    <row r="1299" spans="1:2" x14ac:dyDescent="0.2">
      <c r="A1299" s="36" t="s">
        <v>9520</v>
      </c>
      <c r="B1299" t="s">
        <v>92</v>
      </c>
    </row>
    <row r="1300" spans="1:2" x14ac:dyDescent="0.2">
      <c r="A1300" s="36" t="s">
        <v>9522</v>
      </c>
      <c r="B1300" t="s">
        <v>103</v>
      </c>
    </row>
    <row r="1301" spans="1:2" x14ac:dyDescent="0.2">
      <c r="A1301" s="36" t="s">
        <v>10247</v>
      </c>
      <c r="B1301" t="s">
        <v>95</v>
      </c>
    </row>
    <row r="1302" spans="1:2" x14ac:dyDescent="0.2">
      <c r="A1302" s="36" t="s">
        <v>10251</v>
      </c>
      <c r="B1302" t="s">
        <v>84</v>
      </c>
    </row>
    <row r="1303" spans="1:2" x14ac:dyDescent="0.2">
      <c r="A1303" s="36" t="s">
        <v>9068</v>
      </c>
      <c r="B1303" t="s">
        <v>98</v>
      </c>
    </row>
    <row r="1304" spans="1:2" x14ac:dyDescent="0.2">
      <c r="A1304" s="36" t="s">
        <v>9065</v>
      </c>
      <c r="B1304" t="s">
        <v>104</v>
      </c>
    </row>
    <row r="1305" spans="1:2" x14ac:dyDescent="0.2">
      <c r="A1305" s="36" t="s">
        <v>9070</v>
      </c>
      <c r="B1305" t="s">
        <v>99</v>
      </c>
    </row>
    <row r="1306" spans="1:2" x14ac:dyDescent="0.2">
      <c r="A1306" s="36" t="s">
        <v>9067</v>
      </c>
      <c r="B1306" t="s">
        <v>98</v>
      </c>
    </row>
    <row r="1307" spans="1:2" x14ac:dyDescent="0.2">
      <c r="A1307" s="36" t="s">
        <v>9069</v>
      </c>
      <c r="B1307" t="s">
        <v>104</v>
      </c>
    </row>
    <row r="1308" spans="1:2" x14ac:dyDescent="0.2">
      <c r="A1308" s="36" t="s">
        <v>9163</v>
      </c>
      <c r="B1308" t="s">
        <v>93</v>
      </c>
    </row>
    <row r="1309" spans="1:2" x14ac:dyDescent="0.2">
      <c r="A1309" s="36" t="s">
        <v>9165</v>
      </c>
      <c r="B1309" t="s">
        <v>101</v>
      </c>
    </row>
    <row r="1310" spans="1:2" x14ac:dyDescent="0.2">
      <c r="A1310" s="36" t="s">
        <v>9176</v>
      </c>
      <c r="B1310" t="s">
        <v>97</v>
      </c>
    </row>
    <row r="1311" spans="1:2" x14ac:dyDescent="0.2">
      <c r="A1311" s="36" t="s">
        <v>9447</v>
      </c>
      <c r="B1311" t="s">
        <v>105</v>
      </c>
    </row>
    <row r="1312" spans="1:2" x14ac:dyDescent="0.2">
      <c r="A1312" s="36" t="s">
        <v>9452</v>
      </c>
      <c r="B1312" t="s">
        <v>92</v>
      </c>
    </row>
    <row r="1313" spans="1:2" x14ac:dyDescent="0.2">
      <c r="A1313" s="36" t="s">
        <v>9448</v>
      </c>
      <c r="B1313" t="s">
        <v>105</v>
      </c>
    </row>
    <row r="1314" spans="1:2" x14ac:dyDescent="0.2">
      <c r="A1314" s="36" t="s">
        <v>9449</v>
      </c>
      <c r="B1314" t="s">
        <v>92</v>
      </c>
    </row>
    <row r="1315" spans="1:2" x14ac:dyDescent="0.2">
      <c r="A1315" s="36" t="s">
        <v>9454</v>
      </c>
      <c r="B1315" t="s">
        <v>105</v>
      </c>
    </row>
    <row r="1316" spans="1:2" x14ac:dyDescent="0.2">
      <c r="A1316" s="36" t="s">
        <v>9450</v>
      </c>
      <c r="B1316" t="s">
        <v>92</v>
      </c>
    </row>
    <row r="1317" spans="1:2" x14ac:dyDescent="0.2">
      <c r="A1317" s="36" t="s">
        <v>9453</v>
      </c>
      <c r="B1317" t="s">
        <v>105</v>
      </c>
    </row>
    <row r="1318" spans="1:2" x14ac:dyDescent="0.2">
      <c r="A1318" s="36" t="s">
        <v>9479</v>
      </c>
      <c r="B1318" t="s">
        <v>103</v>
      </c>
    </row>
    <row r="1319" spans="1:2" x14ac:dyDescent="0.2">
      <c r="A1319" s="36" t="s">
        <v>9480</v>
      </c>
      <c r="B1319" t="s">
        <v>95</v>
      </c>
    </row>
    <row r="1320" spans="1:2" x14ac:dyDescent="0.2">
      <c r="A1320" s="36" t="s">
        <v>9633</v>
      </c>
      <c r="B1320" t="s">
        <v>84</v>
      </c>
    </row>
    <row r="1321" spans="1:2" x14ac:dyDescent="0.2">
      <c r="A1321" s="36" t="s">
        <v>9634</v>
      </c>
      <c r="B1321" t="s">
        <v>99</v>
      </c>
    </row>
    <row r="1322" spans="1:2" x14ac:dyDescent="0.2">
      <c r="A1322" s="36" t="s">
        <v>9637</v>
      </c>
      <c r="B1322" t="s">
        <v>101</v>
      </c>
    </row>
    <row r="1323" spans="1:2" x14ac:dyDescent="0.2">
      <c r="A1323" s="36" t="s">
        <v>9989</v>
      </c>
      <c r="B1323" t="s">
        <v>93</v>
      </c>
    </row>
    <row r="1324" spans="1:2" x14ac:dyDescent="0.2">
      <c r="A1324" s="36" t="s">
        <v>9992</v>
      </c>
      <c r="B1324" t="s">
        <v>97</v>
      </c>
    </row>
    <row r="1325" spans="1:2" x14ac:dyDescent="0.2">
      <c r="A1325" s="36" t="s">
        <v>10081</v>
      </c>
      <c r="B1325" t="s">
        <v>103</v>
      </c>
    </row>
    <row r="1326" spans="1:2" x14ac:dyDescent="0.2">
      <c r="A1326" s="36" t="s">
        <v>10082</v>
      </c>
      <c r="B1326" t="s">
        <v>95</v>
      </c>
    </row>
    <row r="1327" spans="1:2" x14ac:dyDescent="0.2">
      <c r="A1327" s="36" t="s">
        <v>10080</v>
      </c>
      <c r="B1327" t="s">
        <v>103</v>
      </c>
    </row>
    <row r="1328" spans="1:2" x14ac:dyDescent="0.2">
      <c r="A1328" s="36" t="s">
        <v>10086</v>
      </c>
      <c r="B1328" t="s">
        <v>84</v>
      </c>
    </row>
    <row r="1329" spans="1:2" x14ac:dyDescent="0.2">
      <c r="A1329" s="36" t="s">
        <v>10085</v>
      </c>
      <c r="B1329" t="s">
        <v>98</v>
      </c>
    </row>
    <row r="1330" spans="1:2" x14ac:dyDescent="0.2">
      <c r="A1330" s="36" t="s">
        <v>10087</v>
      </c>
      <c r="B1330" t="s">
        <v>84</v>
      </c>
    </row>
    <row r="1331" spans="1:2" x14ac:dyDescent="0.2">
      <c r="A1331" s="36" t="s">
        <v>10282</v>
      </c>
      <c r="B1331" t="s">
        <v>104</v>
      </c>
    </row>
    <row r="1332" spans="1:2" x14ac:dyDescent="0.2">
      <c r="A1332" s="36" t="s">
        <v>10278</v>
      </c>
      <c r="B1332" t="s">
        <v>99</v>
      </c>
    </row>
    <row r="1333" spans="1:2" x14ac:dyDescent="0.2">
      <c r="A1333" s="36" t="s">
        <v>9884</v>
      </c>
      <c r="B1333" t="s">
        <v>101</v>
      </c>
    </row>
    <row r="1334" spans="1:2" x14ac:dyDescent="0.2">
      <c r="A1334" s="36" t="s">
        <v>9516</v>
      </c>
      <c r="B1334" t="s">
        <v>97</v>
      </c>
    </row>
    <row r="1335" spans="1:2" x14ac:dyDescent="0.2">
      <c r="A1335" s="36" t="s">
        <v>9525</v>
      </c>
      <c r="B1335" t="s">
        <v>104</v>
      </c>
    </row>
    <row r="1336" spans="1:2" x14ac:dyDescent="0.2">
      <c r="A1336" s="36" t="s">
        <v>9526</v>
      </c>
      <c r="B1336" t="s">
        <v>93</v>
      </c>
    </row>
    <row r="1337" spans="1:2" x14ac:dyDescent="0.2">
      <c r="A1337" s="36" t="s">
        <v>10155</v>
      </c>
      <c r="B1337" t="s">
        <v>95</v>
      </c>
    </row>
    <row r="1338" spans="1:2" x14ac:dyDescent="0.2">
      <c r="A1338" s="36" t="s">
        <v>9775</v>
      </c>
      <c r="B1338" t="s">
        <v>98</v>
      </c>
    </row>
    <row r="1339" spans="1:2" x14ac:dyDescent="0.2">
      <c r="A1339" s="36" t="s">
        <v>9774</v>
      </c>
      <c r="B1339" t="s">
        <v>93</v>
      </c>
    </row>
    <row r="1340" spans="1:2" x14ac:dyDescent="0.2">
      <c r="A1340" s="36" t="s">
        <v>9784</v>
      </c>
      <c r="B1340" t="s">
        <v>97</v>
      </c>
    </row>
    <row r="1341" spans="1:2" x14ac:dyDescent="0.2">
      <c r="A1341" s="36" t="s">
        <v>9773</v>
      </c>
      <c r="B1341" t="s">
        <v>101</v>
      </c>
    </row>
    <row r="1342" spans="1:2" x14ac:dyDescent="0.2">
      <c r="A1342" s="36" t="s">
        <v>9781</v>
      </c>
      <c r="B1342" t="s">
        <v>99</v>
      </c>
    </row>
    <row r="1343" spans="1:2" x14ac:dyDescent="0.2">
      <c r="A1343" s="36" t="s">
        <v>9777</v>
      </c>
      <c r="B1343" t="s">
        <v>92</v>
      </c>
    </row>
    <row r="1344" spans="1:2" x14ac:dyDescent="0.2">
      <c r="A1344" s="36" t="s">
        <v>9778</v>
      </c>
      <c r="B1344" t="s">
        <v>95</v>
      </c>
    </row>
    <row r="1345" spans="1:2" x14ac:dyDescent="0.2">
      <c r="A1345" s="36" t="s">
        <v>9780</v>
      </c>
      <c r="B1345" t="s">
        <v>103</v>
      </c>
    </row>
    <row r="1346" spans="1:2" x14ac:dyDescent="0.2">
      <c r="A1346" s="36" t="s">
        <v>9779</v>
      </c>
      <c r="B1346" t="s">
        <v>98</v>
      </c>
    </row>
    <row r="1347" spans="1:2" x14ac:dyDescent="0.2">
      <c r="A1347" s="36" t="s">
        <v>9776</v>
      </c>
      <c r="B1347" t="s">
        <v>84</v>
      </c>
    </row>
    <row r="1348" spans="1:2" x14ac:dyDescent="0.2">
      <c r="A1348" s="36" t="s">
        <v>9771</v>
      </c>
      <c r="B1348" t="s">
        <v>93</v>
      </c>
    </row>
    <row r="1349" spans="1:2" x14ac:dyDescent="0.2">
      <c r="A1349" s="36" t="s">
        <v>9783</v>
      </c>
      <c r="B1349" t="s">
        <v>97</v>
      </c>
    </row>
    <row r="1350" spans="1:2" x14ac:dyDescent="0.2">
      <c r="A1350" s="36" t="s">
        <v>9770</v>
      </c>
      <c r="B1350" t="s">
        <v>101</v>
      </c>
    </row>
    <row r="1351" spans="1:2" x14ac:dyDescent="0.2">
      <c r="A1351" s="36" t="s">
        <v>9785</v>
      </c>
      <c r="B1351" t="s">
        <v>99</v>
      </c>
    </row>
    <row r="1352" spans="1:2" x14ac:dyDescent="0.2">
      <c r="A1352" s="36" t="s">
        <v>9786</v>
      </c>
      <c r="B1352" t="s">
        <v>104</v>
      </c>
    </row>
    <row r="1353" spans="1:2" x14ac:dyDescent="0.2">
      <c r="A1353" s="36" t="s">
        <v>9782</v>
      </c>
      <c r="B1353" t="s">
        <v>92</v>
      </c>
    </row>
    <row r="1354" spans="1:2" x14ac:dyDescent="0.2">
      <c r="A1354" s="36" t="s">
        <v>9807</v>
      </c>
      <c r="B1354" t="s">
        <v>95</v>
      </c>
    </row>
    <row r="1355" spans="1:2" x14ac:dyDescent="0.2">
      <c r="A1355" s="36" t="s">
        <v>9809</v>
      </c>
      <c r="B1355" t="s">
        <v>103</v>
      </c>
    </row>
    <row r="1356" spans="1:2" x14ac:dyDescent="0.2">
      <c r="A1356" s="36" t="s">
        <v>9909</v>
      </c>
      <c r="B1356" t="s">
        <v>105</v>
      </c>
    </row>
    <row r="1357" spans="1:2" x14ac:dyDescent="0.2">
      <c r="A1357" s="36" t="s">
        <v>9898</v>
      </c>
      <c r="B1357" t="s">
        <v>87</v>
      </c>
    </row>
    <row r="1358" spans="1:2" x14ac:dyDescent="0.2">
      <c r="A1358" s="36" t="s">
        <v>9908</v>
      </c>
      <c r="B1358" t="s">
        <v>98</v>
      </c>
    </row>
    <row r="1359" spans="1:2" x14ac:dyDescent="0.2">
      <c r="A1359" s="36" t="s">
        <v>9894</v>
      </c>
      <c r="B1359" t="s">
        <v>84</v>
      </c>
    </row>
    <row r="1360" spans="1:2" x14ac:dyDescent="0.2">
      <c r="A1360" s="36" t="s">
        <v>9910</v>
      </c>
      <c r="B1360" t="s">
        <v>105</v>
      </c>
    </row>
    <row r="1361" spans="1:2" x14ac:dyDescent="0.2">
      <c r="A1361" s="36" t="s">
        <v>9892</v>
      </c>
      <c r="B1361" t="s">
        <v>87</v>
      </c>
    </row>
    <row r="1362" spans="1:2" x14ac:dyDescent="0.2">
      <c r="A1362" s="36" t="s">
        <v>9901</v>
      </c>
      <c r="B1362" t="s">
        <v>98</v>
      </c>
    </row>
    <row r="1363" spans="1:2" x14ac:dyDescent="0.2">
      <c r="A1363" s="36" t="s">
        <v>9904</v>
      </c>
      <c r="B1363" t="s">
        <v>84</v>
      </c>
    </row>
    <row r="1364" spans="1:2" x14ac:dyDescent="0.2">
      <c r="A1364" s="36" t="s">
        <v>9905</v>
      </c>
      <c r="B1364" t="s">
        <v>105</v>
      </c>
    </row>
    <row r="1365" spans="1:2" x14ac:dyDescent="0.2">
      <c r="A1365" s="36" t="s">
        <v>9907</v>
      </c>
      <c r="B1365" t="s">
        <v>87</v>
      </c>
    </row>
    <row r="1366" spans="1:2" x14ac:dyDescent="0.2">
      <c r="A1366" s="36" t="s">
        <v>9899</v>
      </c>
      <c r="B1366" t="s">
        <v>98</v>
      </c>
    </row>
    <row r="1367" spans="1:2" x14ac:dyDescent="0.2">
      <c r="A1367" s="36" t="s">
        <v>9906</v>
      </c>
      <c r="B1367" t="s">
        <v>84</v>
      </c>
    </row>
    <row r="1368" spans="1:2" x14ac:dyDescent="0.2">
      <c r="A1368" s="36" t="s">
        <v>9891</v>
      </c>
      <c r="B1368" t="s">
        <v>105</v>
      </c>
    </row>
    <row r="1369" spans="1:2" x14ac:dyDescent="0.2">
      <c r="A1369" s="36" t="s">
        <v>9893</v>
      </c>
      <c r="B1369" t="s">
        <v>87</v>
      </c>
    </row>
    <row r="1370" spans="1:2" x14ac:dyDescent="0.2">
      <c r="A1370" s="36" t="s">
        <v>9903</v>
      </c>
      <c r="B1370" t="s">
        <v>98</v>
      </c>
    </row>
    <row r="1371" spans="1:2" x14ac:dyDescent="0.2">
      <c r="A1371" s="36" t="s">
        <v>9897</v>
      </c>
      <c r="B1371" t="s">
        <v>84</v>
      </c>
    </row>
    <row r="1372" spans="1:2" x14ac:dyDescent="0.2">
      <c r="A1372" s="36" t="s">
        <v>9896</v>
      </c>
      <c r="B1372" t="s">
        <v>105</v>
      </c>
    </row>
    <row r="1373" spans="1:2" x14ac:dyDescent="0.2">
      <c r="A1373" s="36" t="s">
        <v>9900</v>
      </c>
      <c r="B1373" t="s">
        <v>87</v>
      </c>
    </row>
    <row r="1374" spans="1:2" x14ac:dyDescent="0.2">
      <c r="A1374" s="36" t="s">
        <v>9902</v>
      </c>
      <c r="B1374" t="s">
        <v>98</v>
      </c>
    </row>
    <row r="1375" spans="1:2" x14ac:dyDescent="0.2">
      <c r="A1375" s="36" t="s">
        <v>9890</v>
      </c>
      <c r="B1375" t="s">
        <v>84</v>
      </c>
    </row>
    <row r="1376" spans="1:2" x14ac:dyDescent="0.2">
      <c r="A1376" s="36" t="s">
        <v>9895</v>
      </c>
      <c r="B1376" t="s">
        <v>105</v>
      </c>
    </row>
    <row r="1377" spans="1:2" x14ac:dyDescent="0.2">
      <c r="A1377" s="36" t="s">
        <v>9889</v>
      </c>
      <c r="B1377" t="s">
        <v>87</v>
      </c>
    </row>
    <row r="1378" spans="1:2" x14ac:dyDescent="0.2">
      <c r="A1378" s="36" t="s">
        <v>9911</v>
      </c>
      <c r="B1378" t="s">
        <v>93</v>
      </c>
    </row>
    <row r="1379" spans="1:2" x14ac:dyDescent="0.2">
      <c r="A1379" s="36" t="s">
        <v>9914</v>
      </c>
      <c r="B1379" t="s">
        <v>97</v>
      </c>
    </row>
    <row r="1380" spans="1:2" x14ac:dyDescent="0.2">
      <c r="A1380" s="36" t="s">
        <v>9913</v>
      </c>
      <c r="B1380" t="s">
        <v>101</v>
      </c>
    </row>
    <row r="1381" spans="1:2" x14ac:dyDescent="0.2">
      <c r="A1381" s="36" t="s">
        <v>9923</v>
      </c>
      <c r="B1381" t="s">
        <v>99</v>
      </c>
    </row>
    <row r="1382" spans="1:2" x14ac:dyDescent="0.2">
      <c r="A1382" s="36" t="s">
        <v>9918</v>
      </c>
      <c r="B1382" t="s">
        <v>104</v>
      </c>
    </row>
    <row r="1383" spans="1:2" x14ac:dyDescent="0.2">
      <c r="A1383" s="36" t="s">
        <v>9937</v>
      </c>
      <c r="B1383" t="s">
        <v>95</v>
      </c>
    </row>
    <row r="1384" spans="1:2" x14ac:dyDescent="0.2">
      <c r="A1384" s="36" t="s">
        <v>9935</v>
      </c>
      <c r="B1384" t="s">
        <v>92</v>
      </c>
    </row>
    <row r="1385" spans="1:2" x14ac:dyDescent="0.2">
      <c r="A1385" s="36" t="s">
        <v>9922</v>
      </c>
      <c r="B1385" t="s">
        <v>99</v>
      </c>
    </row>
    <row r="1386" spans="1:2" x14ac:dyDescent="0.2">
      <c r="A1386" s="36" t="s">
        <v>9917</v>
      </c>
      <c r="B1386" t="s">
        <v>104</v>
      </c>
    </row>
    <row r="1387" spans="1:2" x14ac:dyDescent="0.2">
      <c r="A1387" s="36" t="s">
        <v>9919</v>
      </c>
      <c r="B1387" t="s">
        <v>95</v>
      </c>
    </row>
    <row r="1388" spans="1:2" x14ac:dyDescent="0.2">
      <c r="A1388" s="36" t="s">
        <v>9932</v>
      </c>
      <c r="B1388" t="s">
        <v>92</v>
      </c>
    </row>
    <row r="1389" spans="1:2" x14ac:dyDescent="0.2">
      <c r="A1389" s="36" t="s">
        <v>9925</v>
      </c>
      <c r="B1389" t="s">
        <v>99</v>
      </c>
    </row>
    <row r="1390" spans="1:2" x14ac:dyDescent="0.2">
      <c r="A1390" s="36" t="s">
        <v>9941</v>
      </c>
      <c r="B1390" t="s">
        <v>104</v>
      </c>
    </row>
    <row r="1391" spans="1:2" x14ac:dyDescent="0.2">
      <c r="A1391" s="36" t="s">
        <v>9938</v>
      </c>
      <c r="B1391" t="s">
        <v>95</v>
      </c>
    </row>
    <row r="1392" spans="1:2" x14ac:dyDescent="0.2">
      <c r="A1392" s="36" t="s">
        <v>9933</v>
      </c>
      <c r="B1392" t="s">
        <v>92</v>
      </c>
    </row>
    <row r="1393" spans="1:2" x14ac:dyDescent="0.2">
      <c r="A1393" s="36" t="s">
        <v>9920</v>
      </c>
      <c r="B1393" t="s">
        <v>99</v>
      </c>
    </row>
    <row r="1394" spans="1:2" x14ac:dyDescent="0.2">
      <c r="A1394" s="36" t="s">
        <v>9927</v>
      </c>
      <c r="B1394" t="s">
        <v>104</v>
      </c>
    </row>
    <row r="1395" spans="1:2" x14ac:dyDescent="0.2">
      <c r="A1395" s="36" t="s">
        <v>9930</v>
      </c>
      <c r="B1395" t="s">
        <v>95</v>
      </c>
    </row>
    <row r="1396" spans="1:2" x14ac:dyDescent="0.2">
      <c r="A1396" s="36" t="s">
        <v>9928</v>
      </c>
      <c r="B1396" t="s">
        <v>92</v>
      </c>
    </row>
    <row r="1397" spans="1:2" x14ac:dyDescent="0.2">
      <c r="A1397" s="36" t="s">
        <v>9939</v>
      </c>
      <c r="B1397" t="s">
        <v>99</v>
      </c>
    </row>
    <row r="1398" spans="1:2" x14ac:dyDescent="0.2">
      <c r="A1398" s="36" t="s">
        <v>9936</v>
      </c>
      <c r="B1398" t="s">
        <v>104</v>
      </c>
    </row>
    <row r="1399" spans="1:2" x14ac:dyDescent="0.2">
      <c r="A1399" s="36" t="s">
        <v>9921</v>
      </c>
      <c r="B1399" t="s">
        <v>95</v>
      </c>
    </row>
    <row r="1400" spans="1:2" x14ac:dyDescent="0.2">
      <c r="A1400" s="36" t="s">
        <v>9931</v>
      </c>
      <c r="B1400" t="s">
        <v>92</v>
      </c>
    </row>
    <row r="1401" spans="1:2" x14ac:dyDescent="0.2">
      <c r="A1401" s="36" t="s">
        <v>9924</v>
      </c>
      <c r="B1401" t="s">
        <v>99</v>
      </c>
    </row>
    <row r="1402" spans="1:2" x14ac:dyDescent="0.2">
      <c r="A1402" s="36" t="s">
        <v>9929</v>
      </c>
      <c r="B1402" t="s">
        <v>104</v>
      </c>
    </row>
    <row r="1403" spans="1:2" x14ac:dyDescent="0.2">
      <c r="A1403" s="36" t="s">
        <v>9926</v>
      </c>
      <c r="B1403" t="s">
        <v>95</v>
      </c>
    </row>
    <row r="1404" spans="1:2" x14ac:dyDescent="0.2">
      <c r="A1404" s="36" t="s">
        <v>9916</v>
      </c>
      <c r="B1404" t="s">
        <v>92</v>
      </c>
    </row>
    <row r="1405" spans="1:2" x14ac:dyDescent="0.2">
      <c r="A1405" s="36" t="s">
        <v>9940</v>
      </c>
      <c r="B1405" t="s">
        <v>99</v>
      </c>
    </row>
    <row r="1406" spans="1:2" x14ac:dyDescent="0.2">
      <c r="A1406" s="36" t="s">
        <v>9934</v>
      </c>
      <c r="B1406" t="s">
        <v>104</v>
      </c>
    </row>
    <row r="1407" spans="1:2" x14ac:dyDescent="0.2">
      <c r="A1407" s="36" t="s">
        <v>9946</v>
      </c>
      <c r="B1407" t="s">
        <v>103</v>
      </c>
    </row>
    <row r="1408" spans="1:2" x14ac:dyDescent="0.2">
      <c r="A1408" s="36" t="s">
        <v>9944</v>
      </c>
      <c r="B1408" t="s">
        <v>93</v>
      </c>
    </row>
    <row r="1409" spans="1:2" x14ac:dyDescent="0.2">
      <c r="A1409" s="36" t="s">
        <v>9966</v>
      </c>
      <c r="B1409" t="s">
        <v>97</v>
      </c>
    </row>
    <row r="1410" spans="1:2" x14ac:dyDescent="0.2">
      <c r="A1410" s="36" t="s">
        <v>9971</v>
      </c>
      <c r="B1410" t="s">
        <v>96</v>
      </c>
    </row>
    <row r="1411" spans="1:2" x14ac:dyDescent="0.2">
      <c r="A1411" s="36" t="s">
        <v>9976</v>
      </c>
      <c r="B1411" t="s">
        <v>103</v>
      </c>
    </row>
    <row r="1412" spans="1:2" x14ac:dyDescent="0.2">
      <c r="A1412" s="36" t="s">
        <v>9950</v>
      </c>
      <c r="B1412" t="s">
        <v>93</v>
      </c>
    </row>
    <row r="1413" spans="1:2" x14ac:dyDescent="0.2">
      <c r="A1413" s="36" t="s">
        <v>9960</v>
      </c>
      <c r="B1413" t="s">
        <v>97</v>
      </c>
    </row>
    <row r="1414" spans="1:2" x14ac:dyDescent="0.2">
      <c r="A1414" s="36" t="s">
        <v>9983</v>
      </c>
      <c r="B1414" t="s">
        <v>96</v>
      </c>
    </row>
    <row r="1415" spans="1:2" x14ac:dyDescent="0.2">
      <c r="A1415" s="36" t="s">
        <v>9961</v>
      </c>
      <c r="B1415" t="s">
        <v>103</v>
      </c>
    </row>
    <row r="1416" spans="1:2" x14ac:dyDescent="0.2">
      <c r="A1416" s="36" t="s">
        <v>9974</v>
      </c>
      <c r="B1416" t="s">
        <v>93</v>
      </c>
    </row>
    <row r="1417" spans="1:2" x14ac:dyDescent="0.2">
      <c r="A1417" s="36" t="s">
        <v>9942</v>
      </c>
      <c r="B1417" t="s">
        <v>97</v>
      </c>
    </row>
    <row r="1418" spans="1:2" x14ac:dyDescent="0.2">
      <c r="A1418" s="36" t="s">
        <v>9953</v>
      </c>
      <c r="B1418" t="s">
        <v>96</v>
      </c>
    </row>
    <row r="1419" spans="1:2" x14ac:dyDescent="0.2">
      <c r="A1419" s="36" t="s">
        <v>9952</v>
      </c>
      <c r="B1419" t="s">
        <v>103</v>
      </c>
    </row>
    <row r="1420" spans="1:2" x14ac:dyDescent="0.2">
      <c r="A1420" s="36" t="s">
        <v>9948</v>
      </c>
      <c r="B1420" t="s">
        <v>93</v>
      </c>
    </row>
    <row r="1421" spans="1:2" x14ac:dyDescent="0.2">
      <c r="A1421" s="36" t="s">
        <v>9943</v>
      </c>
      <c r="B1421" t="s">
        <v>97</v>
      </c>
    </row>
    <row r="1422" spans="1:2" x14ac:dyDescent="0.2">
      <c r="A1422" s="36" t="s">
        <v>9954</v>
      </c>
      <c r="B1422" t="s">
        <v>96</v>
      </c>
    </row>
    <row r="1423" spans="1:2" x14ac:dyDescent="0.2">
      <c r="A1423" s="36" t="s">
        <v>9951</v>
      </c>
      <c r="B1423" t="s">
        <v>103</v>
      </c>
    </row>
    <row r="1424" spans="1:2" x14ac:dyDescent="0.2">
      <c r="A1424" s="36" t="s">
        <v>9955</v>
      </c>
      <c r="B1424" t="s">
        <v>93</v>
      </c>
    </row>
    <row r="1425" spans="1:2" x14ac:dyDescent="0.2">
      <c r="A1425" s="36" t="s">
        <v>9945</v>
      </c>
      <c r="B1425" t="s">
        <v>97</v>
      </c>
    </row>
    <row r="1426" spans="1:2" x14ac:dyDescent="0.2">
      <c r="A1426" s="36" t="s">
        <v>9975</v>
      </c>
      <c r="B1426" t="s">
        <v>96</v>
      </c>
    </row>
    <row r="1427" spans="1:2" x14ac:dyDescent="0.2">
      <c r="A1427" s="36" t="s">
        <v>9979</v>
      </c>
      <c r="B1427" t="s">
        <v>103</v>
      </c>
    </row>
    <row r="1428" spans="1:2" x14ac:dyDescent="0.2">
      <c r="A1428" s="36" t="s">
        <v>9967</v>
      </c>
      <c r="B1428" t="s">
        <v>93</v>
      </c>
    </row>
    <row r="1429" spans="1:2" x14ac:dyDescent="0.2">
      <c r="A1429" s="36" t="s">
        <v>9981</v>
      </c>
      <c r="B1429" t="s">
        <v>97</v>
      </c>
    </row>
    <row r="1430" spans="1:2" x14ac:dyDescent="0.2">
      <c r="A1430" s="36" t="s">
        <v>9968</v>
      </c>
      <c r="B1430" t="s">
        <v>96</v>
      </c>
    </row>
    <row r="1431" spans="1:2" x14ac:dyDescent="0.2">
      <c r="A1431" s="36" t="s">
        <v>9973</v>
      </c>
      <c r="B1431" t="s">
        <v>103</v>
      </c>
    </row>
    <row r="1432" spans="1:2" x14ac:dyDescent="0.2">
      <c r="A1432" s="36" t="s">
        <v>9956</v>
      </c>
      <c r="B1432" t="s">
        <v>93</v>
      </c>
    </row>
    <row r="1433" spans="1:2" x14ac:dyDescent="0.2">
      <c r="A1433" s="36" t="s">
        <v>9982</v>
      </c>
      <c r="B1433" t="s">
        <v>97</v>
      </c>
    </row>
    <row r="1434" spans="1:2" x14ac:dyDescent="0.2">
      <c r="A1434" s="36" t="s">
        <v>9949</v>
      </c>
      <c r="B1434" t="s">
        <v>96</v>
      </c>
    </row>
    <row r="1435" spans="1:2" x14ac:dyDescent="0.2">
      <c r="A1435" s="36" t="s">
        <v>9947</v>
      </c>
      <c r="B1435" t="s">
        <v>103</v>
      </c>
    </row>
    <row r="1436" spans="1:2" x14ac:dyDescent="0.2">
      <c r="A1436" s="36" t="s">
        <v>9980</v>
      </c>
      <c r="B1436" t="s">
        <v>93</v>
      </c>
    </row>
    <row r="1437" spans="1:2" x14ac:dyDescent="0.2">
      <c r="A1437" s="36" t="s">
        <v>9969</v>
      </c>
      <c r="B1437" t="s">
        <v>97</v>
      </c>
    </row>
    <row r="1438" spans="1:2" x14ac:dyDescent="0.2">
      <c r="A1438" s="36" t="s">
        <v>9958</v>
      </c>
      <c r="B1438" t="s">
        <v>96</v>
      </c>
    </row>
    <row r="1439" spans="1:2" x14ac:dyDescent="0.2">
      <c r="A1439" s="36" t="s">
        <v>9986</v>
      </c>
      <c r="B1439" t="s">
        <v>103</v>
      </c>
    </row>
    <row r="1440" spans="1:2" x14ac:dyDescent="0.2">
      <c r="A1440" s="36" t="s">
        <v>9977</v>
      </c>
      <c r="B1440" t="s">
        <v>93</v>
      </c>
    </row>
    <row r="1441" spans="1:2" x14ac:dyDescent="0.2">
      <c r="A1441" s="36" t="s">
        <v>9957</v>
      </c>
      <c r="B1441" t="s">
        <v>97</v>
      </c>
    </row>
    <row r="1442" spans="1:2" x14ac:dyDescent="0.2">
      <c r="A1442" s="36" t="s">
        <v>9984</v>
      </c>
      <c r="B1442" t="s">
        <v>96</v>
      </c>
    </row>
    <row r="1443" spans="1:2" x14ac:dyDescent="0.2">
      <c r="A1443" s="36" t="s">
        <v>9985</v>
      </c>
      <c r="B1443" t="s">
        <v>103</v>
      </c>
    </row>
    <row r="1444" spans="1:2" x14ac:dyDescent="0.2">
      <c r="A1444" s="36" t="s">
        <v>9962</v>
      </c>
      <c r="B1444" t="s">
        <v>93</v>
      </c>
    </row>
    <row r="1445" spans="1:2" x14ac:dyDescent="0.2">
      <c r="A1445" s="36" t="s">
        <v>9978</v>
      </c>
      <c r="B1445" t="s">
        <v>97</v>
      </c>
    </row>
    <row r="1446" spans="1:2" x14ac:dyDescent="0.2">
      <c r="A1446" s="36" t="s">
        <v>9959</v>
      </c>
      <c r="B1446" t="s">
        <v>96</v>
      </c>
    </row>
    <row r="1447" spans="1:2" x14ac:dyDescent="0.2">
      <c r="A1447" s="36" t="s">
        <v>9970</v>
      </c>
      <c r="B1447" t="s">
        <v>103</v>
      </c>
    </row>
    <row r="1448" spans="1:2" x14ac:dyDescent="0.2">
      <c r="A1448" s="36" t="s">
        <v>9963</v>
      </c>
      <c r="B1448" t="s">
        <v>93</v>
      </c>
    </row>
    <row r="1449" spans="1:2" x14ac:dyDescent="0.2">
      <c r="A1449" s="36" t="s">
        <v>9964</v>
      </c>
      <c r="B1449" t="s">
        <v>97</v>
      </c>
    </row>
    <row r="1450" spans="1:2" x14ac:dyDescent="0.2">
      <c r="A1450" s="36" t="s">
        <v>9972</v>
      </c>
      <c r="B1450" t="s">
        <v>96</v>
      </c>
    </row>
    <row r="1451" spans="1:2" x14ac:dyDescent="0.2">
      <c r="A1451" s="36" t="s">
        <v>9965</v>
      </c>
      <c r="B1451" t="s">
        <v>103</v>
      </c>
    </row>
    <row r="1452" spans="1:2" x14ac:dyDescent="0.2">
      <c r="A1452" s="36" t="s">
        <v>10332</v>
      </c>
      <c r="B1452" t="s">
        <v>90</v>
      </c>
    </row>
    <row r="1453" spans="1:2" x14ac:dyDescent="0.2">
      <c r="A1453" s="36" t="s">
        <v>10341</v>
      </c>
      <c r="B1453" t="s">
        <v>101</v>
      </c>
    </row>
    <row r="1454" spans="1:2" x14ac:dyDescent="0.2">
      <c r="A1454" s="36" t="s">
        <v>10336</v>
      </c>
      <c r="B1454" t="s">
        <v>100</v>
      </c>
    </row>
    <row r="1455" spans="1:2" x14ac:dyDescent="0.2">
      <c r="A1455" s="36" t="s">
        <v>10329</v>
      </c>
      <c r="B1455" t="s">
        <v>90</v>
      </c>
    </row>
    <row r="1456" spans="1:2" x14ac:dyDescent="0.2">
      <c r="A1456" s="36" t="s">
        <v>10337</v>
      </c>
      <c r="B1456" t="s">
        <v>101</v>
      </c>
    </row>
    <row r="1457" spans="1:2" x14ac:dyDescent="0.2">
      <c r="A1457" s="36" t="s">
        <v>10344</v>
      </c>
      <c r="B1457" t="s">
        <v>100</v>
      </c>
    </row>
    <row r="1458" spans="1:2" x14ac:dyDescent="0.2">
      <c r="A1458" s="36" t="s">
        <v>10345</v>
      </c>
      <c r="B1458" t="s">
        <v>90</v>
      </c>
    </row>
    <row r="1459" spans="1:2" x14ac:dyDescent="0.2">
      <c r="A1459" s="36" t="s">
        <v>10338</v>
      </c>
      <c r="B1459" t="s">
        <v>101</v>
      </c>
    </row>
    <row r="1460" spans="1:2" x14ac:dyDescent="0.2">
      <c r="A1460" s="36" t="s">
        <v>10343</v>
      </c>
      <c r="B1460" t="s">
        <v>100</v>
      </c>
    </row>
    <row r="1461" spans="1:2" x14ac:dyDescent="0.2">
      <c r="A1461" s="36" t="s">
        <v>10342</v>
      </c>
      <c r="B1461" t="s">
        <v>90</v>
      </c>
    </row>
    <row r="1462" spans="1:2" x14ac:dyDescent="0.2">
      <c r="A1462" s="36" t="s">
        <v>10340</v>
      </c>
      <c r="B1462" t="s">
        <v>101</v>
      </c>
    </row>
    <row r="1463" spans="1:2" x14ac:dyDescent="0.2">
      <c r="A1463" s="36" t="s">
        <v>10328</v>
      </c>
      <c r="B1463" t="s">
        <v>100</v>
      </c>
    </row>
    <row r="1464" spans="1:2" x14ac:dyDescent="0.2">
      <c r="A1464" s="36" t="s">
        <v>10333</v>
      </c>
      <c r="B1464" t="s">
        <v>90</v>
      </c>
    </row>
    <row r="1465" spans="1:2" x14ac:dyDescent="0.2">
      <c r="A1465" s="36" t="s">
        <v>10331</v>
      </c>
      <c r="B1465" t="s">
        <v>101</v>
      </c>
    </row>
    <row r="1466" spans="1:2" x14ac:dyDescent="0.2">
      <c r="A1466" s="36" t="s">
        <v>10330</v>
      </c>
      <c r="B1466" t="s">
        <v>100</v>
      </c>
    </row>
    <row r="1467" spans="1:2" x14ac:dyDescent="0.2">
      <c r="A1467" s="36" t="s">
        <v>10339</v>
      </c>
      <c r="B1467" t="s">
        <v>90</v>
      </c>
    </row>
    <row r="1468" spans="1:2" x14ac:dyDescent="0.2">
      <c r="A1468" s="36" t="s">
        <v>10334</v>
      </c>
      <c r="B1468" t="s">
        <v>101</v>
      </c>
    </row>
    <row r="1469" spans="1:2" x14ac:dyDescent="0.2">
      <c r="A1469" s="36" t="s">
        <v>10203</v>
      </c>
      <c r="B1469" t="s">
        <v>91</v>
      </c>
    </row>
    <row r="1470" spans="1:2" x14ac:dyDescent="0.2">
      <c r="A1470" s="36" t="s">
        <v>10314</v>
      </c>
      <c r="B1470" t="s">
        <v>89</v>
      </c>
    </row>
    <row r="1471" spans="1:2" x14ac:dyDescent="0.2">
      <c r="A1471" s="36" t="s">
        <v>9481</v>
      </c>
      <c r="B1471" t="s">
        <v>91</v>
      </c>
    </row>
    <row r="1472" spans="1:2" x14ac:dyDescent="0.2">
      <c r="A1472" s="36" t="s">
        <v>9509</v>
      </c>
      <c r="B1472" t="s">
        <v>91</v>
      </c>
    </row>
    <row r="1473" spans="1:2" x14ac:dyDescent="0.2">
      <c r="A1473" s="36" t="s">
        <v>10083</v>
      </c>
      <c r="B1473" t="s">
        <v>95</v>
      </c>
    </row>
    <row r="1474" spans="1:2" x14ac:dyDescent="0.2">
      <c r="A1474" s="36" t="s">
        <v>10084</v>
      </c>
      <c r="B1474" t="s">
        <v>98</v>
      </c>
    </row>
    <row r="1475" spans="1:2" x14ac:dyDescent="0.2">
      <c r="A1475" s="36" t="s">
        <v>10124</v>
      </c>
      <c r="B1475" t="s">
        <v>89</v>
      </c>
    </row>
    <row r="1476" spans="1:2" x14ac:dyDescent="0.2">
      <c r="A1476" s="36" t="s">
        <v>9886</v>
      </c>
      <c r="B1476" t="s">
        <v>89</v>
      </c>
    </row>
    <row r="1477" spans="1:2" x14ac:dyDescent="0.2">
      <c r="A1477" s="36" t="s">
        <v>9887</v>
      </c>
      <c r="B1477" t="s">
        <v>91</v>
      </c>
    </row>
    <row r="1478" spans="1:2" x14ac:dyDescent="0.2">
      <c r="A1478" s="36" t="s">
        <v>10285</v>
      </c>
      <c r="B1478" t="s">
        <v>89</v>
      </c>
    </row>
    <row r="1479" spans="1:2" x14ac:dyDescent="0.2">
      <c r="A1479" s="36" t="s">
        <v>10283</v>
      </c>
      <c r="B1479" t="s">
        <v>84</v>
      </c>
    </row>
    <row r="1480" spans="1:2" x14ac:dyDescent="0.2">
      <c r="A1480" s="36" t="s">
        <v>9532</v>
      </c>
      <c r="B1480" t="s">
        <v>90</v>
      </c>
    </row>
    <row r="1481" spans="1:2" x14ac:dyDescent="0.2">
      <c r="A1481" s="36" t="s">
        <v>9537</v>
      </c>
      <c r="B1481" t="s">
        <v>91</v>
      </c>
    </row>
    <row r="1482" spans="1:2" x14ac:dyDescent="0.2">
      <c r="A1482" s="36" t="s">
        <v>9539</v>
      </c>
      <c r="B1482" t="s">
        <v>89</v>
      </c>
    </row>
    <row r="1483" spans="1:2" x14ac:dyDescent="0.2">
      <c r="A1483" s="36" t="s">
        <v>9540</v>
      </c>
      <c r="B1483" t="s">
        <v>105</v>
      </c>
    </row>
    <row r="1484" spans="1:2" x14ac:dyDescent="0.2">
      <c r="A1484" s="36" t="s">
        <v>9541</v>
      </c>
      <c r="B1484" t="s">
        <v>84</v>
      </c>
    </row>
    <row r="1485" spans="1:2" x14ac:dyDescent="0.2">
      <c r="A1485" s="36" t="s">
        <v>9542</v>
      </c>
      <c r="B1485" t="s">
        <v>98</v>
      </c>
    </row>
    <row r="1486" spans="1:2" x14ac:dyDescent="0.2">
      <c r="A1486" s="36" t="s">
        <v>9543</v>
      </c>
      <c r="B1486" t="s">
        <v>87</v>
      </c>
    </row>
    <row r="1487" spans="1:2" x14ac:dyDescent="0.2">
      <c r="A1487" s="36" t="s">
        <v>10308</v>
      </c>
      <c r="B1487" t="s">
        <v>91</v>
      </c>
    </row>
    <row r="1488" spans="1:2" x14ac:dyDescent="0.2">
      <c r="A1488" s="36" t="s">
        <v>10309</v>
      </c>
      <c r="B1488" t="s">
        <v>89</v>
      </c>
    </row>
    <row r="1489" spans="1:2" x14ac:dyDescent="0.2">
      <c r="A1489" s="36" t="s">
        <v>10310</v>
      </c>
      <c r="B1489" t="s">
        <v>100</v>
      </c>
    </row>
    <row r="1490" spans="1:2" x14ac:dyDescent="0.2">
      <c r="A1490" s="36" t="s">
        <v>10311</v>
      </c>
      <c r="B1490" t="s">
        <v>105</v>
      </c>
    </row>
    <row r="1491" spans="1:2" x14ac:dyDescent="0.2">
      <c r="A1491" s="36" t="s">
        <v>10312</v>
      </c>
      <c r="B1491" t="s">
        <v>92</v>
      </c>
    </row>
    <row r="1492" spans="1:2" x14ac:dyDescent="0.2">
      <c r="A1492" s="36" t="s">
        <v>9772</v>
      </c>
      <c r="B1492" t="s">
        <v>98</v>
      </c>
    </row>
    <row r="1493" spans="1:2" x14ac:dyDescent="0.2">
      <c r="A1493" s="36" t="s">
        <v>9158</v>
      </c>
      <c r="B1493" t="s">
        <v>104</v>
      </c>
    </row>
    <row r="1494" spans="1:2" x14ac:dyDescent="0.2">
      <c r="A1494" s="36" t="s">
        <v>9170</v>
      </c>
      <c r="B1494" t="s">
        <v>84</v>
      </c>
    </row>
    <row r="1495" spans="1:2" x14ac:dyDescent="0.2">
      <c r="A1495" s="36" t="s">
        <v>9167</v>
      </c>
      <c r="B1495" t="s">
        <v>87</v>
      </c>
    </row>
    <row r="1496" spans="1:2" x14ac:dyDescent="0.2">
      <c r="A1496" s="36" t="s">
        <v>9591</v>
      </c>
      <c r="B1496" t="s">
        <v>91</v>
      </c>
    </row>
    <row r="1497" spans="1:2" x14ac:dyDescent="0.2">
      <c r="A1497" s="36" t="s">
        <v>9763</v>
      </c>
      <c r="B1497" t="s">
        <v>89</v>
      </c>
    </row>
    <row r="1498" spans="1:2" x14ac:dyDescent="0.2">
      <c r="A1498" s="36" t="s">
        <v>9764</v>
      </c>
      <c r="B1498" t="s">
        <v>101</v>
      </c>
    </row>
    <row r="1499" spans="1:2" x14ac:dyDescent="0.2">
      <c r="A1499" s="36" t="s">
        <v>9761</v>
      </c>
      <c r="B1499" t="s">
        <v>100</v>
      </c>
    </row>
    <row r="1500" spans="1:2" x14ac:dyDescent="0.2">
      <c r="A1500" s="36" t="s">
        <v>9762</v>
      </c>
      <c r="B1500" t="s">
        <v>105</v>
      </c>
    </row>
    <row r="1501" spans="1:2" x14ac:dyDescent="0.2">
      <c r="A1501" s="36" t="s">
        <v>9810</v>
      </c>
      <c r="B1501" t="s">
        <v>95</v>
      </c>
    </row>
    <row r="1502" spans="1:2" x14ac:dyDescent="0.2">
      <c r="A1502" s="36" t="s">
        <v>9915</v>
      </c>
      <c r="B1502" t="s">
        <v>92</v>
      </c>
    </row>
    <row r="1503" spans="1:2" x14ac:dyDescent="0.2">
      <c r="A1503" s="36" t="s">
        <v>10156</v>
      </c>
      <c r="B1503" t="s">
        <v>99</v>
      </c>
    </row>
    <row r="1504" spans="1:2" x14ac:dyDescent="0.2">
      <c r="A1504" s="36" t="s">
        <v>10171</v>
      </c>
      <c r="B1504" t="s">
        <v>84</v>
      </c>
    </row>
    <row r="1505" spans="1:2" x14ac:dyDescent="0.2">
      <c r="A1505" s="36" t="s">
        <v>10170</v>
      </c>
      <c r="B1505" t="s">
        <v>98</v>
      </c>
    </row>
    <row r="1506" spans="1:2" x14ac:dyDescent="0.2">
      <c r="A1506" s="36" t="s">
        <v>10169</v>
      </c>
      <c r="B1506" t="s">
        <v>87</v>
      </c>
    </row>
    <row r="1507" spans="1:2" x14ac:dyDescent="0.2">
      <c r="A1507" s="36" t="s">
        <v>10173</v>
      </c>
      <c r="B1507" t="s">
        <v>91</v>
      </c>
    </row>
    <row r="1508" spans="1:2" x14ac:dyDescent="0.2">
      <c r="A1508" s="36" t="s">
        <v>10167</v>
      </c>
      <c r="B1508" t="s">
        <v>84</v>
      </c>
    </row>
    <row r="1509" spans="1:2" x14ac:dyDescent="0.2">
      <c r="A1509" s="36" t="s">
        <v>10168</v>
      </c>
      <c r="B1509" t="s">
        <v>98</v>
      </c>
    </row>
    <row r="1510" spans="1:2" x14ac:dyDescent="0.2">
      <c r="A1510" s="36" t="s">
        <v>10276</v>
      </c>
      <c r="B1510" t="s">
        <v>89</v>
      </c>
    </row>
    <row r="1511" spans="1:2" x14ac:dyDescent="0.2">
      <c r="A1511" s="36" t="s">
        <v>10303</v>
      </c>
      <c r="B1511" t="s">
        <v>101</v>
      </c>
    </row>
    <row r="1512" spans="1:2" x14ac:dyDescent="0.2">
      <c r="A1512" s="36" t="s">
        <v>10335</v>
      </c>
      <c r="B1512" t="s">
        <v>100</v>
      </c>
    </row>
    <row r="1513" spans="1:2" x14ac:dyDescent="0.2">
      <c r="A1513" s="36" t="s">
        <v>10076</v>
      </c>
      <c r="B1513" t="s">
        <v>105</v>
      </c>
    </row>
    <row r="1514" spans="1:2" x14ac:dyDescent="0.2">
      <c r="A1514" s="36" t="s">
        <v>10078</v>
      </c>
      <c r="B1514" t="s">
        <v>90</v>
      </c>
    </row>
    <row r="1515" spans="1:2" x14ac:dyDescent="0.2">
      <c r="A1515" s="36" t="s">
        <v>10075</v>
      </c>
      <c r="B1515" t="s">
        <v>92</v>
      </c>
    </row>
    <row r="1516" spans="1:2" x14ac:dyDescent="0.2">
      <c r="A1516" s="36" t="s">
        <v>10062</v>
      </c>
      <c r="B1516" t="s">
        <v>99</v>
      </c>
    </row>
    <row r="1517" spans="1:2" x14ac:dyDescent="0.2">
      <c r="A1517" s="36" t="s">
        <v>10063</v>
      </c>
      <c r="B1517" t="s">
        <v>104</v>
      </c>
    </row>
    <row r="1518" spans="1:2" x14ac:dyDescent="0.2">
      <c r="A1518" s="36" t="s">
        <v>10067</v>
      </c>
      <c r="B1518" t="s">
        <v>95</v>
      </c>
    </row>
    <row r="1519" spans="1:2" x14ac:dyDescent="0.2">
      <c r="A1519" s="36" t="s">
        <v>10074</v>
      </c>
      <c r="B1519" t="s">
        <v>105</v>
      </c>
    </row>
    <row r="1520" spans="1:2" x14ac:dyDescent="0.2">
      <c r="A1520" s="36" t="s">
        <v>10079</v>
      </c>
      <c r="B1520" t="s">
        <v>90</v>
      </c>
    </row>
    <row r="1521" spans="1:2" x14ac:dyDescent="0.2">
      <c r="A1521" s="36" t="s">
        <v>10077</v>
      </c>
      <c r="B1521" t="s">
        <v>92</v>
      </c>
    </row>
    <row r="1522" spans="1:2" x14ac:dyDescent="0.2">
      <c r="A1522" s="36" t="s">
        <v>10069</v>
      </c>
      <c r="B1522" t="s">
        <v>99</v>
      </c>
    </row>
    <row r="1523" spans="1:2" x14ac:dyDescent="0.2">
      <c r="A1523" s="36" t="s">
        <v>10072</v>
      </c>
      <c r="B1523" t="s">
        <v>104</v>
      </c>
    </row>
    <row r="1524" spans="1:2" x14ac:dyDescent="0.2">
      <c r="A1524" s="36" t="s">
        <v>10071</v>
      </c>
      <c r="B1524" t="s">
        <v>95</v>
      </c>
    </row>
    <row r="1525" spans="1:2" x14ac:dyDescent="0.2">
      <c r="A1525" s="36" t="s">
        <v>10065</v>
      </c>
      <c r="B1525" t="s">
        <v>105</v>
      </c>
    </row>
    <row r="1526" spans="1:2" x14ac:dyDescent="0.2">
      <c r="A1526" s="36" t="s">
        <v>10068</v>
      </c>
      <c r="B1526" t="s">
        <v>90</v>
      </c>
    </row>
    <row r="1527" spans="1:2" x14ac:dyDescent="0.2">
      <c r="A1527" s="36" t="s">
        <v>10070</v>
      </c>
      <c r="B1527" t="s">
        <v>92</v>
      </c>
    </row>
    <row r="1528" spans="1:2" x14ac:dyDescent="0.2">
      <c r="A1528" s="36" t="s">
        <v>10066</v>
      </c>
      <c r="B1528" t="s">
        <v>99</v>
      </c>
    </row>
    <row r="1529" spans="1:2" x14ac:dyDescent="0.2">
      <c r="A1529" s="36" t="s">
        <v>10058</v>
      </c>
      <c r="B1529" t="s">
        <v>104</v>
      </c>
    </row>
    <row r="1530" spans="1:2" x14ac:dyDescent="0.2">
      <c r="A1530" s="36" t="s">
        <v>10061</v>
      </c>
      <c r="B1530" t="s">
        <v>95</v>
      </c>
    </row>
    <row r="1531" spans="1:2" x14ac:dyDescent="0.2">
      <c r="A1531" s="36" t="s">
        <v>10060</v>
      </c>
      <c r="B1531" t="s">
        <v>105</v>
      </c>
    </row>
    <row r="1532" spans="1:2" x14ac:dyDescent="0.2">
      <c r="A1532" s="36" t="s">
        <v>10064</v>
      </c>
      <c r="B1532" t="s">
        <v>90</v>
      </c>
    </row>
    <row r="1533" spans="1:2" x14ac:dyDescent="0.2">
      <c r="A1533" s="36" t="s">
        <v>10073</v>
      </c>
      <c r="B1533" t="s">
        <v>92</v>
      </c>
    </row>
    <row r="1534" spans="1:2" x14ac:dyDescent="0.2">
      <c r="A1534" s="36" t="s">
        <v>9579</v>
      </c>
      <c r="B1534" t="s">
        <v>87</v>
      </c>
    </row>
    <row r="1535" spans="1:2" x14ac:dyDescent="0.2">
      <c r="A1535" s="36" t="s">
        <v>9581</v>
      </c>
      <c r="B1535" t="s">
        <v>91</v>
      </c>
    </row>
    <row r="1536" spans="1:2" x14ac:dyDescent="0.2">
      <c r="A1536" s="36" t="s">
        <v>9580</v>
      </c>
      <c r="B1536" t="s">
        <v>89</v>
      </c>
    </row>
    <row r="1537" spans="1:2" x14ac:dyDescent="0.2">
      <c r="A1537" s="36" t="s">
        <v>9987</v>
      </c>
      <c r="B1537" t="s">
        <v>101</v>
      </c>
    </row>
    <row r="1538" spans="1:2" x14ac:dyDescent="0.2">
      <c r="A1538" s="36" t="s">
        <v>9988</v>
      </c>
      <c r="B1538" t="s">
        <v>100</v>
      </c>
    </row>
    <row r="1539" spans="1:2" x14ac:dyDescent="0.2">
      <c r="A1539" s="36" t="s">
        <v>9066</v>
      </c>
      <c r="B1539" t="s">
        <v>98</v>
      </c>
    </row>
    <row r="1540" spans="1:2" x14ac:dyDescent="0.2">
      <c r="A1540" s="36" t="s">
        <v>9175</v>
      </c>
      <c r="B1540" t="s">
        <v>87</v>
      </c>
    </row>
    <row r="1541" spans="1:2" x14ac:dyDescent="0.2">
      <c r="A1541" s="36" t="s">
        <v>9451</v>
      </c>
      <c r="B1541" t="s">
        <v>105</v>
      </c>
    </row>
    <row r="1542" spans="1:2" x14ac:dyDescent="0.2">
      <c r="A1542" s="36" t="s">
        <v>9765</v>
      </c>
      <c r="B1542" t="s">
        <v>84</v>
      </c>
    </row>
    <row r="1543" spans="1:2" x14ac:dyDescent="0.2">
      <c r="A1543" s="36" t="s">
        <v>9874</v>
      </c>
      <c r="B1543" t="s">
        <v>91</v>
      </c>
    </row>
    <row r="1544" spans="1:2" x14ac:dyDescent="0.2">
      <c r="A1544" s="36" t="s">
        <v>10126</v>
      </c>
      <c r="B1544" t="s">
        <v>89</v>
      </c>
    </row>
    <row r="1545" spans="1:2" x14ac:dyDescent="0.2">
      <c r="A1545" s="36" t="s">
        <v>10166</v>
      </c>
      <c r="B1545" t="s">
        <v>101</v>
      </c>
    </row>
    <row r="1546" spans="1:2" x14ac:dyDescent="0.2">
      <c r="A1546" s="36" t="s">
        <v>10306</v>
      </c>
      <c r="B1546" t="s">
        <v>87</v>
      </c>
    </row>
    <row r="1547" spans="1:2" x14ac:dyDescent="0.2">
      <c r="A1547" s="36" t="s">
        <v>9885</v>
      </c>
      <c r="B1547" t="s">
        <v>100</v>
      </c>
    </row>
    <row r="1548" spans="1:2" x14ac:dyDescent="0.2">
      <c r="A1548" s="36" t="s">
        <v>10059</v>
      </c>
      <c r="B1548" t="s">
        <v>99</v>
      </c>
    </row>
    <row r="1549" spans="1:2" x14ac:dyDescent="0.2">
      <c r="A1549" s="36" t="s">
        <v>9808</v>
      </c>
      <c r="B1549" t="s">
        <v>95</v>
      </c>
    </row>
    <row r="1550" spans="1:2" x14ac:dyDescent="0.2">
      <c r="A1550" s="36" t="s">
        <v>9912</v>
      </c>
      <c r="B1550" t="s">
        <v>84</v>
      </c>
    </row>
    <row r="1551" spans="1:2" x14ac:dyDescent="0.2">
      <c r="A1551" s="36" t="s">
        <v>10172</v>
      </c>
      <c r="B1551" t="s">
        <v>91</v>
      </c>
    </row>
    <row r="1552" spans="1:2" x14ac:dyDescent="0.2">
      <c r="A1552" s="36" t="s">
        <v>6038</v>
      </c>
      <c r="B1552" t="s">
        <v>94</v>
      </c>
    </row>
    <row r="1553" spans="1:2" x14ac:dyDescent="0.2">
      <c r="A1553" s="36" t="s">
        <v>6039</v>
      </c>
      <c r="B1553" t="s">
        <v>94</v>
      </c>
    </row>
    <row r="1554" spans="1:2" x14ac:dyDescent="0.2">
      <c r="A1554" s="36" t="s">
        <v>6040</v>
      </c>
      <c r="B1554" t="s">
        <v>94</v>
      </c>
    </row>
    <row r="1555" spans="1:2" x14ac:dyDescent="0.2">
      <c r="A1555" s="36" t="s">
        <v>6041</v>
      </c>
      <c r="B1555" t="s">
        <v>94</v>
      </c>
    </row>
    <row r="1556" spans="1:2" x14ac:dyDescent="0.2">
      <c r="A1556" s="36" t="s">
        <v>6043</v>
      </c>
      <c r="B1556" t="s">
        <v>91</v>
      </c>
    </row>
    <row r="1557" spans="1:2" x14ac:dyDescent="0.2">
      <c r="A1557" s="36" t="s">
        <v>6042</v>
      </c>
      <c r="B1557" t="s">
        <v>84</v>
      </c>
    </row>
    <row r="1558" spans="1:2" x14ac:dyDescent="0.2">
      <c r="A1558" s="36" t="s">
        <v>6045</v>
      </c>
      <c r="B1558" t="s">
        <v>91</v>
      </c>
    </row>
    <row r="1559" spans="1:2" x14ac:dyDescent="0.2">
      <c r="A1559" s="36" t="s">
        <v>6044</v>
      </c>
      <c r="B1559" t="s">
        <v>94</v>
      </c>
    </row>
    <row r="1560" spans="1:2" x14ac:dyDescent="0.2">
      <c r="A1560" s="36" t="s">
        <v>6048</v>
      </c>
      <c r="B1560" t="s">
        <v>84</v>
      </c>
    </row>
    <row r="1561" spans="1:2" x14ac:dyDescent="0.2">
      <c r="A1561" s="36" t="s">
        <v>6054</v>
      </c>
      <c r="B1561" t="s">
        <v>100</v>
      </c>
    </row>
    <row r="1562" spans="1:2" x14ac:dyDescent="0.2">
      <c r="A1562" s="36" t="s">
        <v>6050</v>
      </c>
      <c r="B1562" t="s">
        <v>94</v>
      </c>
    </row>
    <row r="1563" spans="1:2" x14ac:dyDescent="0.2">
      <c r="A1563" s="36" t="s">
        <v>6047</v>
      </c>
      <c r="B1563" t="s">
        <v>84</v>
      </c>
    </row>
    <row r="1564" spans="1:2" x14ac:dyDescent="0.2">
      <c r="A1564" s="36" t="s">
        <v>6046</v>
      </c>
      <c r="B1564" t="s">
        <v>100</v>
      </c>
    </row>
    <row r="1565" spans="1:2" x14ac:dyDescent="0.2">
      <c r="A1565" s="36" t="s">
        <v>6062</v>
      </c>
      <c r="B1565" t="s">
        <v>91</v>
      </c>
    </row>
    <row r="1566" spans="1:2" x14ac:dyDescent="0.2">
      <c r="A1566" s="36" t="s">
        <v>6053</v>
      </c>
      <c r="B1566" t="s">
        <v>94</v>
      </c>
    </row>
    <row r="1567" spans="1:2" x14ac:dyDescent="0.2">
      <c r="A1567" s="36" t="s">
        <v>6052</v>
      </c>
      <c r="B1567" t="s">
        <v>84</v>
      </c>
    </row>
    <row r="1568" spans="1:2" x14ac:dyDescent="0.2">
      <c r="A1568" s="36" t="s">
        <v>6051</v>
      </c>
      <c r="B1568" t="s">
        <v>100</v>
      </c>
    </row>
    <row r="1569" spans="1:2" x14ac:dyDescent="0.2">
      <c r="A1569" s="36" t="s">
        <v>6065</v>
      </c>
      <c r="B1569" t="s">
        <v>91</v>
      </c>
    </row>
    <row r="1570" spans="1:2" x14ac:dyDescent="0.2">
      <c r="A1570" s="36" t="s">
        <v>6058</v>
      </c>
      <c r="B1570" t="s">
        <v>98</v>
      </c>
    </row>
    <row r="1571" spans="1:2" x14ac:dyDescent="0.2">
      <c r="A1571" s="36" t="s">
        <v>6063</v>
      </c>
      <c r="B1571" t="s">
        <v>94</v>
      </c>
    </row>
    <row r="1572" spans="1:2" x14ac:dyDescent="0.2">
      <c r="A1572" s="36" t="s">
        <v>6057</v>
      </c>
      <c r="B1572" t="s">
        <v>84</v>
      </c>
    </row>
    <row r="1573" spans="1:2" x14ac:dyDescent="0.2">
      <c r="A1573" s="36" t="s">
        <v>6066</v>
      </c>
      <c r="B1573" t="s">
        <v>100</v>
      </c>
    </row>
    <row r="1574" spans="1:2" x14ac:dyDescent="0.2">
      <c r="A1574" s="36" t="s">
        <v>6049</v>
      </c>
      <c r="B1574" t="s">
        <v>91</v>
      </c>
    </row>
    <row r="1575" spans="1:2" x14ac:dyDescent="0.2">
      <c r="A1575" s="36" t="s">
        <v>6064</v>
      </c>
      <c r="B1575" t="s">
        <v>98</v>
      </c>
    </row>
    <row r="1576" spans="1:2" x14ac:dyDescent="0.2">
      <c r="A1576" s="36" t="s">
        <v>6061</v>
      </c>
      <c r="B1576" t="s">
        <v>94</v>
      </c>
    </row>
    <row r="1577" spans="1:2" x14ac:dyDescent="0.2">
      <c r="A1577" s="36" t="s">
        <v>6060</v>
      </c>
      <c r="B1577" t="s">
        <v>84</v>
      </c>
    </row>
    <row r="1578" spans="1:2" x14ac:dyDescent="0.2">
      <c r="A1578" s="36" t="s">
        <v>6056</v>
      </c>
      <c r="B1578" t="s">
        <v>84</v>
      </c>
    </row>
    <row r="1579" spans="1:2" x14ac:dyDescent="0.2">
      <c r="A1579" s="36" t="s">
        <v>6055</v>
      </c>
      <c r="B1579" t="s">
        <v>100</v>
      </c>
    </row>
    <row r="1580" spans="1:2" x14ac:dyDescent="0.2">
      <c r="A1580" s="36" t="s">
        <v>6059</v>
      </c>
      <c r="B1580" t="s">
        <v>91</v>
      </c>
    </row>
    <row r="1581" spans="1:2" x14ac:dyDescent="0.2">
      <c r="A1581" s="36" t="s">
        <v>6078</v>
      </c>
      <c r="B1581" t="s">
        <v>98</v>
      </c>
    </row>
    <row r="1582" spans="1:2" x14ac:dyDescent="0.2">
      <c r="A1582" s="36" t="s">
        <v>6071</v>
      </c>
      <c r="B1582" t="s">
        <v>94</v>
      </c>
    </row>
    <row r="1583" spans="1:2" x14ac:dyDescent="0.2">
      <c r="A1583" s="36" t="s">
        <v>6070</v>
      </c>
      <c r="B1583" t="s">
        <v>84</v>
      </c>
    </row>
    <row r="1584" spans="1:2" x14ac:dyDescent="0.2">
      <c r="A1584" s="36" t="s">
        <v>6085</v>
      </c>
      <c r="B1584" t="s">
        <v>100</v>
      </c>
    </row>
    <row r="1585" spans="1:2" x14ac:dyDescent="0.2">
      <c r="A1585" s="36" t="s">
        <v>6076</v>
      </c>
      <c r="B1585" t="s">
        <v>91</v>
      </c>
    </row>
    <row r="1586" spans="1:2" x14ac:dyDescent="0.2">
      <c r="A1586" s="36" t="s">
        <v>6081</v>
      </c>
      <c r="B1586" t="s">
        <v>98</v>
      </c>
    </row>
    <row r="1587" spans="1:2" x14ac:dyDescent="0.2">
      <c r="A1587" s="36" t="s">
        <v>6073</v>
      </c>
      <c r="B1587" t="s">
        <v>94</v>
      </c>
    </row>
    <row r="1588" spans="1:2" x14ac:dyDescent="0.2">
      <c r="A1588" s="36" t="s">
        <v>6083</v>
      </c>
      <c r="B1588" t="s">
        <v>84</v>
      </c>
    </row>
    <row r="1589" spans="1:2" x14ac:dyDescent="0.2">
      <c r="A1589" s="36" t="s">
        <v>6074</v>
      </c>
      <c r="B1589" t="s">
        <v>100</v>
      </c>
    </row>
    <row r="1590" spans="1:2" x14ac:dyDescent="0.2">
      <c r="A1590" s="36" t="s">
        <v>6072</v>
      </c>
      <c r="B1590" t="s">
        <v>91</v>
      </c>
    </row>
    <row r="1591" spans="1:2" x14ac:dyDescent="0.2">
      <c r="A1591" s="36" t="s">
        <v>6075</v>
      </c>
      <c r="B1591" t="s">
        <v>98</v>
      </c>
    </row>
    <row r="1592" spans="1:2" x14ac:dyDescent="0.2">
      <c r="A1592" s="36" t="s">
        <v>6086</v>
      </c>
      <c r="B1592" t="s">
        <v>94</v>
      </c>
    </row>
    <row r="1593" spans="1:2" x14ac:dyDescent="0.2">
      <c r="A1593" s="36" t="s">
        <v>6087</v>
      </c>
      <c r="B1593" t="s">
        <v>84</v>
      </c>
    </row>
    <row r="1594" spans="1:2" x14ac:dyDescent="0.2">
      <c r="A1594" s="36" t="s">
        <v>6077</v>
      </c>
      <c r="B1594" t="s">
        <v>100</v>
      </c>
    </row>
    <row r="1595" spans="1:2" x14ac:dyDescent="0.2">
      <c r="A1595" s="36" t="s">
        <v>6080</v>
      </c>
      <c r="B1595" t="s">
        <v>91</v>
      </c>
    </row>
    <row r="1596" spans="1:2" x14ac:dyDescent="0.2">
      <c r="A1596" s="36" t="s">
        <v>6082</v>
      </c>
      <c r="B1596" t="s">
        <v>98</v>
      </c>
    </row>
    <row r="1597" spans="1:2" x14ac:dyDescent="0.2">
      <c r="A1597" s="36" t="s">
        <v>6068</v>
      </c>
      <c r="B1597" t="s">
        <v>94</v>
      </c>
    </row>
    <row r="1598" spans="1:2" x14ac:dyDescent="0.2">
      <c r="A1598" s="36" t="s">
        <v>6079</v>
      </c>
      <c r="B1598" t="s">
        <v>84</v>
      </c>
    </row>
    <row r="1599" spans="1:2" x14ac:dyDescent="0.2">
      <c r="A1599" s="36" t="s">
        <v>6067</v>
      </c>
      <c r="B1599" t="s">
        <v>100</v>
      </c>
    </row>
    <row r="1600" spans="1:2" x14ac:dyDescent="0.2">
      <c r="A1600" s="36" t="s">
        <v>6084</v>
      </c>
      <c r="B1600" t="s">
        <v>91</v>
      </c>
    </row>
    <row r="1601" spans="1:2" x14ac:dyDescent="0.2">
      <c r="A1601" s="36" t="s">
        <v>6069</v>
      </c>
      <c r="B1601" t="s">
        <v>91</v>
      </c>
    </row>
    <row r="1602" spans="1:2" x14ac:dyDescent="0.2">
      <c r="A1602" s="36" t="s">
        <v>6095</v>
      </c>
      <c r="B1602" t="s">
        <v>96</v>
      </c>
    </row>
    <row r="1603" spans="1:2" x14ac:dyDescent="0.2">
      <c r="A1603" s="36" t="s">
        <v>6094</v>
      </c>
      <c r="B1603" t="s">
        <v>96</v>
      </c>
    </row>
    <row r="1604" spans="1:2" x14ac:dyDescent="0.2">
      <c r="A1604" s="36" t="s">
        <v>6091</v>
      </c>
      <c r="B1604" t="s">
        <v>88</v>
      </c>
    </row>
    <row r="1605" spans="1:2" x14ac:dyDescent="0.2">
      <c r="A1605" s="36" t="s">
        <v>6092</v>
      </c>
      <c r="B1605" t="s">
        <v>96</v>
      </c>
    </row>
    <row r="1606" spans="1:2" x14ac:dyDescent="0.2">
      <c r="A1606" s="36" t="s">
        <v>6090</v>
      </c>
      <c r="B1606" t="s">
        <v>88</v>
      </c>
    </row>
    <row r="1607" spans="1:2" x14ac:dyDescent="0.2">
      <c r="A1607" s="36" t="s">
        <v>6093</v>
      </c>
      <c r="B1607" t="s">
        <v>96</v>
      </c>
    </row>
    <row r="1608" spans="1:2" x14ac:dyDescent="0.2">
      <c r="A1608" s="36" t="s">
        <v>6098</v>
      </c>
      <c r="B1608" t="s">
        <v>88</v>
      </c>
    </row>
    <row r="1609" spans="1:2" x14ac:dyDescent="0.2">
      <c r="A1609" s="36" t="s">
        <v>6096</v>
      </c>
      <c r="B1609" t="s">
        <v>96</v>
      </c>
    </row>
    <row r="1610" spans="1:2" x14ac:dyDescent="0.2">
      <c r="A1610" s="36" t="s">
        <v>6089</v>
      </c>
      <c r="B1610" t="s">
        <v>88</v>
      </c>
    </row>
    <row r="1611" spans="1:2" x14ac:dyDescent="0.2">
      <c r="A1611" s="36" t="s">
        <v>6097</v>
      </c>
      <c r="B1611" t="s">
        <v>96</v>
      </c>
    </row>
    <row r="1612" spans="1:2" x14ac:dyDescent="0.2">
      <c r="A1612" s="36" t="s">
        <v>6088</v>
      </c>
      <c r="B1612" t="s">
        <v>88</v>
      </c>
    </row>
    <row r="1613" spans="1:2" x14ac:dyDescent="0.2">
      <c r="A1613" s="36" t="s">
        <v>6104</v>
      </c>
      <c r="B1613" t="s">
        <v>96</v>
      </c>
    </row>
    <row r="1614" spans="1:2" x14ac:dyDescent="0.2">
      <c r="A1614" s="36" t="s">
        <v>6103</v>
      </c>
      <c r="B1614" t="s">
        <v>88</v>
      </c>
    </row>
    <row r="1615" spans="1:2" x14ac:dyDescent="0.2">
      <c r="A1615" s="36" t="s">
        <v>6102</v>
      </c>
      <c r="B1615" t="s">
        <v>96</v>
      </c>
    </row>
    <row r="1616" spans="1:2" x14ac:dyDescent="0.2">
      <c r="A1616" s="36" t="s">
        <v>6099</v>
      </c>
      <c r="B1616" t="s">
        <v>88</v>
      </c>
    </row>
    <row r="1617" spans="1:2" x14ac:dyDescent="0.2">
      <c r="A1617" s="36" t="s">
        <v>6100</v>
      </c>
      <c r="B1617" t="s">
        <v>88</v>
      </c>
    </row>
    <row r="1618" spans="1:2" x14ac:dyDescent="0.2">
      <c r="A1618" s="36" t="s">
        <v>6105</v>
      </c>
      <c r="B1618" t="s">
        <v>96</v>
      </c>
    </row>
    <row r="1619" spans="1:2" x14ac:dyDescent="0.2">
      <c r="A1619" s="36" t="s">
        <v>6101</v>
      </c>
      <c r="B1619" t="s">
        <v>98</v>
      </c>
    </row>
    <row r="1620" spans="1:2" x14ac:dyDescent="0.2">
      <c r="A1620" s="36" t="s">
        <v>6106</v>
      </c>
      <c r="B1620" t="s">
        <v>88</v>
      </c>
    </row>
    <row r="1621" spans="1:2" x14ac:dyDescent="0.2">
      <c r="A1621" s="36" t="s">
        <v>6109</v>
      </c>
      <c r="B1621" t="s">
        <v>94</v>
      </c>
    </row>
    <row r="1622" spans="1:2" x14ac:dyDescent="0.2">
      <c r="A1622" s="36" t="s">
        <v>6107</v>
      </c>
      <c r="B1622" t="s">
        <v>96</v>
      </c>
    </row>
    <row r="1623" spans="1:2" x14ac:dyDescent="0.2">
      <c r="A1623" s="36" t="s">
        <v>6111</v>
      </c>
      <c r="B1623" t="s">
        <v>98</v>
      </c>
    </row>
    <row r="1624" spans="1:2" x14ac:dyDescent="0.2">
      <c r="A1624" s="36" t="s">
        <v>6113</v>
      </c>
      <c r="B1624" t="s">
        <v>84</v>
      </c>
    </row>
    <row r="1625" spans="1:2" x14ac:dyDescent="0.2">
      <c r="A1625" s="36" t="s">
        <v>6117</v>
      </c>
      <c r="B1625" t="s">
        <v>88</v>
      </c>
    </row>
    <row r="1626" spans="1:2" x14ac:dyDescent="0.2">
      <c r="A1626" s="36" t="s">
        <v>6108</v>
      </c>
      <c r="B1626" t="s">
        <v>94</v>
      </c>
    </row>
    <row r="1627" spans="1:2" x14ac:dyDescent="0.2">
      <c r="A1627" s="36" t="s">
        <v>6116</v>
      </c>
      <c r="B1627" t="s">
        <v>96</v>
      </c>
    </row>
    <row r="1628" spans="1:2" x14ac:dyDescent="0.2">
      <c r="A1628" s="36" t="s">
        <v>6115</v>
      </c>
      <c r="B1628" t="s">
        <v>98</v>
      </c>
    </row>
    <row r="1629" spans="1:2" x14ac:dyDescent="0.2">
      <c r="A1629" s="36" t="s">
        <v>6110</v>
      </c>
      <c r="B1629" t="s">
        <v>84</v>
      </c>
    </row>
    <row r="1630" spans="1:2" x14ac:dyDescent="0.2">
      <c r="A1630" s="36" t="s">
        <v>6114</v>
      </c>
      <c r="B1630" t="s">
        <v>88</v>
      </c>
    </row>
    <row r="1631" spans="1:2" x14ac:dyDescent="0.2">
      <c r="A1631" s="36" t="s">
        <v>6118</v>
      </c>
      <c r="B1631" t="s">
        <v>96</v>
      </c>
    </row>
    <row r="1632" spans="1:2" x14ac:dyDescent="0.2">
      <c r="A1632" s="36" t="s">
        <v>6112</v>
      </c>
      <c r="B1632" t="s">
        <v>94</v>
      </c>
    </row>
    <row r="1633" spans="1:2" x14ac:dyDescent="0.2">
      <c r="A1633" s="36" t="s">
        <v>6128</v>
      </c>
      <c r="B1633" t="s">
        <v>100</v>
      </c>
    </row>
    <row r="1634" spans="1:2" x14ac:dyDescent="0.2">
      <c r="A1634" s="36" t="s">
        <v>6125</v>
      </c>
      <c r="B1634" t="s">
        <v>99</v>
      </c>
    </row>
    <row r="1635" spans="1:2" x14ac:dyDescent="0.2">
      <c r="A1635" s="36" t="s">
        <v>6126</v>
      </c>
      <c r="B1635" t="s">
        <v>103</v>
      </c>
    </row>
    <row r="1636" spans="1:2" x14ac:dyDescent="0.2">
      <c r="A1636" s="36" t="s">
        <v>6127</v>
      </c>
      <c r="B1636" t="s">
        <v>91</v>
      </c>
    </row>
    <row r="1637" spans="1:2" x14ac:dyDescent="0.2">
      <c r="A1637" s="36" t="s">
        <v>6130</v>
      </c>
      <c r="B1637" t="s">
        <v>100</v>
      </c>
    </row>
    <row r="1638" spans="1:2" x14ac:dyDescent="0.2">
      <c r="A1638" s="36" t="s">
        <v>6119</v>
      </c>
      <c r="B1638" t="s">
        <v>91</v>
      </c>
    </row>
    <row r="1639" spans="1:2" x14ac:dyDescent="0.2">
      <c r="A1639" s="36" t="s">
        <v>6124</v>
      </c>
      <c r="B1639" t="s">
        <v>99</v>
      </c>
    </row>
    <row r="1640" spans="1:2" x14ac:dyDescent="0.2">
      <c r="A1640" s="36" t="s">
        <v>6121</v>
      </c>
      <c r="B1640" t="s">
        <v>103</v>
      </c>
    </row>
    <row r="1641" spans="1:2" x14ac:dyDescent="0.2">
      <c r="A1641" s="36" t="s">
        <v>6129</v>
      </c>
      <c r="B1641" t="s">
        <v>96</v>
      </c>
    </row>
    <row r="1642" spans="1:2" x14ac:dyDescent="0.2">
      <c r="A1642" s="36" t="s">
        <v>6120</v>
      </c>
      <c r="B1642" t="s">
        <v>100</v>
      </c>
    </row>
    <row r="1643" spans="1:2" x14ac:dyDescent="0.2">
      <c r="A1643" s="36" t="s">
        <v>6122</v>
      </c>
      <c r="B1643" t="s">
        <v>91</v>
      </c>
    </row>
    <row r="1644" spans="1:2" x14ac:dyDescent="0.2">
      <c r="A1644" s="36" t="s">
        <v>6123</v>
      </c>
      <c r="B1644" t="s">
        <v>99</v>
      </c>
    </row>
    <row r="1645" spans="1:2" x14ac:dyDescent="0.2">
      <c r="A1645" s="36" t="s">
        <v>6131</v>
      </c>
      <c r="B1645" t="s">
        <v>95</v>
      </c>
    </row>
    <row r="1646" spans="1:2" x14ac:dyDescent="0.2">
      <c r="A1646" s="36" t="s">
        <v>6133</v>
      </c>
      <c r="B1646" t="s">
        <v>98</v>
      </c>
    </row>
    <row r="1647" spans="1:2" x14ac:dyDescent="0.2">
      <c r="A1647" s="36" t="s">
        <v>6132</v>
      </c>
      <c r="B1647" t="s">
        <v>95</v>
      </c>
    </row>
    <row r="1648" spans="1:2" x14ac:dyDescent="0.2">
      <c r="A1648" s="36" t="s">
        <v>6134</v>
      </c>
      <c r="B1648" t="s">
        <v>84</v>
      </c>
    </row>
    <row r="1649" spans="1:2" x14ac:dyDescent="0.2">
      <c r="A1649" s="36" t="s">
        <v>6155</v>
      </c>
      <c r="B1649" t="s">
        <v>88</v>
      </c>
    </row>
    <row r="1650" spans="1:2" x14ac:dyDescent="0.2">
      <c r="A1650" s="36" t="s">
        <v>6149</v>
      </c>
      <c r="B1650" t="s">
        <v>95</v>
      </c>
    </row>
    <row r="1651" spans="1:2" x14ac:dyDescent="0.2">
      <c r="A1651" s="36" t="s">
        <v>6148</v>
      </c>
      <c r="B1651" t="s">
        <v>94</v>
      </c>
    </row>
    <row r="1652" spans="1:2" x14ac:dyDescent="0.2">
      <c r="A1652" s="36" t="s">
        <v>6147</v>
      </c>
      <c r="B1652" t="s">
        <v>88</v>
      </c>
    </row>
    <row r="1653" spans="1:2" x14ac:dyDescent="0.2">
      <c r="A1653" s="36" t="s">
        <v>6150</v>
      </c>
      <c r="B1653" t="s">
        <v>95</v>
      </c>
    </row>
    <row r="1654" spans="1:2" x14ac:dyDescent="0.2">
      <c r="A1654" s="36" t="s">
        <v>6146</v>
      </c>
      <c r="B1654" t="s">
        <v>94</v>
      </c>
    </row>
    <row r="1655" spans="1:2" x14ac:dyDescent="0.2">
      <c r="A1655" s="36" t="s">
        <v>6142</v>
      </c>
      <c r="B1655" t="s">
        <v>88</v>
      </c>
    </row>
    <row r="1656" spans="1:2" x14ac:dyDescent="0.2">
      <c r="A1656" s="36" t="s">
        <v>6145</v>
      </c>
      <c r="B1656" t="s">
        <v>95</v>
      </c>
    </row>
    <row r="1657" spans="1:2" x14ac:dyDescent="0.2">
      <c r="A1657" s="36" t="s">
        <v>6136</v>
      </c>
      <c r="B1657" t="s">
        <v>94</v>
      </c>
    </row>
    <row r="1658" spans="1:2" x14ac:dyDescent="0.2">
      <c r="A1658" s="36" t="s">
        <v>6153</v>
      </c>
      <c r="B1658" t="s">
        <v>88</v>
      </c>
    </row>
    <row r="1659" spans="1:2" x14ac:dyDescent="0.2">
      <c r="A1659" s="36" t="s">
        <v>6139</v>
      </c>
      <c r="B1659" t="s">
        <v>95</v>
      </c>
    </row>
    <row r="1660" spans="1:2" x14ac:dyDescent="0.2">
      <c r="A1660" s="36" t="s">
        <v>6140</v>
      </c>
      <c r="B1660" t="s">
        <v>94</v>
      </c>
    </row>
    <row r="1661" spans="1:2" x14ac:dyDescent="0.2">
      <c r="A1661" s="36" t="s">
        <v>6156</v>
      </c>
      <c r="B1661" t="s">
        <v>88</v>
      </c>
    </row>
    <row r="1662" spans="1:2" x14ac:dyDescent="0.2">
      <c r="A1662" s="36" t="s">
        <v>6144</v>
      </c>
      <c r="B1662" t="s">
        <v>95</v>
      </c>
    </row>
    <row r="1663" spans="1:2" x14ac:dyDescent="0.2">
      <c r="A1663" s="36" t="s">
        <v>6137</v>
      </c>
      <c r="B1663" t="s">
        <v>94</v>
      </c>
    </row>
    <row r="1664" spans="1:2" x14ac:dyDescent="0.2">
      <c r="A1664" s="36" t="s">
        <v>6135</v>
      </c>
      <c r="B1664" t="s">
        <v>88</v>
      </c>
    </row>
    <row r="1665" spans="1:2" x14ac:dyDescent="0.2">
      <c r="A1665" s="36" t="s">
        <v>6151</v>
      </c>
      <c r="B1665" t="s">
        <v>95</v>
      </c>
    </row>
    <row r="1666" spans="1:2" x14ac:dyDescent="0.2">
      <c r="A1666" s="36" t="s">
        <v>6143</v>
      </c>
      <c r="B1666" t="s">
        <v>94</v>
      </c>
    </row>
    <row r="1667" spans="1:2" x14ac:dyDescent="0.2">
      <c r="A1667" s="36" t="s">
        <v>6154</v>
      </c>
      <c r="B1667" t="s">
        <v>88</v>
      </c>
    </row>
    <row r="1668" spans="1:2" x14ac:dyDescent="0.2">
      <c r="A1668" s="36" t="s">
        <v>6152</v>
      </c>
      <c r="B1668" t="s">
        <v>95</v>
      </c>
    </row>
    <row r="1669" spans="1:2" x14ac:dyDescent="0.2">
      <c r="A1669" s="36" t="s">
        <v>6138</v>
      </c>
      <c r="B1669" t="s">
        <v>88</v>
      </c>
    </row>
    <row r="1670" spans="1:2" x14ac:dyDescent="0.2">
      <c r="A1670" s="36" t="s">
        <v>6141</v>
      </c>
      <c r="B1670" t="s">
        <v>94</v>
      </c>
    </row>
    <row r="1671" spans="1:2" x14ac:dyDescent="0.2">
      <c r="A1671" s="36" t="s">
        <v>6194</v>
      </c>
      <c r="B1671" t="s">
        <v>98</v>
      </c>
    </row>
    <row r="1672" spans="1:2" x14ac:dyDescent="0.2">
      <c r="A1672" s="36" t="s">
        <v>6170</v>
      </c>
      <c r="B1672" t="s">
        <v>103</v>
      </c>
    </row>
    <row r="1673" spans="1:2" x14ac:dyDescent="0.2">
      <c r="A1673" s="36" t="s">
        <v>6185</v>
      </c>
      <c r="B1673" t="s">
        <v>96</v>
      </c>
    </row>
    <row r="1674" spans="1:2" x14ac:dyDescent="0.2">
      <c r="A1674" s="36" t="s">
        <v>6187</v>
      </c>
      <c r="B1674" t="s">
        <v>84</v>
      </c>
    </row>
    <row r="1675" spans="1:2" x14ac:dyDescent="0.2">
      <c r="A1675" s="36" t="s">
        <v>6180</v>
      </c>
      <c r="B1675" t="s">
        <v>98</v>
      </c>
    </row>
    <row r="1676" spans="1:2" x14ac:dyDescent="0.2">
      <c r="A1676" s="36" t="s">
        <v>6161</v>
      </c>
      <c r="B1676" t="s">
        <v>103</v>
      </c>
    </row>
    <row r="1677" spans="1:2" x14ac:dyDescent="0.2">
      <c r="A1677" s="36" t="s">
        <v>6204</v>
      </c>
      <c r="B1677" t="s">
        <v>96</v>
      </c>
    </row>
    <row r="1678" spans="1:2" x14ac:dyDescent="0.2">
      <c r="A1678" s="36" t="s">
        <v>6207</v>
      </c>
      <c r="B1678" t="s">
        <v>84</v>
      </c>
    </row>
    <row r="1679" spans="1:2" x14ac:dyDescent="0.2">
      <c r="A1679" s="36" t="s">
        <v>6172</v>
      </c>
      <c r="B1679" t="s">
        <v>98</v>
      </c>
    </row>
    <row r="1680" spans="1:2" x14ac:dyDescent="0.2">
      <c r="A1680" s="36" t="s">
        <v>6203</v>
      </c>
      <c r="B1680" t="s">
        <v>103</v>
      </c>
    </row>
    <row r="1681" spans="1:2" x14ac:dyDescent="0.2">
      <c r="A1681" s="36" t="s">
        <v>6202</v>
      </c>
      <c r="B1681" t="s">
        <v>96</v>
      </c>
    </row>
    <row r="1682" spans="1:2" x14ac:dyDescent="0.2">
      <c r="A1682" s="36" t="s">
        <v>6206</v>
      </c>
      <c r="B1682" t="s">
        <v>84</v>
      </c>
    </row>
    <row r="1683" spans="1:2" x14ac:dyDescent="0.2">
      <c r="A1683" s="36" t="s">
        <v>6201</v>
      </c>
      <c r="B1683" t="s">
        <v>98</v>
      </c>
    </row>
    <row r="1684" spans="1:2" x14ac:dyDescent="0.2">
      <c r="A1684" s="36" t="s">
        <v>6210</v>
      </c>
      <c r="B1684" t="s">
        <v>103</v>
      </c>
    </row>
    <row r="1685" spans="1:2" x14ac:dyDescent="0.2">
      <c r="A1685" s="36" t="s">
        <v>6190</v>
      </c>
      <c r="B1685" t="s">
        <v>96</v>
      </c>
    </row>
    <row r="1686" spans="1:2" x14ac:dyDescent="0.2">
      <c r="A1686" s="36" t="s">
        <v>6186</v>
      </c>
      <c r="B1686" t="s">
        <v>84</v>
      </c>
    </row>
    <row r="1687" spans="1:2" x14ac:dyDescent="0.2">
      <c r="A1687" s="36" t="s">
        <v>6205</v>
      </c>
      <c r="B1687" t="s">
        <v>98</v>
      </c>
    </row>
    <row r="1688" spans="1:2" x14ac:dyDescent="0.2">
      <c r="A1688" s="36" t="s">
        <v>6191</v>
      </c>
      <c r="B1688" t="s">
        <v>103</v>
      </c>
    </row>
    <row r="1689" spans="1:2" x14ac:dyDescent="0.2">
      <c r="A1689" s="36" t="s">
        <v>6188</v>
      </c>
      <c r="B1689" t="s">
        <v>96</v>
      </c>
    </row>
    <row r="1690" spans="1:2" x14ac:dyDescent="0.2">
      <c r="A1690" s="36" t="s">
        <v>6211</v>
      </c>
      <c r="B1690" t="s">
        <v>84</v>
      </c>
    </row>
    <row r="1691" spans="1:2" x14ac:dyDescent="0.2">
      <c r="A1691" s="36" t="s">
        <v>6167</v>
      </c>
      <c r="B1691" t="s">
        <v>98</v>
      </c>
    </row>
    <row r="1692" spans="1:2" x14ac:dyDescent="0.2">
      <c r="A1692" s="36" t="s">
        <v>6165</v>
      </c>
      <c r="B1692" t="s">
        <v>103</v>
      </c>
    </row>
    <row r="1693" spans="1:2" x14ac:dyDescent="0.2">
      <c r="A1693" s="36" t="s">
        <v>6195</v>
      </c>
      <c r="B1693" t="s">
        <v>96</v>
      </c>
    </row>
    <row r="1694" spans="1:2" x14ac:dyDescent="0.2">
      <c r="A1694" s="36" t="s">
        <v>6189</v>
      </c>
      <c r="B1694" t="s">
        <v>84</v>
      </c>
    </row>
    <row r="1695" spans="1:2" x14ac:dyDescent="0.2">
      <c r="A1695" s="36" t="s">
        <v>6183</v>
      </c>
      <c r="B1695" t="s">
        <v>98</v>
      </c>
    </row>
    <row r="1696" spans="1:2" x14ac:dyDescent="0.2">
      <c r="A1696" s="36" t="s">
        <v>6192</v>
      </c>
      <c r="B1696" t="s">
        <v>103</v>
      </c>
    </row>
    <row r="1697" spans="1:2" x14ac:dyDescent="0.2">
      <c r="A1697" s="36" t="s">
        <v>6184</v>
      </c>
      <c r="B1697" t="s">
        <v>98</v>
      </c>
    </row>
    <row r="1698" spans="1:2" x14ac:dyDescent="0.2">
      <c r="A1698" s="36" t="s">
        <v>6159</v>
      </c>
      <c r="B1698" t="s">
        <v>103</v>
      </c>
    </row>
    <row r="1699" spans="1:2" x14ac:dyDescent="0.2">
      <c r="A1699" s="36" t="s">
        <v>6177</v>
      </c>
      <c r="B1699" t="s">
        <v>96</v>
      </c>
    </row>
    <row r="1700" spans="1:2" x14ac:dyDescent="0.2">
      <c r="A1700" s="36" t="s">
        <v>6168</v>
      </c>
      <c r="B1700" t="s">
        <v>84</v>
      </c>
    </row>
    <row r="1701" spans="1:2" x14ac:dyDescent="0.2">
      <c r="A1701" s="36" t="s">
        <v>6169</v>
      </c>
      <c r="B1701" t="s">
        <v>98</v>
      </c>
    </row>
    <row r="1702" spans="1:2" x14ac:dyDescent="0.2">
      <c r="A1702" s="36" t="s">
        <v>6193</v>
      </c>
      <c r="B1702" t="s">
        <v>103</v>
      </c>
    </row>
    <row r="1703" spans="1:2" x14ac:dyDescent="0.2">
      <c r="A1703" s="36" t="s">
        <v>6199</v>
      </c>
      <c r="B1703" t="s">
        <v>96</v>
      </c>
    </row>
    <row r="1704" spans="1:2" x14ac:dyDescent="0.2">
      <c r="A1704" s="36" t="s">
        <v>6163</v>
      </c>
      <c r="B1704" t="s">
        <v>84</v>
      </c>
    </row>
    <row r="1705" spans="1:2" x14ac:dyDescent="0.2">
      <c r="A1705" s="36" t="s">
        <v>6176</v>
      </c>
      <c r="B1705" t="s">
        <v>98</v>
      </c>
    </row>
    <row r="1706" spans="1:2" x14ac:dyDescent="0.2">
      <c r="A1706" s="36" t="s">
        <v>6181</v>
      </c>
      <c r="B1706" t="s">
        <v>103</v>
      </c>
    </row>
    <row r="1707" spans="1:2" x14ac:dyDescent="0.2">
      <c r="A1707" s="36" t="s">
        <v>6179</v>
      </c>
      <c r="B1707" t="s">
        <v>96</v>
      </c>
    </row>
    <row r="1708" spans="1:2" x14ac:dyDescent="0.2">
      <c r="A1708" s="36" t="s">
        <v>6171</v>
      </c>
      <c r="B1708" t="s">
        <v>84</v>
      </c>
    </row>
    <row r="1709" spans="1:2" x14ac:dyDescent="0.2">
      <c r="A1709" s="36" t="s">
        <v>6164</v>
      </c>
      <c r="B1709" t="s">
        <v>96</v>
      </c>
    </row>
    <row r="1710" spans="1:2" x14ac:dyDescent="0.2">
      <c r="A1710" s="36" t="s">
        <v>6157</v>
      </c>
      <c r="B1710" t="s">
        <v>98</v>
      </c>
    </row>
    <row r="1711" spans="1:2" x14ac:dyDescent="0.2">
      <c r="A1711" s="36" t="s">
        <v>6162</v>
      </c>
      <c r="B1711" t="s">
        <v>103</v>
      </c>
    </row>
    <row r="1712" spans="1:2" x14ac:dyDescent="0.2">
      <c r="A1712" s="36" t="s">
        <v>6166</v>
      </c>
      <c r="B1712" t="s">
        <v>84</v>
      </c>
    </row>
    <row r="1713" spans="1:2" x14ac:dyDescent="0.2">
      <c r="A1713" s="36" t="s">
        <v>6174</v>
      </c>
      <c r="B1713" t="s">
        <v>96</v>
      </c>
    </row>
    <row r="1714" spans="1:2" x14ac:dyDescent="0.2">
      <c r="A1714" s="36" t="s">
        <v>6160</v>
      </c>
      <c r="B1714" t="s">
        <v>98</v>
      </c>
    </row>
    <row r="1715" spans="1:2" x14ac:dyDescent="0.2">
      <c r="A1715" s="36" t="s">
        <v>6182</v>
      </c>
      <c r="B1715" t="s">
        <v>103</v>
      </c>
    </row>
    <row r="1716" spans="1:2" x14ac:dyDescent="0.2">
      <c r="A1716" s="36" t="s">
        <v>6198</v>
      </c>
      <c r="B1716" t="s">
        <v>84</v>
      </c>
    </row>
    <row r="1717" spans="1:2" x14ac:dyDescent="0.2">
      <c r="A1717" s="36" t="s">
        <v>6158</v>
      </c>
      <c r="B1717" t="s">
        <v>96</v>
      </c>
    </row>
    <row r="1718" spans="1:2" x14ac:dyDescent="0.2">
      <c r="A1718" s="36" t="s">
        <v>6175</v>
      </c>
      <c r="B1718" t="s">
        <v>98</v>
      </c>
    </row>
    <row r="1719" spans="1:2" x14ac:dyDescent="0.2">
      <c r="A1719" s="36" t="s">
        <v>6196</v>
      </c>
      <c r="B1719" t="s">
        <v>103</v>
      </c>
    </row>
    <row r="1720" spans="1:2" x14ac:dyDescent="0.2">
      <c r="A1720" s="36" t="s">
        <v>6200</v>
      </c>
      <c r="B1720" t="s">
        <v>84</v>
      </c>
    </row>
    <row r="1721" spans="1:2" x14ac:dyDescent="0.2">
      <c r="A1721" s="36" t="s">
        <v>6208</v>
      </c>
      <c r="B1721" t="s">
        <v>96</v>
      </c>
    </row>
    <row r="1722" spans="1:2" x14ac:dyDescent="0.2">
      <c r="A1722" s="36" t="s">
        <v>6197</v>
      </c>
      <c r="B1722" t="s">
        <v>98</v>
      </c>
    </row>
    <row r="1723" spans="1:2" x14ac:dyDescent="0.2">
      <c r="A1723" s="36" t="s">
        <v>6173</v>
      </c>
      <c r="B1723" t="s">
        <v>103</v>
      </c>
    </row>
    <row r="1724" spans="1:2" x14ac:dyDescent="0.2">
      <c r="A1724" s="36" t="s">
        <v>6178</v>
      </c>
      <c r="B1724" t="s">
        <v>84</v>
      </c>
    </row>
    <row r="1725" spans="1:2" x14ac:dyDescent="0.2">
      <c r="A1725" s="36" t="s">
        <v>6209</v>
      </c>
      <c r="B1725" t="s">
        <v>96</v>
      </c>
    </row>
    <row r="1726" spans="1:2" x14ac:dyDescent="0.2">
      <c r="A1726" s="36" t="s">
        <v>6234</v>
      </c>
      <c r="B1726" t="s">
        <v>89</v>
      </c>
    </row>
    <row r="1727" spans="1:2" x14ac:dyDescent="0.2">
      <c r="A1727" s="36" t="s">
        <v>6244</v>
      </c>
      <c r="B1727" t="s">
        <v>100</v>
      </c>
    </row>
    <row r="1728" spans="1:2" x14ac:dyDescent="0.2">
      <c r="A1728" s="36" t="s">
        <v>6222</v>
      </c>
      <c r="B1728" t="s">
        <v>91</v>
      </c>
    </row>
    <row r="1729" spans="1:2" x14ac:dyDescent="0.2">
      <c r="A1729" s="36" t="s">
        <v>6231</v>
      </c>
      <c r="B1729" t="s">
        <v>89</v>
      </c>
    </row>
    <row r="1730" spans="1:2" x14ac:dyDescent="0.2">
      <c r="A1730" s="36" t="s">
        <v>6247</v>
      </c>
      <c r="B1730" t="s">
        <v>104</v>
      </c>
    </row>
    <row r="1731" spans="1:2" x14ac:dyDescent="0.2">
      <c r="A1731" s="36" t="s">
        <v>6218</v>
      </c>
      <c r="B1731" t="s">
        <v>100</v>
      </c>
    </row>
    <row r="1732" spans="1:2" x14ac:dyDescent="0.2">
      <c r="A1732" s="36" t="s">
        <v>6256</v>
      </c>
      <c r="B1732" t="s">
        <v>91</v>
      </c>
    </row>
    <row r="1733" spans="1:2" x14ac:dyDescent="0.2">
      <c r="A1733" s="36" t="s">
        <v>6214</v>
      </c>
      <c r="B1733" t="s">
        <v>89</v>
      </c>
    </row>
    <row r="1734" spans="1:2" x14ac:dyDescent="0.2">
      <c r="A1734" s="36" t="s">
        <v>6253</v>
      </c>
      <c r="B1734" t="s">
        <v>104</v>
      </c>
    </row>
    <row r="1735" spans="1:2" x14ac:dyDescent="0.2">
      <c r="A1735" s="36" t="s">
        <v>6255</v>
      </c>
      <c r="B1735" t="s">
        <v>100</v>
      </c>
    </row>
    <row r="1736" spans="1:2" x14ac:dyDescent="0.2">
      <c r="A1736" s="36" t="s">
        <v>6254</v>
      </c>
      <c r="B1736" t="s">
        <v>91</v>
      </c>
    </row>
    <row r="1737" spans="1:2" x14ac:dyDescent="0.2">
      <c r="A1737" s="36" t="s">
        <v>6246</v>
      </c>
      <c r="B1737" t="s">
        <v>89</v>
      </c>
    </row>
    <row r="1738" spans="1:2" x14ac:dyDescent="0.2">
      <c r="A1738" s="36" t="s">
        <v>6224</v>
      </c>
      <c r="B1738" t="s">
        <v>104</v>
      </c>
    </row>
    <row r="1739" spans="1:2" x14ac:dyDescent="0.2">
      <c r="A1739" s="36" t="s">
        <v>6227</v>
      </c>
      <c r="B1739" t="s">
        <v>100</v>
      </c>
    </row>
    <row r="1740" spans="1:2" x14ac:dyDescent="0.2">
      <c r="A1740" s="36" t="s">
        <v>6252</v>
      </c>
      <c r="B1740" t="s">
        <v>91</v>
      </c>
    </row>
    <row r="1741" spans="1:2" x14ac:dyDescent="0.2">
      <c r="A1741" s="36" t="s">
        <v>6237</v>
      </c>
      <c r="B1741" t="s">
        <v>89</v>
      </c>
    </row>
    <row r="1742" spans="1:2" x14ac:dyDescent="0.2">
      <c r="A1742" s="36" t="s">
        <v>6248</v>
      </c>
      <c r="B1742" t="s">
        <v>104</v>
      </c>
    </row>
    <row r="1743" spans="1:2" x14ac:dyDescent="0.2">
      <c r="A1743" s="36" t="s">
        <v>6226</v>
      </c>
      <c r="B1743" t="s">
        <v>100</v>
      </c>
    </row>
    <row r="1744" spans="1:2" x14ac:dyDescent="0.2">
      <c r="A1744" s="36" t="s">
        <v>6230</v>
      </c>
      <c r="B1744" t="s">
        <v>91</v>
      </c>
    </row>
    <row r="1745" spans="1:2" x14ac:dyDescent="0.2">
      <c r="A1745" s="36" t="s">
        <v>6243</v>
      </c>
      <c r="B1745" t="s">
        <v>89</v>
      </c>
    </row>
    <row r="1746" spans="1:2" x14ac:dyDescent="0.2">
      <c r="A1746" s="36" t="s">
        <v>6242</v>
      </c>
      <c r="B1746" t="s">
        <v>104</v>
      </c>
    </row>
    <row r="1747" spans="1:2" x14ac:dyDescent="0.2">
      <c r="A1747" s="36" t="s">
        <v>6219</v>
      </c>
      <c r="B1747" t="s">
        <v>100</v>
      </c>
    </row>
    <row r="1748" spans="1:2" x14ac:dyDescent="0.2">
      <c r="A1748" s="36" t="s">
        <v>6221</v>
      </c>
      <c r="B1748" t="s">
        <v>91</v>
      </c>
    </row>
    <row r="1749" spans="1:2" x14ac:dyDescent="0.2">
      <c r="A1749" s="36" t="s">
        <v>6220</v>
      </c>
      <c r="B1749" t="s">
        <v>89</v>
      </c>
    </row>
    <row r="1750" spans="1:2" x14ac:dyDescent="0.2">
      <c r="A1750" s="36" t="s">
        <v>6241</v>
      </c>
      <c r="B1750" t="s">
        <v>104</v>
      </c>
    </row>
    <row r="1751" spans="1:2" x14ac:dyDescent="0.2">
      <c r="A1751" s="36" t="s">
        <v>6240</v>
      </c>
      <c r="B1751" t="s">
        <v>91</v>
      </c>
    </row>
    <row r="1752" spans="1:2" x14ac:dyDescent="0.2">
      <c r="A1752" s="36" t="s">
        <v>6239</v>
      </c>
      <c r="B1752" t="s">
        <v>100</v>
      </c>
    </row>
    <row r="1753" spans="1:2" x14ac:dyDescent="0.2">
      <c r="A1753" s="36" t="s">
        <v>6212</v>
      </c>
      <c r="B1753" t="s">
        <v>89</v>
      </c>
    </row>
    <row r="1754" spans="1:2" x14ac:dyDescent="0.2">
      <c r="A1754" s="36" t="s">
        <v>6249</v>
      </c>
      <c r="B1754" t="s">
        <v>104</v>
      </c>
    </row>
    <row r="1755" spans="1:2" x14ac:dyDescent="0.2">
      <c r="A1755" s="36" t="s">
        <v>6250</v>
      </c>
      <c r="B1755" t="s">
        <v>91</v>
      </c>
    </row>
    <row r="1756" spans="1:2" x14ac:dyDescent="0.2">
      <c r="A1756" s="36" t="s">
        <v>6229</v>
      </c>
      <c r="B1756" t="s">
        <v>100</v>
      </c>
    </row>
    <row r="1757" spans="1:2" x14ac:dyDescent="0.2">
      <c r="A1757" s="36" t="s">
        <v>6228</v>
      </c>
      <c r="B1757" t="s">
        <v>89</v>
      </c>
    </row>
    <row r="1758" spans="1:2" x14ac:dyDescent="0.2">
      <c r="A1758" s="36" t="s">
        <v>6225</v>
      </c>
      <c r="B1758" t="s">
        <v>104</v>
      </c>
    </row>
    <row r="1759" spans="1:2" x14ac:dyDescent="0.2">
      <c r="A1759" s="36" t="s">
        <v>6233</v>
      </c>
      <c r="B1759" t="s">
        <v>91</v>
      </c>
    </row>
    <row r="1760" spans="1:2" x14ac:dyDescent="0.2">
      <c r="A1760" s="36" t="s">
        <v>6235</v>
      </c>
      <c r="B1760" t="s">
        <v>100</v>
      </c>
    </row>
    <row r="1761" spans="1:2" x14ac:dyDescent="0.2">
      <c r="A1761" s="36" t="s">
        <v>6251</v>
      </c>
      <c r="B1761" t="s">
        <v>89</v>
      </c>
    </row>
    <row r="1762" spans="1:2" x14ac:dyDescent="0.2">
      <c r="A1762" s="36" t="s">
        <v>6236</v>
      </c>
      <c r="B1762" t="s">
        <v>104</v>
      </c>
    </row>
    <row r="1763" spans="1:2" x14ac:dyDescent="0.2">
      <c r="A1763" s="36" t="s">
        <v>6232</v>
      </c>
      <c r="B1763" t="s">
        <v>91</v>
      </c>
    </row>
    <row r="1764" spans="1:2" x14ac:dyDescent="0.2">
      <c r="A1764" s="36" t="s">
        <v>6245</v>
      </c>
      <c r="B1764" t="s">
        <v>100</v>
      </c>
    </row>
    <row r="1765" spans="1:2" x14ac:dyDescent="0.2">
      <c r="A1765" s="36" t="s">
        <v>6215</v>
      </c>
      <c r="B1765" t="s">
        <v>89</v>
      </c>
    </row>
    <row r="1766" spans="1:2" x14ac:dyDescent="0.2">
      <c r="A1766" s="36" t="s">
        <v>6217</v>
      </c>
      <c r="B1766" t="s">
        <v>104</v>
      </c>
    </row>
    <row r="1767" spans="1:2" x14ac:dyDescent="0.2">
      <c r="A1767" s="36" t="s">
        <v>6213</v>
      </c>
      <c r="B1767" t="s">
        <v>91</v>
      </c>
    </row>
    <row r="1768" spans="1:2" x14ac:dyDescent="0.2">
      <c r="A1768" s="36" t="s">
        <v>6223</v>
      </c>
      <c r="B1768" t="s">
        <v>100</v>
      </c>
    </row>
    <row r="1769" spans="1:2" x14ac:dyDescent="0.2">
      <c r="A1769" s="36" t="s">
        <v>6238</v>
      </c>
      <c r="B1769" t="s">
        <v>89</v>
      </c>
    </row>
    <row r="1770" spans="1:2" x14ac:dyDescent="0.2">
      <c r="A1770" s="36" t="s">
        <v>6216</v>
      </c>
      <c r="B1770" t="s">
        <v>104</v>
      </c>
    </row>
    <row r="1771" spans="1:2" x14ac:dyDescent="0.2">
      <c r="A1771" s="36" t="s">
        <v>6266</v>
      </c>
      <c r="B1771" t="s">
        <v>99</v>
      </c>
    </row>
    <row r="1772" spans="1:2" x14ac:dyDescent="0.2">
      <c r="A1772" s="36" t="s">
        <v>6257</v>
      </c>
      <c r="B1772" t="s">
        <v>99</v>
      </c>
    </row>
    <row r="1773" spans="1:2" x14ac:dyDescent="0.2">
      <c r="A1773" s="36" t="s">
        <v>6267</v>
      </c>
      <c r="B1773" t="s">
        <v>99</v>
      </c>
    </row>
    <row r="1774" spans="1:2" x14ac:dyDescent="0.2">
      <c r="A1774" s="36" t="s">
        <v>6262</v>
      </c>
      <c r="B1774" t="s">
        <v>99</v>
      </c>
    </row>
    <row r="1775" spans="1:2" x14ac:dyDescent="0.2">
      <c r="A1775" s="36" t="s">
        <v>6265</v>
      </c>
      <c r="B1775" t="s">
        <v>92</v>
      </c>
    </row>
    <row r="1776" spans="1:2" x14ac:dyDescent="0.2">
      <c r="A1776" s="36" t="s">
        <v>6263</v>
      </c>
      <c r="B1776" t="s">
        <v>99</v>
      </c>
    </row>
    <row r="1777" spans="1:2" x14ac:dyDescent="0.2">
      <c r="A1777" s="36" t="s">
        <v>6261</v>
      </c>
      <c r="B1777" t="s">
        <v>99</v>
      </c>
    </row>
    <row r="1778" spans="1:2" x14ac:dyDescent="0.2">
      <c r="A1778" s="36" t="s">
        <v>6259</v>
      </c>
      <c r="B1778" t="s">
        <v>92</v>
      </c>
    </row>
    <row r="1779" spans="1:2" x14ac:dyDescent="0.2">
      <c r="A1779" s="36" t="s">
        <v>6264</v>
      </c>
      <c r="B1779" t="s">
        <v>99</v>
      </c>
    </row>
    <row r="1780" spans="1:2" x14ac:dyDescent="0.2">
      <c r="A1780" s="36" t="s">
        <v>6258</v>
      </c>
      <c r="B1780" t="s">
        <v>92</v>
      </c>
    </row>
    <row r="1781" spans="1:2" x14ac:dyDescent="0.2">
      <c r="A1781" s="36" t="s">
        <v>6260</v>
      </c>
      <c r="B1781" t="s">
        <v>101</v>
      </c>
    </row>
    <row r="1782" spans="1:2" x14ac:dyDescent="0.2">
      <c r="A1782" s="36" t="s">
        <v>6268</v>
      </c>
      <c r="B1782" t="s">
        <v>99</v>
      </c>
    </row>
    <row r="1783" spans="1:2" x14ac:dyDescent="0.2">
      <c r="A1783" s="36" t="s">
        <v>6272</v>
      </c>
      <c r="B1783" t="s">
        <v>92</v>
      </c>
    </row>
    <row r="1784" spans="1:2" x14ac:dyDescent="0.2">
      <c r="A1784" s="36" t="s">
        <v>6269</v>
      </c>
      <c r="B1784" t="s">
        <v>97</v>
      </c>
    </row>
    <row r="1785" spans="1:2" x14ac:dyDescent="0.2">
      <c r="A1785" s="36" t="s">
        <v>6270</v>
      </c>
      <c r="B1785" t="s">
        <v>101</v>
      </c>
    </row>
    <row r="1786" spans="1:2" x14ac:dyDescent="0.2">
      <c r="A1786" s="36" t="s">
        <v>6271</v>
      </c>
      <c r="B1786" t="s">
        <v>95</v>
      </c>
    </row>
    <row r="1787" spans="1:2" x14ac:dyDescent="0.2">
      <c r="A1787" s="36" t="s">
        <v>6274</v>
      </c>
      <c r="B1787" t="s">
        <v>87</v>
      </c>
    </row>
    <row r="1788" spans="1:2" x14ac:dyDescent="0.2">
      <c r="A1788" s="36" t="s">
        <v>6275</v>
      </c>
      <c r="B1788" t="s">
        <v>88</v>
      </c>
    </row>
    <row r="1789" spans="1:2" x14ac:dyDescent="0.2">
      <c r="A1789" s="36" t="s">
        <v>6273</v>
      </c>
      <c r="B1789" t="s">
        <v>94</v>
      </c>
    </row>
    <row r="1790" spans="1:2" x14ac:dyDescent="0.2">
      <c r="A1790" s="36" t="s">
        <v>6277</v>
      </c>
      <c r="B1790" t="s">
        <v>90</v>
      </c>
    </row>
    <row r="1791" spans="1:2" x14ac:dyDescent="0.2">
      <c r="A1791" s="36" t="s">
        <v>6276</v>
      </c>
      <c r="B1791" t="s">
        <v>99</v>
      </c>
    </row>
    <row r="1792" spans="1:2" x14ac:dyDescent="0.2">
      <c r="A1792" s="36" t="s">
        <v>6279</v>
      </c>
      <c r="B1792" t="s">
        <v>92</v>
      </c>
    </row>
    <row r="1793" spans="1:2" x14ac:dyDescent="0.2">
      <c r="A1793" s="36" t="s">
        <v>6278</v>
      </c>
      <c r="B1793" t="s">
        <v>97</v>
      </c>
    </row>
    <row r="1794" spans="1:2" x14ac:dyDescent="0.2">
      <c r="A1794" s="36" t="s">
        <v>6284</v>
      </c>
      <c r="B1794" t="s">
        <v>88</v>
      </c>
    </row>
    <row r="1795" spans="1:2" x14ac:dyDescent="0.2">
      <c r="A1795" s="36" t="s">
        <v>6283</v>
      </c>
      <c r="B1795" t="s">
        <v>101</v>
      </c>
    </row>
    <row r="1796" spans="1:2" x14ac:dyDescent="0.2">
      <c r="A1796" s="36" t="s">
        <v>6282</v>
      </c>
      <c r="B1796" t="s">
        <v>95</v>
      </c>
    </row>
    <row r="1797" spans="1:2" x14ac:dyDescent="0.2">
      <c r="A1797" s="36" t="s">
        <v>6280</v>
      </c>
      <c r="B1797" t="s">
        <v>90</v>
      </c>
    </row>
    <row r="1798" spans="1:2" x14ac:dyDescent="0.2">
      <c r="A1798" s="36" t="s">
        <v>6281</v>
      </c>
      <c r="B1798" t="s">
        <v>87</v>
      </c>
    </row>
    <row r="1799" spans="1:2" x14ac:dyDescent="0.2">
      <c r="A1799" s="36" t="s">
        <v>6285</v>
      </c>
      <c r="B1799" t="s">
        <v>92</v>
      </c>
    </row>
    <row r="1800" spans="1:2" x14ac:dyDescent="0.2">
      <c r="A1800" s="36" t="s">
        <v>6286</v>
      </c>
      <c r="B1800" t="s">
        <v>94</v>
      </c>
    </row>
    <row r="1801" spans="1:2" x14ac:dyDescent="0.2">
      <c r="A1801" s="36" t="s">
        <v>6291</v>
      </c>
      <c r="B1801" t="s">
        <v>99</v>
      </c>
    </row>
    <row r="1802" spans="1:2" x14ac:dyDescent="0.2">
      <c r="A1802" s="36" t="s">
        <v>6290</v>
      </c>
      <c r="B1802" t="s">
        <v>88</v>
      </c>
    </row>
    <row r="1803" spans="1:2" x14ac:dyDescent="0.2">
      <c r="A1803" s="36" t="s">
        <v>6287</v>
      </c>
      <c r="B1803" t="s">
        <v>99</v>
      </c>
    </row>
    <row r="1804" spans="1:2" x14ac:dyDescent="0.2">
      <c r="A1804" s="36" t="s">
        <v>6288</v>
      </c>
      <c r="B1804" t="s">
        <v>88</v>
      </c>
    </row>
    <row r="1805" spans="1:2" x14ac:dyDescent="0.2">
      <c r="A1805" s="36" t="s">
        <v>6289</v>
      </c>
      <c r="B1805" t="s">
        <v>99</v>
      </c>
    </row>
    <row r="1806" spans="1:2" x14ac:dyDescent="0.2">
      <c r="A1806" s="36" t="s">
        <v>6294</v>
      </c>
      <c r="B1806" t="s">
        <v>101</v>
      </c>
    </row>
    <row r="1807" spans="1:2" x14ac:dyDescent="0.2">
      <c r="A1807" s="36" t="s">
        <v>6295</v>
      </c>
      <c r="B1807" t="s">
        <v>97</v>
      </c>
    </row>
    <row r="1808" spans="1:2" x14ac:dyDescent="0.2">
      <c r="A1808" s="36" t="s">
        <v>6293</v>
      </c>
      <c r="B1808" t="s">
        <v>87</v>
      </c>
    </row>
    <row r="1809" spans="1:2" x14ac:dyDescent="0.2">
      <c r="A1809" s="36" t="s">
        <v>6296</v>
      </c>
      <c r="B1809" t="s">
        <v>95</v>
      </c>
    </row>
    <row r="1810" spans="1:2" x14ac:dyDescent="0.2">
      <c r="A1810" s="36" t="s">
        <v>6297</v>
      </c>
      <c r="B1810" t="s">
        <v>90</v>
      </c>
    </row>
    <row r="1811" spans="1:2" x14ac:dyDescent="0.2">
      <c r="A1811" s="36" t="s">
        <v>6292</v>
      </c>
      <c r="B1811" t="s">
        <v>101</v>
      </c>
    </row>
    <row r="1812" spans="1:2" x14ac:dyDescent="0.2">
      <c r="A1812" s="36" t="s">
        <v>6298</v>
      </c>
      <c r="B1812" t="s">
        <v>97</v>
      </c>
    </row>
    <row r="1813" spans="1:2" x14ac:dyDescent="0.2">
      <c r="A1813" s="36" t="s">
        <v>6301</v>
      </c>
      <c r="B1813" t="s">
        <v>87</v>
      </c>
    </row>
    <row r="1814" spans="1:2" x14ac:dyDescent="0.2">
      <c r="A1814" s="36" t="s">
        <v>6302</v>
      </c>
      <c r="B1814" t="s">
        <v>95</v>
      </c>
    </row>
    <row r="1815" spans="1:2" x14ac:dyDescent="0.2">
      <c r="A1815" s="36" t="s">
        <v>6299</v>
      </c>
      <c r="B1815" t="s">
        <v>92</v>
      </c>
    </row>
    <row r="1816" spans="1:2" x14ac:dyDescent="0.2">
      <c r="A1816" s="36" t="s">
        <v>6303</v>
      </c>
      <c r="B1816" t="s">
        <v>90</v>
      </c>
    </row>
    <row r="1817" spans="1:2" x14ac:dyDescent="0.2">
      <c r="A1817" s="36" t="s">
        <v>6300</v>
      </c>
      <c r="B1817" t="s">
        <v>94</v>
      </c>
    </row>
    <row r="1818" spans="1:2" x14ac:dyDescent="0.2">
      <c r="A1818" s="36" t="s">
        <v>6304</v>
      </c>
      <c r="B1818" t="s">
        <v>87</v>
      </c>
    </row>
    <row r="1819" spans="1:2" x14ac:dyDescent="0.2">
      <c r="A1819" s="36" t="s">
        <v>6305</v>
      </c>
      <c r="B1819" t="s">
        <v>95</v>
      </c>
    </row>
    <row r="1820" spans="1:2" x14ac:dyDescent="0.2">
      <c r="A1820" s="36" t="s">
        <v>6306</v>
      </c>
      <c r="B1820" t="s">
        <v>101</v>
      </c>
    </row>
    <row r="1821" spans="1:2" x14ac:dyDescent="0.2">
      <c r="A1821" s="36" t="s">
        <v>6325</v>
      </c>
      <c r="B1821" t="s">
        <v>92</v>
      </c>
    </row>
    <row r="1822" spans="1:2" x14ac:dyDescent="0.2">
      <c r="A1822" s="36" t="s">
        <v>6316</v>
      </c>
      <c r="B1822" t="s">
        <v>97</v>
      </c>
    </row>
    <row r="1823" spans="1:2" x14ac:dyDescent="0.2">
      <c r="A1823" s="36" t="s">
        <v>6324</v>
      </c>
      <c r="B1823" t="s">
        <v>90</v>
      </c>
    </row>
    <row r="1824" spans="1:2" x14ac:dyDescent="0.2">
      <c r="A1824" s="36" t="s">
        <v>6308</v>
      </c>
      <c r="B1824" t="s">
        <v>94</v>
      </c>
    </row>
    <row r="1825" spans="1:2" x14ac:dyDescent="0.2">
      <c r="A1825" s="36" t="s">
        <v>6329</v>
      </c>
      <c r="B1825" t="s">
        <v>87</v>
      </c>
    </row>
    <row r="1826" spans="1:2" x14ac:dyDescent="0.2">
      <c r="A1826" s="36" t="s">
        <v>6326</v>
      </c>
      <c r="B1826" t="s">
        <v>92</v>
      </c>
    </row>
    <row r="1827" spans="1:2" x14ac:dyDescent="0.2">
      <c r="A1827" s="36" t="s">
        <v>6312</v>
      </c>
      <c r="B1827" t="s">
        <v>97</v>
      </c>
    </row>
    <row r="1828" spans="1:2" x14ac:dyDescent="0.2">
      <c r="A1828" s="36" t="s">
        <v>6327</v>
      </c>
      <c r="B1828" t="s">
        <v>90</v>
      </c>
    </row>
    <row r="1829" spans="1:2" x14ac:dyDescent="0.2">
      <c r="A1829" s="36" t="s">
        <v>6315</v>
      </c>
      <c r="B1829" t="s">
        <v>94</v>
      </c>
    </row>
    <row r="1830" spans="1:2" x14ac:dyDescent="0.2">
      <c r="A1830" s="36" t="s">
        <v>6321</v>
      </c>
      <c r="B1830" t="s">
        <v>87</v>
      </c>
    </row>
    <row r="1831" spans="1:2" x14ac:dyDescent="0.2">
      <c r="A1831" s="36" t="s">
        <v>6318</v>
      </c>
      <c r="B1831" t="s">
        <v>92</v>
      </c>
    </row>
    <row r="1832" spans="1:2" x14ac:dyDescent="0.2">
      <c r="A1832" s="36" t="s">
        <v>6323</v>
      </c>
      <c r="B1832" t="s">
        <v>97</v>
      </c>
    </row>
    <row r="1833" spans="1:2" x14ac:dyDescent="0.2">
      <c r="A1833" s="36" t="s">
        <v>6322</v>
      </c>
      <c r="B1833" t="s">
        <v>90</v>
      </c>
    </row>
    <row r="1834" spans="1:2" x14ac:dyDescent="0.2">
      <c r="A1834" s="36" t="s">
        <v>6311</v>
      </c>
      <c r="B1834" t="s">
        <v>94</v>
      </c>
    </row>
    <row r="1835" spans="1:2" x14ac:dyDescent="0.2">
      <c r="A1835" s="36" t="s">
        <v>6317</v>
      </c>
      <c r="B1835" t="s">
        <v>87</v>
      </c>
    </row>
    <row r="1836" spans="1:2" x14ac:dyDescent="0.2">
      <c r="A1836" s="36" t="s">
        <v>6310</v>
      </c>
      <c r="B1836" t="s">
        <v>90</v>
      </c>
    </row>
    <row r="1837" spans="1:2" x14ac:dyDescent="0.2">
      <c r="A1837" s="36" t="s">
        <v>6313</v>
      </c>
      <c r="B1837" t="s">
        <v>90</v>
      </c>
    </row>
    <row r="1838" spans="1:2" x14ac:dyDescent="0.2">
      <c r="A1838" s="36" t="s">
        <v>6309</v>
      </c>
      <c r="B1838" t="s">
        <v>92</v>
      </c>
    </row>
    <row r="1839" spans="1:2" x14ac:dyDescent="0.2">
      <c r="A1839" s="36" t="s">
        <v>6314</v>
      </c>
      <c r="B1839" t="s">
        <v>97</v>
      </c>
    </row>
    <row r="1840" spans="1:2" x14ac:dyDescent="0.2">
      <c r="A1840" s="36" t="s">
        <v>6307</v>
      </c>
      <c r="B1840" t="s">
        <v>94</v>
      </c>
    </row>
    <row r="1841" spans="1:2" x14ac:dyDescent="0.2">
      <c r="A1841" s="36" t="s">
        <v>6320</v>
      </c>
      <c r="B1841" t="s">
        <v>87</v>
      </c>
    </row>
    <row r="1842" spans="1:2" x14ac:dyDescent="0.2">
      <c r="A1842" s="36" t="s">
        <v>6319</v>
      </c>
      <c r="B1842" t="s">
        <v>90</v>
      </c>
    </row>
    <row r="1843" spans="1:2" x14ac:dyDescent="0.2">
      <c r="A1843" s="36" t="s">
        <v>6328</v>
      </c>
      <c r="B1843" t="s">
        <v>92</v>
      </c>
    </row>
    <row r="1844" spans="1:2" x14ac:dyDescent="0.2">
      <c r="A1844" s="36" t="s">
        <v>6330</v>
      </c>
      <c r="B1844" t="s">
        <v>98</v>
      </c>
    </row>
    <row r="1845" spans="1:2" x14ac:dyDescent="0.2">
      <c r="A1845" s="36" t="s">
        <v>6332</v>
      </c>
      <c r="B1845" t="s">
        <v>88</v>
      </c>
    </row>
    <row r="1846" spans="1:2" x14ac:dyDescent="0.2">
      <c r="A1846" s="36" t="s">
        <v>6334</v>
      </c>
      <c r="B1846" t="s">
        <v>103</v>
      </c>
    </row>
    <row r="1847" spans="1:2" x14ac:dyDescent="0.2">
      <c r="A1847" s="36" t="s">
        <v>6333</v>
      </c>
      <c r="B1847" t="s">
        <v>84</v>
      </c>
    </row>
    <row r="1848" spans="1:2" x14ac:dyDescent="0.2">
      <c r="A1848" s="36" t="s">
        <v>6335</v>
      </c>
      <c r="B1848" t="s">
        <v>88</v>
      </c>
    </row>
    <row r="1849" spans="1:2" x14ac:dyDescent="0.2">
      <c r="A1849" s="36" t="s">
        <v>6331</v>
      </c>
      <c r="B1849" t="s">
        <v>103</v>
      </c>
    </row>
    <row r="1850" spans="1:2" x14ac:dyDescent="0.2">
      <c r="A1850" s="36" t="s">
        <v>6339</v>
      </c>
      <c r="B1850" t="s">
        <v>98</v>
      </c>
    </row>
    <row r="1851" spans="1:2" x14ac:dyDescent="0.2">
      <c r="A1851" s="36" t="s">
        <v>6343</v>
      </c>
      <c r="B1851" t="s">
        <v>101</v>
      </c>
    </row>
    <row r="1852" spans="1:2" x14ac:dyDescent="0.2">
      <c r="A1852" s="36" t="s">
        <v>6341</v>
      </c>
      <c r="B1852" t="s">
        <v>96</v>
      </c>
    </row>
    <row r="1853" spans="1:2" x14ac:dyDescent="0.2">
      <c r="A1853" s="36" t="s">
        <v>6336</v>
      </c>
      <c r="B1853" t="s">
        <v>99</v>
      </c>
    </row>
    <row r="1854" spans="1:2" x14ac:dyDescent="0.2">
      <c r="A1854" s="36" t="s">
        <v>6337</v>
      </c>
      <c r="B1854" t="s">
        <v>96</v>
      </c>
    </row>
    <row r="1855" spans="1:2" x14ac:dyDescent="0.2">
      <c r="A1855" s="36" t="s">
        <v>6338</v>
      </c>
      <c r="B1855" t="s">
        <v>98</v>
      </c>
    </row>
    <row r="1856" spans="1:2" x14ac:dyDescent="0.2">
      <c r="A1856" s="36" t="s">
        <v>6340</v>
      </c>
      <c r="B1856" t="s">
        <v>101</v>
      </c>
    </row>
    <row r="1857" spans="1:2" x14ac:dyDescent="0.2">
      <c r="A1857" s="36" t="s">
        <v>6342</v>
      </c>
      <c r="B1857" t="s">
        <v>98</v>
      </c>
    </row>
    <row r="1858" spans="1:2" x14ac:dyDescent="0.2">
      <c r="A1858" s="36" t="s">
        <v>6348</v>
      </c>
      <c r="B1858" t="s">
        <v>84</v>
      </c>
    </row>
    <row r="1859" spans="1:2" x14ac:dyDescent="0.2">
      <c r="A1859" s="36" t="s">
        <v>6346</v>
      </c>
      <c r="B1859" t="s">
        <v>95</v>
      </c>
    </row>
    <row r="1860" spans="1:2" x14ac:dyDescent="0.2">
      <c r="A1860" s="36" t="s">
        <v>6344</v>
      </c>
      <c r="B1860" t="s">
        <v>99</v>
      </c>
    </row>
    <row r="1861" spans="1:2" x14ac:dyDescent="0.2">
      <c r="A1861" s="36" t="s">
        <v>6345</v>
      </c>
      <c r="B1861" t="s">
        <v>88</v>
      </c>
    </row>
    <row r="1862" spans="1:2" x14ac:dyDescent="0.2">
      <c r="A1862" s="36" t="s">
        <v>6347</v>
      </c>
      <c r="B1862" t="s">
        <v>103</v>
      </c>
    </row>
    <row r="1863" spans="1:2" x14ac:dyDescent="0.2">
      <c r="A1863" s="36" t="s">
        <v>6349</v>
      </c>
      <c r="B1863" t="s">
        <v>95</v>
      </c>
    </row>
    <row r="1864" spans="1:2" x14ac:dyDescent="0.2">
      <c r="A1864" s="36" t="s">
        <v>6358</v>
      </c>
      <c r="B1864" t="s">
        <v>99</v>
      </c>
    </row>
    <row r="1865" spans="1:2" x14ac:dyDescent="0.2">
      <c r="A1865" s="36" t="s">
        <v>6359</v>
      </c>
      <c r="B1865" t="s">
        <v>84</v>
      </c>
    </row>
    <row r="1866" spans="1:2" x14ac:dyDescent="0.2">
      <c r="A1866" s="36" t="s">
        <v>6356</v>
      </c>
      <c r="B1866" t="s">
        <v>96</v>
      </c>
    </row>
    <row r="1867" spans="1:2" x14ac:dyDescent="0.2">
      <c r="A1867" s="36" t="s">
        <v>6355</v>
      </c>
      <c r="B1867" t="s">
        <v>97</v>
      </c>
    </row>
    <row r="1868" spans="1:2" x14ac:dyDescent="0.2">
      <c r="A1868" s="36" t="s">
        <v>6352</v>
      </c>
      <c r="B1868" t="s">
        <v>95</v>
      </c>
    </row>
    <row r="1869" spans="1:2" x14ac:dyDescent="0.2">
      <c r="A1869" s="36" t="s">
        <v>6354</v>
      </c>
      <c r="B1869" t="s">
        <v>96</v>
      </c>
    </row>
    <row r="1870" spans="1:2" x14ac:dyDescent="0.2">
      <c r="A1870" s="36" t="s">
        <v>6351</v>
      </c>
      <c r="B1870" t="s">
        <v>99</v>
      </c>
    </row>
    <row r="1871" spans="1:2" x14ac:dyDescent="0.2">
      <c r="A1871" s="36" t="s">
        <v>6353</v>
      </c>
      <c r="B1871" t="s">
        <v>84</v>
      </c>
    </row>
    <row r="1872" spans="1:2" x14ac:dyDescent="0.2">
      <c r="A1872" s="36" t="s">
        <v>6357</v>
      </c>
      <c r="B1872" t="s">
        <v>97</v>
      </c>
    </row>
    <row r="1873" spans="1:2" x14ac:dyDescent="0.2">
      <c r="A1873" s="36" t="s">
        <v>6350</v>
      </c>
      <c r="B1873" t="s">
        <v>95</v>
      </c>
    </row>
    <row r="1874" spans="1:2" x14ac:dyDescent="0.2">
      <c r="A1874" s="36" t="s">
        <v>6389</v>
      </c>
      <c r="B1874" t="s">
        <v>94</v>
      </c>
    </row>
    <row r="1875" spans="1:2" x14ac:dyDescent="0.2">
      <c r="A1875" s="36" t="s">
        <v>6362</v>
      </c>
      <c r="B1875" t="s">
        <v>101</v>
      </c>
    </row>
    <row r="1876" spans="1:2" x14ac:dyDescent="0.2">
      <c r="A1876" s="36" t="s">
        <v>6368</v>
      </c>
      <c r="B1876" t="s">
        <v>87</v>
      </c>
    </row>
    <row r="1877" spans="1:2" x14ac:dyDescent="0.2">
      <c r="A1877" s="36" t="s">
        <v>6388</v>
      </c>
      <c r="B1877" t="s">
        <v>94</v>
      </c>
    </row>
    <row r="1878" spans="1:2" x14ac:dyDescent="0.2">
      <c r="A1878" s="36" t="s">
        <v>6373</v>
      </c>
      <c r="B1878" t="s">
        <v>101</v>
      </c>
    </row>
    <row r="1879" spans="1:2" x14ac:dyDescent="0.2">
      <c r="A1879" s="36" t="s">
        <v>6382</v>
      </c>
      <c r="B1879" t="s">
        <v>87</v>
      </c>
    </row>
    <row r="1880" spans="1:2" x14ac:dyDescent="0.2">
      <c r="A1880" s="36" t="s">
        <v>6361</v>
      </c>
      <c r="B1880" t="s">
        <v>94</v>
      </c>
    </row>
    <row r="1881" spans="1:2" x14ac:dyDescent="0.2">
      <c r="A1881" s="36" t="s">
        <v>6372</v>
      </c>
      <c r="B1881" t="s">
        <v>101</v>
      </c>
    </row>
    <row r="1882" spans="1:2" x14ac:dyDescent="0.2">
      <c r="A1882" s="36" t="s">
        <v>6386</v>
      </c>
      <c r="B1882" t="s">
        <v>87</v>
      </c>
    </row>
    <row r="1883" spans="1:2" x14ac:dyDescent="0.2">
      <c r="A1883" s="36" t="s">
        <v>6377</v>
      </c>
      <c r="B1883" t="s">
        <v>94</v>
      </c>
    </row>
    <row r="1884" spans="1:2" x14ac:dyDescent="0.2">
      <c r="A1884" s="36" t="s">
        <v>6360</v>
      </c>
      <c r="B1884" t="s">
        <v>101</v>
      </c>
    </row>
    <row r="1885" spans="1:2" x14ac:dyDescent="0.2">
      <c r="A1885" s="36" t="s">
        <v>6369</v>
      </c>
      <c r="B1885" t="s">
        <v>87</v>
      </c>
    </row>
    <row r="1886" spans="1:2" x14ac:dyDescent="0.2">
      <c r="A1886" s="36" t="s">
        <v>6371</v>
      </c>
      <c r="B1886" t="s">
        <v>94</v>
      </c>
    </row>
    <row r="1887" spans="1:2" x14ac:dyDescent="0.2">
      <c r="A1887" s="36" t="s">
        <v>6398</v>
      </c>
      <c r="B1887" t="s">
        <v>101</v>
      </c>
    </row>
    <row r="1888" spans="1:2" x14ac:dyDescent="0.2">
      <c r="A1888" s="36" t="s">
        <v>6390</v>
      </c>
      <c r="B1888" t="s">
        <v>87</v>
      </c>
    </row>
    <row r="1889" spans="1:2" x14ac:dyDescent="0.2">
      <c r="A1889" s="36" t="s">
        <v>6375</v>
      </c>
      <c r="B1889" t="s">
        <v>94</v>
      </c>
    </row>
    <row r="1890" spans="1:2" x14ac:dyDescent="0.2">
      <c r="A1890" s="36" t="s">
        <v>6385</v>
      </c>
      <c r="B1890" t="s">
        <v>101</v>
      </c>
    </row>
    <row r="1891" spans="1:2" x14ac:dyDescent="0.2">
      <c r="A1891" s="36" t="s">
        <v>6393</v>
      </c>
      <c r="B1891" t="s">
        <v>87</v>
      </c>
    </row>
    <row r="1892" spans="1:2" x14ac:dyDescent="0.2">
      <c r="A1892" s="36" t="s">
        <v>6384</v>
      </c>
      <c r="B1892" t="s">
        <v>94</v>
      </c>
    </row>
    <row r="1893" spans="1:2" x14ac:dyDescent="0.2">
      <c r="A1893" s="36" t="s">
        <v>6399</v>
      </c>
      <c r="B1893" t="s">
        <v>101</v>
      </c>
    </row>
    <row r="1894" spans="1:2" x14ac:dyDescent="0.2">
      <c r="A1894" s="36" t="s">
        <v>6400</v>
      </c>
      <c r="B1894" t="s">
        <v>87</v>
      </c>
    </row>
    <row r="1895" spans="1:2" x14ac:dyDescent="0.2">
      <c r="A1895" s="36" t="s">
        <v>6396</v>
      </c>
      <c r="B1895" t="s">
        <v>94</v>
      </c>
    </row>
    <row r="1896" spans="1:2" x14ac:dyDescent="0.2">
      <c r="A1896" s="36" t="s">
        <v>6364</v>
      </c>
      <c r="B1896" t="s">
        <v>101</v>
      </c>
    </row>
    <row r="1897" spans="1:2" x14ac:dyDescent="0.2">
      <c r="A1897" s="36" t="s">
        <v>6394</v>
      </c>
      <c r="B1897" t="s">
        <v>87</v>
      </c>
    </row>
    <row r="1898" spans="1:2" x14ac:dyDescent="0.2">
      <c r="A1898" s="36" t="s">
        <v>6370</v>
      </c>
      <c r="B1898" t="s">
        <v>94</v>
      </c>
    </row>
    <row r="1899" spans="1:2" x14ac:dyDescent="0.2">
      <c r="A1899" s="36" t="s">
        <v>6391</v>
      </c>
      <c r="B1899" t="s">
        <v>101</v>
      </c>
    </row>
    <row r="1900" spans="1:2" x14ac:dyDescent="0.2">
      <c r="A1900" s="36" t="s">
        <v>6374</v>
      </c>
      <c r="B1900" t="s">
        <v>87</v>
      </c>
    </row>
    <row r="1901" spans="1:2" x14ac:dyDescent="0.2">
      <c r="A1901" s="36" t="s">
        <v>6387</v>
      </c>
      <c r="B1901" t="s">
        <v>94</v>
      </c>
    </row>
    <row r="1902" spans="1:2" x14ac:dyDescent="0.2">
      <c r="A1902" s="36" t="s">
        <v>6365</v>
      </c>
      <c r="B1902" t="s">
        <v>101</v>
      </c>
    </row>
    <row r="1903" spans="1:2" x14ac:dyDescent="0.2">
      <c r="A1903" s="36" t="s">
        <v>6383</v>
      </c>
      <c r="B1903" t="s">
        <v>87</v>
      </c>
    </row>
    <row r="1904" spans="1:2" x14ac:dyDescent="0.2">
      <c r="A1904" s="36" t="s">
        <v>6381</v>
      </c>
      <c r="B1904" t="s">
        <v>94</v>
      </c>
    </row>
    <row r="1905" spans="1:2" x14ac:dyDescent="0.2">
      <c r="A1905" s="36" t="s">
        <v>6379</v>
      </c>
      <c r="B1905" t="s">
        <v>101</v>
      </c>
    </row>
    <row r="1906" spans="1:2" x14ac:dyDescent="0.2">
      <c r="A1906" s="36" t="s">
        <v>6376</v>
      </c>
      <c r="B1906" t="s">
        <v>87</v>
      </c>
    </row>
    <row r="1907" spans="1:2" x14ac:dyDescent="0.2">
      <c r="A1907" s="36" t="s">
        <v>6392</v>
      </c>
      <c r="B1907" t="s">
        <v>94</v>
      </c>
    </row>
    <row r="1908" spans="1:2" x14ac:dyDescent="0.2">
      <c r="A1908" s="36" t="s">
        <v>6397</v>
      </c>
      <c r="B1908" t="s">
        <v>101</v>
      </c>
    </row>
    <row r="1909" spans="1:2" x14ac:dyDescent="0.2">
      <c r="A1909" s="36" t="s">
        <v>6367</v>
      </c>
      <c r="B1909" t="s">
        <v>87</v>
      </c>
    </row>
    <row r="1910" spans="1:2" x14ac:dyDescent="0.2">
      <c r="A1910" s="36" t="s">
        <v>6363</v>
      </c>
      <c r="B1910" t="s">
        <v>94</v>
      </c>
    </row>
    <row r="1911" spans="1:2" x14ac:dyDescent="0.2">
      <c r="A1911" s="36" t="s">
        <v>6366</v>
      </c>
      <c r="B1911" t="s">
        <v>101</v>
      </c>
    </row>
    <row r="1912" spans="1:2" x14ac:dyDescent="0.2">
      <c r="A1912" s="36" t="s">
        <v>6378</v>
      </c>
      <c r="B1912" t="s">
        <v>87</v>
      </c>
    </row>
    <row r="1913" spans="1:2" x14ac:dyDescent="0.2">
      <c r="A1913" s="36" t="s">
        <v>6395</v>
      </c>
      <c r="B1913" t="s">
        <v>94</v>
      </c>
    </row>
    <row r="1914" spans="1:2" x14ac:dyDescent="0.2">
      <c r="A1914" s="36" t="s">
        <v>6380</v>
      </c>
      <c r="B1914" t="s">
        <v>101</v>
      </c>
    </row>
    <row r="1915" spans="1:2" x14ac:dyDescent="0.2">
      <c r="A1915" s="36" t="s">
        <v>6402</v>
      </c>
      <c r="B1915" t="s">
        <v>90</v>
      </c>
    </row>
    <row r="1916" spans="1:2" x14ac:dyDescent="0.2">
      <c r="A1916" s="36" t="s">
        <v>6401</v>
      </c>
      <c r="B1916" t="s">
        <v>98</v>
      </c>
    </row>
    <row r="1917" spans="1:2" x14ac:dyDescent="0.2">
      <c r="A1917" s="36" t="s">
        <v>6403</v>
      </c>
      <c r="B1917" t="s">
        <v>92</v>
      </c>
    </row>
    <row r="1918" spans="1:2" x14ac:dyDescent="0.2">
      <c r="A1918" s="36" t="s">
        <v>6406</v>
      </c>
      <c r="B1918" t="s">
        <v>88</v>
      </c>
    </row>
    <row r="1919" spans="1:2" x14ac:dyDescent="0.2">
      <c r="A1919" s="36" t="s">
        <v>6404</v>
      </c>
      <c r="B1919" t="s">
        <v>103</v>
      </c>
    </row>
    <row r="1920" spans="1:2" x14ac:dyDescent="0.2">
      <c r="A1920" s="36" t="s">
        <v>6405</v>
      </c>
      <c r="B1920" t="s">
        <v>92</v>
      </c>
    </row>
    <row r="1921" spans="1:2" x14ac:dyDescent="0.2">
      <c r="A1921" s="36" t="s">
        <v>6410</v>
      </c>
      <c r="B1921" t="s">
        <v>88</v>
      </c>
    </row>
    <row r="1922" spans="1:2" x14ac:dyDescent="0.2">
      <c r="A1922" s="36" t="s">
        <v>6407</v>
      </c>
      <c r="B1922" t="s">
        <v>103</v>
      </c>
    </row>
    <row r="1923" spans="1:2" x14ac:dyDescent="0.2">
      <c r="A1923" s="36" t="s">
        <v>6408</v>
      </c>
      <c r="B1923" t="s">
        <v>103</v>
      </c>
    </row>
    <row r="1924" spans="1:2" x14ac:dyDescent="0.2">
      <c r="A1924" s="36" t="s">
        <v>6409</v>
      </c>
      <c r="B1924" t="s">
        <v>92</v>
      </c>
    </row>
    <row r="1925" spans="1:2" x14ac:dyDescent="0.2">
      <c r="A1925" s="36" t="s">
        <v>6411</v>
      </c>
      <c r="B1925" t="s">
        <v>90</v>
      </c>
    </row>
    <row r="1926" spans="1:2" x14ac:dyDescent="0.2">
      <c r="A1926" s="36" t="s">
        <v>6413</v>
      </c>
      <c r="B1926" t="s">
        <v>98</v>
      </c>
    </row>
    <row r="1927" spans="1:2" x14ac:dyDescent="0.2">
      <c r="A1927" s="36" t="s">
        <v>6414</v>
      </c>
      <c r="B1927" t="s">
        <v>98</v>
      </c>
    </row>
    <row r="1928" spans="1:2" x14ac:dyDescent="0.2">
      <c r="A1928" s="36" t="s">
        <v>6415</v>
      </c>
      <c r="B1928" t="s">
        <v>98</v>
      </c>
    </row>
    <row r="1929" spans="1:2" x14ac:dyDescent="0.2">
      <c r="A1929" s="36" t="s">
        <v>6412</v>
      </c>
      <c r="B1929" t="s">
        <v>88</v>
      </c>
    </row>
    <row r="1930" spans="1:2" x14ac:dyDescent="0.2">
      <c r="A1930" s="36" t="s">
        <v>6416</v>
      </c>
      <c r="B1930" t="s">
        <v>90</v>
      </c>
    </row>
    <row r="1931" spans="1:2" x14ac:dyDescent="0.2">
      <c r="A1931" s="36" t="s">
        <v>6417</v>
      </c>
      <c r="B1931" t="s">
        <v>103</v>
      </c>
    </row>
    <row r="1932" spans="1:2" x14ac:dyDescent="0.2">
      <c r="A1932" s="36" t="s">
        <v>6418</v>
      </c>
      <c r="B1932" t="s">
        <v>92</v>
      </c>
    </row>
    <row r="1933" spans="1:2" x14ac:dyDescent="0.2">
      <c r="A1933" s="36" t="s">
        <v>6419</v>
      </c>
      <c r="B1933" t="s">
        <v>90</v>
      </c>
    </row>
    <row r="1934" spans="1:2" x14ac:dyDescent="0.2">
      <c r="A1934" s="36" t="s">
        <v>6420</v>
      </c>
      <c r="B1934" t="s">
        <v>92</v>
      </c>
    </row>
    <row r="1935" spans="1:2" x14ac:dyDescent="0.2">
      <c r="A1935" s="36" t="s">
        <v>6423</v>
      </c>
      <c r="B1935" t="s">
        <v>98</v>
      </c>
    </row>
    <row r="1936" spans="1:2" x14ac:dyDescent="0.2">
      <c r="A1936" s="36" t="s">
        <v>6424</v>
      </c>
      <c r="B1936" t="s">
        <v>96</v>
      </c>
    </row>
    <row r="1937" spans="1:2" x14ac:dyDescent="0.2">
      <c r="A1937" s="36" t="s">
        <v>6425</v>
      </c>
      <c r="B1937" t="s">
        <v>96</v>
      </c>
    </row>
    <row r="1938" spans="1:2" x14ac:dyDescent="0.2">
      <c r="A1938" s="36" t="s">
        <v>6422</v>
      </c>
      <c r="B1938" t="s">
        <v>98</v>
      </c>
    </row>
    <row r="1939" spans="1:2" x14ac:dyDescent="0.2">
      <c r="A1939" s="36" t="s">
        <v>6421</v>
      </c>
      <c r="B1939" t="s">
        <v>98</v>
      </c>
    </row>
    <row r="1940" spans="1:2" x14ac:dyDescent="0.2">
      <c r="A1940" s="36" t="s">
        <v>6426</v>
      </c>
      <c r="B1940" t="s">
        <v>90</v>
      </c>
    </row>
    <row r="1941" spans="1:2" x14ac:dyDescent="0.2">
      <c r="A1941" s="36" t="s">
        <v>6427</v>
      </c>
      <c r="B1941" t="s">
        <v>97</v>
      </c>
    </row>
    <row r="1942" spans="1:2" x14ac:dyDescent="0.2">
      <c r="A1942" s="36" t="s">
        <v>6428</v>
      </c>
      <c r="B1942" t="s">
        <v>88</v>
      </c>
    </row>
    <row r="1943" spans="1:2" x14ac:dyDescent="0.2">
      <c r="A1943" s="36" t="s">
        <v>6429</v>
      </c>
      <c r="B1943" t="s">
        <v>90</v>
      </c>
    </row>
    <row r="1944" spans="1:2" x14ac:dyDescent="0.2">
      <c r="A1944" s="36" t="s">
        <v>6432</v>
      </c>
      <c r="B1944" t="s">
        <v>97</v>
      </c>
    </row>
    <row r="1945" spans="1:2" x14ac:dyDescent="0.2">
      <c r="A1945" s="36" t="s">
        <v>6430</v>
      </c>
      <c r="B1945" t="s">
        <v>92</v>
      </c>
    </row>
    <row r="1946" spans="1:2" x14ac:dyDescent="0.2">
      <c r="A1946" s="36" t="s">
        <v>6431</v>
      </c>
      <c r="B1946" t="s">
        <v>90</v>
      </c>
    </row>
    <row r="1947" spans="1:2" x14ac:dyDescent="0.2">
      <c r="A1947" s="36" t="s">
        <v>6436</v>
      </c>
      <c r="B1947" t="s">
        <v>99</v>
      </c>
    </row>
    <row r="1948" spans="1:2" x14ac:dyDescent="0.2">
      <c r="A1948" s="36" t="s">
        <v>6433</v>
      </c>
      <c r="B1948" t="s">
        <v>84</v>
      </c>
    </row>
    <row r="1949" spans="1:2" x14ac:dyDescent="0.2">
      <c r="A1949" s="36" t="s">
        <v>6435</v>
      </c>
      <c r="B1949" t="s">
        <v>103</v>
      </c>
    </row>
    <row r="1950" spans="1:2" x14ac:dyDescent="0.2">
      <c r="A1950" s="36" t="s">
        <v>6434</v>
      </c>
      <c r="B1950" t="s">
        <v>95</v>
      </c>
    </row>
    <row r="1951" spans="1:2" x14ac:dyDescent="0.2">
      <c r="A1951" s="36" t="s">
        <v>6437</v>
      </c>
      <c r="B1951" t="s">
        <v>88</v>
      </c>
    </row>
    <row r="1952" spans="1:2" x14ac:dyDescent="0.2">
      <c r="A1952" s="36" t="s">
        <v>6484</v>
      </c>
      <c r="B1952" t="s">
        <v>91</v>
      </c>
    </row>
    <row r="1953" spans="1:2" x14ac:dyDescent="0.2">
      <c r="A1953" s="36" t="s">
        <v>6468</v>
      </c>
      <c r="B1953" t="s">
        <v>99</v>
      </c>
    </row>
    <row r="1954" spans="1:2" x14ac:dyDescent="0.2">
      <c r="A1954" s="36" t="s">
        <v>6473</v>
      </c>
      <c r="B1954" t="s">
        <v>84</v>
      </c>
    </row>
    <row r="1955" spans="1:2" x14ac:dyDescent="0.2">
      <c r="A1955" s="36" t="s">
        <v>6488</v>
      </c>
      <c r="B1955" t="s">
        <v>91</v>
      </c>
    </row>
    <row r="1956" spans="1:2" x14ac:dyDescent="0.2">
      <c r="A1956" s="36" t="s">
        <v>6483</v>
      </c>
      <c r="B1956" t="s">
        <v>99</v>
      </c>
    </row>
    <row r="1957" spans="1:2" x14ac:dyDescent="0.2">
      <c r="A1957" s="36" t="s">
        <v>6486</v>
      </c>
      <c r="B1957" t="s">
        <v>84</v>
      </c>
    </row>
    <row r="1958" spans="1:2" x14ac:dyDescent="0.2">
      <c r="A1958" s="36" t="s">
        <v>6485</v>
      </c>
      <c r="B1958" t="s">
        <v>91</v>
      </c>
    </row>
    <row r="1959" spans="1:2" x14ac:dyDescent="0.2">
      <c r="A1959" s="36" t="s">
        <v>6451</v>
      </c>
      <c r="B1959" t="s">
        <v>99</v>
      </c>
    </row>
    <row r="1960" spans="1:2" x14ac:dyDescent="0.2">
      <c r="A1960" s="36" t="s">
        <v>6489</v>
      </c>
      <c r="B1960" t="s">
        <v>84</v>
      </c>
    </row>
    <row r="1961" spans="1:2" x14ac:dyDescent="0.2">
      <c r="A1961" s="36" t="s">
        <v>6490</v>
      </c>
      <c r="B1961" t="s">
        <v>91</v>
      </c>
    </row>
    <row r="1962" spans="1:2" x14ac:dyDescent="0.2">
      <c r="A1962" s="36" t="s">
        <v>6487</v>
      </c>
      <c r="B1962" t="s">
        <v>99</v>
      </c>
    </row>
    <row r="1963" spans="1:2" x14ac:dyDescent="0.2">
      <c r="A1963" s="36" t="s">
        <v>6469</v>
      </c>
      <c r="B1963" t="s">
        <v>84</v>
      </c>
    </row>
    <row r="1964" spans="1:2" x14ac:dyDescent="0.2">
      <c r="A1964" s="36" t="s">
        <v>6471</v>
      </c>
      <c r="B1964" t="s">
        <v>91</v>
      </c>
    </row>
    <row r="1965" spans="1:2" x14ac:dyDescent="0.2">
      <c r="A1965" s="36" t="s">
        <v>6474</v>
      </c>
      <c r="B1965" t="s">
        <v>99</v>
      </c>
    </row>
    <row r="1966" spans="1:2" x14ac:dyDescent="0.2">
      <c r="A1966" s="36" t="s">
        <v>6477</v>
      </c>
      <c r="B1966" t="s">
        <v>84</v>
      </c>
    </row>
    <row r="1967" spans="1:2" x14ac:dyDescent="0.2">
      <c r="A1967" s="36" t="s">
        <v>6439</v>
      </c>
      <c r="B1967" t="s">
        <v>91</v>
      </c>
    </row>
    <row r="1968" spans="1:2" x14ac:dyDescent="0.2">
      <c r="A1968" s="36" t="s">
        <v>6441</v>
      </c>
      <c r="B1968" t="s">
        <v>99</v>
      </c>
    </row>
    <row r="1969" spans="1:2" x14ac:dyDescent="0.2">
      <c r="A1969" s="36" t="s">
        <v>6482</v>
      </c>
      <c r="B1969" t="s">
        <v>84</v>
      </c>
    </row>
    <row r="1970" spans="1:2" x14ac:dyDescent="0.2">
      <c r="A1970" s="36" t="s">
        <v>6480</v>
      </c>
      <c r="B1970" t="s">
        <v>91</v>
      </c>
    </row>
    <row r="1971" spans="1:2" x14ac:dyDescent="0.2">
      <c r="A1971" s="36" t="s">
        <v>6476</v>
      </c>
      <c r="B1971" t="s">
        <v>99</v>
      </c>
    </row>
    <row r="1972" spans="1:2" x14ac:dyDescent="0.2">
      <c r="A1972" s="36" t="s">
        <v>6443</v>
      </c>
      <c r="B1972" t="s">
        <v>84</v>
      </c>
    </row>
    <row r="1973" spans="1:2" x14ac:dyDescent="0.2">
      <c r="A1973" s="36" t="s">
        <v>6444</v>
      </c>
      <c r="B1973" t="s">
        <v>91</v>
      </c>
    </row>
    <row r="1974" spans="1:2" x14ac:dyDescent="0.2">
      <c r="A1974" s="36" t="s">
        <v>6454</v>
      </c>
      <c r="B1974" t="s">
        <v>99</v>
      </c>
    </row>
    <row r="1975" spans="1:2" x14ac:dyDescent="0.2">
      <c r="A1975" s="36" t="s">
        <v>6447</v>
      </c>
      <c r="B1975" t="s">
        <v>84</v>
      </c>
    </row>
    <row r="1976" spans="1:2" x14ac:dyDescent="0.2">
      <c r="A1976" s="36" t="s">
        <v>6460</v>
      </c>
      <c r="B1976" t="s">
        <v>91</v>
      </c>
    </row>
    <row r="1977" spans="1:2" x14ac:dyDescent="0.2">
      <c r="A1977" s="36" t="s">
        <v>6459</v>
      </c>
      <c r="B1977" t="s">
        <v>99</v>
      </c>
    </row>
    <row r="1978" spans="1:2" x14ac:dyDescent="0.2">
      <c r="A1978" s="36" t="s">
        <v>6450</v>
      </c>
      <c r="B1978" t="s">
        <v>84</v>
      </c>
    </row>
    <row r="1979" spans="1:2" x14ac:dyDescent="0.2">
      <c r="A1979" s="36" t="s">
        <v>6478</v>
      </c>
      <c r="B1979" t="s">
        <v>91</v>
      </c>
    </row>
    <row r="1980" spans="1:2" x14ac:dyDescent="0.2">
      <c r="A1980" s="36" t="s">
        <v>6479</v>
      </c>
      <c r="B1980" t="s">
        <v>99</v>
      </c>
    </row>
    <row r="1981" spans="1:2" x14ac:dyDescent="0.2">
      <c r="A1981" s="36" t="s">
        <v>6442</v>
      </c>
      <c r="B1981" t="s">
        <v>84</v>
      </c>
    </row>
    <row r="1982" spans="1:2" x14ac:dyDescent="0.2">
      <c r="A1982" s="36" t="s">
        <v>6475</v>
      </c>
      <c r="B1982" t="s">
        <v>91</v>
      </c>
    </row>
    <row r="1983" spans="1:2" x14ac:dyDescent="0.2">
      <c r="A1983" s="36" t="s">
        <v>6449</v>
      </c>
      <c r="B1983" t="s">
        <v>99</v>
      </c>
    </row>
    <row r="1984" spans="1:2" x14ac:dyDescent="0.2">
      <c r="A1984" s="36" t="s">
        <v>6491</v>
      </c>
      <c r="B1984" t="s">
        <v>84</v>
      </c>
    </row>
    <row r="1985" spans="1:2" x14ac:dyDescent="0.2">
      <c r="A1985" s="36" t="s">
        <v>6472</v>
      </c>
      <c r="B1985" t="s">
        <v>91</v>
      </c>
    </row>
    <row r="1986" spans="1:2" x14ac:dyDescent="0.2">
      <c r="A1986" s="36" t="s">
        <v>6455</v>
      </c>
      <c r="B1986" t="s">
        <v>99</v>
      </c>
    </row>
    <row r="1987" spans="1:2" x14ac:dyDescent="0.2">
      <c r="A1987" s="36" t="s">
        <v>6464</v>
      </c>
      <c r="B1987" t="s">
        <v>84</v>
      </c>
    </row>
    <row r="1988" spans="1:2" x14ac:dyDescent="0.2">
      <c r="A1988" s="36" t="s">
        <v>6463</v>
      </c>
      <c r="B1988" t="s">
        <v>91</v>
      </c>
    </row>
    <row r="1989" spans="1:2" x14ac:dyDescent="0.2">
      <c r="A1989" s="36" t="s">
        <v>6446</v>
      </c>
      <c r="B1989" t="s">
        <v>99</v>
      </c>
    </row>
    <row r="1990" spans="1:2" x14ac:dyDescent="0.2">
      <c r="A1990" s="36" t="s">
        <v>6438</v>
      </c>
      <c r="B1990" t="s">
        <v>84</v>
      </c>
    </row>
    <row r="1991" spans="1:2" x14ac:dyDescent="0.2">
      <c r="A1991" s="36" t="s">
        <v>6453</v>
      </c>
      <c r="B1991" t="s">
        <v>91</v>
      </c>
    </row>
    <row r="1992" spans="1:2" x14ac:dyDescent="0.2">
      <c r="A1992" s="36" t="s">
        <v>6445</v>
      </c>
      <c r="B1992" t="s">
        <v>99</v>
      </c>
    </row>
    <row r="1993" spans="1:2" x14ac:dyDescent="0.2">
      <c r="A1993" s="36" t="s">
        <v>6457</v>
      </c>
      <c r="B1993" t="s">
        <v>84</v>
      </c>
    </row>
    <row r="1994" spans="1:2" x14ac:dyDescent="0.2">
      <c r="A1994" s="36" t="s">
        <v>6456</v>
      </c>
      <c r="B1994" t="s">
        <v>91</v>
      </c>
    </row>
    <row r="1995" spans="1:2" x14ac:dyDescent="0.2">
      <c r="A1995" s="36" t="s">
        <v>6461</v>
      </c>
      <c r="B1995" t="s">
        <v>99</v>
      </c>
    </row>
    <row r="1996" spans="1:2" x14ac:dyDescent="0.2">
      <c r="A1996" s="36" t="s">
        <v>6465</v>
      </c>
      <c r="B1996" t="s">
        <v>84</v>
      </c>
    </row>
    <row r="1997" spans="1:2" x14ac:dyDescent="0.2">
      <c r="A1997" s="36" t="s">
        <v>6462</v>
      </c>
      <c r="B1997" t="s">
        <v>91</v>
      </c>
    </row>
    <row r="1998" spans="1:2" x14ac:dyDescent="0.2">
      <c r="A1998" s="36" t="s">
        <v>6467</v>
      </c>
      <c r="B1998" t="s">
        <v>99</v>
      </c>
    </row>
    <row r="1999" spans="1:2" x14ac:dyDescent="0.2">
      <c r="A1999" s="36" t="s">
        <v>6466</v>
      </c>
      <c r="B1999" t="s">
        <v>84</v>
      </c>
    </row>
    <row r="2000" spans="1:2" x14ac:dyDescent="0.2">
      <c r="A2000" s="36" t="s">
        <v>6481</v>
      </c>
      <c r="B2000" t="s">
        <v>91</v>
      </c>
    </row>
    <row r="2001" spans="1:2" x14ac:dyDescent="0.2">
      <c r="A2001" s="36" t="s">
        <v>6440</v>
      </c>
      <c r="B2001" t="s">
        <v>99</v>
      </c>
    </row>
    <row r="2002" spans="1:2" x14ac:dyDescent="0.2">
      <c r="A2002" s="36" t="s">
        <v>6452</v>
      </c>
      <c r="B2002" t="s">
        <v>84</v>
      </c>
    </row>
    <row r="2003" spans="1:2" x14ac:dyDescent="0.2">
      <c r="A2003" s="36" t="s">
        <v>6458</v>
      </c>
      <c r="B2003" t="s">
        <v>91</v>
      </c>
    </row>
    <row r="2004" spans="1:2" x14ac:dyDescent="0.2">
      <c r="A2004" s="36" t="s">
        <v>6470</v>
      </c>
      <c r="B2004" t="s">
        <v>99</v>
      </c>
    </row>
    <row r="2005" spans="1:2" x14ac:dyDescent="0.2">
      <c r="A2005" s="36" t="s">
        <v>6448</v>
      </c>
      <c r="B2005" t="s">
        <v>84</v>
      </c>
    </row>
    <row r="2006" spans="1:2" x14ac:dyDescent="0.2">
      <c r="A2006" s="36" t="s">
        <v>6492</v>
      </c>
      <c r="B2006" t="s">
        <v>103</v>
      </c>
    </row>
    <row r="2007" spans="1:2" x14ac:dyDescent="0.2">
      <c r="A2007" s="36" t="s">
        <v>6493</v>
      </c>
      <c r="B2007" t="s">
        <v>97</v>
      </c>
    </row>
    <row r="2008" spans="1:2" x14ac:dyDescent="0.2">
      <c r="A2008" s="36" t="s">
        <v>6494</v>
      </c>
      <c r="B2008" t="s">
        <v>92</v>
      </c>
    </row>
    <row r="2009" spans="1:2" x14ac:dyDescent="0.2">
      <c r="A2009" s="36" t="s">
        <v>6496</v>
      </c>
      <c r="B2009" t="s">
        <v>100</v>
      </c>
    </row>
    <row r="2010" spans="1:2" x14ac:dyDescent="0.2">
      <c r="A2010" s="36" t="s">
        <v>6495</v>
      </c>
      <c r="B2010" t="s">
        <v>95</v>
      </c>
    </row>
    <row r="2011" spans="1:2" x14ac:dyDescent="0.2">
      <c r="A2011" s="36" t="s">
        <v>6512</v>
      </c>
      <c r="B2011" t="s">
        <v>96</v>
      </c>
    </row>
    <row r="2012" spans="1:2" x14ac:dyDescent="0.2">
      <c r="A2012" s="36" t="s">
        <v>6497</v>
      </c>
      <c r="B2012" t="s">
        <v>97</v>
      </c>
    </row>
    <row r="2013" spans="1:2" x14ac:dyDescent="0.2">
      <c r="A2013" s="36" t="s">
        <v>6501</v>
      </c>
      <c r="B2013" t="s">
        <v>89</v>
      </c>
    </row>
    <row r="2014" spans="1:2" x14ac:dyDescent="0.2">
      <c r="A2014" s="36" t="s">
        <v>6509</v>
      </c>
      <c r="B2014" t="s">
        <v>96</v>
      </c>
    </row>
    <row r="2015" spans="1:2" x14ac:dyDescent="0.2">
      <c r="A2015" s="36" t="s">
        <v>6498</v>
      </c>
      <c r="B2015" t="s">
        <v>97</v>
      </c>
    </row>
    <row r="2016" spans="1:2" x14ac:dyDescent="0.2">
      <c r="A2016" s="36" t="s">
        <v>6508</v>
      </c>
      <c r="B2016" t="s">
        <v>89</v>
      </c>
    </row>
    <row r="2017" spans="1:2" x14ac:dyDescent="0.2">
      <c r="A2017" s="36" t="s">
        <v>6510</v>
      </c>
      <c r="B2017" t="s">
        <v>96</v>
      </c>
    </row>
    <row r="2018" spans="1:2" x14ac:dyDescent="0.2">
      <c r="A2018" s="36" t="s">
        <v>6507</v>
      </c>
      <c r="B2018" t="s">
        <v>97</v>
      </c>
    </row>
    <row r="2019" spans="1:2" x14ac:dyDescent="0.2">
      <c r="A2019" s="36" t="s">
        <v>6505</v>
      </c>
      <c r="B2019" t="s">
        <v>89</v>
      </c>
    </row>
    <row r="2020" spans="1:2" x14ac:dyDescent="0.2">
      <c r="A2020" s="36" t="s">
        <v>6503</v>
      </c>
      <c r="B2020" t="s">
        <v>96</v>
      </c>
    </row>
    <row r="2021" spans="1:2" x14ac:dyDescent="0.2">
      <c r="A2021" s="36" t="s">
        <v>6514</v>
      </c>
      <c r="B2021" t="s">
        <v>97</v>
      </c>
    </row>
    <row r="2022" spans="1:2" x14ac:dyDescent="0.2">
      <c r="A2022" s="36" t="s">
        <v>6516</v>
      </c>
      <c r="B2022" t="s">
        <v>89</v>
      </c>
    </row>
    <row r="2023" spans="1:2" x14ac:dyDescent="0.2">
      <c r="A2023" s="36" t="s">
        <v>6499</v>
      </c>
      <c r="B2023" t="s">
        <v>96</v>
      </c>
    </row>
    <row r="2024" spans="1:2" x14ac:dyDescent="0.2">
      <c r="A2024" s="36" t="s">
        <v>6504</v>
      </c>
      <c r="B2024" t="s">
        <v>97</v>
      </c>
    </row>
    <row r="2025" spans="1:2" x14ac:dyDescent="0.2">
      <c r="A2025" s="36" t="s">
        <v>6500</v>
      </c>
      <c r="B2025" t="s">
        <v>89</v>
      </c>
    </row>
    <row r="2026" spans="1:2" x14ac:dyDescent="0.2">
      <c r="A2026" s="36" t="s">
        <v>6515</v>
      </c>
      <c r="B2026" t="s">
        <v>89</v>
      </c>
    </row>
    <row r="2027" spans="1:2" x14ac:dyDescent="0.2">
      <c r="A2027" s="36" t="s">
        <v>6513</v>
      </c>
      <c r="B2027" t="s">
        <v>96</v>
      </c>
    </row>
    <row r="2028" spans="1:2" x14ac:dyDescent="0.2">
      <c r="A2028" s="36" t="s">
        <v>6511</v>
      </c>
      <c r="B2028" t="s">
        <v>97</v>
      </c>
    </row>
    <row r="2029" spans="1:2" x14ac:dyDescent="0.2">
      <c r="A2029" s="36" t="s">
        <v>6506</v>
      </c>
      <c r="B2029" t="s">
        <v>89</v>
      </c>
    </row>
    <row r="2030" spans="1:2" x14ac:dyDescent="0.2">
      <c r="A2030" s="36" t="s">
        <v>6502</v>
      </c>
      <c r="B2030" t="s">
        <v>96</v>
      </c>
    </row>
    <row r="2031" spans="1:2" x14ac:dyDescent="0.2">
      <c r="A2031" s="36" t="s">
        <v>6517</v>
      </c>
      <c r="B2031" t="s">
        <v>104</v>
      </c>
    </row>
    <row r="2032" spans="1:2" x14ac:dyDescent="0.2">
      <c r="A2032" s="36" t="s">
        <v>6525</v>
      </c>
      <c r="B2032" t="s">
        <v>100</v>
      </c>
    </row>
    <row r="2033" spans="1:2" x14ac:dyDescent="0.2">
      <c r="A2033" s="36" t="s">
        <v>6522</v>
      </c>
      <c r="B2033" t="s">
        <v>88</v>
      </c>
    </row>
    <row r="2034" spans="1:2" x14ac:dyDescent="0.2">
      <c r="A2034" s="36" t="s">
        <v>6518</v>
      </c>
      <c r="B2034" t="s">
        <v>88</v>
      </c>
    </row>
    <row r="2035" spans="1:2" x14ac:dyDescent="0.2">
      <c r="A2035" s="36" t="s">
        <v>6526</v>
      </c>
      <c r="B2035" t="s">
        <v>104</v>
      </c>
    </row>
    <row r="2036" spans="1:2" x14ac:dyDescent="0.2">
      <c r="A2036" s="36" t="s">
        <v>6520</v>
      </c>
      <c r="B2036" t="s">
        <v>100</v>
      </c>
    </row>
    <row r="2037" spans="1:2" x14ac:dyDescent="0.2">
      <c r="A2037" s="36" t="s">
        <v>6524</v>
      </c>
      <c r="B2037" t="s">
        <v>88</v>
      </c>
    </row>
    <row r="2038" spans="1:2" x14ac:dyDescent="0.2">
      <c r="A2038" s="36" t="s">
        <v>6519</v>
      </c>
      <c r="B2038" t="s">
        <v>104</v>
      </c>
    </row>
    <row r="2039" spans="1:2" x14ac:dyDescent="0.2">
      <c r="A2039" s="36" t="s">
        <v>6523</v>
      </c>
      <c r="B2039" t="s">
        <v>100</v>
      </c>
    </row>
    <row r="2040" spans="1:2" x14ac:dyDescent="0.2">
      <c r="A2040" s="36" t="s">
        <v>6521</v>
      </c>
      <c r="B2040" t="s">
        <v>88</v>
      </c>
    </row>
    <row r="2041" spans="1:2" x14ac:dyDescent="0.2">
      <c r="A2041" s="36" t="s">
        <v>6527</v>
      </c>
      <c r="B2041" t="s">
        <v>92</v>
      </c>
    </row>
    <row r="2042" spans="1:2" x14ac:dyDescent="0.2">
      <c r="A2042" s="36" t="s">
        <v>6528</v>
      </c>
      <c r="B2042" t="s">
        <v>103</v>
      </c>
    </row>
    <row r="2043" spans="1:2" x14ac:dyDescent="0.2">
      <c r="A2043" s="36" t="s">
        <v>6533</v>
      </c>
      <c r="B2043" t="s">
        <v>98</v>
      </c>
    </row>
    <row r="2044" spans="1:2" x14ac:dyDescent="0.2">
      <c r="A2044" s="36" t="s">
        <v>6532</v>
      </c>
      <c r="B2044" t="s">
        <v>95</v>
      </c>
    </row>
    <row r="2045" spans="1:2" x14ac:dyDescent="0.2">
      <c r="A2045" s="36" t="s">
        <v>6531</v>
      </c>
      <c r="B2045" t="s">
        <v>92</v>
      </c>
    </row>
    <row r="2046" spans="1:2" x14ac:dyDescent="0.2">
      <c r="A2046" s="36" t="s">
        <v>6530</v>
      </c>
      <c r="B2046" t="s">
        <v>103</v>
      </c>
    </row>
    <row r="2047" spans="1:2" x14ac:dyDescent="0.2">
      <c r="A2047" s="36" t="s">
        <v>6529</v>
      </c>
      <c r="B2047" t="s">
        <v>90</v>
      </c>
    </row>
    <row r="2048" spans="1:2" x14ac:dyDescent="0.2">
      <c r="A2048" s="36" t="s">
        <v>6555</v>
      </c>
      <c r="B2048" t="s">
        <v>92</v>
      </c>
    </row>
    <row r="2049" spans="1:2" x14ac:dyDescent="0.2">
      <c r="A2049" s="36" t="s">
        <v>6563</v>
      </c>
      <c r="B2049" t="s">
        <v>98</v>
      </c>
    </row>
    <row r="2050" spans="1:2" x14ac:dyDescent="0.2">
      <c r="A2050" s="36" t="s">
        <v>6565</v>
      </c>
      <c r="B2050" t="s">
        <v>92</v>
      </c>
    </row>
    <row r="2051" spans="1:2" x14ac:dyDescent="0.2">
      <c r="A2051" s="36" t="s">
        <v>6540</v>
      </c>
      <c r="B2051" t="s">
        <v>95</v>
      </c>
    </row>
    <row r="2052" spans="1:2" x14ac:dyDescent="0.2">
      <c r="A2052" s="36" t="s">
        <v>6541</v>
      </c>
      <c r="B2052" t="s">
        <v>98</v>
      </c>
    </row>
    <row r="2053" spans="1:2" x14ac:dyDescent="0.2">
      <c r="A2053" s="36" t="s">
        <v>6567</v>
      </c>
      <c r="B2053" t="s">
        <v>92</v>
      </c>
    </row>
    <row r="2054" spans="1:2" x14ac:dyDescent="0.2">
      <c r="A2054" s="36" t="s">
        <v>6549</v>
      </c>
      <c r="B2054" t="s">
        <v>95</v>
      </c>
    </row>
    <row r="2055" spans="1:2" x14ac:dyDescent="0.2">
      <c r="A2055" s="36" t="s">
        <v>6544</v>
      </c>
      <c r="B2055" t="s">
        <v>92</v>
      </c>
    </row>
    <row r="2056" spans="1:2" x14ac:dyDescent="0.2">
      <c r="A2056" s="36" t="s">
        <v>6558</v>
      </c>
      <c r="B2056" t="s">
        <v>98</v>
      </c>
    </row>
    <row r="2057" spans="1:2" x14ac:dyDescent="0.2">
      <c r="A2057" s="36" t="s">
        <v>6556</v>
      </c>
      <c r="B2057" t="s">
        <v>95</v>
      </c>
    </row>
    <row r="2058" spans="1:2" x14ac:dyDescent="0.2">
      <c r="A2058" s="36" t="s">
        <v>6548</v>
      </c>
      <c r="B2058" t="s">
        <v>92</v>
      </c>
    </row>
    <row r="2059" spans="1:2" x14ac:dyDescent="0.2">
      <c r="A2059" s="36" t="s">
        <v>6553</v>
      </c>
      <c r="B2059" t="s">
        <v>98</v>
      </c>
    </row>
    <row r="2060" spans="1:2" x14ac:dyDescent="0.2">
      <c r="A2060" s="36" t="s">
        <v>6545</v>
      </c>
      <c r="B2060" t="s">
        <v>95</v>
      </c>
    </row>
    <row r="2061" spans="1:2" x14ac:dyDescent="0.2">
      <c r="A2061" s="36" t="s">
        <v>6535</v>
      </c>
      <c r="B2061" t="s">
        <v>92</v>
      </c>
    </row>
    <row r="2062" spans="1:2" x14ac:dyDescent="0.2">
      <c r="A2062" s="36" t="s">
        <v>6534</v>
      </c>
      <c r="B2062" t="s">
        <v>98</v>
      </c>
    </row>
    <row r="2063" spans="1:2" x14ac:dyDescent="0.2">
      <c r="A2063" s="36" t="s">
        <v>6562</v>
      </c>
      <c r="B2063" t="s">
        <v>95</v>
      </c>
    </row>
    <row r="2064" spans="1:2" x14ac:dyDescent="0.2">
      <c r="A2064" s="36" t="s">
        <v>6564</v>
      </c>
      <c r="B2064" t="s">
        <v>92</v>
      </c>
    </row>
    <row r="2065" spans="1:2" x14ac:dyDescent="0.2">
      <c r="A2065" s="36" t="s">
        <v>6551</v>
      </c>
      <c r="B2065" t="s">
        <v>98</v>
      </c>
    </row>
    <row r="2066" spans="1:2" x14ac:dyDescent="0.2">
      <c r="A2066" s="36" t="s">
        <v>6542</v>
      </c>
      <c r="B2066" t="s">
        <v>95</v>
      </c>
    </row>
    <row r="2067" spans="1:2" x14ac:dyDescent="0.2">
      <c r="A2067" s="36" t="s">
        <v>6552</v>
      </c>
      <c r="B2067" t="s">
        <v>92</v>
      </c>
    </row>
    <row r="2068" spans="1:2" x14ac:dyDescent="0.2">
      <c r="A2068" s="36" t="s">
        <v>6537</v>
      </c>
      <c r="B2068" t="s">
        <v>98</v>
      </c>
    </row>
    <row r="2069" spans="1:2" x14ac:dyDescent="0.2">
      <c r="A2069" s="36" t="s">
        <v>6550</v>
      </c>
      <c r="B2069" t="s">
        <v>95</v>
      </c>
    </row>
    <row r="2070" spans="1:2" x14ac:dyDescent="0.2">
      <c r="A2070" s="36" t="s">
        <v>6560</v>
      </c>
      <c r="B2070" t="s">
        <v>92</v>
      </c>
    </row>
    <row r="2071" spans="1:2" x14ac:dyDescent="0.2">
      <c r="A2071" s="36" t="s">
        <v>6569</v>
      </c>
      <c r="B2071" t="s">
        <v>98</v>
      </c>
    </row>
    <row r="2072" spans="1:2" x14ac:dyDescent="0.2">
      <c r="A2072" s="36" t="s">
        <v>6566</v>
      </c>
      <c r="B2072" t="s">
        <v>95</v>
      </c>
    </row>
    <row r="2073" spans="1:2" x14ac:dyDescent="0.2">
      <c r="A2073" s="36" t="s">
        <v>6536</v>
      </c>
      <c r="B2073" t="s">
        <v>92</v>
      </c>
    </row>
    <row r="2074" spans="1:2" x14ac:dyDescent="0.2">
      <c r="A2074" s="36" t="s">
        <v>6559</v>
      </c>
      <c r="B2074" t="s">
        <v>95</v>
      </c>
    </row>
    <row r="2075" spans="1:2" x14ac:dyDescent="0.2">
      <c r="A2075" s="36" t="s">
        <v>6547</v>
      </c>
      <c r="B2075" t="s">
        <v>98</v>
      </c>
    </row>
    <row r="2076" spans="1:2" x14ac:dyDescent="0.2">
      <c r="A2076" s="36" t="s">
        <v>6557</v>
      </c>
      <c r="B2076" t="s">
        <v>92</v>
      </c>
    </row>
    <row r="2077" spans="1:2" x14ac:dyDescent="0.2">
      <c r="A2077" s="36" t="s">
        <v>6538</v>
      </c>
      <c r="B2077" t="s">
        <v>95</v>
      </c>
    </row>
    <row r="2078" spans="1:2" x14ac:dyDescent="0.2">
      <c r="A2078" s="36" t="s">
        <v>6554</v>
      </c>
      <c r="B2078" t="s">
        <v>98</v>
      </c>
    </row>
    <row r="2079" spans="1:2" x14ac:dyDescent="0.2">
      <c r="A2079" s="36" t="s">
        <v>6561</v>
      </c>
      <c r="B2079" t="s">
        <v>92</v>
      </c>
    </row>
    <row r="2080" spans="1:2" x14ac:dyDescent="0.2">
      <c r="A2080" s="36" t="s">
        <v>6539</v>
      </c>
      <c r="B2080" t="s">
        <v>95</v>
      </c>
    </row>
    <row r="2081" spans="1:2" x14ac:dyDescent="0.2">
      <c r="A2081" s="36" t="s">
        <v>6543</v>
      </c>
      <c r="B2081" t="s">
        <v>98</v>
      </c>
    </row>
    <row r="2082" spans="1:2" x14ac:dyDescent="0.2">
      <c r="A2082" s="36" t="s">
        <v>6546</v>
      </c>
      <c r="B2082" t="s">
        <v>92</v>
      </c>
    </row>
    <row r="2083" spans="1:2" x14ac:dyDescent="0.2">
      <c r="A2083" s="36" t="s">
        <v>6568</v>
      </c>
      <c r="B2083" t="s">
        <v>95</v>
      </c>
    </row>
    <row r="2084" spans="1:2" x14ac:dyDescent="0.2">
      <c r="A2084" s="36" t="s">
        <v>6571</v>
      </c>
      <c r="B2084" t="s">
        <v>103</v>
      </c>
    </row>
    <row r="2085" spans="1:2" x14ac:dyDescent="0.2">
      <c r="A2085" s="36" t="s">
        <v>6576</v>
      </c>
      <c r="B2085" t="s">
        <v>90</v>
      </c>
    </row>
    <row r="2086" spans="1:2" x14ac:dyDescent="0.2">
      <c r="A2086" s="36" t="s">
        <v>6570</v>
      </c>
      <c r="B2086" t="s">
        <v>103</v>
      </c>
    </row>
    <row r="2087" spans="1:2" x14ac:dyDescent="0.2">
      <c r="A2087" s="36" t="s">
        <v>6601</v>
      </c>
      <c r="B2087" t="s">
        <v>90</v>
      </c>
    </row>
    <row r="2088" spans="1:2" x14ac:dyDescent="0.2">
      <c r="A2088" s="36" t="s">
        <v>6572</v>
      </c>
      <c r="B2088" t="s">
        <v>90</v>
      </c>
    </row>
    <row r="2089" spans="1:2" x14ac:dyDescent="0.2">
      <c r="A2089" s="36" t="s">
        <v>6579</v>
      </c>
      <c r="B2089" t="s">
        <v>103</v>
      </c>
    </row>
    <row r="2090" spans="1:2" x14ac:dyDescent="0.2">
      <c r="A2090" s="36" t="s">
        <v>6575</v>
      </c>
      <c r="B2090" t="s">
        <v>90</v>
      </c>
    </row>
    <row r="2091" spans="1:2" x14ac:dyDescent="0.2">
      <c r="A2091" s="36" t="s">
        <v>6598</v>
      </c>
      <c r="B2091" t="s">
        <v>103</v>
      </c>
    </row>
    <row r="2092" spans="1:2" x14ac:dyDescent="0.2">
      <c r="A2092" s="36" t="s">
        <v>6599</v>
      </c>
      <c r="B2092" t="s">
        <v>90</v>
      </c>
    </row>
    <row r="2093" spans="1:2" x14ac:dyDescent="0.2">
      <c r="A2093" s="36" t="s">
        <v>6587</v>
      </c>
      <c r="B2093" t="s">
        <v>103</v>
      </c>
    </row>
    <row r="2094" spans="1:2" x14ac:dyDescent="0.2">
      <c r="A2094" s="36" t="s">
        <v>6604</v>
      </c>
      <c r="B2094" t="s">
        <v>90</v>
      </c>
    </row>
    <row r="2095" spans="1:2" x14ac:dyDescent="0.2">
      <c r="A2095" s="36" t="s">
        <v>6602</v>
      </c>
      <c r="B2095" t="s">
        <v>90</v>
      </c>
    </row>
    <row r="2096" spans="1:2" x14ac:dyDescent="0.2">
      <c r="A2096" s="36" t="s">
        <v>6577</v>
      </c>
      <c r="B2096" t="s">
        <v>103</v>
      </c>
    </row>
    <row r="2097" spans="1:2" x14ac:dyDescent="0.2">
      <c r="A2097" s="36" t="s">
        <v>6593</v>
      </c>
      <c r="B2097" t="s">
        <v>90</v>
      </c>
    </row>
    <row r="2098" spans="1:2" x14ac:dyDescent="0.2">
      <c r="A2098" s="36" t="s">
        <v>6605</v>
      </c>
      <c r="B2098" t="s">
        <v>103</v>
      </c>
    </row>
    <row r="2099" spans="1:2" x14ac:dyDescent="0.2">
      <c r="A2099" s="36" t="s">
        <v>6595</v>
      </c>
      <c r="B2099" t="s">
        <v>90</v>
      </c>
    </row>
    <row r="2100" spans="1:2" x14ac:dyDescent="0.2">
      <c r="A2100" s="36" t="s">
        <v>6586</v>
      </c>
      <c r="B2100" t="s">
        <v>103</v>
      </c>
    </row>
    <row r="2101" spans="1:2" x14ac:dyDescent="0.2">
      <c r="A2101" s="36" t="s">
        <v>6596</v>
      </c>
      <c r="B2101" t="s">
        <v>90</v>
      </c>
    </row>
    <row r="2102" spans="1:2" x14ac:dyDescent="0.2">
      <c r="A2102" s="36" t="s">
        <v>6582</v>
      </c>
      <c r="B2102" t="s">
        <v>103</v>
      </c>
    </row>
    <row r="2103" spans="1:2" x14ac:dyDescent="0.2">
      <c r="A2103" s="36" t="s">
        <v>6574</v>
      </c>
      <c r="B2103" t="s">
        <v>90</v>
      </c>
    </row>
    <row r="2104" spans="1:2" x14ac:dyDescent="0.2">
      <c r="A2104" s="36" t="s">
        <v>6589</v>
      </c>
      <c r="B2104" t="s">
        <v>103</v>
      </c>
    </row>
    <row r="2105" spans="1:2" x14ac:dyDescent="0.2">
      <c r="A2105" s="36" t="s">
        <v>6590</v>
      </c>
      <c r="B2105" t="s">
        <v>90</v>
      </c>
    </row>
    <row r="2106" spans="1:2" x14ac:dyDescent="0.2">
      <c r="A2106" s="36" t="s">
        <v>6573</v>
      </c>
      <c r="B2106" t="s">
        <v>103</v>
      </c>
    </row>
    <row r="2107" spans="1:2" x14ac:dyDescent="0.2">
      <c r="A2107" s="36" t="s">
        <v>6600</v>
      </c>
      <c r="B2107" t="s">
        <v>90</v>
      </c>
    </row>
    <row r="2108" spans="1:2" x14ac:dyDescent="0.2">
      <c r="A2108" s="36" t="s">
        <v>6592</v>
      </c>
      <c r="B2108" t="s">
        <v>103</v>
      </c>
    </row>
    <row r="2109" spans="1:2" x14ac:dyDescent="0.2">
      <c r="A2109" s="36" t="s">
        <v>6603</v>
      </c>
      <c r="B2109" t="s">
        <v>90</v>
      </c>
    </row>
    <row r="2110" spans="1:2" x14ac:dyDescent="0.2">
      <c r="A2110" s="36" t="s">
        <v>6591</v>
      </c>
      <c r="B2110" t="s">
        <v>103</v>
      </c>
    </row>
    <row r="2111" spans="1:2" x14ac:dyDescent="0.2">
      <c r="A2111" s="36" t="s">
        <v>6585</v>
      </c>
      <c r="B2111" t="s">
        <v>90</v>
      </c>
    </row>
    <row r="2112" spans="1:2" x14ac:dyDescent="0.2">
      <c r="A2112" s="36" t="s">
        <v>6594</v>
      </c>
      <c r="B2112" t="s">
        <v>103</v>
      </c>
    </row>
    <row r="2113" spans="1:2" x14ac:dyDescent="0.2">
      <c r="A2113" s="36" t="s">
        <v>6581</v>
      </c>
      <c r="B2113" t="s">
        <v>90</v>
      </c>
    </row>
    <row r="2114" spans="1:2" x14ac:dyDescent="0.2">
      <c r="A2114" s="36" t="s">
        <v>6583</v>
      </c>
      <c r="B2114" t="s">
        <v>103</v>
      </c>
    </row>
    <row r="2115" spans="1:2" x14ac:dyDescent="0.2">
      <c r="A2115" s="36" t="s">
        <v>6584</v>
      </c>
      <c r="B2115" t="s">
        <v>90</v>
      </c>
    </row>
    <row r="2116" spans="1:2" x14ac:dyDescent="0.2">
      <c r="A2116" s="36" t="s">
        <v>6580</v>
      </c>
      <c r="B2116" t="s">
        <v>103</v>
      </c>
    </row>
    <row r="2117" spans="1:2" x14ac:dyDescent="0.2">
      <c r="A2117" s="36" t="s">
        <v>6597</v>
      </c>
      <c r="B2117" t="s">
        <v>90</v>
      </c>
    </row>
    <row r="2118" spans="1:2" x14ac:dyDescent="0.2">
      <c r="A2118" s="36" t="s">
        <v>6588</v>
      </c>
      <c r="B2118" t="s">
        <v>103</v>
      </c>
    </row>
    <row r="2119" spans="1:2" x14ac:dyDescent="0.2">
      <c r="A2119" s="36" t="s">
        <v>6578</v>
      </c>
      <c r="B2119" t="s">
        <v>90</v>
      </c>
    </row>
    <row r="2120" spans="1:2" x14ac:dyDescent="0.2">
      <c r="A2120" s="36" t="s">
        <v>6609</v>
      </c>
      <c r="B2120" t="s">
        <v>105</v>
      </c>
    </row>
    <row r="2121" spans="1:2" x14ac:dyDescent="0.2">
      <c r="A2121" s="36" t="s">
        <v>6621</v>
      </c>
      <c r="B2121" t="s">
        <v>104</v>
      </c>
    </row>
    <row r="2122" spans="1:2" x14ac:dyDescent="0.2">
      <c r="A2122" s="36" t="s">
        <v>6612</v>
      </c>
      <c r="B2122" t="s">
        <v>100</v>
      </c>
    </row>
    <row r="2123" spans="1:2" x14ac:dyDescent="0.2">
      <c r="A2123" s="36" t="s">
        <v>6606</v>
      </c>
      <c r="B2123" t="s">
        <v>104</v>
      </c>
    </row>
    <row r="2124" spans="1:2" x14ac:dyDescent="0.2">
      <c r="A2124" s="36" t="s">
        <v>6610</v>
      </c>
      <c r="B2124" t="s">
        <v>105</v>
      </c>
    </row>
    <row r="2125" spans="1:2" x14ac:dyDescent="0.2">
      <c r="A2125" s="36" t="s">
        <v>6608</v>
      </c>
      <c r="B2125" t="s">
        <v>100</v>
      </c>
    </row>
    <row r="2126" spans="1:2" x14ac:dyDescent="0.2">
      <c r="A2126" s="36" t="s">
        <v>6623</v>
      </c>
      <c r="B2126" t="s">
        <v>105</v>
      </c>
    </row>
    <row r="2127" spans="1:2" x14ac:dyDescent="0.2">
      <c r="A2127" s="36" t="s">
        <v>6607</v>
      </c>
      <c r="B2127" t="s">
        <v>104</v>
      </c>
    </row>
    <row r="2128" spans="1:2" x14ac:dyDescent="0.2">
      <c r="A2128" s="36" t="s">
        <v>6614</v>
      </c>
      <c r="B2128" t="s">
        <v>100</v>
      </c>
    </row>
    <row r="2129" spans="1:2" x14ac:dyDescent="0.2">
      <c r="A2129" s="36" t="s">
        <v>6616</v>
      </c>
      <c r="B2129" t="s">
        <v>105</v>
      </c>
    </row>
    <row r="2130" spans="1:2" x14ac:dyDescent="0.2">
      <c r="A2130" s="36" t="s">
        <v>6613</v>
      </c>
      <c r="B2130" t="s">
        <v>104</v>
      </c>
    </row>
    <row r="2131" spans="1:2" x14ac:dyDescent="0.2">
      <c r="A2131" s="36" t="s">
        <v>6617</v>
      </c>
      <c r="B2131" t="s">
        <v>100</v>
      </c>
    </row>
    <row r="2132" spans="1:2" x14ac:dyDescent="0.2">
      <c r="A2132" s="36" t="s">
        <v>6624</v>
      </c>
      <c r="B2132" t="s">
        <v>105</v>
      </c>
    </row>
    <row r="2133" spans="1:2" x14ac:dyDescent="0.2">
      <c r="A2133" s="36" t="s">
        <v>6618</v>
      </c>
      <c r="B2133" t="s">
        <v>104</v>
      </c>
    </row>
    <row r="2134" spans="1:2" x14ac:dyDescent="0.2">
      <c r="A2134" s="36" t="s">
        <v>6620</v>
      </c>
      <c r="B2134" t="s">
        <v>100</v>
      </c>
    </row>
    <row r="2135" spans="1:2" x14ac:dyDescent="0.2">
      <c r="A2135" s="36" t="s">
        <v>6615</v>
      </c>
      <c r="B2135" t="s">
        <v>105</v>
      </c>
    </row>
    <row r="2136" spans="1:2" x14ac:dyDescent="0.2">
      <c r="A2136" s="36" t="s">
        <v>6611</v>
      </c>
      <c r="B2136" t="s">
        <v>104</v>
      </c>
    </row>
    <row r="2137" spans="1:2" x14ac:dyDescent="0.2">
      <c r="A2137" s="36" t="s">
        <v>6619</v>
      </c>
      <c r="B2137" t="s">
        <v>100</v>
      </c>
    </row>
    <row r="2138" spans="1:2" x14ac:dyDescent="0.2">
      <c r="A2138" s="36" t="s">
        <v>6622</v>
      </c>
      <c r="B2138" t="s">
        <v>105</v>
      </c>
    </row>
    <row r="2139" spans="1:2" x14ac:dyDescent="0.2">
      <c r="A2139" s="36" t="s">
        <v>6629</v>
      </c>
      <c r="B2139" t="s">
        <v>87</v>
      </c>
    </row>
    <row r="2140" spans="1:2" x14ac:dyDescent="0.2">
      <c r="A2140" s="36" t="s">
        <v>6627</v>
      </c>
      <c r="B2140" t="s">
        <v>88</v>
      </c>
    </row>
    <row r="2141" spans="1:2" x14ac:dyDescent="0.2">
      <c r="A2141" s="36" t="s">
        <v>6636</v>
      </c>
      <c r="B2141" t="s">
        <v>97</v>
      </c>
    </row>
    <row r="2142" spans="1:2" x14ac:dyDescent="0.2">
      <c r="A2142" s="36" t="s">
        <v>6637</v>
      </c>
      <c r="B2142" t="s">
        <v>94</v>
      </c>
    </row>
    <row r="2143" spans="1:2" x14ac:dyDescent="0.2">
      <c r="A2143" s="36" t="s">
        <v>6633</v>
      </c>
      <c r="B2143" t="s">
        <v>87</v>
      </c>
    </row>
    <row r="2144" spans="1:2" x14ac:dyDescent="0.2">
      <c r="A2144" s="36" t="s">
        <v>6626</v>
      </c>
      <c r="B2144" t="s">
        <v>88</v>
      </c>
    </row>
    <row r="2145" spans="1:2" x14ac:dyDescent="0.2">
      <c r="A2145" s="36" t="s">
        <v>6625</v>
      </c>
      <c r="B2145" t="s">
        <v>97</v>
      </c>
    </row>
    <row r="2146" spans="1:2" x14ac:dyDescent="0.2">
      <c r="A2146" s="36" t="s">
        <v>6634</v>
      </c>
      <c r="B2146" t="s">
        <v>94</v>
      </c>
    </row>
    <row r="2147" spans="1:2" x14ac:dyDescent="0.2">
      <c r="A2147" s="36" t="s">
        <v>6639</v>
      </c>
      <c r="B2147" t="s">
        <v>87</v>
      </c>
    </row>
    <row r="2148" spans="1:2" x14ac:dyDescent="0.2">
      <c r="A2148" s="36" t="s">
        <v>6628</v>
      </c>
      <c r="B2148" t="s">
        <v>88</v>
      </c>
    </row>
    <row r="2149" spans="1:2" x14ac:dyDescent="0.2">
      <c r="A2149" s="36" t="s">
        <v>6638</v>
      </c>
      <c r="B2149" t="s">
        <v>87</v>
      </c>
    </row>
    <row r="2150" spans="1:2" x14ac:dyDescent="0.2">
      <c r="A2150" s="36" t="s">
        <v>6635</v>
      </c>
      <c r="B2150" t="s">
        <v>97</v>
      </c>
    </row>
    <row r="2151" spans="1:2" x14ac:dyDescent="0.2">
      <c r="A2151" s="36" t="s">
        <v>6632</v>
      </c>
      <c r="B2151" t="s">
        <v>94</v>
      </c>
    </row>
    <row r="2152" spans="1:2" x14ac:dyDescent="0.2">
      <c r="A2152" s="36" t="s">
        <v>6630</v>
      </c>
      <c r="B2152" t="s">
        <v>97</v>
      </c>
    </row>
    <row r="2153" spans="1:2" x14ac:dyDescent="0.2">
      <c r="A2153" s="36" t="s">
        <v>6631</v>
      </c>
      <c r="B2153" t="s">
        <v>87</v>
      </c>
    </row>
    <row r="2154" spans="1:2" x14ac:dyDescent="0.2">
      <c r="A2154" s="36" t="s">
        <v>6641</v>
      </c>
      <c r="B2154" t="s">
        <v>101</v>
      </c>
    </row>
    <row r="2155" spans="1:2" x14ac:dyDescent="0.2">
      <c r="A2155" s="36" t="s">
        <v>6642</v>
      </c>
      <c r="B2155" t="s">
        <v>89</v>
      </c>
    </row>
    <row r="2156" spans="1:2" x14ac:dyDescent="0.2">
      <c r="A2156" s="36" t="s">
        <v>6640</v>
      </c>
      <c r="B2156" t="s">
        <v>89</v>
      </c>
    </row>
    <row r="2157" spans="1:2" x14ac:dyDescent="0.2">
      <c r="A2157" s="36" t="s">
        <v>6644</v>
      </c>
      <c r="B2157" t="s">
        <v>96</v>
      </c>
    </row>
    <row r="2158" spans="1:2" x14ac:dyDescent="0.2">
      <c r="A2158" s="36" t="s">
        <v>6645</v>
      </c>
      <c r="B2158" t="s">
        <v>96</v>
      </c>
    </row>
    <row r="2159" spans="1:2" x14ac:dyDescent="0.2">
      <c r="A2159" s="36" t="s">
        <v>6646</v>
      </c>
      <c r="B2159" t="s">
        <v>93</v>
      </c>
    </row>
    <row r="2160" spans="1:2" x14ac:dyDescent="0.2">
      <c r="A2160" s="36" t="s">
        <v>6643</v>
      </c>
      <c r="B2160" t="s">
        <v>101</v>
      </c>
    </row>
    <row r="2161" spans="1:2" x14ac:dyDescent="0.2">
      <c r="A2161" s="36" t="s">
        <v>6647</v>
      </c>
      <c r="B2161" t="s">
        <v>96</v>
      </c>
    </row>
    <row r="2162" spans="1:2" x14ac:dyDescent="0.2">
      <c r="A2162" s="36" t="s">
        <v>6648</v>
      </c>
      <c r="B2162" t="s">
        <v>93</v>
      </c>
    </row>
    <row r="2163" spans="1:2" x14ac:dyDescent="0.2">
      <c r="A2163" s="36" t="s">
        <v>6682</v>
      </c>
      <c r="B2163" t="s">
        <v>89</v>
      </c>
    </row>
    <row r="2164" spans="1:2" x14ac:dyDescent="0.2">
      <c r="A2164" s="36" t="s">
        <v>6650</v>
      </c>
      <c r="B2164" t="s">
        <v>88</v>
      </c>
    </row>
    <row r="2165" spans="1:2" x14ac:dyDescent="0.2">
      <c r="A2165" s="36" t="s">
        <v>6663</v>
      </c>
      <c r="B2165" t="s">
        <v>94</v>
      </c>
    </row>
    <row r="2166" spans="1:2" x14ac:dyDescent="0.2">
      <c r="A2166" s="36" t="s">
        <v>6667</v>
      </c>
      <c r="B2166" t="s">
        <v>96</v>
      </c>
    </row>
    <row r="2167" spans="1:2" x14ac:dyDescent="0.2">
      <c r="A2167" s="36" t="s">
        <v>6678</v>
      </c>
      <c r="B2167" t="s">
        <v>89</v>
      </c>
    </row>
    <row r="2168" spans="1:2" x14ac:dyDescent="0.2">
      <c r="A2168" s="36" t="s">
        <v>6683</v>
      </c>
      <c r="B2168" t="s">
        <v>88</v>
      </c>
    </row>
    <row r="2169" spans="1:2" x14ac:dyDescent="0.2">
      <c r="A2169" s="36" t="s">
        <v>6662</v>
      </c>
      <c r="B2169" t="s">
        <v>97</v>
      </c>
    </row>
    <row r="2170" spans="1:2" x14ac:dyDescent="0.2">
      <c r="A2170" s="36" t="s">
        <v>6693</v>
      </c>
      <c r="B2170" t="s">
        <v>101</v>
      </c>
    </row>
    <row r="2171" spans="1:2" x14ac:dyDescent="0.2">
      <c r="A2171" s="36" t="s">
        <v>6689</v>
      </c>
      <c r="B2171" t="s">
        <v>87</v>
      </c>
    </row>
    <row r="2172" spans="1:2" x14ac:dyDescent="0.2">
      <c r="A2172" s="36" t="s">
        <v>6673</v>
      </c>
      <c r="B2172" t="s">
        <v>94</v>
      </c>
    </row>
    <row r="2173" spans="1:2" x14ac:dyDescent="0.2">
      <c r="A2173" s="36" t="s">
        <v>6676</v>
      </c>
      <c r="B2173" t="s">
        <v>93</v>
      </c>
    </row>
    <row r="2174" spans="1:2" x14ac:dyDescent="0.2">
      <c r="A2174" s="36" t="s">
        <v>6660</v>
      </c>
      <c r="B2174" t="s">
        <v>96</v>
      </c>
    </row>
    <row r="2175" spans="1:2" x14ac:dyDescent="0.2">
      <c r="A2175" s="36" t="s">
        <v>6691</v>
      </c>
      <c r="B2175" t="s">
        <v>89</v>
      </c>
    </row>
    <row r="2176" spans="1:2" x14ac:dyDescent="0.2">
      <c r="A2176" s="36" t="s">
        <v>6684</v>
      </c>
      <c r="B2176" t="s">
        <v>88</v>
      </c>
    </row>
    <row r="2177" spans="1:2" x14ac:dyDescent="0.2">
      <c r="A2177" s="36" t="s">
        <v>6664</v>
      </c>
      <c r="B2177" t="s">
        <v>97</v>
      </c>
    </row>
    <row r="2178" spans="1:2" x14ac:dyDescent="0.2">
      <c r="A2178" s="36" t="s">
        <v>6665</v>
      </c>
      <c r="B2178" t="s">
        <v>101</v>
      </c>
    </row>
    <row r="2179" spans="1:2" x14ac:dyDescent="0.2">
      <c r="A2179" s="36" t="s">
        <v>6681</v>
      </c>
      <c r="B2179" t="s">
        <v>87</v>
      </c>
    </row>
    <row r="2180" spans="1:2" x14ac:dyDescent="0.2">
      <c r="A2180" s="36" t="s">
        <v>6670</v>
      </c>
      <c r="B2180" t="s">
        <v>94</v>
      </c>
    </row>
    <row r="2181" spans="1:2" x14ac:dyDescent="0.2">
      <c r="A2181" s="36" t="s">
        <v>6655</v>
      </c>
      <c r="B2181" t="s">
        <v>93</v>
      </c>
    </row>
    <row r="2182" spans="1:2" x14ac:dyDescent="0.2">
      <c r="A2182" s="36" t="s">
        <v>6675</v>
      </c>
      <c r="B2182" t="s">
        <v>96</v>
      </c>
    </row>
    <row r="2183" spans="1:2" x14ac:dyDescent="0.2">
      <c r="A2183" s="36" t="s">
        <v>6679</v>
      </c>
      <c r="B2183" t="s">
        <v>89</v>
      </c>
    </row>
    <row r="2184" spans="1:2" x14ac:dyDescent="0.2">
      <c r="A2184" s="36" t="s">
        <v>6652</v>
      </c>
      <c r="B2184" t="s">
        <v>88</v>
      </c>
    </row>
    <row r="2185" spans="1:2" x14ac:dyDescent="0.2">
      <c r="A2185" s="36" t="s">
        <v>6659</v>
      </c>
      <c r="B2185" t="s">
        <v>97</v>
      </c>
    </row>
    <row r="2186" spans="1:2" x14ac:dyDescent="0.2">
      <c r="A2186" s="36" t="s">
        <v>6688</v>
      </c>
      <c r="B2186" t="s">
        <v>101</v>
      </c>
    </row>
    <row r="2187" spans="1:2" x14ac:dyDescent="0.2">
      <c r="A2187" s="36" t="s">
        <v>6680</v>
      </c>
      <c r="B2187" t="s">
        <v>87</v>
      </c>
    </row>
    <row r="2188" spans="1:2" x14ac:dyDescent="0.2">
      <c r="A2188" s="36" t="s">
        <v>6690</v>
      </c>
      <c r="B2188" t="s">
        <v>94</v>
      </c>
    </row>
    <row r="2189" spans="1:2" x14ac:dyDescent="0.2">
      <c r="A2189" s="36" t="s">
        <v>6685</v>
      </c>
      <c r="B2189" t="s">
        <v>93</v>
      </c>
    </row>
    <row r="2190" spans="1:2" x14ac:dyDescent="0.2">
      <c r="A2190" s="36" t="s">
        <v>6672</v>
      </c>
      <c r="B2190" t="s">
        <v>96</v>
      </c>
    </row>
    <row r="2191" spans="1:2" x14ac:dyDescent="0.2">
      <c r="A2191" s="36" t="s">
        <v>6671</v>
      </c>
      <c r="B2191" t="s">
        <v>89</v>
      </c>
    </row>
    <row r="2192" spans="1:2" x14ac:dyDescent="0.2">
      <c r="A2192" s="36" t="s">
        <v>6677</v>
      </c>
      <c r="B2192" t="s">
        <v>88</v>
      </c>
    </row>
    <row r="2193" spans="1:2" x14ac:dyDescent="0.2">
      <c r="A2193" s="36" t="s">
        <v>6661</v>
      </c>
      <c r="B2193" t="s">
        <v>97</v>
      </c>
    </row>
    <row r="2194" spans="1:2" x14ac:dyDescent="0.2">
      <c r="A2194" s="36" t="s">
        <v>6686</v>
      </c>
      <c r="B2194" t="s">
        <v>101</v>
      </c>
    </row>
    <row r="2195" spans="1:2" x14ac:dyDescent="0.2">
      <c r="A2195" s="36" t="s">
        <v>6687</v>
      </c>
      <c r="B2195" t="s">
        <v>87</v>
      </c>
    </row>
    <row r="2196" spans="1:2" x14ac:dyDescent="0.2">
      <c r="A2196" s="36" t="s">
        <v>6666</v>
      </c>
      <c r="B2196" t="s">
        <v>94</v>
      </c>
    </row>
    <row r="2197" spans="1:2" x14ac:dyDescent="0.2">
      <c r="A2197" s="36" t="s">
        <v>6658</v>
      </c>
      <c r="B2197" t="s">
        <v>93</v>
      </c>
    </row>
    <row r="2198" spans="1:2" x14ac:dyDescent="0.2">
      <c r="A2198" s="36" t="s">
        <v>6657</v>
      </c>
      <c r="B2198" t="s">
        <v>96</v>
      </c>
    </row>
    <row r="2199" spans="1:2" x14ac:dyDescent="0.2">
      <c r="A2199" s="36" t="s">
        <v>6656</v>
      </c>
      <c r="B2199" t="s">
        <v>89</v>
      </c>
    </row>
    <row r="2200" spans="1:2" x14ac:dyDescent="0.2">
      <c r="A2200" s="36" t="s">
        <v>6668</v>
      </c>
      <c r="B2200" t="s">
        <v>88</v>
      </c>
    </row>
    <row r="2201" spans="1:2" x14ac:dyDescent="0.2">
      <c r="A2201" s="36" t="s">
        <v>6654</v>
      </c>
      <c r="B2201" t="s">
        <v>97</v>
      </c>
    </row>
    <row r="2202" spans="1:2" x14ac:dyDescent="0.2">
      <c r="A2202" s="36" t="s">
        <v>6669</v>
      </c>
      <c r="B2202" t="s">
        <v>101</v>
      </c>
    </row>
    <row r="2203" spans="1:2" x14ac:dyDescent="0.2">
      <c r="A2203" s="36" t="s">
        <v>6653</v>
      </c>
      <c r="B2203" t="s">
        <v>87</v>
      </c>
    </row>
    <row r="2204" spans="1:2" x14ac:dyDescent="0.2">
      <c r="A2204" s="36" t="s">
        <v>6649</v>
      </c>
      <c r="B2204" t="s">
        <v>94</v>
      </c>
    </row>
    <row r="2205" spans="1:2" x14ac:dyDescent="0.2">
      <c r="A2205" s="36" t="s">
        <v>6651</v>
      </c>
      <c r="B2205" t="s">
        <v>93</v>
      </c>
    </row>
    <row r="2206" spans="1:2" x14ac:dyDescent="0.2">
      <c r="A2206" s="36" t="s">
        <v>6674</v>
      </c>
      <c r="B2206" t="s">
        <v>96</v>
      </c>
    </row>
    <row r="2207" spans="1:2" x14ac:dyDescent="0.2">
      <c r="A2207" s="36" t="s">
        <v>6692</v>
      </c>
      <c r="B2207" t="s">
        <v>89</v>
      </c>
    </row>
    <row r="2208" spans="1:2" x14ac:dyDescent="0.2">
      <c r="A2208" s="36" t="s">
        <v>6694</v>
      </c>
      <c r="B2208" t="s">
        <v>104</v>
      </c>
    </row>
    <row r="2209" spans="1:2" x14ac:dyDescent="0.2">
      <c r="A2209" s="36" t="s">
        <v>6695</v>
      </c>
      <c r="B2209" t="s">
        <v>105</v>
      </c>
    </row>
    <row r="2210" spans="1:2" x14ac:dyDescent="0.2">
      <c r="A2210" s="36" t="s">
        <v>6698</v>
      </c>
      <c r="B2210" t="s">
        <v>104</v>
      </c>
    </row>
    <row r="2211" spans="1:2" x14ac:dyDescent="0.2">
      <c r="A2211" s="36" t="s">
        <v>6697</v>
      </c>
      <c r="B2211" t="s">
        <v>104</v>
      </c>
    </row>
    <row r="2212" spans="1:2" x14ac:dyDescent="0.2">
      <c r="A2212" s="36" t="s">
        <v>6696</v>
      </c>
      <c r="B2212" t="s">
        <v>104</v>
      </c>
    </row>
    <row r="2213" spans="1:2" x14ac:dyDescent="0.2">
      <c r="A2213" s="36" t="s">
        <v>6706</v>
      </c>
      <c r="B2213" t="s">
        <v>100</v>
      </c>
    </row>
    <row r="2214" spans="1:2" x14ac:dyDescent="0.2">
      <c r="A2214" s="36" t="s">
        <v>6699</v>
      </c>
      <c r="B2214" t="s">
        <v>105</v>
      </c>
    </row>
    <row r="2215" spans="1:2" x14ac:dyDescent="0.2">
      <c r="A2215" s="36" t="s">
        <v>6705</v>
      </c>
      <c r="B2215" t="s">
        <v>100</v>
      </c>
    </row>
    <row r="2216" spans="1:2" x14ac:dyDescent="0.2">
      <c r="A2216" s="36" t="s">
        <v>6721</v>
      </c>
      <c r="B2216" t="s">
        <v>105</v>
      </c>
    </row>
    <row r="2217" spans="1:2" x14ac:dyDescent="0.2">
      <c r="A2217" s="36" t="s">
        <v>6708</v>
      </c>
      <c r="B2217" t="s">
        <v>100</v>
      </c>
    </row>
    <row r="2218" spans="1:2" x14ac:dyDescent="0.2">
      <c r="A2218" s="36" t="s">
        <v>6703</v>
      </c>
      <c r="B2218" t="s">
        <v>105</v>
      </c>
    </row>
    <row r="2219" spans="1:2" x14ac:dyDescent="0.2">
      <c r="A2219" s="36" t="s">
        <v>6727</v>
      </c>
      <c r="B2219" t="s">
        <v>88</v>
      </c>
    </row>
    <row r="2220" spans="1:2" x14ac:dyDescent="0.2">
      <c r="A2220" s="36" t="s">
        <v>6709</v>
      </c>
      <c r="B2220" t="s">
        <v>97</v>
      </c>
    </row>
    <row r="2221" spans="1:2" x14ac:dyDescent="0.2">
      <c r="A2221" s="36" t="s">
        <v>6700</v>
      </c>
      <c r="B2221" t="s">
        <v>100</v>
      </c>
    </row>
    <row r="2222" spans="1:2" x14ac:dyDescent="0.2">
      <c r="A2222" s="36" t="s">
        <v>6713</v>
      </c>
      <c r="B2222" t="s">
        <v>101</v>
      </c>
    </row>
    <row r="2223" spans="1:2" x14ac:dyDescent="0.2">
      <c r="A2223" s="36" t="s">
        <v>6717</v>
      </c>
      <c r="B2223" t="s">
        <v>88</v>
      </c>
    </row>
    <row r="2224" spans="1:2" x14ac:dyDescent="0.2">
      <c r="A2224" s="36" t="s">
        <v>6716</v>
      </c>
      <c r="B2224" t="s">
        <v>105</v>
      </c>
    </row>
    <row r="2225" spans="1:2" x14ac:dyDescent="0.2">
      <c r="A2225" s="36" t="s">
        <v>6730</v>
      </c>
      <c r="B2225" t="s">
        <v>97</v>
      </c>
    </row>
    <row r="2226" spans="1:2" x14ac:dyDescent="0.2">
      <c r="A2226" s="36" t="s">
        <v>6718</v>
      </c>
      <c r="B2226" t="s">
        <v>100</v>
      </c>
    </row>
    <row r="2227" spans="1:2" x14ac:dyDescent="0.2">
      <c r="A2227" s="36" t="s">
        <v>6704</v>
      </c>
      <c r="B2227" t="s">
        <v>101</v>
      </c>
    </row>
    <row r="2228" spans="1:2" x14ac:dyDescent="0.2">
      <c r="A2228" s="36" t="s">
        <v>6707</v>
      </c>
      <c r="B2228" t="s">
        <v>88</v>
      </c>
    </row>
    <row r="2229" spans="1:2" x14ac:dyDescent="0.2">
      <c r="A2229" s="36" t="s">
        <v>6731</v>
      </c>
      <c r="B2229" t="s">
        <v>105</v>
      </c>
    </row>
    <row r="2230" spans="1:2" x14ac:dyDescent="0.2">
      <c r="A2230" s="36" t="s">
        <v>6702</v>
      </c>
      <c r="B2230" t="s">
        <v>97</v>
      </c>
    </row>
    <row r="2231" spans="1:2" x14ac:dyDescent="0.2">
      <c r="A2231" s="36" t="s">
        <v>6728</v>
      </c>
      <c r="B2231" t="s">
        <v>100</v>
      </c>
    </row>
    <row r="2232" spans="1:2" x14ac:dyDescent="0.2">
      <c r="A2232" s="36" t="s">
        <v>6723</v>
      </c>
      <c r="B2232" t="s">
        <v>101</v>
      </c>
    </row>
    <row r="2233" spans="1:2" x14ac:dyDescent="0.2">
      <c r="A2233" s="36" t="s">
        <v>6712</v>
      </c>
      <c r="B2233" t="s">
        <v>88</v>
      </c>
    </row>
    <row r="2234" spans="1:2" x14ac:dyDescent="0.2">
      <c r="A2234" s="36" t="s">
        <v>6722</v>
      </c>
      <c r="B2234" t="s">
        <v>105</v>
      </c>
    </row>
    <row r="2235" spans="1:2" x14ac:dyDescent="0.2">
      <c r="A2235" s="36" t="s">
        <v>6732</v>
      </c>
      <c r="B2235" t="s">
        <v>97</v>
      </c>
    </row>
    <row r="2236" spans="1:2" x14ac:dyDescent="0.2">
      <c r="A2236" s="36" t="s">
        <v>6729</v>
      </c>
      <c r="B2236" t="s">
        <v>100</v>
      </c>
    </row>
    <row r="2237" spans="1:2" x14ac:dyDescent="0.2">
      <c r="A2237" s="36" t="s">
        <v>6726</v>
      </c>
      <c r="B2237" t="s">
        <v>101</v>
      </c>
    </row>
    <row r="2238" spans="1:2" x14ac:dyDescent="0.2">
      <c r="A2238" s="36" t="s">
        <v>6725</v>
      </c>
      <c r="B2238" t="s">
        <v>88</v>
      </c>
    </row>
    <row r="2239" spans="1:2" x14ac:dyDescent="0.2">
      <c r="A2239" s="36" t="s">
        <v>6714</v>
      </c>
      <c r="B2239" t="s">
        <v>105</v>
      </c>
    </row>
    <row r="2240" spans="1:2" x14ac:dyDescent="0.2">
      <c r="A2240" s="36" t="s">
        <v>6701</v>
      </c>
      <c r="B2240" t="s">
        <v>97</v>
      </c>
    </row>
    <row r="2241" spans="1:2" x14ac:dyDescent="0.2">
      <c r="A2241" s="36" t="s">
        <v>6715</v>
      </c>
      <c r="B2241" t="s">
        <v>100</v>
      </c>
    </row>
    <row r="2242" spans="1:2" x14ac:dyDescent="0.2">
      <c r="A2242" s="36" t="s">
        <v>6711</v>
      </c>
      <c r="B2242" t="s">
        <v>101</v>
      </c>
    </row>
    <row r="2243" spans="1:2" x14ac:dyDescent="0.2">
      <c r="A2243" s="36" t="s">
        <v>6724</v>
      </c>
      <c r="B2243" t="s">
        <v>88</v>
      </c>
    </row>
    <row r="2244" spans="1:2" x14ac:dyDescent="0.2">
      <c r="A2244" s="36" t="s">
        <v>6710</v>
      </c>
      <c r="B2244" t="s">
        <v>105</v>
      </c>
    </row>
    <row r="2245" spans="1:2" x14ac:dyDescent="0.2">
      <c r="A2245" s="36" t="s">
        <v>6719</v>
      </c>
      <c r="B2245" t="s">
        <v>97</v>
      </c>
    </row>
    <row r="2246" spans="1:2" x14ac:dyDescent="0.2">
      <c r="A2246" s="36" t="s">
        <v>6720</v>
      </c>
      <c r="B2246" t="s">
        <v>100</v>
      </c>
    </row>
    <row r="2247" spans="1:2" x14ac:dyDescent="0.2">
      <c r="A2247" s="36" t="s">
        <v>6735</v>
      </c>
      <c r="B2247" t="s">
        <v>87</v>
      </c>
    </row>
    <row r="2248" spans="1:2" x14ac:dyDescent="0.2">
      <c r="A2248" s="36" t="s">
        <v>6734</v>
      </c>
      <c r="B2248" t="s">
        <v>104</v>
      </c>
    </row>
    <row r="2249" spans="1:2" x14ac:dyDescent="0.2">
      <c r="A2249" s="36" t="s">
        <v>6733</v>
      </c>
      <c r="B2249" t="s">
        <v>94</v>
      </c>
    </row>
    <row r="2250" spans="1:2" x14ac:dyDescent="0.2">
      <c r="A2250" s="36" t="s">
        <v>6737</v>
      </c>
      <c r="B2250" t="s">
        <v>87</v>
      </c>
    </row>
    <row r="2251" spans="1:2" x14ac:dyDescent="0.2">
      <c r="A2251" s="36" t="s">
        <v>6738</v>
      </c>
      <c r="B2251" t="s">
        <v>93</v>
      </c>
    </row>
    <row r="2252" spans="1:2" x14ac:dyDescent="0.2">
      <c r="A2252" s="36" t="s">
        <v>6736</v>
      </c>
      <c r="B2252" t="s">
        <v>96</v>
      </c>
    </row>
    <row r="2253" spans="1:2" x14ac:dyDescent="0.2">
      <c r="A2253" s="36" t="s">
        <v>6739</v>
      </c>
      <c r="B2253" t="s">
        <v>89</v>
      </c>
    </row>
    <row r="2254" spans="1:2" x14ac:dyDescent="0.2">
      <c r="A2254" s="36" t="s">
        <v>6740</v>
      </c>
      <c r="B2254" t="s">
        <v>94</v>
      </c>
    </row>
    <row r="2255" spans="1:2" x14ac:dyDescent="0.2">
      <c r="A2255" s="36" t="s">
        <v>6753</v>
      </c>
      <c r="B2255" t="s">
        <v>87</v>
      </c>
    </row>
    <row r="2256" spans="1:2" x14ac:dyDescent="0.2">
      <c r="A2256" s="36" t="s">
        <v>6750</v>
      </c>
      <c r="B2256" t="s">
        <v>93</v>
      </c>
    </row>
    <row r="2257" spans="1:2" x14ac:dyDescent="0.2">
      <c r="A2257" s="36" t="s">
        <v>6749</v>
      </c>
      <c r="B2257" t="s">
        <v>104</v>
      </c>
    </row>
    <row r="2258" spans="1:2" x14ac:dyDescent="0.2">
      <c r="A2258" s="36" t="s">
        <v>6746</v>
      </c>
      <c r="B2258" t="s">
        <v>96</v>
      </c>
    </row>
    <row r="2259" spans="1:2" x14ac:dyDescent="0.2">
      <c r="A2259" s="36" t="s">
        <v>6742</v>
      </c>
      <c r="B2259" t="s">
        <v>89</v>
      </c>
    </row>
    <row r="2260" spans="1:2" x14ac:dyDescent="0.2">
      <c r="A2260" s="36" t="s">
        <v>6744</v>
      </c>
      <c r="B2260" t="s">
        <v>87</v>
      </c>
    </row>
    <row r="2261" spans="1:2" x14ac:dyDescent="0.2">
      <c r="A2261" s="36" t="s">
        <v>6743</v>
      </c>
      <c r="B2261" t="s">
        <v>93</v>
      </c>
    </row>
    <row r="2262" spans="1:2" x14ac:dyDescent="0.2">
      <c r="A2262" s="36" t="s">
        <v>6747</v>
      </c>
      <c r="B2262" t="s">
        <v>104</v>
      </c>
    </row>
    <row r="2263" spans="1:2" x14ac:dyDescent="0.2">
      <c r="A2263" s="36" t="s">
        <v>6752</v>
      </c>
      <c r="B2263" t="s">
        <v>87</v>
      </c>
    </row>
    <row r="2264" spans="1:2" x14ac:dyDescent="0.2">
      <c r="A2264" s="36" t="s">
        <v>6745</v>
      </c>
      <c r="B2264" t="s">
        <v>96</v>
      </c>
    </row>
    <row r="2265" spans="1:2" x14ac:dyDescent="0.2">
      <c r="A2265" s="36" t="s">
        <v>6741</v>
      </c>
      <c r="B2265" t="s">
        <v>89</v>
      </c>
    </row>
    <row r="2266" spans="1:2" x14ac:dyDescent="0.2">
      <c r="A2266" s="36" t="s">
        <v>6754</v>
      </c>
      <c r="B2266" t="s">
        <v>93</v>
      </c>
    </row>
    <row r="2267" spans="1:2" x14ac:dyDescent="0.2">
      <c r="A2267" s="36" t="s">
        <v>6748</v>
      </c>
      <c r="B2267" t="s">
        <v>104</v>
      </c>
    </row>
    <row r="2268" spans="1:2" x14ac:dyDescent="0.2">
      <c r="A2268" s="36" t="s">
        <v>6751</v>
      </c>
      <c r="B2268" t="s">
        <v>87</v>
      </c>
    </row>
    <row r="2269" spans="1:2" x14ac:dyDescent="0.2">
      <c r="A2269" s="36" t="s">
        <v>6769</v>
      </c>
      <c r="B2269" t="s">
        <v>94</v>
      </c>
    </row>
    <row r="2270" spans="1:2" x14ac:dyDescent="0.2">
      <c r="A2270" s="36" t="s">
        <v>6763</v>
      </c>
      <c r="B2270" t="s">
        <v>98</v>
      </c>
    </row>
    <row r="2271" spans="1:2" x14ac:dyDescent="0.2">
      <c r="A2271" s="36" t="s">
        <v>6777</v>
      </c>
      <c r="B2271" t="s">
        <v>94</v>
      </c>
    </row>
    <row r="2272" spans="1:2" x14ac:dyDescent="0.2">
      <c r="A2272" s="36" t="s">
        <v>6772</v>
      </c>
      <c r="B2272" t="s">
        <v>92</v>
      </c>
    </row>
    <row r="2273" spans="1:2" x14ac:dyDescent="0.2">
      <c r="A2273" s="36" t="s">
        <v>6776</v>
      </c>
      <c r="B2273" t="s">
        <v>93</v>
      </c>
    </row>
    <row r="2274" spans="1:2" x14ac:dyDescent="0.2">
      <c r="A2274" s="36" t="s">
        <v>6775</v>
      </c>
      <c r="B2274" t="s">
        <v>96</v>
      </c>
    </row>
    <row r="2275" spans="1:2" x14ac:dyDescent="0.2">
      <c r="A2275" s="36" t="s">
        <v>6774</v>
      </c>
      <c r="B2275" t="s">
        <v>91</v>
      </c>
    </row>
    <row r="2276" spans="1:2" x14ac:dyDescent="0.2">
      <c r="A2276" s="36" t="s">
        <v>6783</v>
      </c>
      <c r="B2276" t="s">
        <v>101</v>
      </c>
    </row>
    <row r="2277" spans="1:2" x14ac:dyDescent="0.2">
      <c r="A2277" s="36" t="s">
        <v>6756</v>
      </c>
      <c r="B2277" t="s">
        <v>89</v>
      </c>
    </row>
    <row r="2278" spans="1:2" x14ac:dyDescent="0.2">
      <c r="A2278" s="36" t="s">
        <v>6766</v>
      </c>
      <c r="B2278" t="s">
        <v>98</v>
      </c>
    </row>
    <row r="2279" spans="1:2" x14ac:dyDescent="0.2">
      <c r="A2279" s="36" t="s">
        <v>6794</v>
      </c>
      <c r="B2279" t="s">
        <v>95</v>
      </c>
    </row>
    <row r="2280" spans="1:2" x14ac:dyDescent="0.2">
      <c r="A2280" s="36" t="s">
        <v>6757</v>
      </c>
      <c r="B2280" t="s">
        <v>104</v>
      </c>
    </row>
    <row r="2281" spans="1:2" x14ac:dyDescent="0.2">
      <c r="A2281" s="36" t="s">
        <v>6773</v>
      </c>
      <c r="B2281" t="s">
        <v>94</v>
      </c>
    </row>
    <row r="2282" spans="1:2" x14ac:dyDescent="0.2">
      <c r="A2282" s="36" t="s">
        <v>6792</v>
      </c>
      <c r="B2282" t="s">
        <v>88</v>
      </c>
    </row>
    <row r="2283" spans="1:2" x14ac:dyDescent="0.2">
      <c r="A2283" s="36" t="s">
        <v>6780</v>
      </c>
      <c r="B2283" t="s">
        <v>105</v>
      </c>
    </row>
    <row r="2284" spans="1:2" x14ac:dyDescent="0.2">
      <c r="A2284" s="36" t="s">
        <v>6793</v>
      </c>
      <c r="B2284" t="s">
        <v>92</v>
      </c>
    </row>
    <row r="2285" spans="1:2" x14ac:dyDescent="0.2">
      <c r="A2285" s="36" t="s">
        <v>6790</v>
      </c>
      <c r="B2285" t="s">
        <v>97</v>
      </c>
    </row>
    <row r="2286" spans="1:2" x14ac:dyDescent="0.2">
      <c r="A2286" s="36" t="s">
        <v>6788</v>
      </c>
      <c r="B2286" t="s">
        <v>99</v>
      </c>
    </row>
    <row r="2287" spans="1:2" x14ac:dyDescent="0.2">
      <c r="A2287" s="36" t="s">
        <v>6791</v>
      </c>
      <c r="B2287" t="s">
        <v>100</v>
      </c>
    </row>
    <row r="2288" spans="1:2" x14ac:dyDescent="0.2">
      <c r="A2288" s="36" t="s">
        <v>6755</v>
      </c>
      <c r="B2288" t="s">
        <v>84</v>
      </c>
    </row>
    <row r="2289" spans="1:2" x14ac:dyDescent="0.2">
      <c r="A2289" s="36" t="s">
        <v>6778</v>
      </c>
      <c r="B2289" t="s">
        <v>93</v>
      </c>
    </row>
    <row r="2290" spans="1:2" x14ac:dyDescent="0.2">
      <c r="A2290" s="36" t="s">
        <v>6758</v>
      </c>
      <c r="B2290" t="s">
        <v>87</v>
      </c>
    </row>
    <row r="2291" spans="1:2" x14ac:dyDescent="0.2">
      <c r="A2291" s="36" t="s">
        <v>6761</v>
      </c>
      <c r="B2291" t="s">
        <v>96</v>
      </c>
    </row>
    <row r="2292" spans="1:2" x14ac:dyDescent="0.2">
      <c r="A2292" s="36" t="s">
        <v>6765</v>
      </c>
      <c r="B2292" t="s">
        <v>91</v>
      </c>
    </row>
    <row r="2293" spans="1:2" x14ac:dyDescent="0.2">
      <c r="A2293" s="36" t="s">
        <v>6762</v>
      </c>
      <c r="B2293" t="s">
        <v>101</v>
      </c>
    </row>
    <row r="2294" spans="1:2" x14ac:dyDescent="0.2">
      <c r="A2294" s="36" t="s">
        <v>6767</v>
      </c>
      <c r="B2294" t="s">
        <v>89</v>
      </c>
    </row>
    <row r="2295" spans="1:2" x14ac:dyDescent="0.2">
      <c r="A2295" s="36" t="s">
        <v>6770</v>
      </c>
      <c r="B2295" t="s">
        <v>98</v>
      </c>
    </row>
    <row r="2296" spans="1:2" x14ac:dyDescent="0.2">
      <c r="A2296" s="36" t="s">
        <v>6768</v>
      </c>
      <c r="B2296" t="s">
        <v>95</v>
      </c>
    </row>
    <row r="2297" spans="1:2" x14ac:dyDescent="0.2">
      <c r="A2297" s="36" t="s">
        <v>6779</v>
      </c>
      <c r="B2297" t="s">
        <v>104</v>
      </c>
    </row>
    <row r="2298" spans="1:2" x14ac:dyDescent="0.2">
      <c r="A2298" s="36" t="s">
        <v>6782</v>
      </c>
      <c r="B2298" t="s">
        <v>94</v>
      </c>
    </row>
    <row r="2299" spans="1:2" x14ac:dyDescent="0.2">
      <c r="A2299" s="36" t="s">
        <v>6764</v>
      </c>
      <c r="B2299" t="s">
        <v>88</v>
      </c>
    </row>
    <row r="2300" spans="1:2" x14ac:dyDescent="0.2">
      <c r="A2300" s="36" t="s">
        <v>6781</v>
      </c>
      <c r="B2300" t="s">
        <v>94</v>
      </c>
    </row>
    <row r="2301" spans="1:2" x14ac:dyDescent="0.2">
      <c r="A2301" s="36" t="s">
        <v>6760</v>
      </c>
      <c r="B2301" t="s">
        <v>105</v>
      </c>
    </row>
    <row r="2302" spans="1:2" x14ac:dyDescent="0.2">
      <c r="A2302" s="36" t="s">
        <v>6771</v>
      </c>
      <c r="B2302" t="s">
        <v>92</v>
      </c>
    </row>
    <row r="2303" spans="1:2" x14ac:dyDescent="0.2">
      <c r="A2303" s="36" t="s">
        <v>6786</v>
      </c>
      <c r="B2303" t="s">
        <v>97</v>
      </c>
    </row>
    <row r="2304" spans="1:2" x14ac:dyDescent="0.2">
      <c r="A2304" s="36" t="s">
        <v>6785</v>
      </c>
      <c r="B2304" t="s">
        <v>99</v>
      </c>
    </row>
    <row r="2305" spans="1:2" x14ac:dyDescent="0.2">
      <c r="A2305" s="36" t="s">
        <v>6795</v>
      </c>
      <c r="B2305" t="s">
        <v>100</v>
      </c>
    </row>
    <row r="2306" spans="1:2" x14ac:dyDescent="0.2">
      <c r="A2306" s="36" t="s">
        <v>6759</v>
      </c>
      <c r="B2306" t="s">
        <v>84</v>
      </c>
    </row>
    <row r="2307" spans="1:2" x14ac:dyDescent="0.2">
      <c r="A2307" s="36" t="s">
        <v>6789</v>
      </c>
      <c r="B2307" t="s">
        <v>93</v>
      </c>
    </row>
    <row r="2308" spans="1:2" x14ac:dyDescent="0.2">
      <c r="A2308" s="36" t="s">
        <v>6787</v>
      </c>
      <c r="B2308" t="s">
        <v>87</v>
      </c>
    </row>
    <row r="2309" spans="1:2" x14ac:dyDescent="0.2">
      <c r="A2309" s="36" t="s">
        <v>6784</v>
      </c>
      <c r="B2309" t="s">
        <v>96</v>
      </c>
    </row>
    <row r="2310" spans="1:2" x14ac:dyDescent="0.2">
      <c r="A2310" s="36" t="s">
        <v>6800</v>
      </c>
      <c r="B2310" t="s">
        <v>92</v>
      </c>
    </row>
    <row r="2311" spans="1:2" x14ac:dyDescent="0.2">
      <c r="A2311" s="36" t="s">
        <v>6797</v>
      </c>
      <c r="B2311" t="s">
        <v>91</v>
      </c>
    </row>
    <row r="2312" spans="1:2" x14ac:dyDescent="0.2">
      <c r="A2312" s="36" t="s">
        <v>6801</v>
      </c>
      <c r="B2312" t="s">
        <v>101</v>
      </c>
    </row>
    <row r="2313" spans="1:2" x14ac:dyDescent="0.2">
      <c r="A2313" s="36" t="s">
        <v>6799</v>
      </c>
      <c r="B2313" t="s">
        <v>89</v>
      </c>
    </row>
    <row r="2314" spans="1:2" x14ac:dyDescent="0.2">
      <c r="A2314" s="36" t="s">
        <v>6798</v>
      </c>
      <c r="B2314" t="s">
        <v>84</v>
      </c>
    </row>
    <row r="2315" spans="1:2" x14ac:dyDescent="0.2">
      <c r="A2315" s="36" t="s">
        <v>6796</v>
      </c>
      <c r="B2315" t="s">
        <v>84</v>
      </c>
    </row>
    <row r="2316" spans="1:2" x14ac:dyDescent="0.2">
      <c r="A2316" s="36" t="s">
        <v>6803</v>
      </c>
      <c r="B2316" t="s">
        <v>92</v>
      </c>
    </row>
    <row r="2317" spans="1:2" x14ac:dyDescent="0.2">
      <c r="A2317" s="36" t="s">
        <v>6802</v>
      </c>
      <c r="B2317" t="s">
        <v>91</v>
      </c>
    </row>
    <row r="2318" spans="1:2" x14ac:dyDescent="0.2">
      <c r="A2318" s="36" t="s">
        <v>6805</v>
      </c>
      <c r="B2318" t="s">
        <v>98</v>
      </c>
    </row>
    <row r="2319" spans="1:2" x14ac:dyDescent="0.2">
      <c r="A2319" s="36" t="s">
        <v>6806</v>
      </c>
      <c r="B2319" t="s">
        <v>95</v>
      </c>
    </row>
    <row r="2320" spans="1:2" x14ac:dyDescent="0.2">
      <c r="A2320" s="36" t="s">
        <v>6804</v>
      </c>
      <c r="B2320" t="s">
        <v>104</v>
      </c>
    </row>
    <row r="2321" spans="1:2" x14ac:dyDescent="0.2">
      <c r="A2321" s="36" t="s">
        <v>6808</v>
      </c>
      <c r="B2321" t="s">
        <v>88</v>
      </c>
    </row>
    <row r="2322" spans="1:2" x14ac:dyDescent="0.2">
      <c r="A2322" s="36" t="s">
        <v>6807</v>
      </c>
      <c r="B2322" t="s">
        <v>88</v>
      </c>
    </row>
    <row r="2323" spans="1:2" x14ac:dyDescent="0.2">
      <c r="A2323" s="36" t="s">
        <v>6810</v>
      </c>
      <c r="B2323" t="s">
        <v>88</v>
      </c>
    </row>
    <row r="2324" spans="1:2" x14ac:dyDescent="0.2">
      <c r="A2324" s="36" t="s">
        <v>6809</v>
      </c>
      <c r="B2324" t="s">
        <v>88</v>
      </c>
    </row>
    <row r="2325" spans="1:2" x14ac:dyDescent="0.2">
      <c r="A2325" s="36" t="s">
        <v>6811</v>
      </c>
      <c r="B2325" t="s">
        <v>100</v>
      </c>
    </row>
    <row r="2326" spans="1:2" x14ac:dyDescent="0.2">
      <c r="A2326" s="36" t="s">
        <v>6813</v>
      </c>
      <c r="B2326" t="s">
        <v>94</v>
      </c>
    </row>
    <row r="2327" spans="1:2" x14ac:dyDescent="0.2">
      <c r="A2327" s="36" t="s">
        <v>6815</v>
      </c>
      <c r="B2327" t="s">
        <v>105</v>
      </c>
    </row>
    <row r="2328" spans="1:2" x14ac:dyDescent="0.2">
      <c r="A2328" s="36" t="s">
        <v>6812</v>
      </c>
      <c r="B2328" t="s">
        <v>97</v>
      </c>
    </row>
    <row r="2329" spans="1:2" x14ac:dyDescent="0.2">
      <c r="A2329" s="36" t="s">
        <v>6814</v>
      </c>
      <c r="B2329" t="s">
        <v>99</v>
      </c>
    </row>
    <row r="2330" spans="1:2" x14ac:dyDescent="0.2">
      <c r="A2330" s="36" t="s">
        <v>6817</v>
      </c>
      <c r="B2330" t="s">
        <v>93</v>
      </c>
    </row>
    <row r="2331" spans="1:2" x14ac:dyDescent="0.2">
      <c r="A2331" s="36" t="s">
        <v>6819</v>
      </c>
      <c r="B2331" t="s">
        <v>87</v>
      </c>
    </row>
    <row r="2332" spans="1:2" x14ac:dyDescent="0.2">
      <c r="A2332" s="36" t="s">
        <v>6816</v>
      </c>
      <c r="B2332" t="s">
        <v>96</v>
      </c>
    </row>
    <row r="2333" spans="1:2" x14ac:dyDescent="0.2">
      <c r="A2333" s="36" t="s">
        <v>6822</v>
      </c>
      <c r="B2333" t="s">
        <v>96</v>
      </c>
    </row>
    <row r="2334" spans="1:2" x14ac:dyDescent="0.2">
      <c r="A2334" s="36" t="s">
        <v>6820</v>
      </c>
      <c r="B2334" t="s">
        <v>93</v>
      </c>
    </row>
    <row r="2335" spans="1:2" x14ac:dyDescent="0.2">
      <c r="A2335" s="36" t="s">
        <v>6818</v>
      </c>
      <c r="B2335" t="s">
        <v>87</v>
      </c>
    </row>
    <row r="2336" spans="1:2" x14ac:dyDescent="0.2">
      <c r="A2336" s="36" t="s">
        <v>6821</v>
      </c>
      <c r="B2336" t="s">
        <v>96</v>
      </c>
    </row>
    <row r="2337" spans="1:2" x14ac:dyDescent="0.2">
      <c r="A2337" s="36" t="s">
        <v>6825</v>
      </c>
      <c r="B2337" t="s">
        <v>104</v>
      </c>
    </row>
    <row r="2338" spans="1:2" x14ac:dyDescent="0.2">
      <c r="A2338" s="36" t="s">
        <v>6827</v>
      </c>
      <c r="B2338" t="s">
        <v>100</v>
      </c>
    </row>
    <row r="2339" spans="1:2" x14ac:dyDescent="0.2">
      <c r="A2339" s="36" t="s">
        <v>6824</v>
      </c>
      <c r="B2339" t="s">
        <v>94</v>
      </c>
    </row>
    <row r="2340" spans="1:2" x14ac:dyDescent="0.2">
      <c r="A2340" s="36" t="s">
        <v>6826</v>
      </c>
      <c r="B2340" t="s">
        <v>104</v>
      </c>
    </row>
    <row r="2341" spans="1:2" x14ac:dyDescent="0.2">
      <c r="A2341" s="36" t="s">
        <v>6823</v>
      </c>
      <c r="B2341" t="s">
        <v>104</v>
      </c>
    </row>
    <row r="2342" spans="1:2" x14ac:dyDescent="0.2">
      <c r="A2342" s="36" t="s">
        <v>6828</v>
      </c>
      <c r="B2342" t="s">
        <v>101</v>
      </c>
    </row>
    <row r="2343" spans="1:2" x14ac:dyDescent="0.2">
      <c r="A2343" s="36" t="s">
        <v>6829</v>
      </c>
      <c r="B2343" t="s">
        <v>89</v>
      </c>
    </row>
    <row r="2344" spans="1:2" x14ac:dyDescent="0.2">
      <c r="A2344" s="36" t="s">
        <v>6830</v>
      </c>
      <c r="B2344" t="s">
        <v>91</v>
      </c>
    </row>
    <row r="2345" spans="1:2" x14ac:dyDescent="0.2">
      <c r="A2345" s="36" t="s">
        <v>6831</v>
      </c>
      <c r="B2345" t="s">
        <v>105</v>
      </c>
    </row>
    <row r="2346" spans="1:2" x14ac:dyDescent="0.2">
      <c r="A2346" s="36" t="s">
        <v>6832</v>
      </c>
      <c r="B2346" t="s">
        <v>84</v>
      </c>
    </row>
    <row r="2347" spans="1:2" x14ac:dyDescent="0.2">
      <c r="A2347" s="36" t="s">
        <v>6834</v>
      </c>
      <c r="B2347" t="s">
        <v>101</v>
      </c>
    </row>
    <row r="2348" spans="1:2" x14ac:dyDescent="0.2">
      <c r="A2348" s="36" t="s">
        <v>6833</v>
      </c>
      <c r="B2348" t="s">
        <v>93</v>
      </c>
    </row>
    <row r="2349" spans="1:2" x14ac:dyDescent="0.2">
      <c r="A2349" s="36" t="s">
        <v>6860</v>
      </c>
      <c r="B2349" t="s">
        <v>92</v>
      </c>
    </row>
    <row r="2350" spans="1:2" x14ac:dyDescent="0.2">
      <c r="A2350" s="36" t="s">
        <v>6858</v>
      </c>
      <c r="B2350" t="s">
        <v>98</v>
      </c>
    </row>
    <row r="2351" spans="1:2" x14ac:dyDescent="0.2">
      <c r="A2351" s="36" t="s">
        <v>6889</v>
      </c>
      <c r="B2351" t="s">
        <v>95</v>
      </c>
    </row>
    <row r="2352" spans="1:2" x14ac:dyDescent="0.2">
      <c r="A2352" s="36" t="s">
        <v>6886</v>
      </c>
      <c r="B2352" t="s">
        <v>97</v>
      </c>
    </row>
    <row r="2353" spans="1:2" x14ac:dyDescent="0.2">
      <c r="A2353" s="36" t="s">
        <v>6846</v>
      </c>
      <c r="B2353" t="s">
        <v>92</v>
      </c>
    </row>
    <row r="2354" spans="1:2" x14ac:dyDescent="0.2">
      <c r="A2354" s="36" t="s">
        <v>6874</v>
      </c>
      <c r="B2354" t="s">
        <v>98</v>
      </c>
    </row>
    <row r="2355" spans="1:2" x14ac:dyDescent="0.2">
      <c r="A2355" s="36" t="s">
        <v>6887</v>
      </c>
      <c r="B2355" t="s">
        <v>95</v>
      </c>
    </row>
    <row r="2356" spans="1:2" x14ac:dyDescent="0.2">
      <c r="A2356" s="36" t="s">
        <v>6865</v>
      </c>
      <c r="B2356" t="s">
        <v>97</v>
      </c>
    </row>
    <row r="2357" spans="1:2" x14ac:dyDescent="0.2">
      <c r="A2357" s="36" t="s">
        <v>6876</v>
      </c>
      <c r="B2357" t="s">
        <v>92</v>
      </c>
    </row>
    <row r="2358" spans="1:2" x14ac:dyDescent="0.2">
      <c r="A2358" s="36" t="s">
        <v>6888</v>
      </c>
      <c r="B2358" t="s">
        <v>98</v>
      </c>
    </row>
    <row r="2359" spans="1:2" x14ac:dyDescent="0.2">
      <c r="A2359" s="36" t="s">
        <v>6880</v>
      </c>
      <c r="B2359" t="s">
        <v>95</v>
      </c>
    </row>
    <row r="2360" spans="1:2" x14ac:dyDescent="0.2">
      <c r="A2360" s="36" t="s">
        <v>6842</v>
      </c>
      <c r="B2360" t="s">
        <v>97</v>
      </c>
    </row>
    <row r="2361" spans="1:2" x14ac:dyDescent="0.2">
      <c r="A2361" s="36" t="s">
        <v>6859</v>
      </c>
      <c r="B2361" t="s">
        <v>92</v>
      </c>
    </row>
    <row r="2362" spans="1:2" x14ac:dyDescent="0.2">
      <c r="A2362" s="36" t="s">
        <v>6884</v>
      </c>
      <c r="B2362" t="s">
        <v>98</v>
      </c>
    </row>
    <row r="2363" spans="1:2" x14ac:dyDescent="0.2">
      <c r="A2363" s="36" t="s">
        <v>6878</v>
      </c>
      <c r="B2363" t="s">
        <v>95</v>
      </c>
    </row>
    <row r="2364" spans="1:2" x14ac:dyDescent="0.2">
      <c r="A2364" s="36" t="s">
        <v>6891</v>
      </c>
      <c r="B2364" t="s">
        <v>97</v>
      </c>
    </row>
    <row r="2365" spans="1:2" x14ac:dyDescent="0.2">
      <c r="A2365" s="36" t="s">
        <v>6871</v>
      </c>
      <c r="B2365" t="s">
        <v>92</v>
      </c>
    </row>
    <row r="2366" spans="1:2" x14ac:dyDescent="0.2">
      <c r="A2366" s="36" t="s">
        <v>6857</v>
      </c>
      <c r="B2366" t="s">
        <v>98</v>
      </c>
    </row>
    <row r="2367" spans="1:2" x14ac:dyDescent="0.2">
      <c r="A2367" s="36" t="s">
        <v>6881</v>
      </c>
      <c r="B2367" t="s">
        <v>95</v>
      </c>
    </row>
    <row r="2368" spans="1:2" x14ac:dyDescent="0.2">
      <c r="A2368" s="36" t="s">
        <v>6879</v>
      </c>
      <c r="B2368" t="s">
        <v>97</v>
      </c>
    </row>
    <row r="2369" spans="1:2" x14ac:dyDescent="0.2">
      <c r="A2369" s="36" t="s">
        <v>6850</v>
      </c>
      <c r="B2369" t="s">
        <v>92</v>
      </c>
    </row>
    <row r="2370" spans="1:2" x14ac:dyDescent="0.2">
      <c r="A2370" s="36" t="s">
        <v>6893</v>
      </c>
      <c r="B2370" t="s">
        <v>98</v>
      </c>
    </row>
    <row r="2371" spans="1:2" x14ac:dyDescent="0.2">
      <c r="A2371" s="36" t="s">
        <v>6872</v>
      </c>
      <c r="B2371" t="s">
        <v>95</v>
      </c>
    </row>
    <row r="2372" spans="1:2" x14ac:dyDescent="0.2">
      <c r="A2372" s="36" t="s">
        <v>6890</v>
      </c>
      <c r="B2372" t="s">
        <v>97</v>
      </c>
    </row>
    <row r="2373" spans="1:2" x14ac:dyDescent="0.2">
      <c r="A2373" s="36" t="s">
        <v>6863</v>
      </c>
      <c r="B2373" t="s">
        <v>92</v>
      </c>
    </row>
    <row r="2374" spans="1:2" x14ac:dyDescent="0.2">
      <c r="A2374" s="36" t="s">
        <v>6873</v>
      </c>
      <c r="B2374" t="s">
        <v>98</v>
      </c>
    </row>
    <row r="2375" spans="1:2" x14ac:dyDescent="0.2">
      <c r="A2375" s="36" t="s">
        <v>6837</v>
      </c>
      <c r="B2375" t="s">
        <v>95</v>
      </c>
    </row>
    <row r="2376" spans="1:2" x14ac:dyDescent="0.2">
      <c r="A2376" s="36" t="s">
        <v>6841</v>
      </c>
      <c r="B2376" t="s">
        <v>97</v>
      </c>
    </row>
    <row r="2377" spans="1:2" x14ac:dyDescent="0.2">
      <c r="A2377" s="36" t="s">
        <v>6848</v>
      </c>
      <c r="B2377" t="s">
        <v>92</v>
      </c>
    </row>
    <row r="2378" spans="1:2" x14ac:dyDescent="0.2">
      <c r="A2378" s="36" t="s">
        <v>6852</v>
      </c>
      <c r="B2378" t="s">
        <v>98</v>
      </c>
    </row>
    <row r="2379" spans="1:2" x14ac:dyDescent="0.2">
      <c r="A2379" s="36" t="s">
        <v>6861</v>
      </c>
      <c r="B2379" t="s">
        <v>95</v>
      </c>
    </row>
    <row r="2380" spans="1:2" x14ac:dyDescent="0.2">
      <c r="A2380" s="36" t="s">
        <v>6849</v>
      </c>
      <c r="B2380" t="s">
        <v>97</v>
      </c>
    </row>
    <row r="2381" spans="1:2" x14ac:dyDescent="0.2">
      <c r="A2381" s="36" t="s">
        <v>6843</v>
      </c>
      <c r="B2381" t="s">
        <v>92</v>
      </c>
    </row>
    <row r="2382" spans="1:2" x14ac:dyDescent="0.2">
      <c r="A2382" s="36" t="s">
        <v>6839</v>
      </c>
      <c r="B2382" t="s">
        <v>98</v>
      </c>
    </row>
    <row r="2383" spans="1:2" x14ac:dyDescent="0.2">
      <c r="A2383" s="36" t="s">
        <v>6851</v>
      </c>
      <c r="B2383" t="s">
        <v>95</v>
      </c>
    </row>
    <row r="2384" spans="1:2" x14ac:dyDescent="0.2">
      <c r="A2384" s="36" t="s">
        <v>6869</v>
      </c>
      <c r="B2384" t="s">
        <v>97</v>
      </c>
    </row>
    <row r="2385" spans="1:2" x14ac:dyDescent="0.2">
      <c r="A2385" s="36" t="s">
        <v>6883</v>
      </c>
      <c r="B2385" t="s">
        <v>92</v>
      </c>
    </row>
    <row r="2386" spans="1:2" x14ac:dyDescent="0.2">
      <c r="A2386" s="36" t="s">
        <v>6894</v>
      </c>
      <c r="B2386" t="s">
        <v>98</v>
      </c>
    </row>
    <row r="2387" spans="1:2" x14ac:dyDescent="0.2">
      <c r="A2387" s="36" t="s">
        <v>6885</v>
      </c>
      <c r="B2387" t="s">
        <v>95</v>
      </c>
    </row>
    <row r="2388" spans="1:2" x14ac:dyDescent="0.2">
      <c r="A2388" s="36" t="s">
        <v>6866</v>
      </c>
      <c r="B2388" t="s">
        <v>97</v>
      </c>
    </row>
    <row r="2389" spans="1:2" x14ac:dyDescent="0.2">
      <c r="A2389" s="36" t="s">
        <v>6862</v>
      </c>
      <c r="B2389" t="s">
        <v>92</v>
      </c>
    </row>
    <row r="2390" spans="1:2" x14ac:dyDescent="0.2">
      <c r="A2390" s="36" t="s">
        <v>6856</v>
      </c>
      <c r="B2390" t="s">
        <v>98</v>
      </c>
    </row>
    <row r="2391" spans="1:2" x14ac:dyDescent="0.2">
      <c r="A2391" s="36" t="s">
        <v>6875</v>
      </c>
      <c r="B2391" t="s">
        <v>95</v>
      </c>
    </row>
    <row r="2392" spans="1:2" x14ac:dyDescent="0.2">
      <c r="A2392" s="36" t="s">
        <v>6868</v>
      </c>
      <c r="B2392" t="s">
        <v>97</v>
      </c>
    </row>
    <row r="2393" spans="1:2" x14ac:dyDescent="0.2">
      <c r="A2393" s="36" t="s">
        <v>6854</v>
      </c>
      <c r="B2393" t="s">
        <v>92</v>
      </c>
    </row>
    <row r="2394" spans="1:2" x14ac:dyDescent="0.2">
      <c r="A2394" s="36" t="s">
        <v>6877</v>
      </c>
      <c r="B2394" t="s">
        <v>98</v>
      </c>
    </row>
    <row r="2395" spans="1:2" x14ac:dyDescent="0.2">
      <c r="A2395" s="36" t="s">
        <v>6864</v>
      </c>
      <c r="B2395" t="s">
        <v>95</v>
      </c>
    </row>
    <row r="2396" spans="1:2" x14ac:dyDescent="0.2">
      <c r="A2396" s="36" t="s">
        <v>6838</v>
      </c>
      <c r="B2396" t="s">
        <v>97</v>
      </c>
    </row>
    <row r="2397" spans="1:2" x14ac:dyDescent="0.2">
      <c r="A2397" s="36" t="s">
        <v>6836</v>
      </c>
      <c r="B2397" t="s">
        <v>97</v>
      </c>
    </row>
    <row r="2398" spans="1:2" x14ac:dyDescent="0.2">
      <c r="A2398" s="36" t="s">
        <v>6844</v>
      </c>
      <c r="B2398" t="s">
        <v>92</v>
      </c>
    </row>
    <row r="2399" spans="1:2" x14ac:dyDescent="0.2">
      <c r="A2399" s="36" t="s">
        <v>6882</v>
      </c>
      <c r="B2399" t="s">
        <v>98</v>
      </c>
    </row>
    <row r="2400" spans="1:2" x14ac:dyDescent="0.2">
      <c r="A2400" s="36" t="s">
        <v>6835</v>
      </c>
      <c r="B2400" t="s">
        <v>95</v>
      </c>
    </row>
    <row r="2401" spans="1:2" x14ac:dyDescent="0.2">
      <c r="A2401" s="36" t="s">
        <v>6870</v>
      </c>
      <c r="B2401" t="s">
        <v>97</v>
      </c>
    </row>
    <row r="2402" spans="1:2" x14ac:dyDescent="0.2">
      <c r="A2402" s="36" t="s">
        <v>6855</v>
      </c>
      <c r="B2402" t="s">
        <v>92</v>
      </c>
    </row>
    <row r="2403" spans="1:2" x14ac:dyDescent="0.2">
      <c r="A2403" s="36" t="s">
        <v>6867</v>
      </c>
      <c r="B2403" t="s">
        <v>98</v>
      </c>
    </row>
    <row r="2404" spans="1:2" x14ac:dyDescent="0.2">
      <c r="A2404" s="36" t="s">
        <v>6892</v>
      </c>
      <c r="B2404" t="s">
        <v>95</v>
      </c>
    </row>
    <row r="2405" spans="1:2" x14ac:dyDescent="0.2">
      <c r="A2405" s="36" t="s">
        <v>6840</v>
      </c>
      <c r="B2405" t="s">
        <v>97</v>
      </c>
    </row>
    <row r="2406" spans="1:2" x14ac:dyDescent="0.2">
      <c r="A2406" s="36" t="s">
        <v>6853</v>
      </c>
      <c r="B2406" t="s">
        <v>92</v>
      </c>
    </row>
    <row r="2407" spans="1:2" x14ac:dyDescent="0.2">
      <c r="A2407" s="36" t="s">
        <v>6845</v>
      </c>
      <c r="B2407" t="s">
        <v>98</v>
      </c>
    </row>
    <row r="2408" spans="1:2" x14ac:dyDescent="0.2">
      <c r="A2408" s="36" t="s">
        <v>6847</v>
      </c>
      <c r="B2408" t="s">
        <v>95</v>
      </c>
    </row>
    <row r="2409" spans="1:2" x14ac:dyDescent="0.2">
      <c r="A2409" s="36" t="s">
        <v>6895</v>
      </c>
      <c r="B2409" t="s">
        <v>99</v>
      </c>
    </row>
    <row r="2410" spans="1:2" x14ac:dyDescent="0.2">
      <c r="A2410" s="36" t="s">
        <v>6900</v>
      </c>
      <c r="B2410" t="s">
        <v>91</v>
      </c>
    </row>
    <row r="2411" spans="1:2" x14ac:dyDescent="0.2">
      <c r="A2411" s="36" t="s">
        <v>6897</v>
      </c>
      <c r="B2411" t="s">
        <v>87</v>
      </c>
    </row>
    <row r="2412" spans="1:2" x14ac:dyDescent="0.2">
      <c r="A2412" s="36" t="s">
        <v>6922</v>
      </c>
      <c r="B2412" t="s">
        <v>100</v>
      </c>
    </row>
    <row r="2413" spans="1:2" x14ac:dyDescent="0.2">
      <c r="A2413" s="36" t="s">
        <v>6896</v>
      </c>
      <c r="B2413" t="s">
        <v>89</v>
      </c>
    </row>
    <row r="2414" spans="1:2" x14ac:dyDescent="0.2">
      <c r="A2414" s="36" t="s">
        <v>6903</v>
      </c>
      <c r="B2414" t="s">
        <v>84</v>
      </c>
    </row>
    <row r="2415" spans="1:2" x14ac:dyDescent="0.2">
      <c r="A2415" s="36" t="s">
        <v>6924</v>
      </c>
      <c r="B2415" t="s">
        <v>94</v>
      </c>
    </row>
    <row r="2416" spans="1:2" x14ac:dyDescent="0.2">
      <c r="A2416" s="36" t="s">
        <v>6917</v>
      </c>
      <c r="B2416" t="s">
        <v>105</v>
      </c>
    </row>
    <row r="2417" spans="1:2" x14ac:dyDescent="0.2">
      <c r="A2417" s="36" t="s">
        <v>6915</v>
      </c>
      <c r="B2417" t="s">
        <v>89</v>
      </c>
    </row>
    <row r="2418" spans="1:2" x14ac:dyDescent="0.2">
      <c r="A2418" s="36" t="s">
        <v>6913</v>
      </c>
      <c r="B2418" t="s">
        <v>93</v>
      </c>
    </row>
    <row r="2419" spans="1:2" x14ac:dyDescent="0.2">
      <c r="A2419" s="36" t="s">
        <v>6914</v>
      </c>
      <c r="B2419" t="s">
        <v>91</v>
      </c>
    </row>
    <row r="2420" spans="1:2" x14ac:dyDescent="0.2">
      <c r="A2420" s="36" t="s">
        <v>6920</v>
      </c>
      <c r="B2420" t="s">
        <v>87</v>
      </c>
    </row>
    <row r="2421" spans="1:2" x14ac:dyDescent="0.2">
      <c r="A2421" s="36" t="s">
        <v>6919</v>
      </c>
      <c r="B2421" t="s">
        <v>100</v>
      </c>
    </row>
    <row r="2422" spans="1:2" x14ac:dyDescent="0.2">
      <c r="A2422" s="36" t="s">
        <v>6923</v>
      </c>
      <c r="B2422" t="s">
        <v>84</v>
      </c>
    </row>
    <row r="2423" spans="1:2" x14ac:dyDescent="0.2">
      <c r="A2423" s="36" t="s">
        <v>6909</v>
      </c>
      <c r="B2423" t="s">
        <v>94</v>
      </c>
    </row>
    <row r="2424" spans="1:2" x14ac:dyDescent="0.2">
      <c r="A2424" s="36" t="s">
        <v>6899</v>
      </c>
      <c r="B2424" t="s">
        <v>105</v>
      </c>
    </row>
    <row r="2425" spans="1:2" x14ac:dyDescent="0.2">
      <c r="A2425" s="36" t="s">
        <v>6904</v>
      </c>
      <c r="B2425" t="s">
        <v>89</v>
      </c>
    </row>
    <row r="2426" spans="1:2" x14ac:dyDescent="0.2">
      <c r="A2426" s="36" t="s">
        <v>6921</v>
      </c>
      <c r="B2426" t="s">
        <v>93</v>
      </c>
    </row>
    <row r="2427" spans="1:2" x14ac:dyDescent="0.2">
      <c r="A2427" s="36" t="s">
        <v>6898</v>
      </c>
      <c r="B2427" t="s">
        <v>91</v>
      </c>
    </row>
    <row r="2428" spans="1:2" x14ac:dyDescent="0.2">
      <c r="A2428" s="36" t="s">
        <v>6918</v>
      </c>
      <c r="B2428" t="s">
        <v>87</v>
      </c>
    </row>
    <row r="2429" spans="1:2" x14ac:dyDescent="0.2">
      <c r="A2429" s="36" t="s">
        <v>6907</v>
      </c>
      <c r="B2429" t="s">
        <v>100</v>
      </c>
    </row>
    <row r="2430" spans="1:2" x14ac:dyDescent="0.2">
      <c r="A2430" s="36" t="s">
        <v>6901</v>
      </c>
      <c r="B2430" t="s">
        <v>84</v>
      </c>
    </row>
    <row r="2431" spans="1:2" x14ac:dyDescent="0.2">
      <c r="A2431" s="36" t="s">
        <v>6902</v>
      </c>
      <c r="B2431" t="s">
        <v>94</v>
      </c>
    </row>
    <row r="2432" spans="1:2" x14ac:dyDescent="0.2">
      <c r="A2432" s="36" t="s">
        <v>6916</v>
      </c>
      <c r="B2432" t="s">
        <v>105</v>
      </c>
    </row>
    <row r="2433" spans="1:2" x14ac:dyDescent="0.2">
      <c r="A2433" s="36" t="s">
        <v>6911</v>
      </c>
      <c r="B2433" t="s">
        <v>89</v>
      </c>
    </row>
    <row r="2434" spans="1:2" x14ac:dyDescent="0.2">
      <c r="A2434" s="36" t="s">
        <v>6905</v>
      </c>
      <c r="B2434" t="s">
        <v>93</v>
      </c>
    </row>
    <row r="2435" spans="1:2" x14ac:dyDescent="0.2">
      <c r="A2435" s="36" t="s">
        <v>6908</v>
      </c>
      <c r="B2435" t="s">
        <v>91</v>
      </c>
    </row>
    <row r="2436" spans="1:2" x14ac:dyDescent="0.2">
      <c r="A2436" s="36" t="s">
        <v>6906</v>
      </c>
      <c r="B2436" t="s">
        <v>87</v>
      </c>
    </row>
    <row r="2437" spans="1:2" x14ac:dyDescent="0.2">
      <c r="A2437" s="36" t="s">
        <v>6910</v>
      </c>
      <c r="B2437" t="s">
        <v>105</v>
      </c>
    </row>
    <row r="2438" spans="1:2" x14ac:dyDescent="0.2">
      <c r="A2438" s="36" t="s">
        <v>6925</v>
      </c>
      <c r="B2438" t="s">
        <v>100</v>
      </c>
    </row>
    <row r="2439" spans="1:2" x14ac:dyDescent="0.2">
      <c r="A2439" s="36" t="s">
        <v>6912</v>
      </c>
      <c r="B2439" t="s">
        <v>84</v>
      </c>
    </row>
    <row r="2440" spans="1:2" x14ac:dyDescent="0.2">
      <c r="A2440" s="36" t="s">
        <v>6935</v>
      </c>
      <c r="B2440" t="s">
        <v>96</v>
      </c>
    </row>
    <row r="2441" spans="1:2" x14ac:dyDescent="0.2">
      <c r="A2441" s="36" t="s">
        <v>6932</v>
      </c>
      <c r="B2441" t="s">
        <v>99</v>
      </c>
    </row>
    <row r="2442" spans="1:2" x14ac:dyDescent="0.2">
      <c r="A2442" s="36" t="s">
        <v>6938</v>
      </c>
      <c r="B2442" t="s">
        <v>96</v>
      </c>
    </row>
    <row r="2443" spans="1:2" x14ac:dyDescent="0.2">
      <c r="A2443" s="36" t="s">
        <v>6952</v>
      </c>
      <c r="B2443" t="s">
        <v>88</v>
      </c>
    </row>
    <row r="2444" spans="1:2" x14ac:dyDescent="0.2">
      <c r="A2444" s="36" t="s">
        <v>6927</v>
      </c>
      <c r="B2444" t="s">
        <v>99</v>
      </c>
    </row>
    <row r="2445" spans="1:2" x14ac:dyDescent="0.2">
      <c r="A2445" s="36" t="s">
        <v>6939</v>
      </c>
      <c r="B2445" t="s">
        <v>96</v>
      </c>
    </row>
    <row r="2446" spans="1:2" x14ac:dyDescent="0.2">
      <c r="A2446" s="36" t="s">
        <v>6926</v>
      </c>
      <c r="B2446" t="s">
        <v>88</v>
      </c>
    </row>
    <row r="2447" spans="1:2" x14ac:dyDescent="0.2">
      <c r="A2447" s="36" t="s">
        <v>6951</v>
      </c>
      <c r="B2447" t="s">
        <v>99</v>
      </c>
    </row>
    <row r="2448" spans="1:2" x14ac:dyDescent="0.2">
      <c r="A2448" s="36" t="s">
        <v>6946</v>
      </c>
      <c r="B2448" t="s">
        <v>96</v>
      </c>
    </row>
    <row r="2449" spans="1:2" x14ac:dyDescent="0.2">
      <c r="A2449" s="36" t="s">
        <v>6955</v>
      </c>
      <c r="B2449" t="s">
        <v>88</v>
      </c>
    </row>
    <row r="2450" spans="1:2" x14ac:dyDescent="0.2">
      <c r="A2450" s="36" t="s">
        <v>6947</v>
      </c>
      <c r="B2450" t="s">
        <v>99</v>
      </c>
    </row>
    <row r="2451" spans="1:2" x14ac:dyDescent="0.2">
      <c r="A2451" s="36" t="s">
        <v>6949</v>
      </c>
      <c r="B2451" t="s">
        <v>96</v>
      </c>
    </row>
    <row r="2452" spans="1:2" x14ac:dyDescent="0.2">
      <c r="A2452" s="36" t="s">
        <v>6956</v>
      </c>
      <c r="B2452" t="s">
        <v>88</v>
      </c>
    </row>
    <row r="2453" spans="1:2" x14ac:dyDescent="0.2">
      <c r="A2453" s="36" t="s">
        <v>6934</v>
      </c>
      <c r="B2453" t="s">
        <v>96</v>
      </c>
    </row>
    <row r="2454" spans="1:2" x14ac:dyDescent="0.2">
      <c r="A2454" s="36" t="s">
        <v>6954</v>
      </c>
      <c r="B2454" t="s">
        <v>99</v>
      </c>
    </row>
    <row r="2455" spans="1:2" x14ac:dyDescent="0.2">
      <c r="A2455" s="36" t="s">
        <v>6950</v>
      </c>
      <c r="B2455" t="s">
        <v>88</v>
      </c>
    </row>
    <row r="2456" spans="1:2" x14ac:dyDescent="0.2">
      <c r="A2456" s="36" t="s">
        <v>6957</v>
      </c>
      <c r="B2456" t="s">
        <v>96</v>
      </c>
    </row>
    <row r="2457" spans="1:2" x14ac:dyDescent="0.2">
      <c r="A2457" s="36" t="s">
        <v>6944</v>
      </c>
      <c r="B2457" t="s">
        <v>99</v>
      </c>
    </row>
    <row r="2458" spans="1:2" x14ac:dyDescent="0.2">
      <c r="A2458" s="36" t="s">
        <v>6943</v>
      </c>
      <c r="B2458" t="s">
        <v>88</v>
      </c>
    </row>
    <row r="2459" spans="1:2" x14ac:dyDescent="0.2">
      <c r="A2459" s="36" t="s">
        <v>6948</v>
      </c>
      <c r="B2459" t="s">
        <v>96</v>
      </c>
    </row>
    <row r="2460" spans="1:2" x14ac:dyDescent="0.2">
      <c r="A2460" s="36" t="s">
        <v>6953</v>
      </c>
      <c r="B2460" t="s">
        <v>99</v>
      </c>
    </row>
    <row r="2461" spans="1:2" x14ac:dyDescent="0.2">
      <c r="A2461" s="36" t="s">
        <v>6931</v>
      </c>
      <c r="B2461" t="s">
        <v>88</v>
      </c>
    </row>
    <row r="2462" spans="1:2" x14ac:dyDescent="0.2">
      <c r="A2462" s="36" t="s">
        <v>6940</v>
      </c>
      <c r="B2462" t="s">
        <v>96</v>
      </c>
    </row>
    <row r="2463" spans="1:2" x14ac:dyDescent="0.2">
      <c r="A2463" s="36" t="s">
        <v>6930</v>
      </c>
      <c r="B2463" t="s">
        <v>99</v>
      </c>
    </row>
    <row r="2464" spans="1:2" x14ac:dyDescent="0.2">
      <c r="A2464" s="36" t="s">
        <v>6929</v>
      </c>
      <c r="B2464" t="s">
        <v>88</v>
      </c>
    </row>
    <row r="2465" spans="1:2" x14ac:dyDescent="0.2">
      <c r="A2465" s="36" t="s">
        <v>6933</v>
      </c>
      <c r="B2465" t="s">
        <v>96</v>
      </c>
    </row>
    <row r="2466" spans="1:2" x14ac:dyDescent="0.2">
      <c r="A2466" s="36" t="s">
        <v>6942</v>
      </c>
      <c r="B2466" t="s">
        <v>99</v>
      </c>
    </row>
    <row r="2467" spans="1:2" x14ac:dyDescent="0.2">
      <c r="A2467" s="36" t="s">
        <v>6945</v>
      </c>
      <c r="B2467" t="s">
        <v>88</v>
      </c>
    </row>
    <row r="2468" spans="1:2" x14ac:dyDescent="0.2">
      <c r="A2468" s="36" t="s">
        <v>6928</v>
      </c>
      <c r="B2468" t="s">
        <v>96</v>
      </c>
    </row>
    <row r="2469" spans="1:2" x14ac:dyDescent="0.2">
      <c r="A2469" s="36" t="s">
        <v>6937</v>
      </c>
      <c r="B2469" t="s">
        <v>99</v>
      </c>
    </row>
    <row r="2470" spans="1:2" x14ac:dyDescent="0.2">
      <c r="A2470" s="36" t="s">
        <v>6941</v>
      </c>
      <c r="B2470" t="s">
        <v>88</v>
      </c>
    </row>
    <row r="2471" spans="1:2" x14ac:dyDescent="0.2">
      <c r="A2471" s="36" t="s">
        <v>6936</v>
      </c>
      <c r="B2471" t="s">
        <v>96</v>
      </c>
    </row>
    <row r="2472" spans="1:2" x14ac:dyDescent="0.2">
      <c r="A2472" s="36" t="s">
        <v>6974</v>
      </c>
      <c r="B2472" t="s">
        <v>101</v>
      </c>
    </row>
    <row r="2473" spans="1:2" x14ac:dyDescent="0.2">
      <c r="A2473" s="36" t="s">
        <v>6964</v>
      </c>
      <c r="B2473" t="s">
        <v>104</v>
      </c>
    </row>
    <row r="2474" spans="1:2" x14ac:dyDescent="0.2">
      <c r="A2474" s="36" t="s">
        <v>6979</v>
      </c>
      <c r="B2474" t="s">
        <v>94</v>
      </c>
    </row>
    <row r="2475" spans="1:2" x14ac:dyDescent="0.2">
      <c r="A2475" s="36" t="s">
        <v>6986</v>
      </c>
      <c r="B2475" t="s">
        <v>89</v>
      </c>
    </row>
    <row r="2476" spans="1:2" x14ac:dyDescent="0.2">
      <c r="A2476" s="36" t="s">
        <v>6972</v>
      </c>
      <c r="B2476" t="s">
        <v>101</v>
      </c>
    </row>
    <row r="2477" spans="1:2" x14ac:dyDescent="0.2">
      <c r="A2477" s="36" t="s">
        <v>6959</v>
      </c>
      <c r="B2477" t="s">
        <v>104</v>
      </c>
    </row>
    <row r="2478" spans="1:2" x14ac:dyDescent="0.2">
      <c r="A2478" s="36" t="s">
        <v>6962</v>
      </c>
      <c r="B2478" t="s">
        <v>94</v>
      </c>
    </row>
    <row r="2479" spans="1:2" x14ac:dyDescent="0.2">
      <c r="A2479" s="36" t="s">
        <v>6966</v>
      </c>
      <c r="B2479" t="s">
        <v>89</v>
      </c>
    </row>
    <row r="2480" spans="1:2" x14ac:dyDescent="0.2">
      <c r="A2480" s="36" t="s">
        <v>6981</v>
      </c>
      <c r="B2480" t="s">
        <v>101</v>
      </c>
    </row>
    <row r="2481" spans="1:2" x14ac:dyDescent="0.2">
      <c r="A2481" s="36" t="s">
        <v>6963</v>
      </c>
      <c r="B2481" t="s">
        <v>104</v>
      </c>
    </row>
    <row r="2482" spans="1:2" x14ac:dyDescent="0.2">
      <c r="A2482" s="36" t="s">
        <v>6973</v>
      </c>
      <c r="B2482" t="s">
        <v>94</v>
      </c>
    </row>
    <row r="2483" spans="1:2" x14ac:dyDescent="0.2">
      <c r="A2483" s="36" t="s">
        <v>6976</v>
      </c>
      <c r="B2483" t="s">
        <v>89</v>
      </c>
    </row>
    <row r="2484" spans="1:2" x14ac:dyDescent="0.2">
      <c r="A2484" s="36" t="s">
        <v>6985</v>
      </c>
      <c r="B2484" t="s">
        <v>101</v>
      </c>
    </row>
    <row r="2485" spans="1:2" x14ac:dyDescent="0.2">
      <c r="A2485" s="36" t="s">
        <v>6980</v>
      </c>
      <c r="B2485" t="s">
        <v>104</v>
      </c>
    </row>
    <row r="2486" spans="1:2" x14ac:dyDescent="0.2">
      <c r="A2486" s="36" t="s">
        <v>6958</v>
      </c>
      <c r="B2486" t="s">
        <v>94</v>
      </c>
    </row>
    <row r="2487" spans="1:2" x14ac:dyDescent="0.2">
      <c r="A2487" s="36" t="s">
        <v>6960</v>
      </c>
      <c r="B2487" t="s">
        <v>89</v>
      </c>
    </row>
    <row r="2488" spans="1:2" x14ac:dyDescent="0.2">
      <c r="A2488" s="36" t="s">
        <v>6967</v>
      </c>
      <c r="B2488" t="s">
        <v>101</v>
      </c>
    </row>
    <row r="2489" spans="1:2" x14ac:dyDescent="0.2">
      <c r="A2489" s="36" t="s">
        <v>6965</v>
      </c>
      <c r="B2489" t="s">
        <v>104</v>
      </c>
    </row>
    <row r="2490" spans="1:2" x14ac:dyDescent="0.2">
      <c r="A2490" s="36" t="s">
        <v>6982</v>
      </c>
      <c r="B2490" t="s">
        <v>94</v>
      </c>
    </row>
    <row r="2491" spans="1:2" x14ac:dyDescent="0.2">
      <c r="A2491" s="36" t="s">
        <v>6983</v>
      </c>
      <c r="B2491" t="s">
        <v>89</v>
      </c>
    </row>
    <row r="2492" spans="1:2" x14ac:dyDescent="0.2">
      <c r="A2492" s="36" t="s">
        <v>6975</v>
      </c>
      <c r="B2492" t="s">
        <v>101</v>
      </c>
    </row>
    <row r="2493" spans="1:2" x14ac:dyDescent="0.2">
      <c r="A2493" s="36" t="s">
        <v>6961</v>
      </c>
      <c r="B2493" t="s">
        <v>104</v>
      </c>
    </row>
    <row r="2494" spans="1:2" x14ac:dyDescent="0.2">
      <c r="A2494" s="36" t="s">
        <v>6969</v>
      </c>
      <c r="B2494" t="s">
        <v>94</v>
      </c>
    </row>
    <row r="2495" spans="1:2" x14ac:dyDescent="0.2">
      <c r="A2495" s="36" t="s">
        <v>6978</v>
      </c>
      <c r="B2495" t="s">
        <v>89</v>
      </c>
    </row>
    <row r="2496" spans="1:2" x14ac:dyDescent="0.2">
      <c r="A2496" s="36" t="s">
        <v>6968</v>
      </c>
      <c r="B2496" t="s">
        <v>101</v>
      </c>
    </row>
    <row r="2497" spans="1:2" x14ac:dyDescent="0.2">
      <c r="A2497" s="36" t="s">
        <v>6970</v>
      </c>
      <c r="B2497" t="s">
        <v>94</v>
      </c>
    </row>
    <row r="2498" spans="1:2" x14ac:dyDescent="0.2">
      <c r="A2498" s="36" t="s">
        <v>6971</v>
      </c>
      <c r="B2498" t="s">
        <v>104</v>
      </c>
    </row>
    <row r="2499" spans="1:2" x14ac:dyDescent="0.2">
      <c r="A2499" s="36" t="s">
        <v>6984</v>
      </c>
      <c r="B2499" t="s">
        <v>89</v>
      </c>
    </row>
    <row r="2500" spans="1:2" x14ac:dyDescent="0.2">
      <c r="A2500" s="36" t="s">
        <v>6977</v>
      </c>
      <c r="B2500" t="s">
        <v>101</v>
      </c>
    </row>
    <row r="2501" spans="1:2" x14ac:dyDescent="0.2">
      <c r="A2501" s="36" t="s">
        <v>7000</v>
      </c>
      <c r="B2501" t="s">
        <v>93</v>
      </c>
    </row>
    <row r="2502" spans="1:2" x14ac:dyDescent="0.2">
      <c r="A2502" s="36" t="s">
        <v>7006</v>
      </c>
      <c r="B2502" t="s">
        <v>91</v>
      </c>
    </row>
    <row r="2503" spans="1:2" x14ac:dyDescent="0.2">
      <c r="A2503" s="36" t="s">
        <v>7001</v>
      </c>
      <c r="B2503" t="s">
        <v>87</v>
      </c>
    </row>
    <row r="2504" spans="1:2" x14ac:dyDescent="0.2">
      <c r="A2504" s="36" t="s">
        <v>6991</v>
      </c>
      <c r="B2504" t="s">
        <v>93</v>
      </c>
    </row>
    <row r="2505" spans="1:2" x14ac:dyDescent="0.2">
      <c r="A2505" s="36" t="s">
        <v>7013</v>
      </c>
      <c r="B2505" t="s">
        <v>91</v>
      </c>
    </row>
    <row r="2506" spans="1:2" x14ac:dyDescent="0.2">
      <c r="A2506" s="36" t="s">
        <v>7002</v>
      </c>
      <c r="B2506" t="s">
        <v>87</v>
      </c>
    </row>
    <row r="2507" spans="1:2" x14ac:dyDescent="0.2">
      <c r="A2507" s="36" t="s">
        <v>7009</v>
      </c>
      <c r="B2507" t="s">
        <v>93</v>
      </c>
    </row>
    <row r="2508" spans="1:2" x14ac:dyDescent="0.2">
      <c r="A2508" s="36" t="s">
        <v>6988</v>
      </c>
      <c r="B2508" t="s">
        <v>91</v>
      </c>
    </row>
    <row r="2509" spans="1:2" x14ac:dyDescent="0.2">
      <c r="A2509" s="36" t="s">
        <v>6993</v>
      </c>
      <c r="B2509" t="s">
        <v>87</v>
      </c>
    </row>
    <row r="2510" spans="1:2" x14ac:dyDescent="0.2">
      <c r="A2510" s="36" t="s">
        <v>7012</v>
      </c>
      <c r="B2510" t="s">
        <v>93</v>
      </c>
    </row>
    <row r="2511" spans="1:2" x14ac:dyDescent="0.2">
      <c r="A2511" s="36" t="s">
        <v>7007</v>
      </c>
      <c r="B2511" t="s">
        <v>91</v>
      </c>
    </row>
    <row r="2512" spans="1:2" x14ac:dyDescent="0.2">
      <c r="A2512" s="36" t="s">
        <v>6996</v>
      </c>
      <c r="B2512" t="s">
        <v>87</v>
      </c>
    </row>
    <row r="2513" spans="1:2" x14ac:dyDescent="0.2">
      <c r="A2513" s="36" t="s">
        <v>6999</v>
      </c>
      <c r="B2513" t="s">
        <v>93</v>
      </c>
    </row>
    <row r="2514" spans="1:2" x14ac:dyDescent="0.2">
      <c r="A2514" s="36" t="s">
        <v>6989</v>
      </c>
      <c r="B2514" t="s">
        <v>91</v>
      </c>
    </row>
    <row r="2515" spans="1:2" x14ac:dyDescent="0.2">
      <c r="A2515" s="36" t="s">
        <v>6990</v>
      </c>
      <c r="B2515" t="s">
        <v>87</v>
      </c>
    </row>
    <row r="2516" spans="1:2" x14ac:dyDescent="0.2">
      <c r="A2516" s="36" t="s">
        <v>7005</v>
      </c>
      <c r="B2516" t="s">
        <v>93</v>
      </c>
    </row>
    <row r="2517" spans="1:2" x14ac:dyDescent="0.2">
      <c r="A2517" s="36" t="s">
        <v>7004</v>
      </c>
      <c r="B2517" t="s">
        <v>91</v>
      </c>
    </row>
    <row r="2518" spans="1:2" x14ac:dyDescent="0.2">
      <c r="A2518" s="36" t="s">
        <v>7008</v>
      </c>
      <c r="B2518" t="s">
        <v>87</v>
      </c>
    </row>
    <row r="2519" spans="1:2" x14ac:dyDescent="0.2">
      <c r="A2519" s="36" t="s">
        <v>7010</v>
      </c>
      <c r="B2519" t="s">
        <v>93</v>
      </c>
    </row>
    <row r="2520" spans="1:2" x14ac:dyDescent="0.2">
      <c r="A2520" s="36" t="s">
        <v>6998</v>
      </c>
      <c r="B2520" t="s">
        <v>91</v>
      </c>
    </row>
    <row r="2521" spans="1:2" x14ac:dyDescent="0.2">
      <c r="A2521" s="36" t="s">
        <v>6997</v>
      </c>
      <c r="B2521" t="s">
        <v>87</v>
      </c>
    </row>
    <row r="2522" spans="1:2" x14ac:dyDescent="0.2">
      <c r="A2522" s="36" t="s">
        <v>6987</v>
      </c>
      <c r="B2522" t="s">
        <v>93</v>
      </c>
    </row>
    <row r="2523" spans="1:2" x14ac:dyDescent="0.2">
      <c r="A2523" s="36" t="s">
        <v>7003</v>
      </c>
      <c r="B2523" t="s">
        <v>91</v>
      </c>
    </row>
    <row r="2524" spans="1:2" x14ac:dyDescent="0.2">
      <c r="A2524" s="36" t="s">
        <v>6994</v>
      </c>
      <c r="B2524" t="s">
        <v>87</v>
      </c>
    </row>
    <row r="2525" spans="1:2" x14ac:dyDescent="0.2">
      <c r="A2525" s="36" t="s">
        <v>6992</v>
      </c>
      <c r="B2525" t="s">
        <v>93</v>
      </c>
    </row>
    <row r="2526" spans="1:2" x14ac:dyDescent="0.2">
      <c r="A2526" s="36" t="s">
        <v>7011</v>
      </c>
      <c r="B2526" t="s">
        <v>87</v>
      </c>
    </row>
    <row r="2527" spans="1:2" x14ac:dyDescent="0.2">
      <c r="A2527" s="36" t="s">
        <v>6995</v>
      </c>
      <c r="B2527" t="s">
        <v>91</v>
      </c>
    </row>
    <row r="2528" spans="1:2" x14ac:dyDescent="0.2">
      <c r="A2528" s="36" t="s">
        <v>7015</v>
      </c>
      <c r="B2528" t="s">
        <v>105</v>
      </c>
    </row>
    <row r="2529" spans="1:2" x14ac:dyDescent="0.2">
      <c r="A2529" s="36" t="s">
        <v>7017</v>
      </c>
      <c r="B2529" t="s">
        <v>100</v>
      </c>
    </row>
    <row r="2530" spans="1:2" x14ac:dyDescent="0.2">
      <c r="A2530" s="36" t="s">
        <v>7016</v>
      </c>
      <c r="B2530" t="s">
        <v>84</v>
      </c>
    </row>
    <row r="2531" spans="1:2" x14ac:dyDescent="0.2">
      <c r="A2531" s="36" t="s">
        <v>7014</v>
      </c>
      <c r="B2531" t="s">
        <v>105</v>
      </c>
    </row>
    <row r="2532" spans="1:2" x14ac:dyDescent="0.2">
      <c r="A2532" s="36" t="s">
        <v>7020</v>
      </c>
      <c r="B2532" t="s">
        <v>100</v>
      </c>
    </row>
    <row r="2533" spans="1:2" x14ac:dyDescent="0.2">
      <c r="A2533" s="36" t="s">
        <v>7021</v>
      </c>
      <c r="B2533" t="s">
        <v>103</v>
      </c>
    </row>
    <row r="2534" spans="1:2" x14ac:dyDescent="0.2">
      <c r="A2534" s="36" t="s">
        <v>7018</v>
      </c>
      <c r="B2534" t="s">
        <v>84</v>
      </c>
    </row>
    <row r="2535" spans="1:2" x14ac:dyDescent="0.2">
      <c r="A2535" s="36" t="s">
        <v>7022</v>
      </c>
      <c r="B2535" t="s">
        <v>105</v>
      </c>
    </row>
    <row r="2536" spans="1:2" x14ac:dyDescent="0.2">
      <c r="A2536" s="36" t="s">
        <v>7019</v>
      </c>
      <c r="B2536" t="s">
        <v>90</v>
      </c>
    </row>
    <row r="2537" spans="1:2" x14ac:dyDescent="0.2">
      <c r="A2537" s="36" t="s">
        <v>7025</v>
      </c>
      <c r="B2537" t="s">
        <v>100</v>
      </c>
    </row>
    <row r="2538" spans="1:2" x14ac:dyDescent="0.2">
      <c r="A2538" s="36" t="s">
        <v>7023</v>
      </c>
      <c r="B2538" t="s">
        <v>100</v>
      </c>
    </row>
    <row r="2539" spans="1:2" x14ac:dyDescent="0.2">
      <c r="A2539" s="36" t="s">
        <v>7024</v>
      </c>
      <c r="B2539" t="s">
        <v>105</v>
      </c>
    </row>
    <row r="2540" spans="1:2" x14ac:dyDescent="0.2">
      <c r="A2540" s="36" t="s">
        <v>7033</v>
      </c>
      <c r="B2540" t="s">
        <v>103</v>
      </c>
    </row>
    <row r="2541" spans="1:2" x14ac:dyDescent="0.2">
      <c r="A2541" s="36" t="s">
        <v>7028</v>
      </c>
      <c r="B2541" t="s">
        <v>84</v>
      </c>
    </row>
    <row r="2542" spans="1:2" x14ac:dyDescent="0.2">
      <c r="A2542" s="36" t="s">
        <v>7038</v>
      </c>
      <c r="B2542" t="s">
        <v>100</v>
      </c>
    </row>
    <row r="2543" spans="1:2" x14ac:dyDescent="0.2">
      <c r="A2543" s="36" t="s">
        <v>7032</v>
      </c>
      <c r="B2543" t="s">
        <v>90</v>
      </c>
    </row>
    <row r="2544" spans="1:2" x14ac:dyDescent="0.2">
      <c r="A2544" s="36" t="s">
        <v>7029</v>
      </c>
      <c r="B2544" t="s">
        <v>84</v>
      </c>
    </row>
    <row r="2545" spans="1:2" x14ac:dyDescent="0.2">
      <c r="A2545" s="36" t="s">
        <v>7037</v>
      </c>
      <c r="B2545" t="s">
        <v>103</v>
      </c>
    </row>
    <row r="2546" spans="1:2" x14ac:dyDescent="0.2">
      <c r="A2546" s="36" t="s">
        <v>7039</v>
      </c>
      <c r="B2546" t="s">
        <v>103</v>
      </c>
    </row>
    <row r="2547" spans="1:2" x14ac:dyDescent="0.2">
      <c r="A2547" s="36" t="s">
        <v>7027</v>
      </c>
      <c r="B2547" t="s">
        <v>100</v>
      </c>
    </row>
    <row r="2548" spans="1:2" x14ac:dyDescent="0.2">
      <c r="A2548" s="36" t="s">
        <v>7035</v>
      </c>
      <c r="B2548" t="s">
        <v>90</v>
      </c>
    </row>
    <row r="2549" spans="1:2" x14ac:dyDescent="0.2">
      <c r="A2549" s="36" t="s">
        <v>7036</v>
      </c>
      <c r="B2549" t="s">
        <v>105</v>
      </c>
    </row>
    <row r="2550" spans="1:2" x14ac:dyDescent="0.2">
      <c r="A2550" s="36" t="s">
        <v>7031</v>
      </c>
      <c r="B2550" t="s">
        <v>103</v>
      </c>
    </row>
    <row r="2551" spans="1:2" x14ac:dyDescent="0.2">
      <c r="A2551" s="36" t="s">
        <v>7026</v>
      </c>
      <c r="B2551" t="s">
        <v>84</v>
      </c>
    </row>
    <row r="2552" spans="1:2" x14ac:dyDescent="0.2">
      <c r="A2552" s="36" t="s">
        <v>7030</v>
      </c>
      <c r="B2552" t="s">
        <v>100</v>
      </c>
    </row>
    <row r="2553" spans="1:2" x14ac:dyDescent="0.2">
      <c r="A2553" s="36" t="s">
        <v>7034</v>
      </c>
      <c r="B2553" t="s">
        <v>90</v>
      </c>
    </row>
    <row r="2554" spans="1:2" x14ac:dyDescent="0.2">
      <c r="A2554" s="36" t="s">
        <v>7045</v>
      </c>
      <c r="B2554" t="s">
        <v>105</v>
      </c>
    </row>
    <row r="2555" spans="1:2" x14ac:dyDescent="0.2">
      <c r="A2555" s="36" t="s">
        <v>7041</v>
      </c>
      <c r="B2555" t="s">
        <v>103</v>
      </c>
    </row>
    <row r="2556" spans="1:2" x14ac:dyDescent="0.2">
      <c r="A2556" s="36" t="s">
        <v>7044</v>
      </c>
      <c r="B2556" t="s">
        <v>84</v>
      </c>
    </row>
    <row r="2557" spans="1:2" x14ac:dyDescent="0.2">
      <c r="A2557" s="36" t="s">
        <v>7050</v>
      </c>
      <c r="B2557" t="s">
        <v>90</v>
      </c>
    </row>
    <row r="2558" spans="1:2" x14ac:dyDescent="0.2">
      <c r="A2558" s="36" t="s">
        <v>7040</v>
      </c>
      <c r="B2558" t="s">
        <v>105</v>
      </c>
    </row>
    <row r="2559" spans="1:2" x14ac:dyDescent="0.2">
      <c r="A2559" s="36" t="s">
        <v>7048</v>
      </c>
      <c r="B2559" t="s">
        <v>103</v>
      </c>
    </row>
    <row r="2560" spans="1:2" x14ac:dyDescent="0.2">
      <c r="A2560" s="36" t="s">
        <v>7042</v>
      </c>
      <c r="B2560" t="s">
        <v>84</v>
      </c>
    </row>
    <row r="2561" spans="1:2" x14ac:dyDescent="0.2">
      <c r="A2561" s="36" t="s">
        <v>7051</v>
      </c>
      <c r="B2561" t="s">
        <v>90</v>
      </c>
    </row>
    <row r="2562" spans="1:2" x14ac:dyDescent="0.2">
      <c r="A2562" s="36" t="s">
        <v>7052</v>
      </c>
      <c r="B2562" t="s">
        <v>105</v>
      </c>
    </row>
    <row r="2563" spans="1:2" x14ac:dyDescent="0.2">
      <c r="A2563" s="36" t="s">
        <v>7043</v>
      </c>
      <c r="B2563" t="s">
        <v>103</v>
      </c>
    </row>
    <row r="2564" spans="1:2" x14ac:dyDescent="0.2">
      <c r="A2564" s="36" t="s">
        <v>7049</v>
      </c>
      <c r="B2564" t="s">
        <v>84</v>
      </c>
    </row>
    <row r="2565" spans="1:2" x14ac:dyDescent="0.2">
      <c r="A2565" s="36" t="s">
        <v>7047</v>
      </c>
      <c r="B2565" t="s">
        <v>90</v>
      </c>
    </row>
    <row r="2566" spans="1:2" x14ac:dyDescent="0.2">
      <c r="A2566" s="36" t="s">
        <v>7046</v>
      </c>
      <c r="B2566" t="s">
        <v>103</v>
      </c>
    </row>
    <row r="2567" spans="1:2" x14ac:dyDescent="0.2">
      <c r="A2567" s="36" t="s">
        <v>7067</v>
      </c>
      <c r="B2567" t="s">
        <v>94</v>
      </c>
    </row>
    <row r="2568" spans="1:2" x14ac:dyDescent="0.2">
      <c r="A2568" s="36" t="s">
        <v>7066</v>
      </c>
      <c r="B2568" t="s">
        <v>104</v>
      </c>
    </row>
    <row r="2569" spans="1:2" x14ac:dyDescent="0.2">
      <c r="A2569" s="36" t="s">
        <v>7062</v>
      </c>
      <c r="B2569" t="s">
        <v>100</v>
      </c>
    </row>
    <row r="2570" spans="1:2" x14ac:dyDescent="0.2">
      <c r="A2570" s="36" t="s">
        <v>7057</v>
      </c>
      <c r="B2570" t="s">
        <v>89</v>
      </c>
    </row>
    <row r="2571" spans="1:2" x14ac:dyDescent="0.2">
      <c r="A2571" s="36" t="s">
        <v>7071</v>
      </c>
      <c r="B2571" t="s">
        <v>94</v>
      </c>
    </row>
    <row r="2572" spans="1:2" x14ac:dyDescent="0.2">
      <c r="A2572" s="36" t="s">
        <v>7072</v>
      </c>
      <c r="B2572" t="s">
        <v>104</v>
      </c>
    </row>
    <row r="2573" spans="1:2" x14ac:dyDescent="0.2">
      <c r="A2573" s="36" t="s">
        <v>7056</v>
      </c>
      <c r="B2573" t="s">
        <v>100</v>
      </c>
    </row>
    <row r="2574" spans="1:2" x14ac:dyDescent="0.2">
      <c r="A2574" s="36" t="s">
        <v>7054</v>
      </c>
      <c r="B2574" t="s">
        <v>101</v>
      </c>
    </row>
    <row r="2575" spans="1:2" x14ac:dyDescent="0.2">
      <c r="A2575" s="36" t="s">
        <v>7069</v>
      </c>
      <c r="B2575" t="s">
        <v>99</v>
      </c>
    </row>
    <row r="2576" spans="1:2" x14ac:dyDescent="0.2">
      <c r="A2576" s="36" t="s">
        <v>7068</v>
      </c>
      <c r="B2576" t="s">
        <v>89</v>
      </c>
    </row>
    <row r="2577" spans="1:2" x14ac:dyDescent="0.2">
      <c r="A2577" s="36" t="s">
        <v>7073</v>
      </c>
      <c r="B2577" t="s">
        <v>88</v>
      </c>
    </row>
    <row r="2578" spans="1:2" x14ac:dyDescent="0.2">
      <c r="A2578" s="36" t="s">
        <v>7082</v>
      </c>
      <c r="B2578" t="s">
        <v>94</v>
      </c>
    </row>
    <row r="2579" spans="1:2" x14ac:dyDescent="0.2">
      <c r="A2579" s="36" t="s">
        <v>7064</v>
      </c>
      <c r="B2579" t="s">
        <v>104</v>
      </c>
    </row>
    <row r="2580" spans="1:2" x14ac:dyDescent="0.2">
      <c r="A2580" s="36" t="s">
        <v>7053</v>
      </c>
      <c r="B2580" t="s">
        <v>100</v>
      </c>
    </row>
    <row r="2581" spans="1:2" x14ac:dyDescent="0.2">
      <c r="A2581" s="36" t="s">
        <v>7065</v>
      </c>
      <c r="B2581" t="s">
        <v>94</v>
      </c>
    </row>
    <row r="2582" spans="1:2" x14ac:dyDescent="0.2">
      <c r="A2582" s="36" t="s">
        <v>7077</v>
      </c>
      <c r="B2582" t="s">
        <v>101</v>
      </c>
    </row>
    <row r="2583" spans="1:2" x14ac:dyDescent="0.2">
      <c r="A2583" s="36" t="s">
        <v>7080</v>
      </c>
      <c r="B2583" t="s">
        <v>99</v>
      </c>
    </row>
    <row r="2584" spans="1:2" x14ac:dyDescent="0.2">
      <c r="A2584" s="36" t="s">
        <v>7078</v>
      </c>
      <c r="B2584" t="s">
        <v>89</v>
      </c>
    </row>
    <row r="2585" spans="1:2" x14ac:dyDescent="0.2">
      <c r="A2585" s="36" t="s">
        <v>7070</v>
      </c>
      <c r="B2585" t="s">
        <v>88</v>
      </c>
    </row>
    <row r="2586" spans="1:2" x14ac:dyDescent="0.2">
      <c r="A2586" s="36" t="s">
        <v>7076</v>
      </c>
      <c r="B2586" t="s">
        <v>104</v>
      </c>
    </row>
    <row r="2587" spans="1:2" x14ac:dyDescent="0.2">
      <c r="A2587" s="36" t="s">
        <v>7075</v>
      </c>
      <c r="B2587" t="s">
        <v>100</v>
      </c>
    </row>
    <row r="2588" spans="1:2" x14ac:dyDescent="0.2">
      <c r="A2588" s="36" t="s">
        <v>7081</v>
      </c>
      <c r="B2588" t="s">
        <v>94</v>
      </c>
    </row>
    <row r="2589" spans="1:2" x14ac:dyDescent="0.2">
      <c r="A2589" s="36" t="s">
        <v>7079</v>
      </c>
      <c r="B2589" t="s">
        <v>101</v>
      </c>
    </row>
    <row r="2590" spans="1:2" x14ac:dyDescent="0.2">
      <c r="A2590" s="36" t="s">
        <v>7074</v>
      </c>
      <c r="B2590" t="s">
        <v>88</v>
      </c>
    </row>
    <row r="2591" spans="1:2" x14ac:dyDescent="0.2">
      <c r="A2591" s="36" t="s">
        <v>7063</v>
      </c>
      <c r="B2591" t="s">
        <v>99</v>
      </c>
    </row>
    <row r="2592" spans="1:2" x14ac:dyDescent="0.2">
      <c r="A2592" s="36" t="s">
        <v>7055</v>
      </c>
      <c r="B2592" t="s">
        <v>89</v>
      </c>
    </row>
    <row r="2593" spans="1:2" x14ac:dyDescent="0.2">
      <c r="A2593" s="36" t="s">
        <v>7083</v>
      </c>
      <c r="B2593" t="s">
        <v>104</v>
      </c>
    </row>
    <row r="2594" spans="1:2" x14ac:dyDescent="0.2">
      <c r="A2594" s="36" t="s">
        <v>7059</v>
      </c>
      <c r="B2594" t="s">
        <v>100</v>
      </c>
    </row>
    <row r="2595" spans="1:2" x14ac:dyDescent="0.2">
      <c r="A2595" s="36" t="s">
        <v>7058</v>
      </c>
      <c r="B2595" t="s">
        <v>94</v>
      </c>
    </row>
    <row r="2596" spans="1:2" x14ac:dyDescent="0.2">
      <c r="A2596" s="36" t="s">
        <v>7060</v>
      </c>
      <c r="B2596" t="s">
        <v>101</v>
      </c>
    </row>
    <row r="2597" spans="1:2" x14ac:dyDescent="0.2">
      <c r="A2597" s="36" t="s">
        <v>7061</v>
      </c>
      <c r="B2597" t="s">
        <v>88</v>
      </c>
    </row>
    <row r="2598" spans="1:2" x14ac:dyDescent="0.2">
      <c r="A2598" s="36" t="s">
        <v>7086</v>
      </c>
      <c r="B2598" t="s">
        <v>96</v>
      </c>
    </row>
    <row r="2599" spans="1:2" x14ac:dyDescent="0.2">
      <c r="A2599" s="36" t="s">
        <v>7085</v>
      </c>
      <c r="B2599" t="s">
        <v>90</v>
      </c>
    </row>
    <row r="2600" spans="1:2" x14ac:dyDescent="0.2">
      <c r="A2600" s="36" t="s">
        <v>7084</v>
      </c>
      <c r="B2600" t="s">
        <v>93</v>
      </c>
    </row>
    <row r="2601" spans="1:2" x14ac:dyDescent="0.2">
      <c r="A2601" s="36" t="s">
        <v>7129</v>
      </c>
      <c r="B2601" t="s">
        <v>105</v>
      </c>
    </row>
    <row r="2602" spans="1:2" x14ac:dyDescent="0.2">
      <c r="A2602" s="36" t="s">
        <v>7130</v>
      </c>
      <c r="B2602" t="s">
        <v>105</v>
      </c>
    </row>
    <row r="2603" spans="1:2" x14ac:dyDescent="0.2">
      <c r="A2603" s="36" t="s">
        <v>7139</v>
      </c>
      <c r="B2603" t="s">
        <v>105</v>
      </c>
    </row>
    <row r="2604" spans="1:2" x14ac:dyDescent="0.2">
      <c r="A2604" s="36" t="s">
        <v>7148</v>
      </c>
      <c r="B2604" t="s">
        <v>105</v>
      </c>
    </row>
    <row r="2605" spans="1:2" x14ac:dyDescent="0.2">
      <c r="A2605" s="36" t="s">
        <v>7104</v>
      </c>
      <c r="B2605" t="s">
        <v>105</v>
      </c>
    </row>
    <row r="2606" spans="1:2" x14ac:dyDescent="0.2">
      <c r="A2606" s="36" t="s">
        <v>7088</v>
      </c>
      <c r="B2606" t="s">
        <v>105</v>
      </c>
    </row>
    <row r="2607" spans="1:2" x14ac:dyDescent="0.2">
      <c r="A2607" s="36" t="s">
        <v>7161</v>
      </c>
      <c r="B2607" t="s">
        <v>105</v>
      </c>
    </row>
    <row r="2608" spans="1:2" x14ac:dyDescent="0.2">
      <c r="A2608" s="36" t="s">
        <v>7157</v>
      </c>
      <c r="B2608" t="s">
        <v>105</v>
      </c>
    </row>
    <row r="2609" spans="1:2" x14ac:dyDescent="0.2">
      <c r="A2609" s="36" t="s">
        <v>7124</v>
      </c>
      <c r="B2609" t="s">
        <v>105</v>
      </c>
    </row>
    <row r="2610" spans="1:2" x14ac:dyDescent="0.2">
      <c r="A2610" s="36" t="s">
        <v>7098</v>
      </c>
      <c r="B2610" t="s">
        <v>105</v>
      </c>
    </row>
    <row r="2611" spans="1:2" x14ac:dyDescent="0.2">
      <c r="A2611" s="36" t="s">
        <v>7164</v>
      </c>
      <c r="B2611" t="s">
        <v>105</v>
      </c>
    </row>
    <row r="2612" spans="1:2" x14ac:dyDescent="0.2">
      <c r="A2612" s="36" t="s">
        <v>7115</v>
      </c>
      <c r="B2612" t="s">
        <v>105</v>
      </c>
    </row>
    <row r="2613" spans="1:2" x14ac:dyDescent="0.2">
      <c r="A2613" s="36" t="s">
        <v>7102</v>
      </c>
      <c r="B2613" t="s">
        <v>105</v>
      </c>
    </row>
    <row r="2614" spans="1:2" x14ac:dyDescent="0.2">
      <c r="A2614" s="36" t="s">
        <v>7112</v>
      </c>
      <c r="B2614" t="s">
        <v>105</v>
      </c>
    </row>
    <row r="2615" spans="1:2" x14ac:dyDescent="0.2">
      <c r="A2615" s="36" t="s">
        <v>7094</v>
      </c>
      <c r="B2615" t="s">
        <v>105</v>
      </c>
    </row>
    <row r="2616" spans="1:2" x14ac:dyDescent="0.2">
      <c r="A2616" s="36" t="s">
        <v>7111</v>
      </c>
      <c r="B2616" t="s">
        <v>105</v>
      </c>
    </row>
    <row r="2617" spans="1:2" x14ac:dyDescent="0.2">
      <c r="A2617" s="36" t="s">
        <v>7107</v>
      </c>
      <c r="B2617" t="s">
        <v>105</v>
      </c>
    </row>
    <row r="2618" spans="1:2" x14ac:dyDescent="0.2">
      <c r="A2618" s="36" t="s">
        <v>7132</v>
      </c>
      <c r="B2618" t="s">
        <v>105</v>
      </c>
    </row>
    <row r="2619" spans="1:2" x14ac:dyDescent="0.2">
      <c r="A2619" s="36" t="s">
        <v>7138</v>
      </c>
      <c r="B2619" t="s">
        <v>105</v>
      </c>
    </row>
    <row r="2620" spans="1:2" x14ac:dyDescent="0.2">
      <c r="A2620" s="36" t="s">
        <v>7127</v>
      </c>
      <c r="B2620" t="s">
        <v>105</v>
      </c>
    </row>
    <row r="2621" spans="1:2" x14ac:dyDescent="0.2">
      <c r="A2621" s="36" t="s">
        <v>7125</v>
      </c>
      <c r="B2621" t="s">
        <v>105</v>
      </c>
    </row>
    <row r="2622" spans="1:2" x14ac:dyDescent="0.2">
      <c r="A2622" s="36" t="s">
        <v>7126</v>
      </c>
      <c r="B2622" t="s">
        <v>105</v>
      </c>
    </row>
    <row r="2623" spans="1:2" x14ac:dyDescent="0.2">
      <c r="A2623" s="36" t="s">
        <v>7155</v>
      </c>
      <c r="B2623" t="s">
        <v>105</v>
      </c>
    </row>
    <row r="2624" spans="1:2" x14ac:dyDescent="0.2">
      <c r="A2624" s="36" t="s">
        <v>7119</v>
      </c>
      <c r="B2624" t="s">
        <v>105</v>
      </c>
    </row>
    <row r="2625" spans="1:2" x14ac:dyDescent="0.2">
      <c r="A2625" s="36" t="s">
        <v>7100</v>
      </c>
      <c r="B2625" t="s">
        <v>105</v>
      </c>
    </row>
    <row r="2626" spans="1:2" x14ac:dyDescent="0.2">
      <c r="A2626" s="36" t="s">
        <v>7103</v>
      </c>
      <c r="B2626" t="s">
        <v>105</v>
      </c>
    </row>
    <row r="2627" spans="1:2" x14ac:dyDescent="0.2">
      <c r="A2627" s="36" t="s">
        <v>7114</v>
      </c>
      <c r="B2627" t="s">
        <v>105</v>
      </c>
    </row>
    <row r="2628" spans="1:2" x14ac:dyDescent="0.2">
      <c r="A2628" s="36" t="s">
        <v>7134</v>
      </c>
      <c r="B2628" t="s">
        <v>105</v>
      </c>
    </row>
    <row r="2629" spans="1:2" x14ac:dyDescent="0.2">
      <c r="A2629" s="36" t="s">
        <v>7173</v>
      </c>
      <c r="B2629" t="s">
        <v>105</v>
      </c>
    </row>
    <row r="2630" spans="1:2" x14ac:dyDescent="0.2">
      <c r="A2630" s="36" t="s">
        <v>7162</v>
      </c>
      <c r="B2630" t="s">
        <v>105</v>
      </c>
    </row>
    <row r="2631" spans="1:2" x14ac:dyDescent="0.2">
      <c r="A2631" s="36" t="s">
        <v>7087</v>
      </c>
      <c r="B2631" t="s">
        <v>105</v>
      </c>
    </row>
    <row r="2632" spans="1:2" x14ac:dyDescent="0.2">
      <c r="A2632" s="36" t="s">
        <v>7089</v>
      </c>
      <c r="B2632" t="s">
        <v>105</v>
      </c>
    </row>
    <row r="2633" spans="1:2" x14ac:dyDescent="0.2">
      <c r="A2633" s="36" t="s">
        <v>7113</v>
      </c>
      <c r="B2633" t="s">
        <v>105</v>
      </c>
    </row>
    <row r="2634" spans="1:2" x14ac:dyDescent="0.2">
      <c r="A2634" s="36" t="s">
        <v>7151</v>
      </c>
      <c r="B2634" t="s">
        <v>105</v>
      </c>
    </row>
    <row r="2635" spans="1:2" x14ac:dyDescent="0.2">
      <c r="A2635" s="36" t="s">
        <v>7099</v>
      </c>
      <c r="B2635" t="s">
        <v>105</v>
      </c>
    </row>
    <row r="2636" spans="1:2" x14ac:dyDescent="0.2">
      <c r="A2636" s="36" t="s">
        <v>7091</v>
      </c>
      <c r="B2636" t="s">
        <v>105</v>
      </c>
    </row>
    <row r="2637" spans="1:2" x14ac:dyDescent="0.2">
      <c r="A2637" s="36" t="s">
        <v>7149</v>
      </c>
      <c r="B2637" t="s">
        <v>105</v>
      </c>
    </row>
    <row r="2638" spans="1:2" x14ac:dyDescent="0.2">
      <c r="A2638" s="36" t="s">
        <v>7158</v>
      </c>
      <c r="B2638" t="s">
        <v>105</v>
      </c>
    </row>
    <row r="2639" spans="1:2" x14ac:dyDescent="0.2">
      <c r="A2639" s="36" t="s">
        <v>7160</v>
      </c>
      <c r="B2639" t="s">
        <v>105</v>
      </c>
    </row>
    <row r="2640" spans="1:2" x14ac:dyDescent="0.2">
      <c r="A2640" s="36" t="s">
        <v>7116</v>
      </c>
      <c r="B2640" t="s">
        <v>105</v>
      </c>
    </row>
    <row r="2641" spans="1:2" x14ac:dyDescent="0.2">
      <c r="A2641" s="36" t="s">
        <v>7108</v>
      </c>
      <c r="B2641" t="s">
        <v>105</v>
      </c>
    </row>
    <row r="2642" spans="1:2" x14ac:dyDescent="0.2">
      <c r="A2642" s="36" t="s">
        <v>7101</v>
      </c>
      <c r="B2642" t="s">
        <v>105</v>
      </c>
    </row>
    <row r="2643" spans="1:2" x14ac:dyDescent="0.2">
      <c r="A2643" s="36" t="s">
        <v>7171</v>
      </c>
      <c r="B2643" t="s">
        <v>105</v>
      </c>
    </row>
    <row r="2644" spans="1:2" x14ac:dyDescent="0.2">
      <c r="A2644" s="36" t="s">
        <v>7090</v>
      </c>
      <c r="B2644" t="s">
        <v>105</v>
      </c>
    </row>
    <row r="2645" spans="1:2" x14ac:dyDescent="0.2">
      <c r="A2645" s="36" t="s">
        <v>7110</v>
      </c>
      <c r="B2645" t="s">
        <v>105</v>
      </c>
    </row>
    <row r="2646" spans="1:2" x14ac:dyDescent="0.2">
      <c r="A2646" s="36" t="s">
        <v>7150</v>
      </c>
      <c r="B2646" t="s">
        <v>105</v>
      </c>
    </row>
    <row r="2647" spans="1:2" x14ac:dyDescent="0.2">
      <c r="A2647" s="36" t="s">
        <v>7166</v>
      </c>
      <c r="B2647" t="s">
        <v>105</v>
      </c>
    </row>
    <row r="2648" spans="1:2" x14ac:dyDescent="0.2">
      <c r="A2648" s="36" t="s">
        <v>7170</v>
      </c>
      <c r="B2648" t="s">
        <v>105</v>
      </c>
    </row>
    <row r="2649" spans="1:2" x14ac:dyDescent="0.2">
      <c r="A2649" s="36" t="s">
        <v>7163</v>
      </c>
      <c r="B2649" t="s">
        <v>105</v>
      </c>
    </row>
    <row r="2650" spans="1:2" x14ac:dyDescent="0.2">
      <c r="A2650" s="36" t="s">
        <v>7174</v>
      </c>
      <c r="B2650" t="s">
        <v>105</v>
      </c>
    </row>
    <row r="2651" spans="1:2" x14ac:dyDescent="0.2">
      <c r="A2651" s="36" t="s">
        <v>7152</v>
      </c>
      <c r="B2651" t="s">
        <v>105</v>
      </c>
    </row>
    <row r="2652" spans="1:2" x14ac:dyDescent="0.2">
      <c r="A2652" s="36" t="s">
        <v>7169</v>
      </c>
      <c r="B2652" t="s">
        <v>105</v>
      </c>
    </row>
    <row r="2653" spans="1:2" x14ac:dyDescent="0.2">
      <c r="A2653" s="36" t="s">
        <v>7159</v>
      </c>
      <c r="B2653" t="s">
        <v>105</v>
      </c>
    </row>
    <row r="2654" spans="1:2" x14ac:dyDescent="0.2">
      <c r="A2654" s="36" t="s">
        <v>7165</v>
      </c>
      <c r="B2654" t="s">
        <v>105</v>
      </c>
    </row>
    <row r="2655" spans="1:2" x14ac:dyDescent="0.2">
      <c r="A2655" s="36" t="s">
        <v>7154</v>
      </c>
      <c r="B2655" t="s">
        <v>105</v>
      </c>
    </row>
    <row r="2656" spans="1:2" x14ac:dyDescent="0.2">
      <c r="A2656" s="36" t="s">
        <v>7092</v>
      </c>
      <c r="B2656" t="s">
        <v>105</v>
      </c>
    </row>
    <row r="2657" spans="1:2" x14ac:dyDescent="0.2">
      <c r="A2657" s="36" t="s">
        <v>7131</v>
      </c>
      <c r="B2657" t="s">
        <v>105</v>
      </c>
    </row>
    <row r="2658" spans="1:2" x14ac:dyDescent="0.2">
      <c r="A2658" s="36" t="s">
        <v>7147</v>
      </c>
      <c r="B2658" t="s">
        <v>105</v>
      </c>
    </row>
    <row r="2659" spans="1:2" x14ac:dyDescent="0.2">
      <c r="A2659" s="36" t="s">
        <v>7144</v>
      </c>
      <c r="B2659" t="s">
        <v>105</v>
      </c>
    </row>
    <row r="2660" spans="1:2" x14ac:dyDescent="0.2">
      <c r="A2660" s="36" t="s">
        <v>7135</v>
      </c>
      <c r="B2660" t="s">
        <v>105</v>
      </c>
    </row>
    <row r="2661" spans="1:2" x14ac:dyDescent="0.2">
      <c r="A2661" s="36" t="s">
        <v>7133</v>
      </c>
      <c r="B2661" t="s">
        <v>105</v>
      </c>
    </row>
    <row r="2662" spans="1:2" x14ac:dyDescent="0.2">
      <c r="A2662" s="36" t="s">
        <v>7123</v>
      </c>
      <c r="B2662" t="s">
        <v>105</v>
      </c>
    </row>
    <row r="2663" spans="1:2" x14ac:dyDescent="0.2">
      <c r="A2663" s="36" t="s">
        <v>7095</v>
      </c>
      <c r="B2663" t="s">
        <v>105</v>
      </c>
    </row>
    <row r="2664" spans="1:2" x14ac:dyDescent="0.2">
      <c r="A2664" s="36" t="s">
        <v>7109</v>
      </c>
      <c r="B2664" t="s">
        <v>105</v>
      </c>
    </row>
    <row r="2665" spans="1:2" x14ac:dyDescent="0.2">
      <c r="A2665" s="36" t="s">
        <v>7145</v>
      </c>
      <c r="B2665" t="s">
        <v>105</v>
      </c>
    </row>
    <row r="2666" spans="1:2" x14ac:dyDescent="0.2">
      <c r="A2666" s="36" t="s">
        <v>7128</v>
      </c>
      <c r="B2666" t="s">
        <v>105</v>
      </c>
    </row>
    <row r="2667" spans="1:2" x14ac:dyDescent="0.2">
      <c r="A2667" s="36" t="s">
        <v>7136</v>
      </c>
      <c r="B2667" t="s">
        <v>105</v>
      </c>
    </row>
    <row r="2668" spans="1:2" x14ac:dyDescent="0.2">
      <c r="A2668" s="36" t="s">
        <v>7143</v>
      </c>
      <c r="B2668" t="s">
        <v>105</v>
      </c>
    </row>
    <row r="2669" spans="1:2" x14ac:dyDescent="0.2">
      <c r="A2669" s="36" t="s">
        <v>7140</v>
      </c>
      <c r="B2669" t="s">
        <v>105</v>
      </c>
    </row>
    <row r="2670" spans="1:2" x14ac:dyDescent="0.2">
      <c r="A2670" s="36" t="s">
        <v>7120</v>
      </c>
      <c r="B2670" t="s">
        <v>105</v>
      </c>
    </row>
    <row r="2671" spans="1:2" x14ac:dyDescent="0.2">
      <c r="A2671" s="36" t="s">
        <v>7146</v>
      </c>
      <c r="B2671" t="s">
        <v>105</v>
      </c>
    </row>
    <row r="2672" spans="1:2" x14ac:dyDescent="0.2">
      <c r="A2672" s="36" t="s">
        <v>7118</v>
      </c>
      <c r="B2672" t="s">
        <v>105</v>
      </c>
    </row>
    <row r="2673" spans="1:2" x14ac:dyDescent="0.2">
      <c r="A2673" s="36" t="s">
        <v>7122</v>
      </c>
      <c r="B2673" t="s">
        <v>105</v>
      </c>
    </row>
    <row r="2674" spans="1:2" x14ac:dyDescent="0.2">
      <c r="A2674" s="36" t="s">
        <v>7105</v>
      </c>
      <c r="B2674" t="s">
        <v>105</v>
      </c>
    </row>
    <row r="2675" spans="1:2" x14ac:dyDescent="0.2">
      <c r="A2675" s="36" t="s">
        <v>7106</v>
      </c>
      <c r="B2675" t="s">
        <v>105</v>
      </c>
    </row>
    <row r="2676" spans="1:2" x14ac:dyDescent="0.2">
      <c r="A2676" s="36" t="s">
        <v>7096</v>
      </c>
      <c r="B2676" t="s">
        <v>105</v>
      </c>
    </row>
    <row r="2677" spans="1:2" x14ac:dyDescent="0.2">
      <c r="A2677" s="36" t="s">
        <v>7153</v>
      </c>
      <c r="B2677" t="s">
        <v>105</v>
      </c>
    </row>
    <row r="2678" spans="1:2" x14ac:dyDescent="0.2">
      <c r="A2678" s="36" t="s">
        <v>7142</v>
      </c>
      <c r="B2678" t="s">
        <v>105</v>
      </c>
    </row>
    <row r="2679" spans="1:2" x14ac:dyDescent="0.2">
      <c r="A2679" s="36" t="s">
        <v>7156</v>
      </c>
      <c r="B2679" t="s">
        <v>105</v>
      </c>
    </row>
    <row r="2680" spans="1:2" x14ac:dyDescent="0.2">
      <c r="A2680" s="36" t="s">
        <v>7093</v>
      </c>
      <c r="B2680" t="s">
        <v>105</v>
      </c>
    </row>
    <row r="2681" spans="1:2" x14ac:dyDescent="0.2">
      <c r="A2681" s="36" t="s">
        <v>7121</v>
      </c>
      <c r="B2681" t="s">
        <v>105</v>
      </c>
    </row>
    <row r="2682" spans="1:2" x14ac:dyDescent="0.2">
      <c r="A2682" s="36" t="s">
        <v>7117</v>
      </c>
      <c r="B2682" t="s">
        <v>105</v>
      </c>
    </row>
    <row r="2683" spans="1:2" x14ac:dyDescent="0.2">
      <c r="A2683" s="36" t="s">
        <v>7175</v>
      </c>
      <c r="B2683" t="s">
        <v>105</v>
      </c>
    </row>
    <row r="2684" spans="1:2" x14ac:dyDescent="0.2">
      <c r="A2684" s="36" t="s">
        <v>7097</v>
      </c>
      <c r="B2684" t="s">
        <v>105</v>
      </c>
    </row>
    <row r="2685" spans="1:2" x14ac:dyDescent="0.2">
      <c r="A2685" s="36" t="s">
        <v>7137</v>
      </c>
      <c r="B2685" t="s">
        <v>105</v>
      </c>
    </row>
    <row r="2686" spans="1:2" x14ac:dyDescent="0.2">
      <c r="A2686" s="36" t="s">
        <v>7167</v>
      </c>
      <c r="B2686" t="s">
        <v>105</v>
      </c>
    </row>
    <row r="2687" spans="1:2" x14ac:dyDescent="0.2">
      <c r="A2687" s="36" t="s">
        <v>7168</v>
      </c>
      <c r="B2687" t="s">
        <v>105</v>
      </c>
    </row>
    <row r="2688" spans="1:2" x14ac:dyDescent="0.2">
      <c r="A2688" s="36" t="s">
        <v>7172</v>
      </c>
      <c r="B2688" t="s">
        <v>105</v>
      </c>
    </row>
    <row r="2689" spans="1:2" x14ac:dyDescent="0.2">
      <c r="A2689" s="36" t="s">
        <v>7141</v>
      </c>
      <c r="B2689" t="s">
        <v>105</v>
      </c>
    </row>
    <row r="2690" spans="1:2" x14ac:dyDescent="0.2">
      <c r="A2690" s="36" t="s">
        <v>7184</v>
      </c>
      <c r="B2690" t="s">
        <v>84</v>
      </c>
    </row>
    <row r="2691" spans="1:2" x14ac:dyDescent="0.2">
      <c r="A2691" s="36" t="s">
        <v>7232</v>
      </c>
      <c r="B2691" t="s">
        <v>87</v>
      </c>
    </row>
    <row r="2692" spans="1:2" x14ac:dyDescent="0.2">
      <c r="A2692" s="36" t="s">
        <v>7240</v>
      </c>
      <c r="B2692" t="s">
        <v>84</v>
      </c>
    </row>
    <row r="2693" spans="1:2" x14ac:dyDescent="0.2">
      <c r="A2693" s="36" t="s">
        <v>7228</v>
      </c>
      <c r="B2693" t="s">
        <v>87</v>
      </c>
    </row>
    <row r="2694" spans="1:2" x14ac:dyDescent="0.2">
      <c r="A2694" s="36" t="s">
        <v>7183</v>
      </c>
      <c r="B2694" t="s">
        <v>84</v>
      </c>
    </row>
    <row r="2695" spans="1:2" x14ac:dyDescent="0.2">
      <c r="A2695" s="36" t="s">
        <v>7236</v>
      </c>
      <c r="B2695" t="s">
        <v>87</v>
      </c>
    </row>
    <row r="2696" spans="1:2" x14ac:dyDescent="0.2">
      <c r="A2696" s="36" t="s">
        <v>7239</v>
      </c>
      <c r="B2696" t="s">
        <v>84</v>
      </c>
    </row>
    <row r="2697" spans="1:2" x14ac:dyDescent="0.2">
      <c r="A2697" s="36" t="s">
        <v>7242</v>
      </c>
      <c r="B2697" t="s">
        <v>87</v>
      </c>
    </row>
    <row r="2698" spans="1:2" x14ac:dyDescent="0.2">
      <c r="A2698" s="36" t="s">
        <v>7207</v>
      </c>
      <c r="B2698" t="s">
        <v>84</v>
      </c>
    </row>
    <row r="2699" spans="1:2" x14ac:dyDescent="0.2">
      <c r="A2699" s="36" t="s">
        <v>7224</v>
      </c>
      <c r="B2699" t="s">
        <v>87</v>
      </c>
    </row>
    <row r="2700" spans="1:2" x14ac:dyDescent="0.2">
      <c r="A2700" s="36" t="s">
        <v>7237</v>
      </c>
      <c r="B2700" t="s">
        <v>84</v>
      </c>
    </row>
    <row r="2701" spans="1:2" x14ac:dyDescent="0.2">
      <c r="A2701" s="36" t="s">
        <v>7257</v>
      </c>
      <c r="B2701" t="s">
        <v>87</v>
      </c>
    </row>
    <row r="2702" spans="1:2" x14ac:dyDescent="0.2">
      <c r="A2702" s="36" t="s">
        <v>7231</v>
      </c>
      <c r="B2702" t="s">
        <v>84</v>
      </c>
    </row>
    <row r="2703" spans="1:2" x14ac:dyDescent="0.2">
      <c r="A2703" s="36" t="s">
        <v>7188</v>
      </c>
      <c r="B2703" t="s">
        <v>87</v>
      </c>
    </row>
    <row r="2704" spans="1:2" x14ac:dyDescent="0.2">
      <c r="A2704" s="36" t="s">
        <v>7247</v>
      </c>
      <c r="B2704" t="s">
        <v>84</v>
      </c>
    </row>
    <row r="2705" spans="1:2" x14ac:dyDescent="0.2">
      <c r="A2705" s="36" t="s">
        <v>7195</v>
      </c>
      <c r="B2705" t="s">
        <v>87</v>
      </c>
    </row>
    <row r="2706" spans="1:2" x14ac:dyDescent="0.2">
      <c r="A2706" s="36" t="s">
        <v>7193</v>
      </c>
      <c r="B2706" t="s">
        <v>84</v>
      </c>
    </row>
    <row r="2707" spans="1:2" x14ac:dyDescent="0.2">
      <c r="A2707" s="36" t="s">
        <v>7222</v>
      </c>
      <c r="B2707" t="s">
        <v>87</v>
      </c>
    </row>
    <row r="2708" spans="1:2" x14ac:dyDescent="0.2">
      <c r="A2708" s="36" t="s">
        <v>7226</v>
      </c>
      <c r="B2708" t="s">
        <v>84</v>
      </c>
    </row>
    <row r="2709" spans="1:2" x14ac:dyDescent="0.2">
      <c r="A2709" s="36" t="s">
        <v>7211</v>
      </c>
      <c r="B2709" t="s">
        <v>87</v>
      </c>
    </row>
    <row r="2710" spans="1:2" x14ac:dyDescent="0.2">
      <c r="A2710" s="36" t="s">
        <v>7200</v>
      </c>
      <c r="B2710" t="s">
        <v>84</v>
      </c>
    </row>
    <row r="2711" spans="1:2" x14ac:dyDescent="0.2">
      <c r="A2711" s="36" t="s">
        <v>7178</v>
      </c>
      <c r="B2711" t="s">
        <v>87</v>
      </c>
    </row>
    <row r="2712" spans="1:2" x14ac:dyDescent="0.2">
      <c r="A2712" s="36" t="s">
        <v>7264</v>
      </c>
      <c r="B2712" t="s">
        <v>84</v>
      </c>
    </row>
    <row r="2713" spans="1:2" x14ac:dyDescent="0.2">
      <c r="A2713" s="36" t="s">
        <v>7189</v>
      </c>
      <c r="B2713" t="s">
        <v>87</v>
      </c>
    </row>
    <row r="2714" spans="1:2" x14ac:dyDescent="0.2">
      <c r="A2714" s="36" t="s">
        <v>7244</v>
      </c>
      <c r="B2714" t="s">
        <v>84</v>
      </c>
    </row>
    <row r="2715" spans="1:2" x14ac:dyDescent="0.2">
      <c r="A2715" s="36" t="s">
        <v>7196</v>
      </c>
      <c r="B2715" t="s">
        <v>87</v>
      </c>
    </row>
    <row r="2716" spans="1:2" x14ac:dyDescent="0.2">
      <c r="A2716" s="36" t="s">
        <v>7177</v>
      </c>
      <c r="B2716" t="s">
        <v>84</v>
      </c>
    </row>
    <row r="2717" spans="1:2" x14ac:dyDescent="0.2">
      <c r="A2717" s="36" t="s">
        <v>7190</v>
      </c>
      <c r="B2717" t="s">
        <v>87</v>
      </c>
    </row>
    <row r="2718" spans="1:2" x14ac:dyDescent="0.2">
      <c r="A2718" s="36" t="s">
        <v>7261</v>
      </c>
      <c r="B2718" t="s">
        <v>84</v>
      </c>
    </row>
    <row r="2719" spans="1:2" x14ac:dyDescent="0.2">
      <c r="A2719" s="36" t="s">
        <v>7198</v>
      </c>
      <c r="B2719" t="s">
        <v>87</v>
      </c>
    </row>
    <row r="2720" spans="1:2" x14ac:dyDescent="0.2">
      <c r="A2720" s="36" t="s">
        <v>7187</v>
      </c>
      <c r="B2720" t="s">
        <v>84</v>
      </c>
    </row>
    <row r="2721" spans="1:2" x14ac:dyDescent="0.2">
      <c r="A2721" s="36" t="s">
        <v>7263</v>
      </c>
      <c r="B2721" t="s">
        <v>87</v>
      </c>
    </row>
    <row r="2722" spans="1:2" x14ac:dyDescent="0.2">
      <c r="A2722" s="36" t="s">
        <v>7176</v>
      </c>
      <c r="B2722" t="s">
        <v>84</v>
      </c>
    </row>
    <row r="2723" spans="1:2" x14ac:dyDescent="0.2">
      <c r="A2723" s="36" t="s">
        <v>7212</v>
      </c>
      <c r="B2723" t="s">
        <v>87</v>
      </c>
    </row>
    <row r="2724" spans="1:2" x14ac:dyDescent="0.2">
      <c r="A2724" s="36" t="s">
        <v>7221</v>
      </c>
      <c r="B2724" t="s">
        <v>84</v>
      </c>
    </row>
    <row r="2725" spans="1:2" x14ac:dyDescent="0.2">
      <c r="A2725" s="36" t="s">
        <v>7185</v>
      </c>
      <c r="B2725" t="s">
        <v>87</v>
      </c>
    </row>
    <row r="2726" spans="1:2" x14ac:dyDescent="0.2">
      <c r="A2726" s="36" t="s">
        <v>7225</v>
      </c>
      <c r="B2726" t="s">
        <v>84</v>
      </c>
    </row>
    <row r="2727" spans="1:2" x14ac:dyDescent="0.2">
      <c r="A2727" s="36" t="s">
        <v>7210</v>
      </c>
      <c r="B2727" t="s">
        <v>87</v>
      </c>
    </row>
    <row r="2728" spans="1:2" x14ac:dyDescent="0.2">
      <c r="A2728" s="36" t="s">
        <v>7219</v>
      </c>
      <c r="B2728" t="s">
        <v>84</v>
      </c>
    </row>
    <row r="2729" spans="1:2" x14ac:dyDescent="0.2">
      <c r="A2729" s="36" t="s">
        <v>7213</v>
      </c>
      <c r="B2729" t="s">
        <v>87</v>
      </c>
    </row>
    <row r="2730" spans="1:2" x14ac:dyDescent="0.2">
      <c r="A2730" s="36" t="s">
        <v>7199</v>
      </c>
      <c r="B2730" t="s">
        <v>84</v>
      </c>
    </row>
    <row r="2731" spans="1:2" x14ac:dyDescent="0.2">
      <c r="A2731" s="36" t="s">
        <v>7204</v>
      </c>
      <c r="B2731" t="s">
        <v>87</v>
      </c>
    </row>
    <row r="2732" spans="1:2" x14ac:dyDescent="0.2">
      <c r="A2732" s="36" t="s">
        <v>7182</v>
      </c>
      <c r="B2732" t="s">
        <v>84</v>
      </c>
    </row>
    <row r="2733" spans="1:2" x14ac:dyDescent="0.2">
      <c r="A2733" s="36" t="s">
        <v>7215</v>
      </c>
      <c r="B2733" t="s">
        <v>87</v>
      </c>
    </row>
    <row r="2734" spans="1:2" x14ac:dyDescent="0.2">
      <c r="A2734" s="36" t="s">
        <v>7186</v>
      </c>
      <c r="B2734" t="s">
        <v>84</v>
      </c>
    </row>
    <row r="2735" spans="1:2" x14ac:dyDescent="0.2">
      <c r="A2735" s="36" t="s">
        <v>7214</v>
      </c>
      <c r="B2735" t="s">
        <v>87</v>
      </c>
    </row>
    <row r="2736" spans="1:2" x14ac:dyDescent="0.2">
      <c r="A2736" s="36" t="s">
        <v>7220</v>
      </c>
      <c r="B2736" t="s">
        <v>84</v>
      </c>
    </row>
    <row r="2737" spans="1:2" x14ac:dyDescent="0.2">
      <c r="A2737" s="36" t="s">
        <v>7218</v>
      </c>
      <c r="B2737" t="s">
        <v>87</v>
      </c>
    </row>
    <row r="2738" spans="1:2" x14ac:dyDescent="0.2">
      <c r="A2738" s="36" t="s">
        <v>7259</v>
      </c>
      <c r="B2738" t="s">
        <v>84</v>
      </c>
    </row>
    <row r="2739" spans="1:2" x14ac:dyDescent="0.2">
      <c r="A2739" s="36" t="s">
        <v>7243</v>
      </c>
      <c r="B2739" t="s">
        <v>87</v>
      </c>
    </row>
    <row r="2740" spans="1:2" x14ac:dyDescent="0.2">
      <c r="A2740" s="36" t="s">
        <v>7256</v>
      </c>
      <c r="B2740" t="s">
        <v>84</v>
      </c>
    </row>
    <row r="2741" spans="1:2" x14ac:dyDescent="0.2">
      <c r="A2741" s="36" t="s">
        <v>7206</v>
      </c>
      <c r="B2741" t="s">
        <v>87</v>
      </c>
    </row>
    <row r="2742" spans="1:2" x14ac:dyDescent="0.2">
      <c r="A2742" s="36" t="s">
        <v>7245</v>
      </c>
      <c r="B2742" t="s">
        <v>84</v>
      </c>
    </row>
    <row r="2743" spans="1:2" x14ac:dyDescent="0.2">
      <c r="A2743" s="36" t="s">
        <v>7249</v>
      </c>
      <c r="B2743" t="s">
        <v>87</v>
      </c>
    </row>
    <row r="2744" spans="1:2" x14ac:dyDescent="0.2">
      <c r="A2744" s="36" t="s">
        <v>7223</v>
      </c>
      <c r="B2744" t="s">
        <v>84</v>
      </c>
    </row>
    <row r="2745" spans="1:2" x14ac:dyDescent="0.2">
      <c r="A2745" s="36" t="s">
        <v>7197</v>
      </c>
      <c r="B2745" t="s">
        <v>87</v>
      </c>
    </row>
    <row r="2746" spans="1:2" x14ac:dyDescent="0.2">
      <c r="A2746" s="36" t="s">
        <v>7227</v>
      </c>
      <c r="B2746" t="s">
        <v>87</v>
      </c>
    </row>
    <row r="2747" spans="1:2" x14ac:dyDescent="0.2">
      <c r="A2747" s="36" t="s">
        <v>7262</v>
      </c>
      <c r="B2747" t="s">
        <v>84</v>
      </c>
    </row>
    <row r="2748" spans="1:2" x14ac:dyDescent="0.2">
      <c r="A2748" s="36" t="s">
        <v>7241</v>
      </c>
      <c r="B2748" t="s">
        <v>87</v>
      </c>
    </row>
    <row r="2749" spans="1:2" x14ac:dyDescent="0.2">
      <c r="A2749" s="36" t="s">
        <v>7260</v>
      </c>
      <c r="B2749" t="s">
        <v>84</v>
      </c>
    </row>
    <row r="2750" spans="1:2" x14ac:dyDescent="0.2">
      <c r="A2750" s="36" t="s">
        <v>7205</v>
      </c>
      <c r="B2750" t="s">
        <v>87</v>
      </c>
    </row>
    <row r="2751" spans="1:2" x14ac:dyDescent="0.2">
      <c r="A2751" s="36" t="s">
        <v>7202</v>
      </c>
      <c r="B2751" t="s">
        <v>84</v>
      </c>
    </row>
    <row r="2752" spans="1:2" x14ac:dyDescent="0.2">
      <c r="A2752" s="36" t="s">
        <v>7248</v>
      </c>
      <c r="B2752" t="s">
        <v>87</v>
      </c>
    </row>
    <row r="2753" spans="1:2" x14ac:dyDescent="0.2">
      <c r="A2753" s="36" t="s">
        <v>7252</v>
      </c>
      <c r="B2753" t="s">
        <v>84</v>
      </c>
    </row>
    <row r="2754" spans="1:2" x14ac:dyDescent="0.2">
      <c r="A2754" s="36" t="s">
        <v>7255</v>
      </c>
      <c r="B2754" t="s">
        <v>87</v>
      </c>
    </row>
    <row r="2755" spans="1:2" x14ac:dyDescent="0.2">
      <c r="A2755" s="36" t="s">
        <v>7258</v>
      </c>
      <c r="B2755" t="s">
        <v>84</v>
      </c>
    </row>
    <row r="2756" spans="1:2" x14ac:dyDescent="0.2">
      <c r="A2756" s="36" t="s">
        <v>7253</v>
      </c>
      <c r="B2756" t="s">
        <v>87</v>
      </c>
    </row>
    <row r="2757" spans="1:2" x14ac:dyDescent="0.2">
      <c r="A2757" s="36" t="s">
        <v>7254</v>
      </c>
      <c r="B2757" t="s">
        <v>84</v>
      </c>
    </row>
    <row r="2758" spans="1:2" x14ac:dyDescent="0.2">
      <c r="A2758" s="36" t="s">
        <v>7251</v>
      </c>
      <c r="B2758" t="s">
        <v>87</v>
      </c>
    </row>
    <row r="2759" spans="1:2" x14ac:dyDescent="0.2">
      <c r="A2759" s="36" t="s">
        <v>7179</v>
      </c>
      <c r="B2759" t="s">
        <v>84</v>
      </c>
    </row>
    <row r="2760" spans="1:2" x14ac:dyDescent="0.2">
      <c r="A2760" s="36" t="s">
        <v>7180</v>
      </c>
      <c r="B2760" t="s">
        <v>87</v>
      </c>
    </row>
    <row r="2761" spans="1:2" x14ac:dyDescent="0.2">
      <c r="A2761" s="36" t="s">
        <v>7181</v>
      </c>
      <c r="B2761" t="s">
        <v>84</v>
      </c>
    </row>
    <row r="2762" spans="1:2" x14ac:dyDescent="0.2">
      <c r="A2762" s="36" t="s">
        <v>7238</v>
      </c>
      <c r="B2762" t="s">
        <v>87</v>
      </c>
    </row>
    <row r="2763" spans="1:2" x14ac:dyDescent="0.2">
      <c r="A2763" s="36" t="s">
        <v>7191</v>
      </c>
      <c r="B2763" t="s">
        <v>84</v>
      </c>
    </row>
    <row r="2764" spans="1:2" x14ac:dyDescent="0.2">
      <c r="A2764" s="36" t="s">
        <v>7201</v>
      </c>
      <c r="B2764" t="s">
        <v>87</v>
      </c>
    </row>
    <row r="2765" spans="1:2" x14ac:dyDescent="0.2">
      <c r="A2765" s="36" t="s">
        <v>7230</v>
      </c>
      <c r="B2765" t="s">
        <v>84</v>
      </c>
    </row>
    <row r="2766" spans="1:2" x14ac:dyDescent="0.2">
      <c r="A2766" s="36" t="s">
        <v>7209</v>
      </c>
      <c r="B2766" t="s">
        <v>87</v>
      </c>
    </row>
    <row r="2767" spans="1:2" x14ac:dyDescent="0.2">
      <c r="A2767" s="36" t="s">
        <v>7246</v>
      </c>
      <c r="B2767" t="s">
        <v>84</v>
      </c>
    </row>
    <row r="2768" spans="1:2" x14ac:dyDescent="0.2">
      <c r="A2768" s="36" t="s">
        <v>7194</v>
      </c>
      <c r="B2768" t="s">
        <v>87</v>
      </c>
    </row>
    <row r="2769" spans="1:2" x14ac:dyDescent="0.2">
      <c r="A2769" s="36" t="s">
        <v>7216</v>
      </c>
      <c r="B2769" t="s">
        <v>84</v>
      </c>
    </row>
    <row r="2770" spans="1:2" x14ac:dyDescent="0.2">
      <c r="A2770" s="36" t="s">
        <v>7208</v>
      </c>
      <c r="B2770" t="s">
        <v>87</v>
      </c>
    </row>
    <row r="2771" spans="1:2" x14ac:dyDescent="0.2">
      <c r="A2771" s="36" t="s">
        <v>7250</v>
      </c>
      <c r="B2771" t="s">
        <v>84</v>
      </c>
    </row>
    <row r="2772" spans="1:2" x14ac:dyDescent="0.2">
      <c r="A2772" s="36" t="s">
        <v>7235</v>
      </c>
      <c r="B2772" t="s">
        <v>87</v>
      </c>
    </row>
    <row r="2773" spans="1:2" x14ac:dyDescent="0.2">
      <c r="A2773" s="36" t="s">
        <v>7233</v>
      </c>
      <c r="B2773" t="s">
        <v>84</v>
      </c>
    </row>
    <row r="2774" spans="1:2" x14ac:dyDescent="0.2">
      <c r="A2774" s="36" t="s">
        <v>7192</v>
      </c>
      <c r="B2774" t="s">
        <v>87</v>
      </c>
    </row>
    <row r="2775" spans="1:2" x14ac:dyDescent="0.2">
      <c r="A2775" s="36" t="s">
        <v>7229</v>
      </c>
      <c r="B2775" t="s">
        <v>84</v>
      </c>
    </row>
    <row r="2776" spans="1:2" x14ac:dyDescent="0.2">
      <c r="A2776" s="36" t="s">
        <v>7234</v>
      </c>
      <c r="B2776" t="s">
        <v>87</v>
      </c>
    </row>
    <row r="2777" spans="1:2" x14ac:dyDescent="0.2">
      <c r="A2777" s="36" t="s">
        <v>7203</v>
      </c>
      <c r="B2777" t="s">
        <v>84</v>
      </c>
    </row>
    <row r="2778" spans="1:2" x14ac:dyDescent="0.2">
      <c r="A2778" s="36" t="s">
        <v>7217</v>
      </c>
      <c r="B2778" t="s">
        <v>87</v>
      </c>
    </row>
    <row r="2779" spans="1:2" x14ac:dyDescent="0.2">
      <c r="A2779" s="36" t="s">
        <v>7265</v>
      </c>
      <c r="B2779" t="s">
        <v>91</v>
      </c>
    </row>
    <row r="2780" spans="1:2" x14ac:dyDescent="0.2">
      <c r="A2780" s="36" t="s">
        <v>7266</v>
      </c>
      <c r="B2780" t="s">
        <v>103</v>
      </c>
    </row>
    <row r="2781" spans="1:2" x14ac:dyDescent="0.2">
      <c r="A2781" s="36" t="s">
        <v>7267</v>
      </c>
      <c r="B2781" t="s">
        <v>91</v>
      </c>
    </row>
    <row r="2782" spans="1:2" x14ac:dyDescent="0.2">
      <c r="A2782" s="36" t="s">
        <v>7269</v>
      </c>
      <c r="B2782" t="s">
        <v>93</v>
      </c>
    </row>
    <row r="2783" spans="1:2" x14ac:dyDescent="0.2">
      <c r="A2783" s="36" t="s">
        <v>7270</v>
      </c>
      <c r="B2783" t="s">
        <v>99</v>
      </c>
    </row>
    <row r="2784" spans="1:2" x14ac:dyDescent="0.2">
      <c r="A2784" s="36" t="s">
        <v>7268</v>
      </c>
      <c r="B2784" t="s">
        <v>89</v>
      </c>
    </row>
    <row r="2785" spans="1:2" x14ac:dyDescent="0.2">
      <c r="A2785" s="36" t="s">
        <v>7271</v>
      </c>
      <c r="B2785" t="s">
        <v>96</v>
      </c>
    </row>
    <row r="2786" spans="1:2" x14ac:dyDescent="0.2">
      <c r="A2786" s="36" t="s">
        <v>7273</v>
      </c>
      <c r="B2786" t="s">
        <v>104</v>
      </c>
    </row>
    <row r="2787" spans="1:2" x14ac:dyDescent="0.2">
      <c r="A2787" s="36" t="s">
        <v>7277</v>
      </c>
      <c r="B2787" t="s">
        <v>100</v>
      </c>
    </row>
    <row r="2788" spans="1:2" x14ac:dyDescent="0.2">
      <c r="A2788" s="36" t="s">
        <v>7275</v>
      </c>
      <c r="B2788" t="s">
        <v>90</v>
      </c>
    </row>
    <row r="2789" spans="1:2" x14ac:dyDescent="0.2">
      <c r="A2789" s="36" t="s">
        <v>7279</v>
      </c>
      <c r="B2789" t="s">
        <v>93</v>
      </c>
    </row>
    <row r="2790" spans="1:2" x14ac:dyDescent="0.2">
      <c r="A2790" s="36" t="s">
        <v>7272</v>
      </c>
      <c r="B2790" t="s">
        <v>94</v>
      </c>
    </row>
    <row r="2791" spans="1:2" x14ac:dyDescent="0.2">
      <c r="A2791" s="36" t="s">
        <v>7276</v>
      </c>
      <c r="B2791" t="s">
        <v>93</v>
      </c>
    </row>
    <row r="2792" spans="1:2" x14ac:dyDescent="0.2">
      <c r="A2792" s="36" t="s">
        <v>7278</v>
      </c>
      <c r="B2792" t="s">
        <v>104</v>
      </c>
    </row>
    <row r="2793" spans="1:2" x14ac:dyDescent="0.2">
      <c r="A2793" s="36" t="s">
        <v>7274</v>
      </c>
      <c r="B2793" t="s">
        <v>100</v>
      </c>
    </row>
    <row r="2794" spans="1:2" x14ac:dyDescent="0.2">
      <c r="A2794" s="36" t="s">
        <v>7296</v>
      </c>
      <c r="B2794" t="s">
        <v>97</v>
      </c>
    </row>
    <row r="2795" spans="1:2" x14ac:dyDescent="0.2">
      <c r="A2795" s="36" t="s">
        <v>7295</v>
      </c>
      <c r="B2795" t="s">
        <v>101</v>
      </c>
    </row>
    <row r="2796" spans="1:2" x14ac:dyDescent="0.2">
      <c r="A2796" s="36" t="s">
        <v>7288</v>
      </c>
      <c r="B2796" t="s">
        <v>88</v>
      </c>
    </row>
    <row r="2797" spans="1:2" x14ac:dyDescent="0.2">
      <c r="A2797" s="36" t="s">
        <v>7294</v>
      </c>
      <c r="B2797" t="s">
        <v>92</v>
      </c>
    </row>
    <row r="2798" spans="1:2" x14ac:dyDescent="0.2">
      <c r="A2798" s="36" t="s">
        <v>7328</v>
      </c>
      <c r="B2798" t="s">
        <v>99</v>
      </c>
    </row>
    <row r="2799" spans="1:2" x14ac:dyDescent="0.2">
      <c r="A2799" s="36" t="s">
        <v>7292</v>
      </c>
      <c r="B2799" t="s">
        <v>89</v>
      </c>
    </row>
    <row r="2800" spans="1:2" x14ac:dyDescent="0.2">
      <c r="A2800" s="36" t="s">
        <v>7284</v>
      </c>
      <c r="B2800" t="s">
        <v>98</v>
      </c>
    </row>
    <row r="2801" spans="1:2" x14ac:dyDescent="0.2">
      <c r="A2801" s="36" t="s">
        <v>7291</v>
      </c>
      <c r="B2801" t="s">
        <v>95</v>
      </c>
    </row>
    <row r="2802" spans="1:2" x14ac:dyDescent="0.2">
      <c r="A2802" s="36" t="s">
        <v>7287</v>
      </c>
      <c r="B2802" t="s">
        <v>97</v>
      </c>
    </row>
    <row r="2803" spans="1:2" x14ac:dyDescent="0.2">
      <c r="A2803" s="36" t="s">
        <v>7302</v>
      </c>
      <c r="B2803" t="s">
        <v>101</v>
      </c>
    </row>
    <row r="2804" spans="1:2" x14ac:dyDescent="0.2">
      <c r="A2804" s="36" t="s">
        <v>7327</v>
      </c>
      <c r="B2804" t="s">
        <v>88</v>
      </c>
    </row>
    <row r="2805" spans="1:2" x14ac:dyDescent="0.2">
      <c r="A2805" s="36" t="s">
        <v>7293</v>
      </c>
      <c r="B2805" t="s">
        <v>92</v>
      </c>
    </row>
    <row r="2806" spans="1:2" x14ac:dyDescent="0.2">
      <c r="A2806" s="36" t="s">
        <v>7297</v>
      </c>
      <c r="B2806" t="s">
        <v>99</v>
      </c>
    </row>
    <row r="2807" spans="1:2" x14ac:dyDescent="0.2">
      <c r="A2807" s="36" t="s">
        <v>7298</v>
      </c>
      <c r="B2807" t="s">
        <v>89</v>
      </c>
    </row>
    <row r="2808" spans="1:2" x14ac:dyDescent="0.2">
      <c r="A2808" s="36" t="s">
        <v>7300</v>
      </c>
      <c r="B2808" t="s">
        <v>98</v>
      </c>
    </row>
    <row r="2809" spans="1:2" x14ac:dyDescent="0.2">
      <c r="A2809" s="36" t="s">
        <v>7283</v>
      </c>
      <c r="B2809" t="s">
        <v>95</v>
      </c>
    </row>
    <row r="2810" spans="1:2" x14ac:dyDescent="0.2">
      <c r="A2810" s="36" t="s">
        <v>7303</v>
      </c>
      <c r="B2810" t="s">
        <v>97</v>
      </c>
    </row>
    <row r="2811" spans="1:2" x14ac:dyDescent="0.2">
      <c r="A2811" s="36" t="s">
        <v>7324</v>
      </c>
      <c r="B2811" t="s">
        <v>101</v>
      </c>
    </row>
    <row r="2812" spans="1:2" x14ac:dyDescent="0.2">
      <c r="A2812" s="36" t="s">
        <v>7311</v>
      </c>
      <c r="B2812" t="s">
        <v>88</v>
      </c>
    </row>
    <row r="2813" spans="1:2" x14ac:dyDescent="0.2">
      <c r="A2813" s="36" t="s">
        <v>7329</v>
      </c>
      <c r="B2813" t="s">
        <v>92</v>
      </c>
    </row>
    <row r="2814" spans="1:2" x14ac:dyDescent="0.2">
      <c r="A2814" s="36" t="s">
        <v>7309</v>
      </c>
      <c r="B2814" t="s">
        <v>99</v>
      </c>
    </row>
    <row r="2815" spans="1:2" x14ac:dyDescent="0.2">
      <c r="A2815" s="36" t="s">
        <v>7310</v>
      </c>
      <c r="B2815" t="s">
        <v>89</v>
      </c>
    </row>
    <row r="2816" spans="1:2" x14ac:dyDescent="0.2">
      <c r="A2816" s="36" t="s">
        <v>7282</v>
      </c>
      <c r="B2816" t="s">
        <v>98</v>
      </c>
    </row>
    <row r="2817" spans="1:2" x14ac:dyDescent="0.2">
      <c r="A2817" s="36" t="s">
        <v>7304</v>
      </c>
      <c r="B2817" t="s">
        <v>95</v>
      </c>
    </row>
    <row r="2818" spans="1:2" x14ac:dyDescent="0.2">
      <c r="A2818" s="36" t="s">
        <v>7290</v>
      </c>
      <c r="B2818" t="s">
        <v>97</v>
      </c>
    </row>
    <row r="2819" spans="1:2" x14ac:dyDescent="0.2">
      <c r="A2819" s="36" t="s">
        <v>7280</v>
      </c>
      <c r="B2819" t="s">
        <v>101</v>
      </c>
    </row>
    <row r="2820" spans="1:2" x14ac:dyDescent="0.2">
      <c r="A2820" s="36" t="s">
        <v>7307</v>
      </c>
      <c r="B2820" t="s">
        <v>88</v>
      </c>
    </row>
    <row r="2821" spans="1:2" x14ac:dyDescent="0.2">
      <c r="A2821" s="36" t="s">
        <v>7316</v>
      </c>
      <c r="B2821" t="s">
        <v>101</v>
      </c>
    </row>
    <row r="2822" spans="1:2" x14ac:dyDescent="0.2">
      <c r="A2822" s="36" t="s">
        <v>7318</v>
      </c>
      <c r="B2822" t="s">
        <v>92</v>
      </c>
    </row>
    <row r="2823" spans="1:2" x14ac:dyDescent="0.2">
      <c r="A2823" s="36" t="s">
        <v>7306</v>
      </c>
      <c r="B2823" t="s">
        <v>99</v>
      </c>
    </row>
    <row r="2824" spans="1:2" x14ac:dyDescent="0.2">
      <c r="A2824" s="36" t="s">
        <v>7326</v>
      </c>
      <c r="B2824" t="s">
        <v>89</v>
      </c>
    </row>
    <row r="2825" spans="1:2" x14ac:dyDescent="0.2">
      <c r="A2825" s="36" t="s">
        <v>7308</v>
      </c>
      <c r="B2825" t="s">
        <v>98</v>
      </c>
    </row>
    <row r="2826" spans="1:2" x14ac:dyDescent="0.2">
      <c r="A2826" s="36" t="s">
        <v>7305</v>
      </c>
      <c r="B2826" t="s">
        <v>95</v>
      </c>
    </row>
    <row r="2827" spans="1:2" x14ac:dyDescent="0.2">
      <c r="A2827" s="36" t="s">
        <v>7315</v>
      </c>
      <c r="B2827" t="s">
        <v>97</v>
      </c>
    </row>
    <row r="2828" spans="1:2" x14ac:dyDescent="0.2">
      <c r="A2828" s="36" t="s">
        <v>7313</v>
      </c>
      <c r="B2828" t="s">
        <v>88</v>
      </c>
    </row>
    <row r="2829" spans="1:2" x14ac:dyDescent="0.2">
      <c r="A2829" s="36" t="s">
        <v>7314</v>
      </c>
      <c r="B2829" t="s">
        <v>101</v>
      </c>
    </row>
    <row r="2830" spans="1:2" x14ac:dyDescent="0.2">
      <c r="A2830" s="36" t="s">
        <v>7317</v>
      </c>
      <c r="B2830" t="s">
        <v>92</v>
      </c>
    </row>
    <row r="2831" spans="1:2" x14ac:dyDescent="0.2">
      <c r="A2831" s="36" t="s">
        <v>7281</v>
      </c>
      <c r="B2831" t="s">
        <v>99</v>
      </c>
    </row>
    <row r="2832" spans="1:2" x14ac:dyDescent="0.2">
      <c r="A2832" s="36" t="s">
        <v>7312</v>
      </c>
      <c r="B2832" t="s">
        <v>89</v>
      </c>
    </row>
    <row r="2833" spans="1:2" x14ac:dyDescent="0.2">
      <c r="A2833" s="36" t="s">
        <v>7285</v>
      </c>
      <c r="B2833" t="s">
        <v>98</v>
      </c>
    </row>
    <row r="2834" spans="1:2" x14ac:dyDescent="0.2">
      <c r="A2834" s="36" t="s">
        <v>7286</v>
      </c>
      <c r="B2834" t="s">
        <v>95</v>
      </c>
    </row>
    <row r="2835" spans="1:2" x14ac:dyDescent="0.2">
      <c r="A2835" s="36" t="s">
        <v>7322</v>
      </c>
      <c r="B2835" t="s">
        <v>97</v>
      </c>
    </row>
    <row r="2836" spans="1:2" x14ac:dyDescent="0.2">
      <c r="A2836" s="36" t="s">
        <v>7301</v>
      </c>
      <c r="B2836" t="s">
        <v>88</v>
      </c>
    </row>
    <row r="2837" spans="1:2" x14ac:dyDescent="0.2">
      <c r="A2837" s="36" t="s">
        <v>7320</v>
      </c>
      <c r="B2837" t="s">
        <v>101</v>
      </c>
    </row>
    <row r="2838" spans="1:2" x14ac:dyDescent="0.2">
      <c r="A2838" s="36" t="s">
        <v>7319</v>
      </c>
      <c r="B2838" t="s">
        <v>92</v>
      </c>
    </row>
    <row r="2839" spans="1:2" x14ac:dyDescent="0.2">
      <c r="A2839" s="36" t="s">
        <v>7325</v>
      </c>
      <c r="B2839" t="s">
        <v>99</v>
      </c>
    </row>
    <row r="2840" spans="1:2" x14ac:dyDescent="0.2">
      <c r="A2840" s="36" t="s">
        <v>7333</v>
      </c>
      <c r="B2840" t="s">
        <v>89</v>
      </c>
    </row>
    <row r="2841" spans="1:2" x14ac:dyDescent="0.2">
      <c r="A2841" s="36" t="s">
        <v>7299</v>
      </c>
      <c r="B2841" t="s">
        <v>98</v>
      </c>
    </row>
    <row r="2842" spans="1:2" x14ac:dyDescent="0.2">
      <c r="A2842" s="36" t="s">
        <v>7323</v>
      </c>
      <c r="B2842" t="s">
        <v>95</v>
      </c>
    </row>
    <row r="2843" spans="1:2" x14ac:dyDescent="0.2">
      <c r="A2843" s="36" t="s">
        <v>7289</v>
      </c>
      <c r="B2843" t="s">
        <v>97</v>
      </c>
    </row>
    <row r="2844" spans="1:2" x14ac:dyDescent="0.2">
      <c r="A2844" s="36" t="s">
        <v>7331</v>
      </c>
      <c r="B2844" t="s">
        <v>88</v>
      </c>
    </row>
    <row r="2845" spans="1:2" x14ac:dyDescent="0.2">
      <c r="A2845" s="36" t="s">
        <v>7330</v>
      </c>
      <c r="B2845" t="s">
        <v>101</v>
      </c>
    </row>
    <row r="2846" spans="1:2" x14ac:dyDescent="0.2">
      <c r="A2846" s="36" t="s">
        <v>7332</v>
      </c>
      <c r="B2846" t="s">
        <v>92</v>
      </c>
    </row>
    <row r="2847" spans="1:2" x14ac:dyDescent="0.2">
      <c r="A2847" s="36" t="s">
        <v>7321</v>
      </c>
      <c r="B2847" t="s">
        <v>99</v>
      </c>
    </row>
    <row r="2848" spans="1:2" x14ac:dyDescent="0.2">
      <c r="A2848" s="36" t="s">
        <v>7350</v>
      </c>
      <c r="B2848" t="s">
        <v>96</v>
      </c>
    </row>
    <row r="2849" spans="1:2" x14ac:dyDescent="0.2">
      <c r="A2849" s="36" t="s">
        <v>7339</v>
      </c>
      <c r="B2849" t="s">
        <v>90</v>
      </c>
    </row>
    <row r="2850" spans="1:2" x14ac:dyDescent="0.2">
      <c r="A2850" s="36" t="s">
        <v>7367</v>
      </c>
      <c r="B2850" t="s">
        <v>94</v>
      </c>
    </row>
    <row r="2851" spans="1:2" x14ac:dyDescent="0.2">
      <c r="A2851" s="36" t="s">
        <v>7360</v>
      </c>
      <c r="B2851" t="s">
        <v>103</v>
      </c>
    </row>
    <row r="2852" spans="1:2" x14ac:dyDescent="0.2">
      <c r="A2852" s="36" t="s">
        <v>7368</v>
      </c>
      <c r="B2852" t="s">
        <v>96</v>
      </c>
    </row>
    <row r="2853" spans="1:2" x14ac:dyDescent="0.2">
      <c r="A2853" s="36" t="s">
        <v>7371</v>
      </c>
      <c r="B2853" t="s">
        <v>103</v>
      </c>
    </row>
    <row r="2854" spans="1:2" x14ac:dyDescent="0.2">
      <c r="A2854" s="36" t="s">
        <v>7354</v>
      </c>
      <c r="B2854" t="s">
        <v>90</v>
      </c>
    </row>
    <row r="2855" spans="1:2" x14ac:dyDescent="0.2">
      <c r="A2855" s="36" t="s">
        <v>7370</v>
      </c>
      <c r="B2855" t="s">
        <v>91</v>
      </c>
    </row>
    <row r="2856" spans="1:2" x14ac:dyDescent="0.2">
      <c r="A2856" s="36" t="s">
        <v>7381</v>
      </c>
      <c r="B2856" t="s">
        <v>94</v>
      </c>
    </row>
    <row r="2857" spans="1:2" x14ac:dyDescent="0.2">
      <c r="A2857" s="36" t="s">
        <v>7374</v>
      </c>
      <c r="B2857" t="s">
        <v>93</v>
      </c>
    </row>
    <row r="2858" spans="1:2" x14ac:dyDescent="0.2">
      <c r="A2858" s="36" t="s">
        <v>7351</v>
      </c>
      <c r="B2858" t="s">
        <v>104</v>
      </c>
    </row>
    <row r="2859" spans="1:2" x14ac:dyDescent="0.2">
      <c r="A2859" s="36" t="s">
        <v>7357</v>
      </c>
      <c r="B2859" t="s">
        <v>100</v>
      </c>
    </row>
    <row r="2860" spans="1:2" x14ac:dyDescent="0.2">
      <c r="A2860" s="36" t="s">
        <v>7366</v>
      </c>
      <c r="B2860" t="s">
        <v>96</v>
      </c>
    </row>
    <row r="2861" spans="1:2" x14ac:dyDescent="0.2">
      <c r="A2861" s="36" t="s">
        <v>7379</v>
      </c>
      <c r="B2861" t="s">
        <v>103</v>
      </c>
    </row>
    <row r="2862" spans="1:2" x14ac:dyDescent="0.2">
      <c r="A2862" s="36" t="s">
        <v>7378</v>
      </c>
      <c r="B2862" t="s">
        <v>90</v>
      </c>
    </row>
    <row r="2863" spans="1:2" x14ac:dyDescent="0.2">
      <c r="A2863" s="36" t="s">
        <v>7373</v>
      </c>
      <c r="B2863" t="s">
        <v>91</v>
      </c>
    </row>
    <row r="2864" spans="1:2" x14ac:dyDescent="0.2">
      <c r="A2864" s="36" t="s">
        <v>7376</v>
      </c>
      <c r="B2864" t="s">
        <v>94</v>
      </c>
    </row>
    <row r="2865" spans="1:2" x14ac:dyDescent="0.2">
      <c r="A2865" s="36" t="s">
        <v>7380</v>
      </c>
      <c r="B2865" t="s">
        <v>93</v>
      </c>
    </row>
    <row r="2866" spans="1:2" x14ac:dyDescent="0.2">
      <c r="A2866" s="36" t="s">
        <v>7372</v>
      </c>
      <c r="B2866" t="s">
        <v>104</v>
      </c>
    </row>
    <row r="2867" spans="1:2" x14ac:dyDescent="0.2">
      <c r="A2867" s="36" t="s">
        <v>7349</v>
      </c>
      <c r="B2867" t="s">
        <v>100</v>
      </c>
    </row>
    <row r="2868" spans="1:2" x14ac:dyDescent="0.2">
      <c r="A2868" s="36" t="s">
        <v>7355</v>
      </c>
      <c r="B2868" t="s">
        <v>96</v>
      </c>
    </row>
    <row r="2869" spans="1:2" x14ac:dyDescent="0.2">
      <c r="A2869" s="36" t="s">
        <v>7352</v>
      </c>
      <c r="B2869" t="s">
        <v>103</v>
      </c>
    </row>
    <row r="2870" spans="1:2" x14ac:dyDescent="0.2">
      <c r="A2870" s="36" t="s">
        <v>7375</v>
      </c>
      <c r="B2870" t="s">
        <v>90</v>
      </c>
    </row>
    <row r="2871" spans="1:2" x14ac:dyDescent="0.2">
      <c r="A2871" s="36" t="s">
        <v>7347</v>
      </c>
      <c r="B2871" t="s">
        <v>91</v>
      </c>
    </row>
    <row r="2872" spans="1:2" x14ac:dyDescent="0.2">
      <c r="A2872" s="36" t="s">
        <v>7345</v>
      </c>
      <c r="B2872" t="s">
        <v>94</v>
      </c>
    </row>
    <row r="2873" spans="1:2" x14ac:dyDescent="0.2">
      <c r="A2873" s="36" t="s">
        <v>7364</v>
      </c>
      <c r="B2873" t="s">
        <v>93</v>
      </c>
    </row>
    <row r="2874" spans="1:2" x14ac:dyDescent="0.2">
      <c r="A2874" s="36" t="s">
        <v>7344</v>
      </c>
      <c r="B2874" t="s">
        <v>104</v>
      </c>
    </row>
    <row r="2875" spans="1:2" x14ac:dyDescent="0.2">
      <c r="A2875" s="36" t="s">
        <v>7346</v>
      </c>
      <c r="B2875" t="s">
        <v>100</v>
      </c>
    </row>
    <row r="2876" spans="1:2" x14ac:dyDescent="0.2">
      <c r="A2876" s="36" t="s">
        <v>7335</v>
      </c>
      <c r="B2876" t="s">
        <v>96</v>
      </c>
    </row>
    <row r="2877" spans="1:2" x14ac:dyDescent="0.2">
      <c r="A2877" s="36" t="s">
        <v>7365</v>
      </c>
      <c r="B2877" t="s">
        <v>103</v>
      </c>
    </row>
    <row r="2878" spans="1:2" x14ac:dyDescent="0.2">
      <c r="A2878" s="36" t="s">
        <v>7343</v>
      </c>
      <c r="B2878" t="s">
        <v>90</v>
      </c>
    </row>
    <row r="2879" spans="1:2" x14ac:dyDescent="0.2">
      <c r="A2879" s="36" t="s">
        <v>7377</v>
      </c>
      <c r="B2879" t="s">
        <v>91</v>
      </c>
    </row>
    <row r="2880" spans="1:2" x14ac:dyDescent="0.2">
      <c r="A2880" s="36" t="s">
        <v>7342</v>
      </c>
      <c r="B2880" t="s">
        <v>94</v>
      </c>
    </row>
    <row r="2881" spans="1:2" x14ac:dyDescent="0.2">
      <c r="A2881" s="36" t="s">
        <v>7362</v>
      </c>
      <c r="B2881" t="s">
        <v>93</v>
      </c>
    </row>
    <row r="2882" spans="1:2" x14ac:dyDescent="0.2">
      <c r="A2882" s="36" t="s">
        <v>7356</v>
      </c>
      <c r="B2882" t="s">
        <v>104</v>
      </c>
    </row>
    <row r="2883" spans="1:2" x14ac:dyDescent="0.2">
      <c r="A2883" s="36" t="s">
        <v>7334</v>
      </c>
      <c r="B2883" t="s">
        <v>100</v>
      </c>
    </row>
    <row r="2884" spans="1:2" x14ac:dyDescent="0.2">
      <c r="A2884" s="36" t="s">
        <v>7358</v>
      </c>
      <c r="B2884" t="s">
        <v>96</v>
      </c>
    </row>
    <row r="2885" spans="1:2" x14ac:dyDescent="0.2">
      <c r="A2885" s="36" t="s">
        <v>7340</v>
      </c>
      <c r="B2885" t="s">
        <v>103</v>
      </c>
    </row>
    <row r="2886" spans="1:2" x14ac:dyDescent="0.2">
      <c r="A2886" s="36" t="s">
        <v>7341</v>
      </c>
      <c r="B2886" t="s">
        <v>90</v>
      </c>
    </row>
    <row r="2887" spans="1:2" x14ac:dyDescent="0.2">
      <c r="A2887" s="36" t="s">
        <v>7369</v>
      </c>
      <c r="B2887" t="s">
        <v>91</v>
      </c>
    </row>
    <row r="2888" spans="1:2" x14ac:dyDescent="0.2">
      <c r="A2888" s="36" t="s">
        <v>7336</v>
      </c>
      <c r="B2888" t="s">
        <v>94</v>
      </c>
    </row>
    <row r="2889" spans="1:2" x14ac:dyDescent="0.2">
      <c r="A2889" s="36" t="s">
        <v>7359</v>
      </c>
      <c r="B2889" t="s">
        <v>93</v>
      </c>
    </row>
    <row r="2890" spans="1:2" x14ac:dyDescent="0.2">
      <c r="A2890" s="36" t="s">
        <v>7353</v>
      </c>
      <c r="B2890" t="s">
        <v>104</v>
      </c>
    </row>
    <row r="2891" spans="1:2" x14ac:dyDescent="0.2">
      <c r="A2891" s="36" t="s">
        <v>7361</v>
      </c>
      <c r="B2891" t="s">
        <v>100</v>
      </c>
    </row>
    <row r="2892" spans="1:2" x14ac:dyDescent="0.2">
      <c r="A2892" s="36" t="s">
        <v>7348</v>
      </c>
      <c r="B2892" t="s">
        <v>96</v>
      </c>
    </row>
    <row r="2893" spans="1:2" x14ac:dyDescent="0.2">
      <c r="A2893" s="36" t="s">
        <v>7363</v>
      </c>
      <c r="B2893" t="s">
        <v>103</v>
      </c>
    </row>
    <row r="2894" spans="1:2" x14ac:dyDescent="0.2">
      <c r="A2894" s="36" t="s">
        <v>7337</v>
      </c>
      <c r="B2894" t="s">
        <v>90</v>
      </c>
    </row>
    <row r="2895" spans="1:2" x14ac:dyDescent="0.2">
      <c r="A2895" s="36" t="s">
        <v>7338</v>
      </c>
      <c r="B2895" t="s">
        <v>91</v>
      </c>
    </row>
    <row r="2896" spans="1:2" x14ac:dyDescent="0.2">
      <c r="A2896" s="36" t="s">
        <v>7392</v>
      </c>
      <c r="B2896" t="s">
        <v>94</v>
      </c>
    </row>
    <row r="2897" spans="1:2" x14ac:dyDescent="0.2">
      <c r="A2897" s="36" t="s">
        <v>7388</v>
      </c>
      <c r="B2897" t="s">
        <v>93</v>
      </c>
    </row>
    <row r="2898" spans="1:2" x14ac:dyDescent="0.2">
      <c r="A2898" s="36" t="s">
        <v>7382</v>
      </c>
      <c r="B2898" t="s">
        <v>104</v>
      </c>
    </row>
    <row r="2899" spans="1:2" x14ac:dyDescent="0.2">
      <c r="A2899" s="36" t="s">
        <v>7386</v>
      </c>
      <c r="B2899" t="s">
        <v>100</v>
      </c>
    </row>
    <row r="2900" spans="1:2" x14ac:dyDescent="0.2">
      <c r="A2900" s="36" t="s">
        <v>7385</v>
      </c>
      <c r="B2900" t="s">
        <v>89</v>
      </c>
    </row>
    <row r="2901" spans="1:2" x14ac:dyDescent="0.2">
      <c r="A2901" s="36" t="s">
        <v>7391</v>
      </c>
      <c r="B2901" t="s">
        <v>98</v>
      </c>
    </row>
    <row r="2902" spans="1:2" x14ac:dyDescent="0.2">
      <c r="A2902" s="36" t="s">
        <v>7384</v>
      </c>
      <c r="B2902" t="s">
        <v>95</v>
      </c>
    </row>
    <row r="2903" spans="1:2" x14ac:dyDescent="0.2">
      <c r="A2903" s="36" t="s">
        <v>7393</v>
      </c>
      <c r="B2903" t="s">
        <v>96</v>
      </c>
    </row>
    <row r="2904" spans="1:2" x14ac:dyDescent="0.2">
      <c r="A2904" s="36" t="s">
        <v>7383</v>
      </c>
      <c r="B2904" t="s">
        <v>103</v>
      </c>
    </row>
    <row r="2905" spans="1:2" x14ac:dyDescent="0.2">
      <c r="A2905" s="36" t="s">
        <v>7394</v>
      </c>
      <c r="B2905" t="s">
        <v>97</v>
      </c>
    </row>
    <row r="2906" spans="1:2" x14ac:dyDescent="0.2">
      <c r="A2906" s="36" t="s">
        <v>7389</v>
      </c>
      <c r="B2906" t="s">
        <v>90</v>
      </c>
    </row>
    <row r="2907" spans="1:2" x14ac:dyDescent="0.2">
      <c r="A2907" s="36" t="s">
        <v>7387</v>
      </c>
      <c r="B2907" t="s">
        <v>91</v>
      </c>
    </row>
    <row r="2908" spans="1:2" x14ac:dyDescent="0.2">
      <c r="A2908" s="36" t="s">
        <v>7390</v>
      </c>
      <c r="B2908" t="s">
        <v>88</v>
      </c>
    </row>
    <row r="2909" spans="1:2" x14ac:dyDescent="0.2">
      <c r="A2909" s="36" t="s">
        <v>7411</v>
      </c>
      <c r="B2909" t="s">
        <v>101</v>
      </c>
    </row>
    <row r="2910" spans="1:2" x14ac:dyDescent="0.2">
      <c r="A2910" s="36" t="s">
        <v>7401</v>
      </c>
      <c r="B2910" t="s">
        <v>92</v>
      </c>
    </row>
    <row r="2911" spans="1:2" x14ac:dyDescent="0.2">
      <c r="A2911" s="36" t="s">
        <v>7403</v>
      </c>
      <c r="B2911" t="s">
        <v>99</v>
      </c>
    </row>
    <row r="2912" spans="1:2" x14ac:dyDescent="0.2">
      <c r="A2912" s="36" t="s">
        <v>7416</v>
      </c>
      <c r="B2912" t="s">
        <v>94</v>
      </c>
    </row>
    <row r="2913" spans="1:2" x14ac:dyDescent="0.2">
      <c r="A2913" s="36" t="s">
        <v>7418</v>
      </c>
      <c r="B2913" t="s">
        <v>93</v>
      </c>
    </row>
    <row r="2914" spans="1:2" x14ac:dyDescent="0.2">
      <c r="A2914" s="36" t="s">
        <v>7410</v>
      </c>
      <c r="B2914" t="s">
        <v>104</v>
      </c>
    </row>
    <row r="2915" spans="1:2" x14ac:dyDescent="0.2">
      <c r="A2915" s="36" t="s">
        <v>7414</v>
      </c>
      <c r="B2915" t="s">
        <v>100</v>
      </c>
    </row>
    <row r="2916" spans="1:2" x14ac:dyDescent="0.2">
      <c r="A2916" s="36" t="s">
        <v>7404</v>
      </c>
      <c r="B2916" t="s">
        <v>101</v>
      </c>
    </row>
    <row r="2917" spans="1:2" x14ac:dyDescent="0.2">
      <c r="A2917" s="36" t="s">
        <v>7398</v>
      </c>
      <c r="B2917" t="s">
        <v>92</v>
      </c>
    </row>
    <row r="2918" spans="1:2" x14ac:dyDescent="0.2">
      <c r="A2918" s="36" t="s">
        <v>7409</v>
      </c>
      <c r="B2918" t="s">
        <v>99</v>
      </c>
    </row>
    <row r="2919" spans="1:2" x14ac:dyDescent="0.2">
      <c r="A2919" s="36" t="s">
        <v>7413</v>
      </c>
      <c r="B2919" t="s">
        <v>94</v>
      </c>
    </row>
    <row r="2920" spans="1:2" x14ac:dyDescent="0.2">
      <c r="A2920" s="36" t="s">
        <v>7417</v>
      </c>
      <c r="B2920" t="s">
        <v>93</v>
      </c>
    </row>
    <row r="2921" spans="1:2" x14ac:dyDescent="0.2">
      <c r="A2921" s="36" t="s">
        <v>7415</v>
      </c>
      <c r="B2921" t="s">
        <v>104</v>
      </c>
    </row>
    <row r="2922" spans="1:2" x14ac:dyDescent="0.2">
      <c r="A2922" s="36" t="s">
        <v>7406</v>
      </c>
      <c r="B2922" t="s">
        <v>100</v>
      </c>
    </row>
    <row r="2923" spans="1:2" x14ac:dyDescent="0.2">
      <c r="A2923" s="36" t="s">
        <v>7405</v>
      </c>
      <c r="B2923" t="s">
        <v>101</v>
      </c>
    </row>
    <row r="2924" spans="1:2" x14ac:dyDescent="0.2">
      <c r="A2924" s="36" t="s">
        <v>7399</v>
      </c>
      <c r="B2924" t="s">
        <v>92</v>
      </c>
    </row>
    <row r="2925" spans="1:2" x14ac:dyDescent="0.2">
      <c r="A2925" s="36" t="s">
        <v>7419</v>
      </c>
      <c r="B2925" t="s">
        <v>99</v>
      </c>
    </row>
    <row r="2926" spans="1:2" x14ac:dyDescent="0.2">
      <c r="A2926" s="36" t="s">
        <v>7397</v>
      </c>
      <c r="B2926" t="s">
        <v>94</v>
      </c>
    </row>
    <row r="2927" spans="1:2" x14ac:dyDescent="0.2">
      <c r="A2927" s="36" t="s">
        <v>7408</v>
      </c>
      <c r="B2927" t="s">
        <v>93</v>
      </c>
    </row>
    <row r="2928" spans="1:2" x14ac:dyDescent="0.2">
      <c r="A2928" s="36" t="s">
        <v>7402</v>
      </c>
      <c r="B2928" t="s">
        <v>104</v>
      </c>
    </row>
    <row r="2929" spans="1:2" x14ac:dyDescent="0.2">
      <c r="A2929" s="36" t="s">
        <v>7412</v>
      </c>
      <c r="B2929" t="s">
        <v>100</v>
      </c>
    </row>
    <row r="2930" spans="1:2" x14ac:dyDescent="0.2">
      <c r="A2930" s="36" t="s">
        <v>7400</v>
      </c>
      <c r="B2930" t="s">
        <v>101</v>
      </c>
    </row>
    <row r="2931" spans="1:2" x14ac:dyDescent="0.2">
      <c r="A2931" s="36" t="s">
        <v>7407</v>
      </c>
      <c r="B2931" t="s">
        <v>92</v>
      </c>
    </row>
    <row r="2932" spans="1:2" x14ac:dyDescent="0.2">
      <c r="A2932" s="36" t="s">
        <v>7396</v>
      </c>
      <c r="B2932" t="s">
        <v>99</v>
      </c>
    </row>
    <row r="2933" spans="1:2" x14ac:dyDescent="0.2">
      <c r="A2933" s="36" t="s">
        <v>7395</v>
      </c>
      <c r="B2933" t="s">
        <v>94</v>
      </c>
    </row>
    <row r="2934" spans="1:2" x14ac:dyDescent="0.2">
      <c r="A2934" s="36" t="s">
        <v>7434</v>
      </c>
      <c r="B2934" t="s">
        <v>89</v>
      </c>
    </row>
    <row r="2935" spans="1:2" x14ac:dyDescent="0.2">
      <c r="A2935" s="36" t="s">
        <v>7432</v>
      </c>
      <c r="B2935" t="s">
        <v>90</v>
      </c>
    </row>
    <row r="2936" spans="1:2" x14ac:dyDescent="0.2">
      <c r="A2936" s="36" t="s">
        <v>7445</v>
      </c>
      <c r="B2936" t="s">
        <v>98</v>
      </c>
    </row>
    <row r="2937" spans="1:2" x14ac:dyDescent="0.2">
      <c r="A2937" s="36" t="s">
        <v>7435</v>
      </c>
      <c r="B2937" t="s">
        <v>95</v>
      </c>
    </row>
    <row r="2938" spans="1:2" x14ac:dyDescent="0.2">
      <c r="A2938" s="36" t="s">
        <v>7440</v>
      </c>
      <c r="B2938" t="s">
        <v>96</v>
      </c>
    </row>
    <row r="2939" spans="1:2" x14ac:dyDescent="0.2">
      <c r="A2939" s="36" t="s">
        <v>7451</v>
      </c>
      <c r="B2939" t="s">
        <v>89</v>
      </c>
    </row>
    <row r="2940" spans="1:2" x14ac:dyDescent="0.2">
      <c r="A2940" s="36" t="s">
        <v>7431</v>
      </c>
      <c r="B2940" t="s">
        <v>90</v>
      </c>
    </row>
    <row r="2941" spans="1:2" x14ac:dyDescent="0.2">
      <c r="A2941" s="36" t="s">
        <v>7438</v>
      </c>
      <c r="B2941" t="s">
        <v>98</v>
      </c>
    </row>
    <row r="2942" spans="1:2" x14ac:dyDescent="0.2">
      <c r="A2942" s="36" t="s">
        <v>7426</v>
      </c>
      <c r="B2942" t="s">
        <v>95</v>
      </c>
    </row>
    <row r="2943" spans="1:2" x14ac:dyDescent="0.2">
      <c r="A2943" s="36" t="s">
        <v>7446</v>
      </c>
      <c r="B2943" t="s">
        <v>96</v>
      </c>
    </row>
    <row r="2944" spans="1:2" x14ac:dyDescent="0.2">
      <c r="A2944" s="36" t="s">
        <v>7425</v>
      </c>
      <c r="B2944" t="s">
        <v>89</v>
      </c>
    </row>
    <row r="2945" spans="1:2" x14ac:dyDescent="0.2">
      <c r="A2945" s="36" t="s">
        <v>7427</v>
      </c>
      <c r="B2945" t="s">
        <v>90</v>
      </c>
    </row>
    <row r="2946" spans="1:2" x14ac:dyDescent="0.2">
      <c r="A2946" s="36" t="s">
        <v>7422</v>
      </c>
      <c r="B2946" t="s">
        <v>98</v>
      </c>
    </row>
    <row r="2947" spans="1:2" x14ac:dyDescent="0.2">
      <c r="A2947" s="36" t="s">
        <v>7430</v>
      </c>
      <c r="B2947" t="s">
        <v>95</v>
      </c>
    </row>
    <row r="2948" spans="1:2" x14ac:dyDescent="0.2">
      <c r="A2948" s="36" t="s">
        <v>7439</v>
      </c>
      <c r="B2948" t="s">
        <v>96</v>
      </c>
    </row>
    <row r="2949" spans="1:2" x14ac:dyDescent="0.2">
      <c r="A2949" s="36" t="s">
        <v>7449</v>
      </c>
      <c r="B2949" t="s">
        <v>89</v>
      </c>
    </row>
    <row r="2950" spans="1:2" x14ac:dyDescent="0.2">
      <c r="A2950" s="36" t="s">
        <v>7424</v>
      </c>
      <c r="B2950" t="s">
        <v>90</v>
      </c>
    </row>
    <row r="2951" spans="1:2" x14ac:dyDescent="0.2">
      <c r="A2951" s="36" t="s">
        <v>7428</v>
      </c>
      <c r="B2951" t="s">
        <v>98</v>
      </c>
    </row>
    <row r="2952" spans="1:2" x14ac:dyDescent="0.2">
      <c r="A2952" s="36" t="s">
        <v>7444</v>
      </c>
      <c r="B2952" t="s">
        <v>95</v>
      </c>
    </row>
    <row r="2953" spans="1:2" x14ac:dyDescent="0.2">
      <c r="A2953" s="36" t="s">
        <v>7429</v>
      </c>
      <c r="B2953" t="s">
        <v>96</v>
      </c>
    </row>
    <row r="2954" spans="1:2" x14ac:dyDescent="0.2">
      <c r="A2954" s="36" t="s">
        <v>7423</v>
      </c>
      <c r="B2954" t="s">
        <v>89</v>
      </c>
    </row>
    <row r="2955" spans="1:2" x14ac:dyDescent="0.2">
      <c r="A2955" s="36" t="s">
        <v>7450</v>
      </c>
      <c r="B2955" t="s">
        <v>90</v>
      </c>
    </row>
    <row r="2956" spans="1:2" x14ac:dyDescent="0.2">
      <c r="A2956" s="36" t="s">
        <v>7437</v>
      </c>
      <c r="B2956" t="s">
        <v>98</v>
      </c>
    </row>
    <row r="2957" spans="1:2" x14ac:dyDescent="0.2">
      <c r="A2957" s="36" t="s">
        <v>7436</v>
      </c>
      <c r="B2957" t="s">
        <v>95</v>
      </c>
    </row>
    <row r="2958" spans="1:2" x14ac:dyDescent="0.2">
      <c r="A2958" s="36" t="s">
        <v>7447</v>
      </c>
      <c r="B2958" t="s">
        <v>96</v>
      </c>
    </row>
    <row r="2959" spans="1:2" x14ac:dyDescent="0.2">
      <c r="A2959" s="36" t="s">
        <v>7421</v>
      </c>
      <c r="B2959" t="s">
        <v>95</v>
      </c>
    </row>
    <row r="2960" spans="1:2" x14ac:dyDescent="0.2">
      <c r="A2960" s="36" t="s">
        <v>7420</v>
      </c>
      <c r="B2960" t="s">
        <v>90</v>
      </c>
    </row>
    <row r="2961" spans="1:2" x14ac:dyDescent="0.2">
      <c r="A2961" s="36" t="s">
        <v>7433</v>
      </c>
      <c r="B2961" t="s">
        <v>89</v>
      </c>
    </row>
    <row r="2962" spans="1:2" x14ac:dyDescent="0.2">
      <c r="A2962" s="36" t="s">
        <v>7443</v>
      </c>
      <c r="B2962" t="s">
        <v>98</v>
      </c>
    </row>
    <row r="2963" spans="1:2" x14ac:dyDescent="0.2">
      <c r="A2963" s="36" t="s">
        <v>7441</v>
      </c>
      <c r="B2963" t="s">
        <v>96</v>
      </c>
    </row>
    <row r="2964" spans="1:2" x14ac:dyDescent="0.2">
      <c r="A2964" s="36" t="s">
        <v>7448</v>
      </c>
      <c r="B2964" t="s">
        <v>95</v>
      </c>
    </row>
    <row r="2965" spans="1:2" x14ac:dyDescent="0.2">
      <c r="A2965" s="36" t="s">
        <v>7442</v>
      </c>
      <c r="B2965" t="s">
        <v>90</v>
      </c>
    </row>
    <row r="2966" spans="1:2" x14ac:dyDescent="0.2">
      <c r="A2966" s="36" t="s">
        <v>7459</v>
      </c>
      <c r="B2966" t="s">
        <v>103</v>
      </c>
    </row>
    <row r="2967" spans="1:2" x14ac:dyDescent="0.2">
      <c r="A2967" s="36" t="s">
        <v>7455</v>
      </c>
      <c r="B2967" t="s">
        <v>97</v>
      </c>
    </row>
    <row r="2968" spans="1:2" x14ac:dyDescent="0.2">
      <c r="A2968" s="36" t="s">
        <v>7454</v>
      </c>
      <c r="B2968" t="s">
        <v>91</v>
      </c>
    </row>
    <row r="2969" spans="1:2" x14ac:dyDescent="0.2">
      <c r="A2969" s="36" t="s">
        <v>7452</v>
      </c>
      <c r="B2969" t="s">
        <v>88</v>
      </c>
    </row>
    <row r="2970" spans="1:2" x14ac:dyDescent="0.2">
      <c r="A2970" s="36" t="s">
        <v>7458</v>
      </c>
      <c r="B2970" t="s">
        <v>103</v>
      </c>
    </row>
    <row r="2971" spans="1:2" x14ac:dyDescent="0.2">
      <c r="A2971" s="36" t="s">
        <v>7453</v>
      </c>
      <c r="B2971" t="s">
        <v>88</v>
      </c>
    </row>
    <row r="2972" spans="1:2" x14ac:dyDescent="0.2">
      <c r="A2972" s="36" t="s">
        <v>7457</v>
      </c>
      <c r="B2972" t="s">
        <v>97</v>
      </c>
    </row>
    <row r="2973" spans="1:2" x14ac:dyDescent="0.2">
      <c r="A2973" s="36" t="s">
        <v>7461</v>
      </c>
      <c r="B2973" t="s">
        <v>91</v>
      </c>
    </row>
    <row r="2974" spans="1:2" x14ac:dyDescent="0.2">
      <c r="A2974" s="36" t="s">
        <v>7456</v>
      </c>
      <c r="B2974" t="s">
        <v>103</v>
      </c>
    </row>
    <row r="2975" spans="1:2" x14ac:dyDescent="0.2">
      <c r="A2975" s="36" t="s">
        <v>7460</v>
      </c>
      <c r="B2975" t="s">
        <v>88</v>
      </c>
    </row>
    <row r="2976" spans="1:2" x14ac:dyDescent="0.2">
      <c r="A2976" s="36" t="s">
        <v>7466</v>
      </c>
      <c r="B2976" t="s">
        <v>97</v>
      </c>
    </row>
    <row r="2977" spans="1:2" x14ac:dyDescent="0.2">
      <c r="A2977" s="36" t="s">
        <v>7464</v>
      </c>
      <c r="B2977" t="s">
        <v>91</v>
      </c>
    </row>
    <row r="2978" spans="1:2" x14ac:dyDescent="0.2">
      <c r="A2978" s="36" t="s">
        <v>7463</v>
      </c>
      <c r="B2978" t="s">
        <v>89</v>
      </c>
    </row>
    <row r="2979" spans="1:2" x14ac:dyDescent="0.2">
      <c r="A2979" s="36" t="s">
        <v>7465</v>
      </c>
      <c r="B2979" t="s">
        <v>103</v>
      </c>
    </row>
    <row r="2980" spans="1:2" x14ac:dyDescent="0.2">
      <c r="A2980" s="36" t="s">
        <v>7462</v>
      </c>
      <c r="B2980" t="s">
        <v>98</v>
      </c>
    </row>
    <row r="2981" spans="1:2" x14ac:dyDescent="0.2">
      <c r="A2981" s="36" t="s">
        <v>7469</v>
      </c>
      <c r="B2981" t="s">
        <v>96</v>
      </c>
    </row>
    <row r="2982" spans="1:2" x14ac:dyDescent="0.2">
      <c r="A2982" s="36" t="s">
        <v>7470</v>
      </c>
      <c r="B2982" t="s">
        <v>95</v>
      </c>
    </row>
    <row r="2983" spans="1:2" x14ac:dyDescent="0.2">
      <c r="A2983" s="36" t="s">
        <v>7471</v>
      </c>
      <c r="B2983" t="s">
        <v>88</v>
      </c>
    </row>
    <row r="2984" spans="1:2" x14ac:dyDescent="0.2">
      <c r="A2984" s="36" t="s">
        <v>7467</v>
      </c>
      <c r="B2984" t="s">
        <v>90</v>
      </c>
    </row>
    <row r="2985" spans="1:2" x14ac:dyDescent="0.2">
      <c r="A2985" s="36" t="s">
        <v>7468</v>
      </c>
      <c r="B2985" t="s">
        <v>96</v>
      </c>
    </row>
    <row r="2986" spans="1:2" x14ac:dyDescent="0.2">
      <c r="A2986" s="36" t="s">
        <v>7473</v>
      </c>
      <c r="B2986" t="s">
        <v>97</v>
      </c>
    </row>
    <row r="2987" spans="1:2" x14ac:dyDescent="0.2">
      <c r="A2987" s="36" t="s">
        <v>7474</v>
      </c>
      <c r="B2987" t="s">
        <v>91</v>
      </c>
    </row>
    <row r="2988" spans="1:2" x14ac:dyDescent="0.2">
      <c r="A2988" s="36" t="s">
        <v>7472</v>
      </c>
      <c r="B2988" t="s">
        <v>89</v>
      </c>
    </row>
    <row r="2989" spans="1:2" x14ac:dyDescent="0.2">
      <c r="A2989" s="36" t="s">
        <v>7479</v>
      </c>
      <c r="B2989" t="s">
        <v>103</v>
      </c>
    </row>
    <row r="2990" spans="1:2" x14ac:dyDescent="0.2">
      <c r="A2990" s="36" t="s">
        <v>7475</v>
      </c>
      <c r="B2990" t="s">
        <v>98</v>
      </c>
    </row>
    <row r="2991" spans="1:2" x14ac:dyDescent="0.2">
      <c r="A2991" s="36" t="s">
        <v>7478</v>
      </c>
      <c r="B2991" t="s">
        <v>95</v>
      </c>
    </row>
    <row r="2992" spans="1:2" x14ac:dyDescent="0.2">
      <c r="A2992" s="36" t="s">
        <v>7476</v>
      </c>
      <c r="B2992" t="s">
        <v>88</v>
      </c>
    </row>
    <row r="2993" spans="1:2" x14ac:dyDescent="0.2">
      <c r="A2993" s="36" t="s">
        <v>7481</v>
      </c>
      <c r="B2993" t="s">
        <v>90</v>
      </c>
    </row>
    <row r="2994" spans="1:2" x14ac:dyDescent="0.2">
      <c r="A2994" s="36" t="s">
        <v>7480</v>
      </c>
      <c r="B2994" t="s">
        <v>96</v>
      </c>
    </row>
    <row r="2995" spans="1:2" x14ac:dyDescent="0.2">
      <c r="A2995" s="36" t="s">
        <v>7482</v>
      </c>
      <c r="B2995" t="s">
        <v>97</v>
      </c>
    </row>
    <row r="2996" spans="1:2" x14ac:dyDescent="0.2">
      <c r="A2996" s="36" t="s">
        <v>7477</v>
      </c>
      <c r="B2996" t="s">
        <v>95</v>
      </c>
    </row>
    <row r="2997" spans="1:2" x14ac:dyDescent="0.2">
      <c r="A2997" s="36" t="s">
        <v>7484</v>
      </c>
      <c r="B2997" t="s">
        <v>88</v>
      </c>
    </row>
    <row r="2998" spans="1:2" x14ac:dyDescent="0.2">
      <c r="A2998" s="36" t="s">
        <v>7487</v>
      </c>
      <c r="B2998" t="s">
        <v>91</v>
      </c>
    </row>
    <row r="2999" spans="1:2" x14ac:dyDescent="0.2">
      <c r="A2999" s="36" t="s">
        <v>7485</v>
      </c>
      <c r="B2999" t="s">
        <v>89</v>
      </c>
    </row>
    <row r="3000" spans="1:2" x14ac:dyDescent="0.2">
      <c r="A3000" s="36" t="s">
        <v>7486</v>
      </c>
      <c r="B3000" t="s">
        <v>88</v>
      </c>
    </row>
    <row r="3001" spans="1:2" x14ac:dyDescent="0.2">
      <c r="A3001" s="36" t="s">
        <v>7483</v>
      </c>
      <c r="B3001" t="s">
        <v>91</v>
      </c>
    </row>
    <row r="3002" spans="1:2" x14ac:dyDescent="0.2">
      <c r="A3002" s="36" t="s">
        <v>7490</v>
      </c>
      <c r="B3002" t="s">
        <v>103</v>
      </c>
    </row>
    <row r="3003" spans="1:2" x14ac:dyDescent="0.2">
      <c r="A3003" s="36" t="s">
        <v>7489</v>
      </c>
      <c r="B3003" t="s">
        <v>98</v>
      </c>
    </row>
    <row r="3004" spans="1:2" x14ac:dyDescent="0.2">
      <c r="A3004" s="36" t="s">
        <v>7491</v>
      </c>
      <c r="B3004" t="s">
        <v>90</v>
      </c>
    </row>
    <row r="3005" spans="1:2" x14ac:dyDescent="0.2">
      <c r="A3005" s="36" t="s">
        <v>7488</v>
      </c>
      <c r="B3005" t="s">
        <v>90</v>
      </c>
    </row>
    <row r="3006" spans="1:2" x14ac:dyDescent="0.2">
      <c r="A3006" s="36" t="s">
        <v>7492</v>
      </c>
      <c r="B3006" t="s">
        <v>96</v>
      </c>
    </row>
    <row r="3007" spans="1:2" x14ac:dyDescent="0.2">
      <c r="A3007" s="36" t="s">
        <v>7494</v>
      </c>
      <c r="B3007" t="s">
        <v>97</v>
      </c>
    </row>
    <row r="3008" spans="1:2" x14ac:dyDescent="0.2">
      <c r="A3008" s="36" t="s">
        <v>7497</v>
      </c>
      <c r="B3008" t="s">
        <v>95</v>
      </c>
    </row>
    <row r="3009" spans="1:2" x14ac:dyDescent="0.2">
      <c r="A3009" s="36" t="s">
        <v>7498</v>
      </c>
      <c r="B3009" t="s">
        <v>103</v>
      </c>
    </row>
    <row r="3010" spans="1:2" x14ac:dyDescent="0.2">
      <c r="A3010" s="36" t="s">
        <v>7495</v>
      </c>
      <c r="B3010" t="s">
        <v>103</v>
      </c>
    </row>
    <row r="3011" spans="1:2" x14ac:dyDescent="0.2">
      <c r="A3011" s="36" t="s">
        <v>7493</v>
      </c>
      <c r="B3011" t="s">
        <v>95</v>
      </c>
    </row>
    <row r="3012" spans="1:2" x14ac:dyDescent="0.2">
      <c r="A3012" s="36" t="s">
        <v>7496</v>
      </c>
      <c r="B3012" t="s">
        <v>97</v>
      </c>
    </row>
    <row r="3013" spans="1:2" x14ac:dyDescent="0.2">
      <c r="A3013" s="36" t="s">
        <v>7499</v>
      </c>
      <c r="B3013" t="s">
        <v>98</v>
      </c>
    </row>
    <row r="3014" spans="1:2" x14ac:dyDescent="0.2">
      <c r="A3014" s="36" t="s">
        <v>7500</v>
      </c>
      <c r="B3014" t="s">
        <v>96</v>
      </c>
    </row>
    <row r="3015" spans="1:2" x14ac:dyDescent="0.2">
      <c r="A3015" s="36" t="s">
        <v>7503</v>
      </c>
      <c r="B3015" t="s">
        <v>98</v>
      </c>
    </row>
    <row r="3016" spans="1:2" x14ac:dyDescent="0.2">
      <c r="A3016" s="36" t="s">
        <v>7502</v>
      </c>
      <c r="B3016" t="s">
        <v>90</v>
      </c>
    </row>
    <row r="3017" spans="1:2" x14ac:dyDescent="0.2">
      <c r="A3017" s="36" t="s">
        <v>7504</v>
      </c>
      <c r="B3017" t="s">
        <v>89</v>
      </c>
    </row>
    <row r="3018" spans="1:2" x14ac:dyDescent="0.2">
      <c r="A3018" s="36" t="s">
        <v>7506</v>
      </c>
      <c r="B3018" t="s">
        <v>91</v>
      </c>
    </row>
    <row r="3019" spans="1:2" x14ac:dyDescent="0.2">
      <c r="A3019" s="36" t="s">
        <v>7501</v>
      </c>
      <c r="B3019" t="s">
        <v>96</v>
      </c>
    </row>
    <row r="3020" spans="1:2" x14ac:dyDescent="0.2">
      <c r="A3020" s="36" t="s">
        <v>7505</v>
      </c>
      <c r="B3020" t="s">
        <v>89</v>
      </c>
    </row>
    <row r="3021" spans="1:2" x14ac:dyDescent="0.2">
      <c r="A3021" s="36" t="s">
        <v>7507</v>
      </c>
      <c r="B3021" t="s">
        <v>88</v>
      </c>
    </row>
    <row r="3022" spans="1:2" x14ac:dyDescent="0.2">
      <c r="A3022" s="36" t="s">
        <v>7508</v>
      </c>
      <c r="B3022" t="s">
        <v>103</v>
      </c>
    </row>
    <row r="3023" spans="1:2" x14ac:dyDescent="0.2">
      <c r="A3023" s="36" t="s">
        <v>7513</v>
      </c>
      <c r="B3023" t="s">
        <v>98</v>
      </c>
    </row>
    <row r="3024" spans="1:2" x14ac:dyDescent="0.2">
      <c r="A3024" s="36" t="s">
        <v>7526</v>
      </c>
      <c r="B3024" t="s">
        <v>93</v>
      </c>
    </row>
    <row r="3025" spans="1:2" x14ac:dyDescent="0.2">
      <c r="A3025" s="36" t="s">
        <v>7509</v>
      </c>
      <c r="B3025" t="s">
        <v>95</v>
      </c>
    </row>
    <row r="3026" spans="1:2" x14ac:dyDescent="0.2">
      <c r="A3026" s="36" t="s">
        <v>7515</v>
      </c>
      <c r="B3026" t="s">
        <v>90</v>
      </c>
    </row>
    <row r="3027" spans="1:2" x14ac:dyDescent="0.2">
      <c r="A3027" s="36" t="s">
        <v>7511</v>
      </c>
      <c r="B3027" t="s">
        <v>104</v>
      </c>
    </row>
    <row r="3028" spans="1:2" x14ac:dyDescent="0.2">
      <c r="A3028" s="36" t="s">
        <v>7522</v>
      </c>
      <c r="B3028" t="s">
        <v>104</v>
      </c>
    </row>
    <row r="3029" spans="1:2" x14ac:dyDescent="0.2">
      <c r="A3029" s="36" t="s">
        <v>7524</v>
      </c>
      <c r="B3029" t="s">
        <v>98</v>
      </c>
    </row>
    <row r="3030" spans="1:2" x14ac:dyDescent="0.2">
      <c r="A3030" s="36" t="s">
        <v>7521</v>
      </c>
      <c r="B3030" t="s">
        <v>93</v>
      </c>
    </row>
    <row r="3031" spans="1:2" x14ac:dyDescent="0.2">
      <c r="A3031" s="36" t="s">
        <v>7518</v>
      </c>
      <c r="B3031" t="s">
        <v>95</v>
      </c>
    </row>
    <row r="3032" spans="1:2" x14ac:dyDescent="0.2">
      <c r="A3032" s="36" t="s">
        <v>7516</v>
      </c>
      <c r="B3032" t="s">
        <v>90</v>
      </c>
    </row>
    <row r="3033" spans="1:2" x14ac:dyDescent="0.2">
      <c r="A3033" s="36" t="s">
        <v>7517</v>
      </c>
      <c r="B3033" t="s">
        <v>104</v>
      </c>
    </row>
    <row r="3034" spans="1:2" x14ac:dyDescent="0.2">
      <c r="A3034" s="36" t="s">
        <v>7510</v>
      </c>
      <c r="B3034" t="s">
        <v>98</v>
      </c>
    </row>
    <row r="3035" spans="1:2" x14ac:dyDescent="0.2">
      <c r="A3035" s="36" t="s">
        <v>7514</v>
      </c>
      <c r="B3035" t="s">
        <v>93</v>
      </c>
    </row>
    <row r="3036" spans="1:2" x14ac:dyDescent="0.2">
      <c r="A3036" s="36" t="s">
        <v>7523</v>
      </c>
      <c r="B3036" t="s">
        <v>95</v>
      </c>
    </row>
    <row r="3037" spans="1:2" x14ac:dyDescent="0.2">
      <c r="A3037" s="36" t="s">
        <v>7512</v>
      </c>
      <c r="B3037" t="s">
        <v>90</v>
      </c>
    </row>
    <row r="3038" spans="1:2" x14ac:dyDescent="0.2">
      <c r="A3038" s="36" t="s">
        <v>7520</v>
      </c>
      <c r="B3038" t="s">
        <v>104</v>
      </c>
    </row>
    <row r="3039" spans="1:2" x14ac:dyDescent="0.2">
      <c r="A3039" s="36" t="s">
        <v>7525</v>
      </c>
      <c r="B3039" t="s">
        <v>98</v>
      </c>
    </row>
    <row r="3040" spans="1:2" x14ac:dyDescent="0.2">
      <c r="A3040" s="36" t="s">
        <v>7519</v>
      </c>
      <c r="B3040" t="s">
        <v>93</v>
      </c>
    </row>
    <row r="3041" spans="1:2" x14ac:dyDescent="0.2">
      <c r="A3041" s="36" t="s">
        <v>7534</v>
      </c>
      <c r="B3041" t="s">
        <v>100</v>
      </c>
    </row>
    <row r="3042" spans="1:2" x14ac:dyDescent="0.2">
      <c r="A3042" s="36" t="s">
        <v>7547</v>
      </c>
      <c r="B3042" t="s">
        <v>89</v>
      </c>
    </row>
    <row r="3043" spans="1:2" x14ac:dyDescent="0.2">
      <c r="A3043" s="36" t="s">
        <v>7544</v>
      </c>
      <c r="B3043" t="s">
        <v>88</v>
      </c>
    </row>
    <row r="3044" spans="1:2" x14ac:dyDescent="0.2">
      <c r="A3044" s="36" t="s">
        <v>7540</v>
      </c>
      <c r="B3044" t="s">
        <v>97</v>
      </c>
    </row>
    <row r="3045" spans="1:2" x14ac:dyDescent="0.2">
      <c r="A3045" s="36" t="s">
        <v>7545</v>
      </c>
      <c r="B3045" t="s">
        <v>100</v>
      </c>
    </row>
    <row r="3046" spans="1:2" x14ac:dyDescent="0.2">
      <c r="A3046" s="36" t="s">
        <v>7543</v>
      </c>
      <c r="B3046" t="s">
        <v>89</v>
      </c>
    </row>
    <row r="3047" spans="1:2" x14ac:dyDescent="0.2">
      <c r="A3047" s="36" t="s">
        <v>7539</v>
      </c>
      <c r="B3047" t="s">
        <v>88</v>
      </c>
    </row>
    <row r="3048" spans="1:2" x14ac:dyDescent="0.2">
      <c r="A3048" s="36" t="s">
        <v>7532</v>
      </c>
      <c r="B3048" t="s">
        <v>97</v>
      </c>
    </row>
    <row r="3049" spans="1:2" x14ac:dyDescent="0.2">
      <c r="A3049" s="36" t="s">
        <v>7536</v>
      </c>
      <c r="B3049" t="s">
        <v>100</v>
      </c>
    </row>
    <row r="3050" spans="1:2" x14ac:dyDescent="0.2">
      <c r="A3050" s="36" t="s">
        <v>7528</v>
      </c>
      <c r="B3050" t="s">
        <v>89</v>
      </c>
    </row>
    <row r="3051" spans="1:2" x14ac:dyDescent="0.2">
      <c r="A3051" s="36" t="s">
        <v>7530</v>
      </c>
      <c r="B3051" t="s">
        <v>88</v>
      </c>
    </row>
    <row r="3052" spans="1:2" x14ac:dyDescent="0.2">
      <c r="A3052" s="36" t="s">
        <v>7529</v>
      </c>
      <c r="B3052" t="s">
        <v>97</v>
      </c>
    </row>
    <row r="3053" spans="1:2" x14ac:dyDescent="0.2">
      <c r="A3053" s="36" t="s">
        <v>7546</v>
      </c>
      <c r="B3053" t="s">
        <v>100</v>
      </c>
    </row>
    <row r="3054" spans="1:2" x14ac:dyDescent="0.2">
      <c r="A3054" s="36" t="s">
        <v>7542</v>
      </c>
      <c r="B3054" t="s">
        <v>89</v>
      </c>
    </row>
    <row r="3055" spans="1:2" x14ac:dyDescent="0.2">
      <c r="A3055" s="36" t="s">
        <v>7537</v>
      </c>
      <c r="B3055" t="s">
        <v>88</v>
      </c>
    </row>
    <row r="3056" spans="1:2" x14ac:dyDescent="0.2">
      <c r="A3056" s="36" t="s">
        <v>7538</v>
      </c>
      <c r="B3056" t="s">
        <v>97</v>
      </c>
    </row>
    <row r="3057" spans="1:2" x14ac:dyDescent="0.2">
      <c r="A3057" s="36" t="s">
        <v>7541</v>
      </c>
      <c r="B3057" t="s">
        <v>100</v>
      </c>
    </row>
    <row r="3058" spans="1:2" x14ac:dyDescent="0.2">
      <c r="A3058" s="36" t="s">
        <v>7531</v>
      </c>
      <c r="B3058" t="s">
        <v>89</v>
      </c>
    </row>
    <row r="3059" spans="1:2" x14ac:dyDescent="0.2">
      <c r="A3059" s="36" t="s">
        <v>7533</v>
      </c>
      <c r="B3059" t="s">
        <v>88</v>
      </c>
    </row>
    <row r="3060" spans="1:2" x14ac:dyDescent="0.2">
      <c r="A3060" s="36" t="s">
        <v>7535</v>
      </c>
      <c r="B3060" t="s">
        <v>97</v>
      </c>
    </row>
    <row r="3061" spans="1:2" x14ac:dyDescent="0.2">
      <c r="A3061" s="36" t="s">
        <v>7527</v>
      </c>
      <c r="B3061" t="s">
        <v>100</v>
      </c>
    </row>
    <row r="3062" spans="1:2" x14ac:dyDescent="0.2">
      <c r="A3062" s="36" t="s">
        <v>7549</v>
      </c>
      <c r="B3062" t="s">
        <v>91</v>
      </c>
    </row>
    <row r="3063" spans="1:2" x14ac:dyDescent="0.2">
      <c r="A3063" s="36" t="s">
        <v>7551</v>
      </c>
      <c r="B3063" t="s">
        <v>103</v>
      </c>
    </row>
    <row r="3064" spans="1:2" x14ac:dyDescent="0.2">
      <c r="A3064" s="36" t="s">
        <v>7552</v>
      </c>
      <c r="B3064" t="s">
        <v>91</v>
      </c>
    </row>
    <row r="3065" spans="1:2" x14ac:dyDescent="0.2">
      <c r="A3065" s="36" t="s">
        <v>7548</v>
      </c>
      <c r="B3065" t="s">
        <v>103</v>
      </c>
    </row>
    <row r="3066" spans="1:2" x14ac:dyDescent="0.2">
      <c r="A3066" s="36" t="s">
        <v>7550</v>
      </c>
      <c r="B3066" t="s">
        <v>91</v>
      </c>
    </row>
    <row r="3067" spans="1:2" x14ac:dyDescent="0.2">
      <c r="A3067" s="36" t="s">
        <v>7553</v>
      </c>
      <c r="B3067" t="s">
        <v>103</v>
      </c>
    </row>
    <row r="3068" spans="1:2" x14ac:dyDescent="0.2">
      <c r="A3068" s="36" t="s">
        <v>7556</v>
      </c>
      <c r="B3068" t="s">
        <v>96</v>
      </c>
    </row>
    <row r="3069" spans="1:2" x14ac:dyDescent="0.2">
      <c r="A3069" s="36" t="s">
        <v>7554</v>
      </c>
      <c r="B3069" t="s">
        <v>94</v>
      </c>
    </row>
    <row r="3070" spans="1:2" x14ac:dyDescent="0.2">
      <c r="A3070" s="36" t="s">
        <v>7555</v>
      </c>
      <c r="B3070" t="s">
        <v>96</v>
      </c>
    </row>
    <row r="3071" spans="1:2" x14ac:dyDescent="0.2">
      <c r="A3071" s="36" t="s">
        <v>7558</v>
      </c>
      <c r="B3071" t="s">
        <v>94</v>
      </c>
    </row>
    <row r="3072" spans="1:2" x14ac:dyDescent="0.2">
      <c r="A3072" s="36" t="s">
        <v>7557</v>
      </c>
      <c r="B3072" t="s">
        <v>101</v>
      </c>
    </row>
    <row r="3073" spans="1:2" x14ac:dyDescent="0.2">
      <c r="A3073" s="36" t="s">
        <v>7559</v>
      </c>
      <c r="B3073" t="s">
        <v>92</v>
      </c>
    </row>
    <row r="3074" spans="1:2" x14ac:dyDescent="0.2">
      <c r="A3074" s="36" t="s">
        <v>7561</v>
      </c>
      <c r="B3074" t="s">
        <v>99</v>
      </c>
    </row>
    <row r="3075" spans="1:2" x14ac:dyDescent="0.2">
      <c r="A3075" s="36" t="s">
        <v>7562</v>
      </c>
      <c r="B3075" t="s">
        <v>94</v>
      </c>
    </row>
    <row r="3076" spans="1:2" x14ac:dyDescent="0.2">
      <c r="A3076" s="36" t="s">
        <v>7560</v>
      </c>
      <c r="B3076" t="s">
        <v>96</v>
      </c>
    </row>
    <row r="3077" spans="1:2" x14ac:dyDescent="0.2">
      <c r="A3077" s="36" t="s">
        <v>7563</v>
      </c>
      <c r="B3077" t="s">
        <v>94</v>
      </c>
    </row>
    <row r="3078" spans="1:2" x14ac:dyDescent="0.2">
      <c r="A3078" s="36" t="s">
        <v>7564</v>
      </c>
      <c r="B3078" t="s">
        <v>94</v>
      </c>
    </row>
    <row r="3079" spans="1:2" x14ac:dyDescent="0.2">
      <c r="A3079" s="36" t="s">
        <v>7568</v>
      </c>
      <c r="B3079" t="s">
        <v>96</v>
      </c>
    </row>
    <row r="3080" spans="1:2" x14ac:dyDescent="0.2">
      <c r="A3080" s="36" t="s">
        <v>7570</v>
      </c>
      <c r="B3080" t="s">
        <v>99</v>
      </c>
    </row>
    <row r="3081" spans="1:2" x14ac:dyDescent="0.2">
      <c r="A3081" s="36" t="s">
        <v>7583</v>
      </c>
      <c r="B3081" t="s">
        <v>95</v>
      </c>
    </row>
    <row r="3082" spans="1:2" x14ac:dyDescent="0.2">
      <c r="A3082" s="36" t="s">
        <v>7582</v>
      </c>
      <c r="B3082" t="s">
        <v>96</v>
      </c>
    </row>
    <row r="3083" spans="1:2" x14ac:dyDescent="0.2">
      <c r="A3083" s="36" t="s">
        <v>7566</v>
      </c>
      <c r="B3083" t="s">
        <v>99</v>
      </c>
    </row>
    <row r="3084" spans="1:2" x14ac:dyDescent="0.2">
      <c r="A3084" s="36" t="s">
        <v>7573</v>
      </c>
      <c r="B3084" t="s">
        <v>95</v>
      </c>
    </row>
    <row r="3085" spans="1:2" x14ac:dyDescent="0.2">
      <c r="A3085" s="36" t="s">
        <v>7576</v>
      </c>
      <c r="B3085" t="s">
        <v>96</v>
      </c>
    </row>
    <row r="3086" spans="1:2" x14ac:dyDescent="0.2">
      <c r="A3086" s="36" t="s">
        <v>7571</v>
      </c>
      <c r="B3086" t="s">
        <v>99</v>
      </c>
    </row>
    <row r="3087" spans="1:2" x14ac:dyDescent="0.2">
      <c r="A3087" s="36" t="s">
        <v>7569</v>
      </c>
      <c r="B3087" t="s">
        <v>95</v>
      </c>
    </row>
    <row r="3088" spans="1:2" x14ac:dyDescent="0.2">
      <c r="A3088" s="36" t="s">
        <v>7578</v>
      </c>
      <c r="B3088" t="s">
        <v>96</v>
      </c>
    </row>
    <row r="3089" spans="1:2" x14ac:dyDescent="0.2">
      <c r="A3089" s="36" t="s">
        <v>7574</v>
      </c>
      <c r="B3089" t="s">
        <v>99</v>
      </c>
    </row>
    <row r="3090" spans="1:2" x14ac:dyDescent="0.2">
      <c r="A3090" s="36" t="s">
        <v>7572</v>
      </c>
      <c r="B3090" t="s">
        <v>95</v>
      </c>
    </row>
    <row r="3091" spans="1:2" x14ac:dyDescent="0.2">
      <c r="A3091" s="36" t="s">
        <v>7567</v>
      </c>
      <c r="B3091" t="s">
        <v>96</v>
      </c>
    </row>
    <row r="3092" spans="1:2" x14ac:dyDescent="0.2">
      <c r="A3092" s="36" t="s">
        <v>7579</v>
      </c>
      <c r="B3092" t="s">
        <v>99</v>
      </c>
    </row>
    <row r="3093" spans="1:2" x14ac:dyDescent="0.2">
      <c r="A3093" s="36" t="s">
        <v>7565</v>
      </c>
      <c r="B3093" t="s">
        <v>95</v>
      </c>
    </row>
    <row r="3094" spans="1:2" x14ac:dyDescent="0.2">
      <c r="A3094" s="36" t="s">
        <v>7580</v>
      </c>
      <c r="B3094" t="s">
        <v>96</v>
      </c>
    </row>
    <row r="3095" spans="1:2" x14ac:dyDescent="0.2">
      <c r="A3095" s="36" t="s">
        <v>7581</v>
      </c>
      <c r="B3095" t="s">
        <v>99</v>
      </c>
    </row>
    <row r="3096" spans="1:2" x14ac:dyDescent="0.2">
      <c r="A3096" s="36" t="s">
        <v>7585</v>
      </c>
      <c r="B3096" t="s">
        <v>95</v>
      </c>
    </row>
    <row r="3097" spans="1:2" x14ac:dyDescent="0.2">
      <c r="A3097" s="36" t="s">
        <v>7575</v>
      </c>
      <c r="B3097" t="s">
        <v>96</v>
      </c>
    </row>
    <row r="3098" spans="1:2" x14ac:dyDescent="0.2">
      <c r="A3098" s="36" t="s">
        <v>7584</v>
      </c>
      <c r="B3098" t="s">
        <v>99</v>
      </c>
    </row>
    <row r="3099" spans="1:2" x14ac:dyDescent="0.2">
      <c r="A3099" s="36" t="s">
        <v>7577</v>
      </c>
      <c r="B3099" t="s">
        <v>95</v>
      </c>
    </row>
    <row r="3100" spans="1:2" x14ac:dyDescent="0.2">
      <c r="A3100" s="36" t="s">
        <v>7626</v>
      </c>
      <c r="B3100" t="s">
        <v>90</v>
      </c>
    </row>
    <row r="3101" spans="1:2" x14ac:dyDescent="0.2">
      <c r="A3101" s="36" t="s">
        <v>7592</v>
      </c>
      <c r="B3101" t="s">
        <v>94</v>
      </c>
    </row>
    <row r="3102" spans="1:2" x14ac:dyDescent="0.2">
      <c r="A3102" s="36" t="s">
        <v>7598</v>
      </c>
      <c r="B3102" t="s">
        <v>101</v>
      </c>
    </row>
    <row r="3103" spans="1:2" x14ac:dyDescent="0.2">
      <c r="A3103" s="36" t="s">
        <v>7613</v>
      </c>
      <c r="B3103" t="s">
        <v>104</v>
      </c>
    </row>
    <row r="3104" spans="1:2" x14ac:dyDescent="0.2">
      <c r="A3104" s="36" t="s">
        <v>7604</v>
      </c>
      <c r="B3104" t="s">
        <v>92</v>
      </c>
    </row>
    <row r="3105" spans="1:2" x14ac:dyDescent="0.2">
      <c r="A3105" s="36" t="s">
        <v>7612</v>
      </c>
      <c r="B3105" t="s">
        <v>91</v>
      </c>
    </row>
    <row r="3106" spans="1:2" x14ac:dyDescent="0.2">
      <c r="A3106" s="36" t="s">
        <v>7595</v>
      </c>
      <c r="B3106" t="s">
        <v>90</v>
      </c>
    </row>
    <row r="3107" spans="1:2" x14ac:dyDescent="0.2">
      <c r="A3107" s="36" t="s">
        <v>7627</v>
      </c>
      <c r="B3107" t="s">
        <v>94</v>
      </c>
    </row>
    <row r="3108" spans="1:2" x14ac:dyDescent="0.2">
      <c r="A3108" s="36" t="s">
        <v>7609</v>
      </c>
      <c r="B3108" t="s">
        <v>101</v>
      </c>
    </row>
    <row r="3109" spans="1:2" x14ac:dyDescent="0.2">
      <c r="A3109" s="36" t="s">
        <v>7630</v>
      </c>
      <c r="B3109" t="s">
        <v>104</v>
      </c>
    </row>
    <row r="3110" spans="1:2" x14ac:dyDescent="0.2">
      <c r="A3110" s="36" t="s">
        <v>7607</v>
      </c>
      <c r="B3110" t="s">
        <v>92</v>
      </c>
    </row>
    <row r="3111" spans="1:2" x14ac:dyDescent="0.2">
      <c r="A3111" s="36" t="s">
        <v>7601</v>
      </c>
      <c r="B3111" t="s">
        <v>91</v>
      </c>
    </row>
    <row r="3112" spans="1:2" x14ac:dyDescent="0.2">
      <c r="A3112" s="36" t="s">
        <v>7606</v>
      </c>
      <c r="B3112" t="s">
        <v>104</v>
      </c>
    </row>
    <row r="3113" spans="1:2" x14ac:dyDescent="0.2">
      <c r="A3113" s="36" t="s">
        <v>7633</v>
      </c>
      <c r="B3113" t="s">
        <v>90</v>
      </c>
    </row>
    <row r="3114" spans="1:2" x14ac:dyDescent="0.2">
      <c r="A3114" s="36" t="s">
        <v>7586</v>
      </c>
      <c r="B3114" t="s">
        <v>94</v>
      </c>
    </row>
    <row r="3115" spans="1:2" x14ac:dyDescent="0.2">
      <c r="A3115" s="36" t="s">
        <v>7632</v>
      </c>
      <c r="B3115" t="s">
        <v>101</v>
      </c>
    </row>
    <row r="3116" spans="1:2" x14ac:dyDescent="0.2">
      <c r="A3116" s="36" t="s">
        <v>7605</v>
      </c>
      <c r="B3116" t="s">
        <v>92</v>
      </c>
    </row>
    <row r="3117" spans="1:2" x14ac:dyDescent="0.2">
      <c r="A3117" s="36" t="s">
        <v>7622</v>
      </c>
      <c r="B3117" t="s">
        <v>91</v>
      </c>
    </row>
    <row r="3118" spans="1:2" x14ac:dyDescent="0.2">
      <c r="A3118" s="36" t="s">
        <v>7620</v>
      </c>
      <c r="B3118" t="s">
        <v>104</v>
      </c>
    </row>
    <row r="3119" spans="1:2" x14ac:dyDescent="0.2">
      <c r="A3119" s="36" t="s">
        <v>7599</v>
      </c>
      <c r="B3119" t="s">
        <v>90</v>
      </c>
    </row>
    <row r="3120" spans="1:2" x14ac:dyDescent="0.2">
      <c r="A3120" s="36" t="s">
        <v>7596</v>
      </c>
      <c r="B3120" t="s">
        <v>94</v>
      </c>
    </row>
    <row r="3121" spans="1:2" x14ac:dyDescent="0.2">
      <c r="A3121" s="36" t="s">
        <v>7618</v>
      </c>
      <c r="B3121" t="s">
        <v>101</v>
      </c>
    </row>
    <row r="3122" spans="1:2" x14ac:dyDescent="0.2">
      <c r="A3122" s="36" t="s">
        <v>7589</v>
      </c>
      <c r="B3122" t="s">
        <v>92</v>
      </c>
    </row>
    <row r="3123" spans="1:2" x14ac:dyDescent="0.2">
      <c r="A3123" s="36" t="s">
        <v>7588</v>
      </c>
      <c r="B3123" t="s">
        <v>91</v>
      </c>
    </row>
    <row r="3124" spans="1:2" x14ac:dyDescent="0.2">
      <c r="A3124" s="36" t="s">
        <v>7593</v>
      </c>
      <c r="B3124" t="s">
        <v>104</v>
      </c>
    </row>
    <row r="3125" spans="1:2" x14ac:dyDescent="0.2">
      <c r="A3125" s="36" t="s">
        <v>7594</v>
      </c>
      <c r="B3125" t="s">
        <v>90</v>
      </c>
    </row>
    <row r="3126" spans="1:2" x14ac:dyDescent="0.2">
      <c r="A3126" s="36" t="s">
        <v>7591</v>
      </c>
      <c r="B3126" t="s">
        <v>94</v>
      </c>
    </row>
    <row r="3127" spans="1:2" x14ac:dyDescent="0.2">
      <c r="A3127" s="36" t="s">
        <v>7587</v>
      </c>
      <c r="B3127" t="s">
        <v>101</v>
      </c>
    </row>
    <row r="3128" spans="1:2" x14ac:dyDescent="0.2">
      <c r="A3128" s="36" t="s">
        <v>7625</v>
      </c>
      <c r="B3128" t="s">
        <v>92</v>
      </c>
    </row>
    <row r="3129" spans="1:2" x14ac:dyDescent="0.2">
      <c r="A3129" s="36" t="s">
        <v>7616</v>
      </c>
      <c r="B3129" t="s">
        <v>91</v>
      </c>
    </row>
    <row r="3130" spans="1:2" x14ac:dyDescent="0.2">
      <c r="A3130" s="36" t="s">
        <v>7623</v>
      </c>
      <c r="B3130" t="s">
        <v>104</v>
      </c>
    </row>
    <row r="3131" spans="1:2" x14ac:dyDescent="0.2">
      <c r="A3131" s="36" t="s">
        <v>7624</v>
      </c>
      <c r="B3131" t="s">
        <v>90</v>
      </c>
    </row>
    <row r="3132" spans="1:2" x14ac:dyDescent="0.2">
      <c r="A3132" s="36" t="s">
        <v>7600</v>
      </c>
      <c r="B3132" t="s">
        <v>94</v>
      </c>
    </row>
    <row r="3133" spans="1:2" x14ac:dyDescent="0.2">
      <c r="A3133" s="36" t="s">
        <v>7603</v>
      </c>
      <c r="B3133" t="s">
        <v>101</v>
      </c>
    </row>
    <row r="3134" spans="1:2" x14ac:dyDescent="0.2">
      <c r="A3134" s="36" t="s">
        <v>7628</v>
      </c>
      <c r="B3134" t="s">
        <v>92</v>
      </c>
    </row>
    <row r="3135" spans="1:2" x14ac:dyDescent="0.2">
      <c r="A3135" s="36" t="s">
        <v>7602</v>
      </c>
      <c r="B3135" t="s">
        <v>91</v>
      </c>
    </row>
    <row r="3136" spans="1:2" x14ac:dyDescent="0.2">
      <c r="A3136" s="36" t="s">
        <v>7619</v>
      </c>
      <c r="B3136" t="s">
        <v>104</v>
      </c>
    </row>
    <row r="3137" spans="1:2" x14ac:dyDescent="0.2">
      <c r="A3137" s="36" t="s">
        <v>7621</v>
      </c>
      <c r="B3137" t="s">
        <v>90</v>
      </c>
    </row>
    <row r="3138" spans="1:2" x14ac:dyDescent="0.2">
      <c r="A3138" s="36" t="s">
        <v>7597</v>
      </c>
      <c r="B3138" t="s">
        <v>94</v>
      </c>
    </row>
    <row r="3139" spans="1:2" x14ac:dyDescent="0.2">
      <c r="A3139" s="36" t="s">
        <v>7610</v>
      </c>
      <c r="B3139" t="s">
        <v>101</v>
      </c>
    </row>
    <row r="3140" spans="1:2" x14ac:dyDescent="0.2">
      <c r="A3140" s="36" t="s">
        <v>7614</v>
      </c>
      <c r="B3140" t="s">
        <v>92</v>
      </c>
    </row>
    <row r="3141" spans="1:2" x14ac:dyDescent="0.2">
      <c r="A3141" s="36" t="s">
        <v>7617</v>
      </c>
      <c r="B3141" t="s">
        <v>91</v>
      </c>
    </row>
    <row r="3142" spans="1:2" x14ac:dyDescent="0.2">
      <c r="A3142" s="36" t="s">
        <v>7615</v>
      </c>
      <c r="B3142" t="s">
        <v>104</v>
      </c>
    </row>
    <row r="3143" spans="1:2" x14ac:dyDescent="0.2">
      <c r="A3143" s="36" t="s">
        <v>7631</v>
      </c>
      <c r="B3143" t="s">
        <v>90</v>
      </c>
    </row>
    <row r="3144" spans="1:2" x14ac:dyDescent="0.2">
      <c r="A3144" s="36" t="s">
        <v>7608</v>
      </c>
      <c r="B3144" t="s">
        <v>94</v>
      </c>
    </row>
    <row r="3145" spans="1:2" x14ac:dyDescent="0.2">
      <c r="A3145" s="36" t="s">
        <v>7611</v>
      </c>
      <c r="B3145" t="s">
        <v>101</v>
      </c>
    </row>
    <row r="3146" spans="1:2" x14ac:dyDescent="0.2">
      <c r="A3146" s="36" t="s">
        <v>7629</v>
      </c>
      <c r="B3146" t="s">
        <v>92</v>
      </c>
    </row>
    <row r="3147" spans="1:2" x14ac:dyDescent="0.2">
      <c r="A3147" s="36" t="s">
        <v>7590</v>
      </c>
      <c r="B3147" t="s">
        <v>91</v>
      </c>
    </row>
    <row r="3148" spans="1:2" x14ac:dyDescent="0.2">
      <c r="A3148" s="36" t="s">
        <v>7639</v>
      </c>
      <c r="B3148" t="s">
        <v>103</v>
      </c>
    </row>
    <row r="3149" spans="1:2" x14ac:dyDescent="0.2">
      <c r="A3149" s="36" t="s">
        <v>7637</v>
      </c>
      <c r="B3149" t="s">
        <v>98</v>
      </c>
    </row>
    <row r="3150" spans="1:2" x14ac:dyDescent="0.2">
      <c r="A3150" s="36" t="s">
        <v>7649</v>
      </c>
      <c r="B3150" t="s">
        <v>98</v>
      </c>
    </row>
    <row r="3151" spans="1:2" x14ac:dyDescent="0.2">
      <c r="A3151" s="36" t="s">
        <v>7645</v>
      </c>
      <c r="B3151" t="s">
        <v>103</v>
      </c>
    </row>
    <row r="3152" spans="1:2" x14ac:dyDescent="0.2">
      <c r="A3152" s="36" t="s">
        <v>7647</v>
      </c>
      <c r="B3152" t="s">
        <v>98</v>
      </c>
    </row>
    <row r="3153" spans="1:2" x14ac:dyDescent="0.2">
      <c r="A3153" s="36" t="s">
        <v>7634</v>
      </c>
      <c r="B3153" t="s">
        <v>103</v>
      </c>
    </row>
    <row r="3154" spans="1:2" x14ac:dyDescent="0.2">
      <c r="A3154" s="36" t="s">
        <v>7640</v>
      </c>
      <c r="B3154" t="s">
        <v>98</v>
      </c>
    </row>
    <row r="3155" spans="1:2" x14ac:dyDescent="0.2">
      <c r="A3155" s="36" t="s">
        <v>7636</v>
      </c>
      <c r="B3155" t="s">
        <v>103</v>
      </c>
    </row>
    <row r="3156" spans="1:2" x14ac:dyDescent="0.2">
      <c r="A3156" s="36" t="s">
        <v>7641</v>
      </c>
      <c r="B3156" t="s">
        <v>98</v>
      </c>
    </row>
    <row r="3157" spans="1:2" x14ac:dyDescent="0.2">
      <c r="A3157" s="36" t="s">
        <v>7646</v>
      </c>
      <c r="B3157" t="s">
        <v>103</v>
      </c>
    </row>
    <row r="3158" spans="1:2" x14ac:dyDescent="0.2">
      <c r="A3158" s="36" t="s">
        <v>7648</v>
      </c>
      <c r="B3158" t="s">
        <v>98</v>
      </c>
    </row>
    <row r="3159" spans="1:2" x14ac:dyDescent="0.2">
      <c r="A3159" s="36" t="s">
        <v>7642</v>
      </c>
      <c r="B3159" t="s">
        <v>103</v>
      </c>
    </row>
    <row r="3160" spans="1:2" x14ac:dyDescent="0.2">
      <c r="A3160" s="36" t="s">
        <v>7635</v>
      </c>
      <c r="B3160" t="s">
        <v>98</v>
      </c>
    </row>
    <row r="3161" spans="1:2" x14ac:dyDescent="0.2">
      <c r="A3161" s="36" t="s">
        <v>7644</v>
      </c>
      <c r="B3161" t="s">
        <v>103</v>
      </c>
    </row>
    <row r="3162" spans="1:2" x14ac:dyDescent="0.2">
      <c r="A3162" s="36" t="s">
        <v>7638</v>
      </c>
      <c r="B3162" t="s">
        <v>98</v>
      </c>
    </row>
    <row r="3163" spans="1:2" x14ac:dyDescent="0.2">
      <c r="A3163" s="36" t="s">
        <v>7643</v>
      </c>
      <c r="B3163" t="s">
        <v>103</v>
      </c>
    </row>
    <row r="3164" spans="1:2" x14ac:dyDescent="0.2">
      <c r="A3164" s="36" t="s">
        <v>7652</v>
      </c>
      <c r="B3164" t="s">
        <v>93</v>
      </c>
    </row>
    <row r="3165" spans="1:2" x14ac:dyDescent="0.2">
      <c r="A3165" s="36" t="s">
        <v>7650</v>
      </c>
      <c r="B3165" t="s">
        <v>93</v>
      </c>
    </row>
    <row r="3166" spans="1:2" x14ac:dyDescent="0.2">
      <c r="A3166" s="36" t="s">
        <v>7653</v>
      </c>
      <c r="B3166" t="s">
        <v>93</v>
      </c>
    </row>
    <row r="3167" spans="1:2" x14ac:dyDescent="0.2">
      <c r="A3167" s="36" t="s">
        <v>7651</v>
      </c>
      <c r="B3167" t="s">
        <v>93</v>
      </c>
    </row>
    <row r="3168" spans="1:2" x14ac:dyDescent="0.2">
      <c r="A3168" s="36" t="s">
        <v>7674</v>
      </c>
      <c r="B3168" t="s">
        <v>89</v>
      </c>
    </row>
    <row r="3169" spans="1:2" x14ac:dyDescent="0.2">
      <c r="A3169" s="36" t="s">
        <v>7667</v>
      </c>
      <c r="B3169" t="s">
        <v>88</v>
      </c>
    </row>
    <row r="3170" spans="1:2" x14ac:dyDescent="0.2">
      <c r="A3170" s="36" t="s">
        <v>7654</v>
      </c>
      <c r="B3170" t="s">
        <v>89</v>
      </c>
    </row>
    <row r="3171" spans="1:2" x14ac:dyDescent="0.2">
      <c r="A3171" s="36" t="s">
        <v>7657</v>
      </c>
      <c r="B3171" t="s">
        <v>88</v>
      </c>
    </row>
    <row r="3172" spans="1:2" x14ac:dyDescent="0.2">
      <c r="A3172" s="36" t="s">
        <v>7675</v>
      </c>
      <c r="B3172" t="s">
        <v>89</v>
      </c>
    </row>
    <row r="3173" spans="1:2" x14ac:dyDescent="0.2">
      <c r="A3173" s="36" t="s">
        <v>7666</v>
      </c>
      <c r="B3173" t="s">
        <v>88</v>
      </c>
    </row>
    <row r="3174" spans="1:2" x14ac:dyDescent="0.2">
      <c r="A3174" s="36" t="s">
        <v>7664</v>
      </c>
      <c r="B3174" t="s">
        <v>89</v>
      </c>
    </row>
    <row r="3175" spans="1:2" x14ac:dyDescent="0.2">
      <c r="A3175" s="36" t="s">
        <v>7658</v>
      </c>
      <c r="B3175" t="s">
        <v>88</v>
      </c>
    </row>
    <row r="3176" spans="1:2" x14ac:dyDescent="0.2">
      <c r="A3176" s="36" t="s">
        <v>7671</v>
      </c>
      <c r="B3176" t="s">
        <v>89</v>
      </c>
    </row>
    <row r="3177" spans="1:2" x14ac:dyDescent="0.2">
      <c r="A3177" s="36" t="s">
        <v>7669</v>
      </c>
      <c r="B3177" t="s">
        <v>88</v>
      </c>
    </row>
    <row r="3178" spans="1:2" x14ac:dyDescent="0.2">
      <c r="A3178" s="36" t="s">
        <v>7661</v>
      </c>
      <c r="B3178" t="s">
        <v>89</v>
      </c>
    </row>
    <row r="3179" spans="1:2" x14ac:dyDescent="0.2">
      <c r="A3179" s="36" t="s">
        <v>7656</v>
      </c>
      <c r="B3179" t="s">
        <v>88</v>
      </c>
    </row>
    <row r="3180" spans="1:2" x14ac:dyDescent="0.2">
      <c r="A3180" s="36" t="s">
        <v>7663</v>
      </c>
      <c r="B3180" t="s">
        <v>89</v>
      </c>
    </row>
    <row r="3181" spans="1:2" x14ac:dyDescent="0.2">
      <c r="A3181" s="36" t="s">
        <v>7672</v>
      </c>
      <c r="B3181" t="s">
        <v>88</v>
      </c>
    </row>
    <row r="3182" spans="1:2" x14ac:dyDescent="0.2">
      <c r="A3182" s="36" t="s">
        <v>7662</v>
      </c>
      <c r="B3182" t="s">
        <v>89</v>
      </c>
    </row>
    <row r="3183" spans="1:2" x14ac:dyDescent="0.2">
      <c r="A3183" s="36" t="s">
        <v>7668</v>
      </c>
      <c r="B3183" t="s">
        <v>88</v>
      </c>
    </row>
    <row r="3184" spans="1:2" x14ac:dyDescent="0.2">
      <c r="A3184" s="36" t="s">
        <v>7655</v>
      </c>
      <c r="B3184" t="s">
        <v>89</v>
      </c>
    </row>
    <row r="3185" spans="1:2" x14ac:dyDescent="0.2">
      <c r="A3185" s="36" t="s">
        <v>7676</v>
      </c>
      <c r="B3185" t="s">
        <v>88</v>
      </c>
    </row>
    <row r="3186" spans="1:2" x14ac:dyDescent="0.2">
      <c r="A3186" s="36" t="s">
        <v>7659</v>
      </c>
      <c r="B3186" t="s">
        <v>89</v>
      </c>
    </row>
    <row r="3187" spans="1:2" x14ac:dyDescent="0.2">
      <c r="A3187" s="36" t="s">
        <v>7682</v>
      </c>
      <c r="B3187" t="s">
        <v>88</v>
      </c>
    </row>
    <row r="3188" spans="1:2" x14ac:dyDescent="0.2">
      <c r="A3188" s="36" t="s">
        <v>7665</v>
      </c>
      <c r="B3188" t="s">
        <v>89</v>
      </c>
    </row>
    <row r="3189" spans="1:2" x14ac:dyDescent="0.2">
      <c r="A3189" s="36" t="s">
        <v>7683</v>
      </c>
      <c r="B3189" t="s">
        <v>88</v>
      </c>
    </row>
    <row r="3190" spans="1:2" x14ac:dyDescent="0.2">
      <c r="A3190" s="36" t="s">
        <v>7681</v>
      </c>
      <c r="B3190" t="s">
        <v>89</v>
      </c>
    </row>
    <row r="3191" spans="1:2" x14ac:dyDescent="0.2">
      <c r="A3191" s="36" t="s">
        <v>7680</v>
      </c>
      <c r="B3191" t="s">
        <v>88</v>
      </c>
    </row>
    <row r="3192" spans="1:2" x14ac:dyDescent="0.2">
      <c r="A3192" s="36" t="s">
        <v>7673</v>
      </c>
      <c r="B3192" t="s">
        <v>89</v>
      </c>
    </row>
    <row r="3193" spans="1:2" x14ac:dyDescent="0.2">
      <c r="A3193" s="36" t="s">
        <v>7660</v>
      </c>
      <c r="B3193" t="s">
        <v>88</v>
      </c>
    </row>
    <row r="3194" spans="1:2" x14ac:dyDescent="0.2">
      <c r="A3194" s="36" t="s">
        <v>7686</v>
      </c>
      <c r="B3194" t="s">
        <v>89</v>
      </c>
    </row>
    <row r="3195" spans="1:2" x14ac:dyDescent="0.2">
      <c r="A3195" s="36" t="s">
        <v>7670</v>
      </c>
      <c r="B3195" t="s">
        <v>88</v>
      </c>
    </row>
    <row r="3196" spans="1:2" x14ac:dyDescent="0.2">
      <c r="A3196" s="36" t="s">
        <v>7679</v>
      </c>
      <c r="B3196" t="s">
        <v>89</v>
      </c>
    </row>
    <row r="3197" spans="1:2" x14ac:dyDescent="0.2">
      <c r="A3197" s="36" t="s">
        <v>7687</v>
      </c>
      <c r="B3197" t="s">
        <v>88</v>
      </c>
    </row>
    <row r="3198" spans="1:2" x14ac:dyDescent="0.2">
      <c r="A3198" s="36" t="s">
        <v>7691</v>
      </c>
      <c r="B3198" t="s">
        <v>89</v>
      </c>
    </row>
    <row r="3199" spans="1:2" x14ac:dyDescent="0.2">
      <c r="A3199" s="36" t="s">
        <v>7689</v>
      </c>
      <c r="B3199" t="s">
        <v>88</v>
      </c>
    </row>
    <row r="3200" spans="1:2" x14ac:dyDescent="0.2">
      <c r="A3200" s="36" t="s">
        <v>7688</v>
      </c>
      <c r="B3200" t="s">
        <v>89</v>
      </c>
    </row>
    <row r="3201" spans="1:2" x14ac:dyDescent="0.2">
      <c r="A3201" s="36" t="s">
        <v>7690</v>
      </c>
      <c r="B3201" t="s">
        <v>88</v>
      </c>
    </row>
    <row r="3202" spans="1:2" x14ac:dyDescent="0.2">
      <c r="A3202" s="36" t="s">
        <v>7684</v>
      </c>
      <c r="B3202" t="s">
        <v>89</v>
      </c>
    </row>
    <row r="3203" spans="1:2" x14ac:dyDescent="0.2">
      <c r="A3203" s="36" t="s">
        <v>7685</v>
      </c>
      <c r="B3203" t="s">
        <v>88</v>
      </c>
    </row>
    <row r="3204" spans="1:2" x14ac:dyDescent="0.2">
      <c r="A3204" s="36" t="s">
        <v>7677</v>
      </c>
      <c r="B3204" t="s">
        <v>89</v>
      </c>
    </row>
    <row r="3205" spans="1:2" x14ac:dyDescent="0.2">
      <c r="A3205" s="36" t="s">
        <v>7678</v>
      </c>
      <c r="B3205" t="s">
        <v>88</v>
      </c>
    </row>
    <row r="3206" spans="1:2" x14ac:dyDescent="0.2">
      <c r="A3206" s="36" t="s">
        <v>7693</v>
      </c>
      <c r="B3206" t="s">
        <v>97</v>
      </c>
    </row>
    <row r="3207" spans="1:2" x14ac:dyDescent="0.2">
      <c r="A3207" s="36" t="s">
        <v>7694</v>
      </c>
      <c r="B3207" t="s">
        <v>100</v>
      </c>
    </row>
    <row r="3208" spans="1:2" x14ac:dyDescent="0.2">
      <c r="A3208" s="36" t="s">
        <v>7692</v>
      </c>
      <c r="B3208" t="s">
        <v>93</v>
      </c>
    </row>
    <row r="3209" spans="1:2" x14ac:dyDescent="0.2">
      <c r="A3209" s="36" t="s">
        <v>7695</v>
      </c>
      <c r="B3209" t="s">
        <v>84</v>
      </c>
    </row>
    <row r="3210" spans="1:2" x14ac:dyDescent="0.2">
      <c r="A3210" s="36" t="s">
        <v>7696</v>
      </c>
      <c r="B3210" t="s">
        <v>93</v>
      </c>
    </row>
    <row r="3211" spans="1:2" x14ac:dyDescent="0.2">
      <c r="A3211" s="36" t="s">
        <v>7700</v>
      </c>
      <c r="B3211" t="s">
        <v>96</v>
      </c>
    </row>
    <row r="3212" spans="1:2" x14ac:dyDescent="0.2">
      <c r="A3212" s="36" t="s">
        <v>7697</v>
      </c>
      <c r="B3212" t="s">
        <v>87</v>
      </c>
    </row>
    <row r="3213" spans="1:2" x14ac:dyDescent="0.2">
      <c r="A3213" s="36" t="s">
        <v>7699</v>
      </c>
      <c r="B3213" t="s">
        <v>99</v>
      </c>
    </row>
    <row r="3214" spans="1:2" x14ac:dyDescent="0.2">
      <c r="A3214" s="36" t="s">
        <v>7701</v>
      </c>
      <c r="B3214" t="s">
        <v>95</v>
      </c>
    </row>
    <row r="3215" spans="1:2" x14ac:dyDescent="0.2">
      <c r="A3215" s="36" t="s">
        <v>7698</v>
      </c>
      <c r="B3215" t="s">
        <v>96</v>
      </c>
    </row>
    <row r="3216" spans="1:2" x14ac:dyDescent="0.2">
      <c r="A3216" s="36" t="s">
        <v>7702</v>
      </c>
      <c r="B3216" t="s">
        <v>97</v>
      </c>
    </row>
    <row r="3217" spans="1:2" x14ac:dyDescent="0.2">
      <c r="A3217" s="36" t="s">
        <v>7761</v>
      </c>
      <c r="B3217" t="s">
        <v>87</v>
      </c>
    </row>
    <row r="3218" spans="1:2" x14ac:dyDescent="0.2">
      <c r="A3218" s="36" t="s">
        <v>7759</v>
      </c>
      <c r="B3218" t="s">
        <v>100</v>
      </c>
    </row>
    <row r="3219" spans="1:2" x14ac:dyDescent="0.2">
      <c r="A3219" s="36" t="s">
        <v>7760</v>
      </c>
      <c r="B3219" t="s">
        <v>95</v>
      </c>
    </row>
    <row r="3220" spans="1:2" x14ac:dyDescent="0.2">
      <c r="A3220" s="36" t="s">
        <v>7772</v>
      </c>
      <c r="B3220" t="s">
        <v>98</v>
      </c>
    </row>
    <row r="3221" spans="1:2" x14ac:dyDescent="0.2">
      <c r="A3221" s="36" t="s">
        <v>7774</v>
      </c>
      <c r="B3221" t="s">
        <v>99</v>
      </c>
    </row>
    <row r="3222" spans="1:2" x14ac:dyDescent="0.2">
      <c r="A3222" s="36" t="s">
        <v>7767</v>
      </c>
      <c r="B3222" t="s">
        <v>103</v>
      </c>
    </row>
    <row r="3223" spans="1:2" x14ac:dyDescent="0.2">
      <c r="A3223" s="36" t="s">
        <v>7706</v>
      </c>
      <c r="B3223" t="s">
        <v>96</v>
      </c>
    </row>
    <row r="3224" spans="1:2" x14ac:dyDescent="0.2">
      <c r="A3224" s="36" t="s">
        <v>7733</v>
      </c>
      <c r="B3224" t="s">
        <v>104</v>
      </c>
    </row>
    <row r="3225" spans="1:2" x14ac:dyDescent="0.2">
      <c r="A3225" s="36" t="s">
        <v>7727</v>
      </c>
      <c r="B3225" t="s">
        <v>84</v>
      </c>
    </row>
    <row r="3226" spans="1:2" x14ac:dyDescent="0.2">
      <c r="A3226" s="36" t="s">
        <v>7703</v>
      </c>
      <c r="B3226" t="s">
        <v>97</v>
      </c>
    </row>
    <row r="3227" spans="1:2" x14ac:dyDescent="0.2">
      <c r="A3227" s="36" t="s">
        <v>7753</v>
      </c>
      <c r="B3227" t="s">
        <v>90</v>
      </c>
    </row>
    <row r="3228" spans="1:2" x14ac:dyDescent="0.2">
      <c r="A3228" s="36" t="s">
        <v>7764</v>
      </c>
      <c r="B3228" t="s">
        <v>94</v>
      </c>
    </row>
    <row r="3229" spans="1:2" x14ac:dyDescent="0.2">
      <c r="A3229" s="36" t="s">
        <v>7736</v>
      </c>
      <c r="B3229" t="s">
        <v>101</v>
      </c>
    </row>
    <row r="3230" spans="1:2" x14ac:dyDescent="0.2">
      <c r="A3230" s="36" t="s">
        <v>7724</v>
      </c>
      <c r="B3230" t="s">
        <v>92</v>
      </c>
    </row>
    <row r="3231" spans="1:2" x14ac:dyDescent="0.2">
      <c r="A3231" s="36" t="s">
        <v>7708</v>
      </c>
      <c r="B3231" t="s">
        <v>87</v>
      </c>
    </row>
    <row r="3232" spans="1:2" x14ac:dyDescent="0.2">
      <c r="A3232" s="36" t="s">
        <v>7711</v>
      </c>
      <c r="B3232" t="s">
        <v>100</v>
      </c>
    </row>
    <row r="3233" spans="1:2" x14ac:dyDescent="0.2">
      <c r="A3233" s="36" t="s">
        <v>7713</v>
      </c>
      <c r="B3233" t="s">
        <v>95</v>
      </c>
    </row>
    <row r="3234" spans="1:2" x14ac:dyDescent="0.2">
      <c r="A3234" s="36" t="s">
        <v>7704</v>
      </c>
      <c r="B3234" t="s">
        <v>98</v>
      </c>
    </row>
    <row r="3235" spans="1:2" x14ac:dyDescent="0.2">
      <c r="A3235" s="36" t="s">
        <v>7734</v>
      </c>
      <c r="B3235" t="s">
        <v>99</v>
      </c>
    </row>
    <row r="3236" spans="1:2" x14ac:dyDescent="0.2">
      <c r="A3236" s="36" t="s">
        <v>7731</v>
      </c>
      <c r="B3236" t="s">
        <v>103</v>
      </c>
    </row>
    <row r="3237" spans="1:2" x14ac:dyDescent="0.2">
      <c r="A3237" s="36" t="s">
        <v>7705</v>
      </c>
      <c r="B3237" t="s">
        <v>96</v>
      </c>
    </row>
    <row r="3238" spans="1:2" x14ac:dyDescent="0.2">
      <c r="A3238" s="36" t="s">
        <v>7728</v>
      </c>
      <c r="B3238" t="s">
        <v>104</v>
      </c>
    </row>
    <row r="3239" spans="1:2" x14ac:dyDescent="0.2">
      <c r="A3239" s="36" t="s">
        <v>7762</v>
      </c>
      <c r="B3239" t="s">
        <v>84</v>
      </c>
    </row>
    <row r="3240" spans="1:2" x14ac:dyDescent="0.2">
      <c r="A3240" s="36" t="s">
        <v>7748</v>
      </c>
      <c r="B3240" t="s">
        <v>97</v>
      </c>
    </row>
    <row r="3241" spans="1:2" x14ac:dyDescent="0.2">
      <c r="A3241" s="36" t="s">
        <v>7718</v>
      </c>
      <c r="B3241" t="s">
        <v>90</v>
      </c>
    </row>
    <row r="3242" spans="1:2" x14ac:dyDescent="0.2">
      <c r="A3242" s="36" t="s">
        <v>7770</v>
      </c>
      <c r="B3242" t="s">
        <v>94</v>
      </c>
    </row>
    <row r="3243" spans="1:2" x14ac:dyDescent="0.2">
      <c r="A3243" s="36" t="s">
        <v>7757</v>
      </c>
      <c r="B3243" t="s">
        <v>101</v>
      </c>
    </row>
    <row r="3244" spans="1:2" x14ac:dyDescent="0.2">
      <c r="A3244" s="36" t="s">
        <v>7749</v>
      </c>
      <c r="B3244" t="s">
        <v>92</v>
      </c>
    </row>
    <row r="3245" spans="1:2" x14ac:dyDescent="0.2">
      <c r="A3245" s="36" t="s">
        <v>7715</v>
      </c>
      <c r="B3245" t="s">
        <v>87</v>
      </c>
    </row>
    <row r="3246" spans="1:2" x14ac:dyDescent="0.2">
      <c r="A3246" s="36" t="s">
        <v>7717</v>
      </c>
      <c r="B3246" t="s">
        <v>92</v>
      </c>
    </row>
    <row r="3247" spans="1:2" x14ac:dyDescent="0.2">
      <c r="A3247" s="36" t="s">
        <v>7710</v>
      </c>
      <c r="B3247" t="s">
        <v>100</v>
      </c>
    </row>
    <row r="3248" spans="1:2" x14ac:dyDescent="0.2">
      <c r="A3248" s="36" t="s">
        <v>7754</v>
      </c>
      <c r="B3248" t="s">
        <v>95</v>
      </c>
    </row>
    <row r="3249" spans="1:2" x14ac:dyDescent="0.2">
      <c r="A3249" s="36" t="s">
        <v>7747</v>
      </c>
      <c r="B3249" t="s">
        <v>98</v>
      </c>
    </row>
    <row r="3250" spans="1:2" x14ac:dyDescent="0.2">
      <c r="A3250" s="36" t="s">
        <v>7732</v>
      </c>
      <c r="B3250" t="s">
        <v>99</v>
      </c>
    </row>
    <row r="3251" spans="1:2" x14ac:dyDescent="0.2">
      <c r="A3251" s="36" t="s">
        <v>7742</v>
      </c>
      <c r="B3251" t="s">
        <v>103</v>
      </c>
    </row>
    <row r="3252" spans="1:2" x14ac:dyDescent="0.2">
      <c r="A3252" s="36" t="s">
        <v>7756</v>
      </c>
      <c r="B3252" t="s">
        <v>96</v>
      </c>
    </row>
    <row r="3253" spans="1:2" x14ac:dyDescent="0.2">
      <c r="A3253" s="36" t="s">
        <v>7750</v>
      </c>
      <c r="B3253" t="s">
        <v>104</v>
      </c>
    </row>
    <row r="3254" spans="1:2" x14ac:dyDescent="0.2">
      <c r="A3254" s="36" t="s">
        <v>7771</v>
      </c>
      <c r="B3254" t="s">
        <v>84</v>
      </c>
    </row>
    <row r="3255" spans="1:2" x14ac:dyDescent="0.2">
      <c r="A3255" s="36" t="s">
        <v>7739</v>
      </c>
      <c r="B3255" t="s">
        <v>97</v>
      </c>
    </row>
    <row r="3256" spans="1:2" x14ac:dyDescent="0.2">
      <c r="A3256" s="36" t="s">
        <v>7722</v>
      </c>
      <c r="B3256" t="s">
        <v>90</v>
      </c>
    </row>
    <row r="3257" spans="1:2" x14ac:dyDescent="0.2">
      <c r="A3257" s="36" t="s">
        <v>7751</v>
      </c>
      <c r="B3257" t="s">
        <v>94</v>
      </c>
    </row>
    <row r="3258" spans="1:2" x14ac:dyDescent="0.2">
      <c r="A3258" s="36" t="s">
        <v>7769</v>
      </c>
      <c r="B3258" t="s">
        <v>99</v>
      </c>
    </row>
    <row r="3259" spans="1:2" x14ac:dyDescent="0.2">
      <c r="A3259" s="36" t="s">
        <v>7714</v>
      </c>
      <c r="B3259" t="s">
        <v>101</v>
      </c>
    </row>
    <row r="3260" spans="1:2" x14ac:dyDescent="0.2">
      <c r="A3260" s="36" t="s">
        <v>7737</v>
      </c>
      <c r="B3260" t="s">
        <v>90</v>
      </c>
    </row>
    <row r="3261" spans="1:2" x14ac:dyDescent="0.2">
      <c r="A3261" s="36" t="s">
        <v>7752</v>
      </c>
      <c r="B3261" t="s">
        <v>87</v>
      </c>
    </row>
    <row r="3262" spans="1:2" x14ac:dyDescent="0.2">
      <c r="A3262" s="36" t="s">
        <v>7738</v>
      </c>
      <c r="B3262" t="s">
        <v>92</v>
      </c>
    </row>
    <row r="3263" spans="1:2" x14ac:dyDescent="0.2">
      <c r="A3263" s="36" t="s">
        <v>7743</v>
      </c>
      <c r="B3263" t="s">
        <v>100</v>
      </c>
    </row>
    <row r="3264" spans="1:2" x14ac:dyDescent="0.2">
      <c r="A3264" s="36" t="s">
        <v>7765</v>
      </c>
      <c r="B3264" t="s">
        <v>95</v>
      </c>
    </row>
    <row r="3265" spans="1:2" x14ac:dyDescent="0.2">
      <c r="A3265" s="36" t="s">
        <v>7766</v>
      </c>
      <c r="B3265" t="s">
        <v>98</v>
      </c>
    </row>
    <row r="3266" spans="1:2" x14ac:dyDescent="0.2">
      <c r="A3266" s="36" t="s">
        <v>7758</v>
      </c>
      <c r="B3266" t="s">
        <v>103</v>
      </c>
    </row>
    <row r="3267" spans="1:2" x14ac:dyDescent="0.2">
      <c r="A3267" s="36" t="s">
        <v>7763</v>
      </c>
      <c r="B3267" t="s">
        <v>96</v>
      </c>
    </row>
    <row r="3268" spans="1:2" x14ac:dyDescent="0.2">
      <c r="A3268" s="36" t="s">
        <v>7741</v>
      </c>
      <c r="B3268" t="s">
        <v>104</v>
      </c>
    </row>
    <row r="3269" spans="1:2" x14ac:dyDescent="0.2">
      <c r="A3269" s="36" t="s">
        <v>7707</v>
      </c>
      <c r="B3269" t="s">
        <v>84</v>
      </c>
    </row>
    <row r="3270" spans="1:2" x14ac:dyDescent="0.2">
      <c r="A3270" s="36" t="s">
        <v>7709</v>
      </c>
      <c r="B3270" t="s">
        <v>97</v>
      </c>
    </row>
    <row r="3271" spans="1:2" x14ac:dyDescent="0.2">
      <c r="A3271" s="36" t="s">
        <v>7768</v>
      </c>
      <c r="B3271" t="s">
        <v>94</v>
      </c>
    </row>
    <row r="3272" spans="1:2" x14ac:dyDescent="0.2">
      <c r="A3272" s="36" t="s">
        <v>7744</v>
      </c>
      <c r="B3272" t="s">
        <v>99</v>
      </c>
    </row>
    <row r="3273" spans="1:2" x14ac:dyDescent="0.2">
      <c r="A3273" s="36" t="s">
        <v>7745</v>
      </c>
      <c r="B3273" t="s">
        <v>101</v>
      </c>
    </row>
    <row r="3274" spans="1:2" x14ac:dyDescent="0.2">
      <c r="A3274" s="36" t="s">
        <v>7773</v>
      </c>
      <c r="B3274" t="s">
        <v>90</v>
      </c>
    </row>
    <row r="3275" spans="1:2" x14ac:dyDescent="0.2">
      <c r="A3275" s="36" t="s">
        <v>7775</v>
      </c>
      <c r="B3275" t="s">
        <v>87</v>
      </c>
    </row>
    <row r="3276" spans="1:2" x14ac:dyDescent="0.2">
      <c r="A3276" s="36" t="s">
        <v>7777</v>
      </c>
      <c r="B3276" t="s">
        <v>92</v>
      </c>
    </row>
    <row r="3277" spans="1:2" x14ac:dyDescent="0.2">
      <c r="A3277" s="36" t="s">
        <v>7776</v>
      </c>
      <c r="B3277" t="s">
        <v>100</v>
      </c>
    </row>
    <row r="3278" spans="1:2" x14ac:dyDescent="0.2">
      <c r="A3278" s="36" t="s">
        <v>7716</v>
      </c>
      <c r="B3278" t="s">
        <v>95</v>
      </c>
    </row>
    <row r="3279" spans="1:2" x14ac:dyDescent="0.2">
      <c r="A3279" s="36" t="s">
        <v>7712</v>
      </c>
      <c r="B3279" t="s">
        <v>98</v>
      </c>
    </row>
    <row r="3280" spans="1:2" x14ac:dyDescent="0.2">
      <c r="A3280" s="36" t="s">
        <v>7730</v>
      </c>
      <c r="B3280" t="s">
        <v>103</v>
      </c>
    </row>
    <row r="3281" spans="1:2" x14ac:dyDescent="0.2">
      <c r="A3281" s="36" t="s">
        <v>7729</v>
      </c>
      <c r="B3281" t="s">
        <v>96</v>
      </c>
    </row>
    <row r="3282" spans="1:2" x14ac:dyDescent="0.2">
      <c r="A3282" s="36" t="s">
        <v>7746</v>
      </c>
      <c r="B3282" t="s">
        <v>104</v>
      </c>
    </row>
    <row r="3283" spans="1:2" x14ac:dyDescent="0.2">
      <c r="A3283" s="36" t="s">
        <v>7740</v>
      </c>
      <c r="B3283" t="s">
        <v>84</v>
      </c>
    </row>
    <row r="3284" spans="1:2" x14ac:dyDescent="0.2">
      <c r="A3284" s="36" t="s">
        <v>7725</v>
      </c>
      <c r="B3284" t="s">
        <v>97</v>
      </c>
    </row>
    <row r="3285" spans="1:2" x14ac:dyDescent="0.2">
      <c r="A3285" s="36" t="s">
        <v>7755</v>
      </c>
      <c r="B3285" t="s">
        <v>94</v>
      </c>
    </row>
    <row r="3286" spans="1:2" x14ac:dyDescent="0.2">
      <c r="A3286" s="36" t="s">
        <v>7719</v>
      </c>
      <c r="B3286" t="s">
        <v>99</v>
      </c>
    </row>
    <row r="3287" spans="1:2" x14ac:dyDescent="0.2">
      <c r="A3287" s="36" t="s">
        <v>7735</v>
      </c>
      <c r="B3287" t="s">
        <v>101</v>
      </c>
    </row>
    <row r="3288" spans="1:2" x14ac:dyDescent="0.2">
      <c r="A3288" s="36" t="s">
        <v>7726</v>
      </c>
      <c r="B3288" t="s">
        <v>90</v>
      </c>
    </row>
    <row r="3289" spans="1:2" x14ac:dyDescent="0.2">
      <c r="A3289" s="36" t="s">
        <v>7721</v>
      </c>
      <c r="B3289" t="s">
        <v>87</v>
      </c>
    </row>
    <row r="3290" spans="1:2" x14ac:dyDescent="0.2">
      <c r="A3290" s="36" t="s">
        <v>7723</v>
      </c>
      <c r="B3290" t="s">
        <v>92</v>
      </c>
    </row>
    <row r="3291" spans="1:2" x14ac:dyDescent="0.2">
      <c r="A3291" s="36" t="s">
        <v>7720</v>
      </c>
      <c r="B3291" t="s">
        <v>100</v>
      </c>
    </row>
    <row r="3292" spans="1:2" x14ac:dyDescent="0.2">
      <c r="A3292" s="36" t="s">
        <v>7811</v>
      </c>
      <c r="B3292" t="s">
        <v>91</v>
      </c>
    </row>
    <row r="3293" spans="1:2" x14ac:dyDescent="0.2">
      <c r="A3293" s="36" t="s">
        <v>7798</v>
      </c>
      <c r="B3293" t="s">
        <v>93</v>
      </c>
    </row>
    <row r="3294" spans="1:2" x14ac:dyDescent="0.2">
      <c r="A3294" s="36" t="s">
        <v>7810</v>
      </c>
      <c r="B3294" t="s">
        <v>91</v>
      </c>
    </row>
    <row r="3295" spans="1:2" x14ac:dyDescent="0.2">
      <c r="A3295" s="36" t="s">
        <v>7827</v>
      </c>
      <c r="B3295" t="s">
        <v>93</v>
      </c>
    </row>
    <row r="3296" spans="1:2" x14ac:dyDescent="0.2">
      <c r="A3296" s="36" t="s">
        <v>7828</v>
      </c>
      <c r="B3296" t="s">
        <v>91</v>
      </c>
    </row>
    <row r="3297" spans="1:2" x14ac:dyDescent="0.2">
      <c r="A3297" s="36" t="s">
        <v>7826</v>
      </c>
      <c r="B3297" t="s">
        <v>93</v>
      </c>
    </row>
    <row r="3298" spans="1:2" x14ac:dyDescent="0.2">
      <c r="A3298" s="36" t="s">
        <v>7809</v>
      </c>
      <c r="B3298" t="s">
        <v>91</v>
      </c>
    </row>
    <row r="3299" spans="1:2" x14ac:dyDescent="0.2">
      <c r="A3299" s="36" t="s">
        <v>7831</v>
      </c>
      <c r="B3299" t="s">
        <v>93</v>
      </c>
    </row>
    <row r="3300" spans="1:2" x14ac:dyDescent="0.2">
      <c r="A3300" s="36" t="s">
        <v>7806</v>
      </c>
      <c r="B3300" t="s">
        <v>91</v>
      </c>
    </row>
    <row r="3301" spans="1:2" x14ac:dyDescent="0.2">
      <c r="A3301" s="36" t="s">
        <v>7813</v>
      </c>
      <c r="B3301" t="s">
        <v>93</v>
      </c>
    </row>
    <row r="3302" spans="1:2" x14ac:dyDescent="0.2">
      <c r="A3302" s="36" t="s">
        <v>7818</v>
      </c>
      <c r="B3302" t="s">
        <v>105</v>
      </c>
    </row>
    <row r="3303" spans="1:2" x14ac:dyDescent="0.2">
      <c r="A3303" s="36" t="s">
        <v>7802</v>
      </c>
      <c r="B3303" t="s">
        <v>91</v>
      </c>
    </row>
    <row r="3304" spans="1:2" x14ac:dyDescent="0.2">
      <c r="A3304" s="36" t="s">
        <v>7814</v>
      </c>
      <c r="B3304" t="s">
        <v>93</v>
      </c>
    </row>
    <row r="3305" spans="1:2" x14ac:dyDescent="0.2">
      <c r="A3305" s="36" t="s">
        <v>7803</v>
      </c>
      <c r="B3305" t="s">
        <v>105</v>
      </c>
    </row>
    <row r="3306" spans="1:2" x14ac:dyDescent="0.2">
      <c r="A3306" s="36" t="s">
        <v>7808</v>
      </c>
      <c r="B3306" t="s">
        <v>91</v>
      </c>
    </row>
    <row r="3307" spans="1:2" x14ac:dyDescent="0.2">
      <c r="A3307" s="36" t="s">
        <v>7807</v>
      </c>
      <c r="B3307" t="s">
        <v>93</v>
      </c>
    </row>
    <row r="3308" spans="1:2" x14ac:dyDescent="0.2">
      <c r="A3308" s="36" t="s">
        <v>7817</v>
      </c>
      <c r="B3308" t="s">
        <v>95</v>
      </c>
    </row>
    <row r="3309" spans="1:2" x14ac:dyDescent="0.2">
      <c r="A3309" s="36" t="s">
        <v>7804</v>
      </c>
      <c r="B3309" t="s">
        <v>98</v>
      </c>
    </row>
    <row r="3310" spans="1:2" x14ac:dyDescent="0.2">
      <c r="A3310" s="36" t="s">
        <v>7780</v>
      </c>
      <c r="B3310" t="s">
        <v>103</v>
      </c>
    </row>
    <row r="3311" spans="1:2" x14ac:dyDescent="0.2">
      <c r="A3311" s="36" t="s">
        <v>7785</v>
      </c>
      <c r="B3311" t="s">
        <v>96</v>
      </c>
    </row>
    <row r="3312" spans="1:2" x14ac:dyDescent="0.2">
      <c r="A3312" s="36" t="s">
        <v>7786</v>
      </c>
      <c r="B3312" t="s">
        <v>104</v>
      </c>
    </row>
    <row r="3313" spans="1:2" x14ac:dyDescent="0.2">
      <c r="A3313" s="36" t="s">
        <v>7791</v>
      </c>
      <c r="B3313" t="s">
        <v>84</v>
      </c>
    </row>
    <row r="3314" spans="1:2" x14ac:dyDescent="0.2">
      <c r="A3314" s="36" t="s">
        <v>7789</v>
      </c>
      <c r="B3314" t="s">
        <v>97</v>
      </c>
    </row>
    <row r="3315" spans="1:2" x14ac:dyDescent="0.2">
      <c r="A3315" s="36" t="s">
        <v>7782</v>
      </c>
      <c r="B3315" t="s">
        <v>105</v>
      </c>
    </row>
    <row r="3316" spans="1:2" x14ac:dyDescent="0.2">
      <c r="A3316" s="36" t="s">
        <v>7781</v>
      </c>
      <c r="B3316" t="s">
        <v>94</v>
      </c>
    </row>
    <row r="3317" spans="1:2" x14ac:dyDescent="0.2">
      <c r="A3317" s="36" t="s">
        <v>7801</v>
      </c>
      <c r="B3317" t="s">
        <v>99</v>
      </c>
    </row>
    <row r="3318" spans="1:2" x14ac:dyDescent="0.2">
      <c r="A3318" s="36" t="s">
        <v>7790</v>
      </c>
      <c r="B3318" t="s">
        <v>104</v>
      </c>
    </row>
    <row r="3319" spans="1:2" x14ac:dyDescent="0.2">
      <c r="A3319" s="36" t="s">
        <v>7788</v>
      </c>
      <c r="B3319" t="s">
        <v>84</v>
      </c>
    </row>
    <row r="3320" spans="1:2" x14ac:dyDescent="0.2">
      <c r="A3320" s="36" t="s">
        <v>7825</v>
      </c>
      <c r="B3320" t="s">
        <v>101</v>
      </c>
    </row>
    <row r="3321" spans="1:2" x14ac:dyDescent="0.2">
      <c r="A3321" s="36" t="s">
        <v>7821</v>
      </c>
      <c r="B3321" t="s">
        <v>91</v>
      </c>
    </row>
    <row r="3322" spans="1:2" x14ac:dyDescent="0.2">
      <c r="A3322" s="36" t="s">
        <v>7830</v>
      </c>
      <c r="B3322" t="s">
        <v>93</v>
      </c>
    </row>
    <row r="3323" spans="1:2" x14ac:dyDescent="0.2">
      <c r="A3323" s="36" t="s">
        <v>7829</v>
      </c>
      <c r="B3323" t="s">
        <v>90</v>
      </c>
    </row>
    <row r="3324" spans="1:2" x14ac:dyDescent="0.2">
      <c r="A3324" s="36" t="s">
        <v>7820</v>
      </c>
      <c r="B3324" t="s">
        <v>95</v>
      </c>
    </row>
    <row r="3325" spans="1:2" x14ac:dyDescent="0.2">
      <c r="A3325" s="36" t="s">
        <v>7822</v>
      </c>
      <c r="B3325" t="s">
        <v>98</v>
      </c>
    </row>
    <row r="3326" spans="1:2" x14ac:dyDescent="0.2">
      <c r="A3326" s="36" t="s">
        <v>7805</v>
      </c>
      <c r="B3326" t="s">
        <v>103</v>
      </c>
    </row>
    <row r="3327" spans="1:2" x14ac:dyDescent="0.2">
      <c r="A3327" s="36" t="s">
        <v>7819</v>
      </c>
      <c r="B3327" t="s">
        <v>96</v>
      </c>
    </row>
    <row r="3328" spans="1:2" x14ac:dyDescent="0.2">
      <c r="A3328" s="36" t="s">
        <v>7824</v>
      </c>
      <c r="B3328" t="s">
        <v>97</v>
      </c>
    </row>
    <row r="3329" spans="1:2" x14ac:dyDescent="0.2">
      <c r="A3329" s="36" t="s">
        <v>7815</v>
      </c>
      <c r="B3329" t="s">
        <v>105</v>
      </c>
    </row>
    <row r="3330" spans="1:2" x14ac:dyDescent="0.2">
      <c r="A3330" s="36" t="s">
        <v>7800</v>
      </c>
      <c r="B3330" t="s">
        <v>94</v>
      </c>
    </row>
    <row r="3331" spans="1:2" x14ac:dyDescent="0.2">
      <c r="A3331" s="36" t="s">
        <v>7812</v>
      </c>
      <c r="B3331" t="s">
        <v>99</v>
      </c>
    </row>
    <row r="3332" spans="1:2" x14ac:dyDescent="0.2">
      <c r="A3332" s="36" t="s">
        <v>7816</v>
      </c>
      <c r="B3332" t="s">
        <v>104</v>
      </c>
    </row>
    <row r="3333" spans="1:2" x14ac:dyDescent="0.2">
      <c r="A3333" s="36" t="s">
        <v>7823</v>
      </c>
      <c r="B3333" t="s">
        <v>84</v>
      </c>
    </row>
    <row r="3334" spans="1:2" x14ac:dyDescent="0.2">
      <c r="A3334" s="36" t="s">
        <v>7799</v>
      </c>
      <c r="B3334" t="s">
        <v>101</v>
      </c>
    </row>
    <row r="3335" spans="1:2" x14ac:dyDescent="0.2">
      <c r="A3335" s="36" t="s">
        <v>7783</v>
      </c>
      <c r="B3335" t="s">
        <v>91</v>
      </c>
    </row>
    <row r="3336" spans="1:2" x14ac:dyDescent="0.2">
      <c r="A3336" s="36" t="s">
        <v>7779</v>
      </c>
      <c r="B3336" t="s">
        <v>93</v>
      </c>
    </row>
    <row r="3337" spans="1:2" x14ac:dyDescent="0.2">
      <c r="A3337" s="36" t="s">
        <v>7784</v>
      </c>
      <c r="B3337" t="s">
        <v>90</v>
      </c>
    </row>
    <row r="3338" spans="1:2" x14ac:dyDescent="0.2">
      <c r="A3338" s="36" t="s">
        <v>7796</v>
      </c>
      <c r="B3338" t="s">
        <v>95</v>
      </c>
    </row>
    <row r="3339" spans="1:2" x14ac:dyDescent="0.2">
      <c r="A3339" s="36" t="s">
        <v>7797</v>
      </c>
      <c r="B3339" t="s">
        <v>98</v>
      </c>
    </row>
    <row r="3340" spans="1:2" x14ac:dyDescent="0.2">
      <c r="A3340" s="36" t="s">
        <v>7795</v>
      </c>
      <c r="B3340" t="s">
        <v>103</v>
      </c>
    </row>
    <row r="3341" spans="1:2" x14ac:dyDescent="0.2">
      <c r="A3341" s="36" t="s">
        <v>7778</v>
      </c>
      <c r="B3341" t="s">
        <v>96</v>
      </c>
    </row>
    <row r="3342" spans="1:2" x14ac:dyDescent="0.2">
      <c r="A3342" s="36" t="s">
        <v>7794</v>
      </c>
      <c r="B3342" t="s">
        <v>84</v>
      </c>
    </row>
    <row r="3343" spans="1:2" x14ac:dyDescent="0.2">
      <c r="A3343" s="36" t="s">
        <v>7787</v>
      </c>
      <c r="B3343" t="s">
        <v>97</v>
      </c>
    </row>
    <row r="3344" spans="1:2" x14ac:dyDescent="0.2">
      <c r="A3344" s="36" t="s">
        <v>7793</v>
      </c>
      <c r="B3344" t="s">
        <v>105</v>
      </c>
    </row>
    <row r="3345" spans="1:2" x14ac:dyDescent="0.2">
      <c r="A3345" s="36" t="s">
        <v>7792</v>
      </c>
      <c r="B3345" t="s">
        <v>94</v>
      </c>
    </row>
    <row r="3346" spans="1:2" x14ac:dyDescent="0.2">
      <c r="A3346" s="36" t="s">
        <v>7832</v>
      </c>
      <c r="B3346" t="s">
        <v>87</v>
      </c>
    </row>
    <row r="3347" spans="1:2" x14ac:dyDescent="0.2">
      <c r="A3347" s="36" t="s">
        <v>7833</v>
      </c>
      <c r="B3347" t="s">
        <v>92</v>
      </c>
    </row>
    <row r="3348" spans="1:2" x14ac:dyDescent="0.2">
      <c r="A3348" s="36" t="s">
        <v>7837</v>
      </c>
      <c r="B3348" t="s">
        <v>100</v>
      </c>
    </row>
    <row r="3349" spans="1:2" x14ac:dyDescent="0.2">
      <c r="A3349" s="36" t="s">
        <v>7836</v>
      </c>
      <c r="B3349" t="s">
        <v>87</v>
      </c>
    </row>
    <row r="3350" spans="1:2" x14ac:dyDescent="0.2">
      <c r="A3350" s="36" t="s">
        <v>7834</v>
      </c>
      <c r="B3350" t="s">
        <v>100</v>
      </c>
    </row>
    <row r="3351" spans="1:2" x14ac:dyDescent="0.2">
      <c r="A3351" s="36" t="s">
        <v>7838</v>
      </c>
      <c r="B3351" t="s">
        <v>87</v>
      </c>
    </row>
    <row r="3352" spans="1:2" x14ac:dyDescent="0.2">
      <c r="A3352" s="36" t="s">
        <v>7835</v>
      </c>
      <c r="B3352" t="s">
        <v>100</v>
      </c>
    </row>
    <row r="3353" spans="1:2" x14ac:dyDescent="0.2">
      <c r="A3353" s="36" t="s">
        <v>7839</v>
      </c>
      <c r="B3353" t="s">
        <v>99</v>
      </c>
    </row>
    <row r="3354" spans="1:2" x14ac:dyDescent="0.2">
      <c r="A3354" s="36" t="s">
        <v>7840</v>
      </c>
      <c r="B3354" t="s">
        <v>89</v>
      </c>
    </row>
    <row r="3355" spans="1:2" x14ac:dyDescent="0.2">
      <c r="A3355" s="36" t="s">
        <v>7841</v>
      </c>
      <c r="B3355" t="s">
        <v>88</v>
      </c>
    </row>
    <row r="3356" spans="1:2" x14ac:dyDescent="0.2">
      <c r="A3356" s="36" t="s">
        <v>7842</v>
      </c>
      <c r="B3356" t="s">
        <v>104</v>
      </c>
    </row>
    <row r="3357" spans="1:2" x14ac:dyDescent="0.2">
      <c r="A3357" s="36" t="s">
        <v>7847</v>
      </c>
      <c r="B3357" t="s">
        <v>99</v>
      </c>
    </row>
    <row r="3358" spans="1:2" x14ac:dyDescent="0.2">
      <c r="A3358" s="36" t="s">
        <v>7846</v>
      </c>
      <c r="B3358" t="s">
        <v>101</v>
      </c>
    </row>
    <row r="3359" spans="1:2" x14ac:dyDescent="0.2">
      <c r="A3359" s="36" t="s">
        <v>7845</v>
      </c>
      <c r="B3359" t="s">
        <v>91</v>
      </c>
    </row>
    <row r="3360" spans="1:2" x14ac:dyDescent="0.2">
      <c r="A3360" s="36" t="s">
        <v>7844</v>
      </c>
      <c r="B3360" t="s">
        <v>99</v>
      </c>
    </row>
    <row r="3361" spans="1:2" x14ac:dyDescent="0.2">
      <c r="A3361" s="36" t="s">
        <v>7843</v>
      </c>
      <c r="B3361" t="s">
        <v>101</v>
      </c>
    </row>
    <row r="3362" spans="1:2" x14ac:dyDescent="0.2">
      <c r="A3362" s="36" t="s">
        <v>7849</v>
      </c>
      <c r="B3362" t="s">
        <v>92</v>
      </c>
    </row>
    <row r="3363" spans="1:2" x14ac:dyDescent="0.2">
      <c r="A3363" s="36" t="s">
        <v>7848</v>
      </c>
      <c r="B3363" t="s">
        <v>93</v>
      </c>
    </row>
    <row r="3364" spans="1:2" x14ac:dyDescent="0.2">
      <c r="A3364" s="36" t="s">
        <v>7851</v>
      </c>
      <c r="B3364" t="s">
        <v>90</v>
      </c>
    </row>
    <row r="3365" spans="1:2" x14ac:dyDescent="0.2">
      <c r="A3365" s="36" t="s">
        <v>7850</v>
      </c>
      <c r="B3365" t="s">
        <v>95</v>
      </c>
    </row>
    <row r="3366" spans="1:2" x14ac:dyDescent="0.2">
      <c r="A3366" s="36" t="s">
        <v>7852</v>
      </c>
      <c r="B3366" t="s">
        <v>89</v>
      </c>
    </row>
    <row r="3367" spans="1:2" x14ac:dyDescent="0.2">
      <c r="A3367" s="36" t="s">
        <v>7853</v>
      </c>
      <c r="B3367" t="s">
        <v>98</v>
      </c>
    </row>
    <row r="3368" spans="1:2" x14ac:dyDescent="0.2">
      <c r="A3368" s="36" t="s">
        <v>7862</v>
      </c>
      <c r="B3368" t="s">
        <v>104</v>
      </c>
    </row>
    <row r="3369" spans="1:2" x14ac:dyDescent="0.2">
      <c r="A3369" s="36" t="s">
        <v>7857</v>
      </c>
      <c r="B3369" t="s">
        <v>103</v>
      </c>
    </row>
    <row r="3370" spans="1:2" x14ac:dyDescent="0.2">
      <c r="A3370" s="36" t="s">
        <v>7860</v>
      </c>
      <c r="B3370" t="s">
        <v>104</v>
      </c>
    </row>
    <row r="3371" spans="1:2" x14ac:dyDescent="0.2">
      <c r="A3371" s="36" t="s">
        <v>7856</v>
      </c>
      <c r="B3371" t="s">
        <v>103</v>
      </c>
    </row>
    <row r="3372" spans="1:2" x14ac:dyDescent="0.2">
      <c r="A3372" s="36" t="s">
        <v>7859</v>
      </c>
      <c r="B3372" t="s">
        <v>104</v>
      </c>
    </row>
    <row r="3373" spans="1:2" x14ac:dyDescent="0.2">
      <c r="A3373" s="36" t="s">
        <v>7861</v>
      </c>
      <c r="B3373" t="s">
        <v>103</v>
      </c>
    </row>
    <row r="3374" spans="1:2" x14ac:dyDescent="0.2">
      <c r="A3374" s="36" t="s">
        <v>7854</v>
      </c>
      <c r="B3374" t="s">
        <v>104</v>
      </c>
    </row>
    <row r="3375" spans="1:2" x14ac:dyDescent="0.2">
      <c r="A3375" s="36" t="s">
        <v>7858</v>
      </c>
      <c r="B3375" t="s">
        <v>103</v>
      </c>
    </row>
    <row r="3376" spans="1:2" x14ac:dyDescent="0.2">
      <c r="A3376" s="36" t="s">
        <v>7855</v>
      </c>
      <c r="B3376" t="s">
        <v>104</v>
      </c>
    </row>
    <row r="3377" spans="1:2" x14ac:dyDescent="0.2">
      <c r="A3377" s="36" t="s">
        <v>7864</v>
      </c>
      <c r="B3377" t="s">
        <v>96</v>
      </c>
    </row>
    <row r="3378" spans="1:2" x14ac:dyDescent="0.2">
      <c r="A3378" s="36" t="s">
        <v>7865</v>
      </c>
      <c r="B3378" t="s">
        <v>92</v>
      </c>
    </row>
    <row r="3379" spans="1:2" x14ac:dyDescent="0.2">
      <c r="A3379" s="36" t="s">
        <v>7870</v>
      </c>
      <c r="B3379" t="s">
        <v>84</v>
      </c>
    </row>
    <row r="3380" spans="1:2" x14ac:dyDescent="0.2">
      <c r="A3380" s="36" t="s">
        <v>7869</v>
      </c>
      <c r="B3380" t="s">
        <v>97</v>
      </c>
    </row>
    <row r="3381" spans="1:2" x14ac:dyDescent="0.2">
      <c r="A3381" s="36" t="s">
        <v>7866</v>
      </c>
      <c r="B3381" t="s">
        <v>97</v>
      </c>
    </row>
    <row r="3382" spans="1:2" x14ac:dyDescent="0.2">
      <c r="A3382" s="36" t="s">
        <v>7868</v>
      </c>
      <c r="B3382" t="s">
        <v>96</v>
      </c>
    </row>
    <row r="3383" spans="1:2" x14ac:dyDescent="0.2">
      <c r="A3383" s="36" t="s">
        <v>7871</v>
      </c>
      <c r="B3383" t="s">
        <v>92</v>
      </c>
    </row>
    <row r="3384" spans="1:2" x14ac:dyDescent="0.2">
      <c r="A3384" s="36" t="s">
        <v>7867</v>
      </c>
      <c r="B3384" t="s">
        <v>84</v>
      </c>
    </row>
    <row r="3385" spans="1:2" x14ac:dyDescent="0.2">
      <c r="A3385" s="36" t="s">
        <v>7863</v>
      </c>
      <c r="B3385" t="s">
        <v>97</v>
      </c>
    </row>
    <row r="3386" spans="1:2" x14ac:dyDescent="0.2">
      <c r="A3386" s="36" t="s">
        <v>7874</v>
      </c>
      <c r="B3386" t="s">
        <v>88</v>
      </c>
    </row>
    <row r="3387" spans="1:2" x14ac:dyDescent="0.2">
      <c r="A3387" s="36" t="s">
        <v>7872</v>
      </c>
      <c r="B3387" t="s">
        <v>105</v>
      </c>
    </row>
    <row r="3388" spans="1:2" x14ac:dyDescent="0.2">
      <c r="A3388" s="36" t="s">
        <v>7873</v>
      </c>
      <c r="B3388" t="s">
        <v>94</v>
      </c>
    </row>
    <row r="3389" spans="1:2" x14ac:dyDescent="0.2">
      <c r="A3389" s="36" t="s">
        <v>7878</v>
      </c>
      <c r="B3389" t="s">
        <v>98</v>
      </c>
    </row>
    <row r="3390" spans="1:2" x14ac:dyDescent="0.2">
      <c r="A3390" s="36" t="s">
        <v>7880</v>
      </c>
      <c r="B3390" t="s">
        <v>88</v>
      </c>
    </row>
    <row r="3391" spans="1:2" x14ac:dyDescent="0.2">
      <c r="A3391" s="36" t="s">
        <v>7876</v>
      </c>
      <c r="B3391" t="s">
        <v>98</v>
      </c>
    </row>
    <row r="3392" spans="1:2" x14ac:dyDescent="0.2">
      <c r="A3392" s="36" t="s">
        <v>7879</v>
      </c>
      <c r="B3392" t="s">
        <v>88</v>
      </c>
    </row>
    <row r="3393" spans="1:2" x14ac:dyDescent="0.2">
      <c r="A3393" s="36" t="s">
        <v>7875</v>
      </c>
      <c r="B3393" t="s">
        <v>88</v>
      </c>
    </row>
    <row r="3394" spans="1:2" x14ac:dyDescent="0.2">
      <c r="A3394" s="36" t="s">
        <v>7877</v>
      </c>
      <c r="B3394" t="s">
        <v>98</v>
      </c>
    </row>
    <row r="3395" spans="1:2" x14ac:dyDescent="0.2">
      <c r="A3395" s="36" t="s">
        <v>7901</v>
      </c>
      <c r="B3395" t="s">
        <v>105</v>
      </c>
    </row>
    <row r="3396" spans="1:2" x14ac:dyDescent="0.2">
      <c r="A3396" s="36" t="s">
        <v>7895</v>
      </c>
      <c r="B3396" t="s">
        <v>94</v>
      </c>
    </row>
    <row r="3397" spans="1:2" x14ac:dyDescent="0.2">
      <c r="A3397" s="36" t="s">
        <v>7898</v>
      </c>
      <c r="B3397" t="s">
        <v>93</v>
      </c>
    </row>
    <row r="3398" spans="1:2" x14ac:dyDescent="0.2">
      <c r="A3398" s="36" t="s">
        <v>7905</v>
      </c>
      <c r="B3398" t="s">
        <v>105</v>
      </c>
    </row>
    <row r="3399" spans="1:2" x14ac:dyDescent="0.2">
      <c r="A3399" s="36" t="s">
        <v>7894</v>
      </c>
      <c r="B3399" t="s">
        <v>94</v>
      </c>
    </row>
    <row r="3400" spans="1:2" x14ac:dyDescent="0.2">
      <c r="A3400" s="36" t="s">
        <v>7897</v>
      </c>
      <c r="B3400" t="s">
        <v>93</v>
      </c>
    </row>
    <row r="3401" spans="1:2" x14ac:dyDescent="0.2">
      <c r="A3401" s="36" t="s">
        <v>7893</v>
      </c>
      <c r="B3401" t="s">
        <v>105</v>
      </c>
    </row>
    <row r="3402" spans="1:2" x14ac:dyDescent="0.2">
      <c r="A3402" s="36" t="s">
        <v>7900</v>
      </c>
      <c r="B3402" t="s">
        <v>94</v>
      </c>
    </row>
    <row r="3403" spans="1:2" x14ac:dyDescent="0.2">
      <c r="A3403" s="36" t="s">
        <v>7891</v>
      </c>
      <c r="B3403" t="s">
        <v>93</v>
      </c>
    </row>
    <row r="3404" spans="1:2" x14ac:dyDescent="0.2">
      <c r="A3404" s="36" t="s">
        <v>7899</v>
      </c>
      <c r="B3404" t="s">
        <v>105</v>
      </c>
    </row>
    <row r="3405" spans="1:2" x14ac:dyDescent="0.2">
      <c r="A3405" s="36" t="s">
        <v>7883</v>
      </c>
      <c r="B3405" t="s">
        <v>94</v>
      </c>
    </row>
    <row r="3406" spans="1:2" x14ac:dyDescent="0.2">
      <c r="A3406" s="36" t="s">
        <v>7896</v>
      </c>
      <c r="B3406" t="s">
        <v>93</v>
      </c>
    </row>
    <row r="3407" spans="1:2" x14ac:dyDescent="0.2">
      <c r="A3407" s="36" t="s">
        <v>7906</v>
      </c>
      <c r="B3407" t="s">
        <v>105</v>
      </c>
    </row>
    <row r="3408" spans="1:2" x14ac:dyDescent="0.2">
      <c r="A3408" s="36" t="s">
        <v>7886</v>
      </c>
      <c r="B3408" t="s">
        <v>94</v>
      </c>
    </row>
    <row r="3409" spans="1:2" x14ac:dyDescent="0.2">
      <c r="A3409" s="36" t="s">
        <v>7904</v>
      </c>
      <c r="B3409" t="s">
        <v>93</v>
      </c>
    </row>
    <row r="3410" spans="1:2" x14ac:dyDescent="0.2">
      <c r="A3410" s="36" t="s">
        <v>7887</v>
      </c>
      <c r="B3410" t="s">
        <v>105</v>
      </c>
    </row>
    <row r="3411" spans="1:2" x14ac:dyDescent="0.2">
      <c r="A3411" s="36" t="s">
        <v>7888</v>
      </c>
      <c r="B3411" t="s">
        <v>94</v>
      </c>
    </row>
    <row r="3412" spans="1:2" x14ac:dyDescent="0.2">
      <c r="A3412" s="36" t="s">
        <v>7890</v>
      </c>
      <c r="B3412" t="s">
        <v>93</v>
      </c>
    </row>
    <row r="3413" spans="1:2" x14ac:dyDescent="0.2">
      <c r="A3413" s="36" t="s">
        <v>7881</v>
      </c>
      <c r="B3413" t="s">
        <v>105</v>
      </c>
    </row>
    <row r="3414" spans="1:2" x14ac:dyDescent="0.2">
      <c r="A3414" s="36" t="s">
        <v>7892</v>
      </c>
      <c r="B3414" t="s">
        <v>94</v>
      </c>
    </row>
    <row r="3415" spans="1:2" x14ac:dyDescent="0.2">
      <c r="A3415" s="36" t="s">
        <v>7902</v>
      </c>
      <c r="B3415" t="s">
        <v>93</v>
      </c>
    </row>
    <row r="3416" spans="1:2" x14ac:dyDescent="0.2">
      <c r="A3416" s="36" t="s">
        <v>7889</v>
      </c>
      <c r="B3416" t="s">
        <v>105</v>
      </c>
    </row>
    <row r="3417" spans="1:2" x14ac:dyDescent="0.2">
      <c r="A3417" s="36" t="s">
        <v>7903</v>
      </c>
      <c r="B3417" t="s">
        <v>94</v>
      </c>
    </row>
    <row r="3418" spans="1:2" x14ac:dyDescent="0.2">
      <c r="A3418" s="36" t="s">
        <v>7884</v>
      </c>
      <c r="B3418" t="s">
        <v>93</v>
      </c>
    </row>
    <row r="3419" spans="1:2" x14ac:dyDescent="0.2">
      <c r="A3419" s="36" t="s">
        <v>7882</v>
      </c>
      <c r="B3419" t="s">
        <v>105</v>
      </c>
    </row>
    <row r="3420" spans="1:2" x14ac:dyDescent="0.2">
      <c r="A3420" s="36" t="s">
        <v>7885</v>
      </c>
      <c r="B3420" t="s">
        <v>94</v>
      </c>
    </row>
    <row r="3421" spans="1:2" x14ac:dyDescent="0.2">
      <c r="A3421" s="36" t="s">
        <v>7928</v>
      </c>
      <c r="B3421" t="s">
        <v>90</v>
      </c>
    </row>
    <row r="3422" spans="1:2" x14ac:dyDescent="0.2">
      <c r="A3422" s="36" t="s">
        <v>7911</v>
      </c>
      <c r="B3422" t="s">
        <v>95</v>
      </c>
    </row>
    <row r="3423" spans="1:2" x14ac:dyDescent="0.2">
      <c r="A3423" s="36" t="s">
        <v>7907</v>
      </c>
      <c r="B3423" t="s">
        <v>91</v>
      </c>
    </row>
    <row r="3424" spans="1:2" x14ac:dyDescent="0.2">
      <c r="A3424" s="36" t="s">
        <v>7915</v>
      </c>
      <c r="B3424" t="s">
        <v>90</v>
      </c>
    </row>
    <row r="3425" spans="1:2" x14ac:dyDescent="0.2">
      <c r="A3425" s="36" t="s">
        <v>7926</v>
      </c>
      <c r="B3425" t="s">
        <v>87</v>
      </c>
    </row>
    <row r="3426" spans="1:2" x14ac:dyDescent="0.2">
      <c r="A3426" s="36" t="s">
        <v>7917</v>
      </c>
      <c r="B3426" t="s">
        <v>95</v>
      </c>
    </row>
    <row r="3427" spans="1:2" x14ac:dyDescent="0.2">
      <c r="A3427" s="36" t="s">
        <v>7914</v>
      </c>
      <c r="B3427" t="s">
        <v>91</v>
      </c>
    </row>
    <row r="3428" spans="1:2" x14ac:dyDescent="0.2">
      <c r="A3428" s="36" t="s">
        <v>7910</v>
      </c>
      <c r="B3428" t="s">
        <v>90</v>
      </c>
    </row>
    <row r="3429" spans="1:2" x14ac:dyDescent="0.2">
      <c r="A3429" s="36" t="s">
        <v>7923</v>
      </c>
      <c r="B3429" t="s">
        <v>87</v>
      </c>
    </row>
    <row r="3430" spans="1:2" x14ac:dyDescent="0.2">
      <c r="A3430" s="36" t="s">
        <v>7922</v>
      </c>
      <c r="B3430" t="s">
        <v>95</v>
      </c>
    </row>
    <row r="3431" spans="1:2" x14ac:dyDescent="0.2">
      <c r="A3431" s="36" t="s">
        <v>7908</v>
      </c>
      <c r="B3431" t="s">
        <v>91</v>
      </c>
    </row>
    <row r="3432" spans="1:2" x14ac:dyDescent="0.2">
      <c r="A3432" s="36" t="s">
        <v>7929</v>
      </c>
      <c r="B3432" t="s">
        <v>90</v>
      </c>
    </row>
    <row r="3433" spans="1:2" x14ac:dyDescent="0.2">
      <c r="A3433" s="36" t="s">
        <v>7927</v>
      </c>
      <c r="B3433" t="s">
        <v>87</v>
      </c>
    </row>
    <row r="3434" spans="1:2" x14ac:dyDescent="0.2">
      <c r="A3434" s="36" t="s">
        <v>7912</v>
      </c>
      <c r="B3434" t="s">
        <v>95</v>
      </c>
    </row>
    <row r="3435" spans="1:2" x14ac:dyDescent="0.2">
      <c r="A3435" s="36" t="s">
        <v>7919</v>
      </c>
      <c r="B3435" t="s">
        <v>91</v>
      </c>
    </row>
    <row r="3436" spans="1:2" x14ac:dyDescent="0.2">
      <c r="A3436" s="36" t="s">
        <v>7913</v>
      </c>
      <c r="B3436" t="s">
        <v>90</v>
      </c>
    </row>
    <row r="3437" spans="1:2" x14ac:dyDescent="0.2">
      <c r="A3437" s="36" t="s">
        <v>7925</v>
      </c>
      <c r="B3437" t="s">
        <v>87</v>
      </c>
    </row>
    <row r="3438" spans="1:2" x14ac:dyDescent="0.2">
      <c r="A3438" s="36" t="s">
        <v>7920</v>
      </c>
      <c r="B3438" t="s">
        <v>95</v>
      </c>
    </row>
    <row r="3439" spans="1:2" x14ac:dyDescent="0.2">
      <c r="A3439" s="36" t="s">
        <v>7924</v>
      </c>
      <c r="B3439" t="s">
        <v>91</v>
      </c>
    </row>
    <row r="3440" spans="1:2" x14ac:dyDescent="0.2">
      <c r="A3440" s="36" t="s">
        <v>7921</v>
      </c>
      <c r="B3440" t="s">
        <v>90</v>
      </c>
    </row>
    <row r="3441" spans="1:2" x14ac:dyDescent="0.2">
      <c r="A3441" s="36" t="s">
        <v>7918</v>
      </c>
      <c r="B3441" t="s">
        <v>87</v>
      </c>
    </row>
    <row r="3442" spans="1:2" x14ac:dyDescent="0.2">
      <c r="A3442" s="36" t="s">
        <v>7909</v>
      </c>
      <c r="B3442" t="s">
        <v>95</v>
      </c>
    </row>
    <row r="3443" spans="1:2" x14ac:dyDescent="0.2">
      <c r="A3443" s="36" t="s">
        <v>7916</v>
      </c>
      <c r="B3443" t="s">
        <v>91</v>
      </c>
    </row>
    <row r="3444" spans="1:2" x14ac:dyDescent="0.2">
      <c r="A3444" s="36" t="s">
        <v>7934</v>
      </c>
      <c r="B3444" t="s">
        <v>89</v>
      </c>
    </row>
    <row r="3445" spans="1:2" x14ac:dyDescent="0.2">
      <c r="A3445" s="36" t="s">
        <v>7931</v>
      </c>
      <c r="B3445" t="s">
        <v>101</v>
      </c>
    </row>
    <row r="3446" spans="1:2" x14ac:dyDescent="0.2">
      <c r="A3446" s="36" t="s">
        <v>7933</v>
      </c>
      <c r="B3446" t="s">
        <v>100</v>
      </c>
    </row>
    <row r="3447" spans="1:2" x14ac:dyDescent="0.2">
      <c r="A3447" s="36" t="s">
        <v>7930</v>
      </c>
      <c r="B3447" t="s">
        <v>96</v>
      </c>
    </row>
    <row r="3448" spans="1:2" x14ac:dyDescent="0.2">
      <c r="A3448" s="36" t="s">
        <v>7932</v>
      </c>
      <c r="B3448" t="s">
        <v>92</v>
      </c>
    </row>
    <row r="3449" spans="1:2" x14ac:dyDescent="0.2">
      <c r="A3449" s="36" t="s">
        <v>7935</v>
      </c>
      <c r="B3449" t="s">
        <v>84</v>
      </c>
    </row>
    <row r="3450" spans="1:2" x14ac:dyDescent="0.2">
      <c r="A3450" s="36" t="s">
        <v>7936</v>
      </c>
      <c r="B3450" t="s">
        <v>97</v>
      </c>
    </row>
    <row r="3451" spans="1:2" x14ac:dyDescent="0.2">
      <c r="A3451" s="36" t="s">
        <v>7937</v>
      </c>
      <c r="B3451" t="s">
        <v>97</v>
      </c>
    </row>
    <row r="3452" spans="1:2" x14ac:dyDescent="0.2">
      <c r="A3452" s="36" t="s">
        <v>7938</v>
      </c>
      <c r="B3452" t="s">
        <v>84</v>
      </c>
    </row>
    <row r="3453" spans="1:2" x14ac:dyDescent="0.2">
      <c r="A3453" s="36" t="s">
        <v>7939</v>
      </c>
      <c r="B3453" t="s">
        <v>88</v>
      </c>
    </row>
    <row r="3454" spans="1:2" x14ac:dyDescent="0.2">
      <c r="A3454" s="36" t="s">
        <v>7940</v>
      </c>
      <c r="B3454" t="s">
        <v>98</v>
      </c>
    </row>
    <row r="3455" spans="1:2" x14ac:dyDescent="0.2">
      <c r="A3455" s="36" t="s">
        <v>7941</v>
      </c>
      <c r="B3455" t="s">
        <v>99</v>
      </c>
    </row>
    <row r="3456" spans="1:2" x14ac:dyDescent="0.2">
      <c r="A3456" s="36" t="s">
        <v>7942</v>
      </c>
      <c r="B3456" t="s">
        <v>97</v>
      </c>
    </row>
    <row r="3457" spans="1:2" x14ac:dyDescent="0.2">
      <c r="A3457" s="36" t="s">
        <v>7943</v>
      </c>
      <c r="B3457" t="s">
        <v>84</v>
      </c>
    </row>
    <row r="3458" spans="1:2" x14ac:dyDescent="0.2">
      <c r="A3458" s="36" t="s">
        <v>7949</v>
      </c>
      <c r="B3458" t="s">
        <v>99</v>
      </c>
    </row>
    <row r="3459" spans="1:2" x14ac:dyDescent="0.2">
      <c r="A3459" s="36" t="s">
        <v>7944</v>
      </c>
      <c r="B3459" t="s">
        <v>97</v>
      </c>
    </row>
    <row r="3460" spans="1:2" x14ac:dyDescent="0.2">
      <c r="A3460" s="36" t="s">
        <v>7945</v>
      </c>
      <c r="B3460" t="s">
        <v>89</v>
      </c>
    </row>
    <row r="3461" spans="1:2" x14ac:dyDescent="0.2">
      <c r="A3461" s="36" t="s">
        <v>7946</v>
      </c>
      <c r="B3461" t="s">
        <v>84</v>
      </c>
    </row>
    <row r="3462" spans="1:2" x14ac:dyDescent="0.2">
      <c r="A3462" s="36" t="s">
        <v>7947</v>
      </c>
      <c r="B3462" t="s">
        <v>101</v>
      </c>
    </row>
    <row r="3463" spans="1:2" x14ac:dyDescent="0.2">
      <c r="A3463" s="36" t="s">
        <v>7948</v>
      </c>
      <c r="B3463" t="s">
        <v>99</v>
      </c>
    </row>
    <row r="3464" spans="1:2" x14ac:dyDescent="0.2">
      <c r="A3464" s="36" t="s">
        <v>7951</v>
      </c>
      <c r="B3464" t="s">
        <v>100</v>
      </c>
    </row>
    <row r="3465" spans="1:2" x14ac:dyDescent="0.2">
      <c r="A3465" s="36" t="s">
        <v>7952</v>
      </c>
      <c r="B3465" t="s">
        <v>96</v>
      </c>
    </row>
    <row r="3466" spans="1:2" x14ac:dyDescent="0.2">
      <c r="A3466" s="36" t="s">
        <v>7950</v>
      </c>
      <c r="B3466" t="s">
        <v>98</v>
      </c>
    </row>
    <row r="3467" spans="1:2" x14ac:dyDescent="0.2">
      <c r="A3467" s="36" t="s">
        <v>7953</v>
      </c>
      <c r="B3467" t="s">
        <v>92</v>
      </c>
    </row>
    <row r="3468" spans="1:2" x14ac:dyDescent="0.2">
      <c r="A3468" s="36" t="s">
        <v>7959</v>
      </c>
      <c r="B3468" t="s">
        <v>97</v>
      </c>
    </row>
    <row r="3469" spans="1:2" x14ac:dyDescent="0.2">
      <c r="A3469" s="36" t="s">
        <v>7979</v>
      </c>
      <c r="B3469" t="s">
        <v>92</v>
      </c>
    </row>
    <row r="3470" spans="1:2" x14ac:dyDescent="0.2">
      <c r="A3470" s="36" t="s">
        <v>7961</v>
      </c>
      <c r="B3470" t="s">
        <v>89</v>
      </c>
    </row>
    <row r="3471" spans="1:2" x14ac:dyDescent="0.2">
      <c r="A3471" s="36" t="s">
        <v>7960</v>
      </c>
      <c r="B3471" t="s">
        <v>84</v>
      </c>
    </row>
    <row r="3472" spans="1:2" x14ac:dyDescent="0.2">
      <c r="A3472" s="36" t="s">
        <v>7997</v>
      </c>
      <c r="B3472" t="s">
        <v>101</v>
      </c>
    </row>
    <row r="3473" spans="1:2" x14ac:dyDescent="0.2">
      <c r="A3473" s="36" t="s">
        <v>7995</v>
      </c>
      <c r="B3473" t="s">
        <v>88</v>
      </c>
    </row>
    <row r="3474" spans="1:2" x14ac:dyDescent="0.2">
      <c r="A3474" s="36" t="s">
        <v>7978</v>
      </c>
      <c r="B3474" t="s">
        <v>100</v>
      </c>
    </row>
    <row r="3475" spans="1:2" x14ac:dyDescent="0.2">
      <c r="A3475" s="36" t="s">
        <v>7983</v>
      </c>
      <c r="B3475" t="s">
        <v>96</v>
      </c>
    </row>
    <row r="3476" spans="1:2" x14ac:dyDescent="0.2">
      <c r="A3476" s="36" t="s">
        <v>7981</v>
      </c>
      <c r="B3476" t="s">
        <v>97</v>
      </c>
    </row>
    <row r="3477" spans="1:2" x14ac:dyDescent="0.2">
      <c r="A3477" s="36" t="s">
        <v>7990</v>
      </c>
      <c r="B3477" t="s">
        <v>92</v>
      </c>
    </row>
    <row r="3478" spans="1:2" x14ac:dyDescent="0.2">
      <c r="A3478" s="36" t="s">
        <v>8002</v>
      </c>
      <c r="B3478" t="s">
        <v>89</v>
      </c>
    </row>
    <row r="3479" spans="1:2" x14ac:dyDescent="0.2">
      <c r="A3479" s="36" t="s">
        <v>7986</v>
      </c>
      <c r="B3479" t="s">
        <v>84</v>
      </c>
    </row>
    <row r="3480" spans="1:2" x14ac:dyDescent="0.2">
      <c r="A3480" s="36" t="s">
        <v>7955</v>
      </c>
      <c r="B3480" t="s">
        <v>101</v>
      </c>
    </row>
    <row r="3481" spans="1:2" x14ac:dyDescent="0.2">
      <c r="A3481" s="36" t="s">
        <v>7963</v>
      </c>
      <c r="B3481" t="s">
        <v>88</v>
      </c>
    </row>
    <row r="3482" spans="1:2" x14ac:dyDescent="0.2">
      <c r="A3482" s="36" t="s">
        <v>7993</v>
      </c>
      <c r="B3482" t="s">
        <v>100</v>
      </c>
    </row>
    <row r="3483" spans="1:2" x14ac:dyDescent="0.2">
      <c r="A3483" s="36" t="s">
        <v>7989</v>
      </c>
      <c r="B3483" t="s">
        <v>96</v>
      </c>
    </row>
    <row r="3484" spans="1:2" x14ac:dyDescent="0.2">
      <c r="A3484" s="36" t="s">
        <v>7996</v>
      </c>
      <c r="B3484" t="s">
        <v>96</v>
      </c>
    </row>
    <row r="3485" spans="1:2" x14ac:dyDescent="0.2">
      <c r="A3485" s="36" t="s">
        <v>7992</v>
      </c>
      <c r="B3485" t="s">
        <v>97</v>
      </c>
    </row>
    <row r="3486" spans="1:2" x14ac:dyDescent="0.2">
      <c r="A3486" s="36" t="s">
        <v>7988</v>
      </c>
      <c r="B3486" t="s">
        <v>92</v>
      </c>
    </row>
    <row r="3487" spans="1:2" x14ac:dyDescent="0.2">
      <c r="A3487" s="36" t="s">
        <v>7954</v>
      </c>
      <c r="B3487" t="s">
        <v>89</v>
      </c>
    </row>
    <row r="3488" spans="1:2" x14ac:dyDescent="0.2">
      <c r="A3488" s="36" t="s">
        <v>7991</v>
      </c>
      <c r="B3488" t="s">
        <v>84</v>
      </c>
    </row>
    <row r="3489" spans="1:2" x14ac:dyDescent="0.2">
      <c r="A3489" s="36" t="s">
        <v>7958</v>
      </c>
      <c r="B3489" t="s">
        <v>101</v>
      </c>
    </row>
    <row r="3490" spans="1:2" x14ac:dyDescent="0.2">
      <c r="A3490" s="36" t="s">
        <v>7975</v>
      </c>
      <c r="B3490" t="s">
        <v>88</v>
      </c>
    </row>
    <row r="3491" spans="1:2" x14ac:dyDescent="0.2">
      <c r="A3491" s="36" t="s">
        <v>7987</v>
      </c>
      <c r="B3491" t="s">
        <v>100</v>
      </c>
    </row>
    <row r="3492" spans="1:2" x14ac:dyDescent="0.2">
      <c r="A3492" s="36" t="s">
        <v>7964</v>
      </c>
      <c r="B3492" t="s">
        <v>96</v>
      </c>
    </row>
    <row r="3493" spans="1:2" x14ac:dyDescent="0.2">
      <c r="A3493" s="36" t="s">
        <v>7977</v>
      </c>
      <c r="B3493" t="s">
        <v>97</v>
      </c>
    </row>
    <row r="3494" spans="1:2" x14ac:dyDescent="0.2">
      <c r="A3494" s="36" t="s">
        <v>7976</v>
      </c>
      <c r="B3494" t="s">
        <v>92</v>
      </c>
    </row>
    <row r="3495" spans="1:2" x14ac:dyDescent="0.2">
      <c r="A3495" s="36" t="s">
        <v>7998</v>
      </c>
      <c r="B3495" t="s">
        <v>89</v>
      </c>
    </row>
    <row r="3496" spans="1:2" x14ac:dyDescent="0.2">
      <c r="A3496" s="36" t="s">
        <v>7980</v>
      </c>
      <c r="B3496" t="s">
        <v>84</v>
      </c>
    </row>
    <row r="3497" spans="1:2" x14ac:dyDescent="0.2">
      <c r="A3497" s="36" t="s">
        <v>8001</v>
      </c>
      <c r="B3497" t="s">
        <v>101</v>
      </c>
    </row>
    <row r="3498" spans="1:2" x14ac:dyDescent="0.2">
      <c r="A3498" s="36" t="s">
        <v>7982</v>
      </c>
      <c r="B3498" t="s">
        <v>88</v>
      </c>
    </row>
    <row r="3499" spans="1:2" x14ac:dyDescent="0.2">
      <c r="A3499" s="36" t="s">
        <v>7985</v>
      </c>
      <c r="B3499" t="s">
        <v>100</v>
      </c>
    </row>
    <row r="3500" spans="1:2" x14ac:dyDescent="0.2">
      <c r="A3500" s="36" t="s">
        <v>7984</v>
      </c>
      <c r="B3500" t="s">
        <v>96</v>
      </c>
    </row>
    <row r="3501" spans="1:2" x14ac:dyDescent="0.2">
      <c r="A3501" s="36" t="s">
        <v>7973</v>
      </c>
      <c r="B3501" t="s">
        <v>97</v>
      </c>
    </row>
    <row r="3502" spans="1:2" x14ac:dyDescent="0.2">
      <c r="A3502" s="36" t="s">
        <v>7970</v>
      </c>
      <c r="B3502" t="s">
        <v>92</v>
      </c>
    </row>
    <row r="3503" spans="1:2" x14ac:dyDescent="0.2">
      <c r="A3503" s="36" t="s">
        <v>7968</v>
      </c>
      <c r="B3503" t="s">
        <v>89</v>
      </c>
    </row>
    <row r="3504" spans="1:2" x14ac:dyDescent="0.2">
      <c r="A3504" s="36" t="s">
        <v>7972</v>
      </c>
      <c r="B3504" t="s">
        <v>84</v>
      </c>
    </row>
    <row r="3505" spans="1:2" x14ac:dyDescent="0.2">
      <c r="A3505" s="36" t="s">
        <v>7966</v>
      </c>
      <c r="B3505" t="s">
        <v>101</v>
      </c>
    </row>
    <row r="3506" spans="1:2" x14ac:dyDescent="0.2">
      <c r="A3506" s="36" t="s">
        <v>7974</v>
      </c>
      <c r="B3506" t="s">
        <v>88</v>
      </c>
    </row>
    <row r="3507" spans="1:2" x14ac:dyDescent="0.2">
      <c r="A3507" s="36" t="s">
        <v>7957</v>
      </c>
      <c r="B3507" t="s">
        <v>100</v>
      </c>
    </row>
    <row r="3508" spans="1:2" x14ac:dyDescent="0.2">
      <c r="A3508" s="36" t="s">
        <v>7965</v>
      </c>
      <c r="B3508" t="s">
        <v>96</v>
      </c>
    </row>
    <row r="3509" spans="1:2" x14ac:dyDescent="0.2">
      <c r="A3509" s="36" t="s">
        <v>7969</v>
      </c>
      <c r="B3509" t="s">
        <v>97</v>
      </c>
    </row>
    <row r="3510" spans="1:2" x14ac:dyDescent="0.2">
      <c r="A3510" s="36" t="s">
        <v>7956</v>
      </c>
      <c r="B3510" t="s">
        <v>92</v>
      </c>
    </row>
    <row r="3511" spans="1:2" x14ac:dyDescent="0.2">
      <c r="A3511" s="36" t="s">
        <v>7967</v>
      </c>
      <c r="B3511" t="s">
        <v>89</v>
      </c>
    </row>
    <row r="3512" spans="1:2" x14ac:dyDescent="0.2">
      <c r="A3512" s="36" t="s">
        <v>8000</v>
      </c>
      <c r="B3512" t="s">
        <v>84</v>
      </c>
    </row>
    <row r="3513" spans="1:2" x14ac:dyDescent="0.2">
      <c r="A3513" s="36" t="s">
        <v>7962</v>
      </c>
      <c r="B3513" t="s">
        <v>101</v>
      </c>
    </row>
    <row r="3514" spans="1:2" x14ac:dyDescent="0.2">
      <c r="A3514" s="36" t="s">
        <v>7994</v>
      </c>
      <c r="B3514" t="s">
        <v>88</v>
      </c>
    </row>
    <row r="3515" spans="1:2" x14ac:dyDescent="0.2">
      <c r="A3515" s="36" t="s">
        <v>7999</v>
      </c>
      <c r="B3515" t="s">
        <v>100</v>
      </c>
    </row>
    <row r="3516" spans="1:2" x14ac:dyDescent="0.2">
      <c r="A3516" s="36" t="s">
        <v>7971</v>
      </c>
      <c r="B3516" t="s">
        <v>96</v>
      </c>
    </row>
    <row r="3517" spans="1:2" x14ac:dyDescent="0.2">
      <c r="A3517" s="36" t="s">
        <v>8003</v>
      </c>
      <c r="B3517" t="s">
        <v>98</v>
      </c>
    </row>
    <row r="3518" spans="1:2" x14ac:dyDescent="0.2">
      <c r="A3518" s="36" t="s">
        <v>8004</v>
      </c>
      <c r="B3518" t="s">
        <v>99</v>
      </c>
    </row>
    <row r="3519" spans="1:2" x14ac:dyDescent="0.2">
      <c r="A3519" s="36" t="s">
        <v>8005</v>
      </c>
      <c r="B3519" t="s">
        <v>90</v>
      </c>
    </row>
    <row r="3520" spans="1:2" x14ac:dyDescent="0.2">
      <c r="A3520" s="36" t="s">
        <v>8006</v>
      </c>
      <c r="B3520" t="s">
        <v>87</v>
      </c>
    </row>
    <row r="3521" spans="1:2" x14ac:dyDescent="0.2">
      <c r="A3521" s="36" t="s">
        <v>8008</v>
      </c>
      <c r="B3521" t="s">
        <v>95</v>
      </c>
    </row>
    <row r="3522" spans="1:2" x14ac:dyDescent="0.2">
      <c r="A3522" s="36" t="s">
        <v>8014</v>
      </c>
      <c r="B3522" t="s">
        <v>99</v>
      </c>
    </row>
    <row r="3523" spans="1:2" x14ac:dyDescent="0.2">
      <c r="A3523" s="36" t="s">
        <v>8009</v>
      </c>
      <c r="B3523" t="s">
        <v>98</v>
      </c>
    </row>
    <row r="3524" spans="1:2" x14ac:dyDescent="0.2">
      <c r="A3524" s="36" t="s">
        <v>8021</v>
      </c>
      <c r="B3524" t="s">
        <v>104</v>
      </c>
    </row>
    <row r="3525" spans="1:2" x14ac:dyDescent="0.2">
      <c r="A3525" s="36" t="s">
        <v>8023</v>
      </c>
      <c r="B3525" t="s">
        <v>87</v>
      </c>
    </row>
    <row r="3526" spans="1:2" x14ac:dyDescent="0.2">
      <c r="A3526" s="36" t="s">
        <v>8016</v>
      </c>
      <c r="B3526" t="s">
        <v>103</v>
      </c>
    </row>
    <row r="3527" spans="1:2" x14ac:dyDescent="0.2">
      <c r="A3527" s="36" t="s">
        <v>8015</v>
      </c>
      <c r="B3527" t="s">
        <v>104</v>
      </c>
    </row>
    <row r="3528" spans="1:2" x14ac:dyDescent="0.2">
      <c r="A3528" s="36" t="s">
        <v>8019</v>
      </c>
      <c r="B3528" t="s">
        <v>91</v>
      </c>
    </row>
    <row r="3529" spans="1:2" x14ac:dyDescent="0.2">
      <c r="A3529" s="36" t="s">
        <v>8007</v>
      </c>
      <c r="B3529" t="s">
        <v>95</v>
      </c>
    </row>
    <row r="3530" spans="1:2" x14ac:dyDescent="0.2">
      <c r="A3530" s="36" t="s">
        <v>8018</v>
      </c>
      <c r="B3530" t="s">
        <v>99</v>
      </c>
    </row>
    <row r="3531" spans="1:2" x14ac:dyDescent="0.2">
      <c r="A3531" s="36" t="s">
        <v>8011</v>
      </c>
      <c r="B3531" t="s">
        <v>98</v>
      </c>
    </row>
    <row r="3532" spans="1:2" x14ac:dyDescent="0.2">
      <c r="A3532" s="36" t="s">
        <v>8012</v>
      </c>
      <c r="B3532" t="s">
        <v>87</v>
      </c>
    </row>
    <row r="3533" spans="1:2" x14ac:dyDescent="0.2">
      <c r="A3533" s="36" t="s">
        <v>8010</v>
      </c>
      <c r="B3533" t="s">
        <v>90</v>
      </c>
    </row>
    <row r="3534" spans="1:2" x14ac:dyDescent="0.2">
      <c r="A3534" s="36" t="s">
        <v>8024</v>
      </c>
      <c r="B3534" t="s">
        <v>103</v>
      </c>
    </row>
    <row r="3535" spans="1:2" x14ac:dyDescent="0.2">
      <c r="A3535" s="36" t="s">
        <v>8020</v>
      </c>
      <c r="B3535" t="s">
        <v>104</v>
      </c>
    </row>
    <row r="3536" spans="1:2" x14ac:dyDescent="0.2">
      <c r="A3536" s="36" t="s">
        <v>8025</v>
      </c>
      <c r="B3536" t="s">
        <v>91</v>
      </c>
    </row>
    <row r="3537" spans="1:2" x14ac:dyDescent="0.2">
      <c r="A3537" s="36" t="s">
        <v>8022</v>
      </c>
      <c r="B3537" t="s">
        <v>95</v>
      </c>
    </row>
    <row r="3538" spans="1:2" x14ac:dyDescent="0.2">
      <c r="A3538" s="36" t="s">
        <v>8013</v>
      </c>
      <c r="B3538" t="s">
        <v>99</v>
      </c>
    </row>
    <row r="3539" spans="1:2" x14ac:dyDescent="0.2">
      <c r="A3539" s="36" t="s">
        <v>8017</v>
      </c>
      <c r="B3539" t="s">
        <v>98</v>
      </c>
    </row>
    <row r="3540" spans="1:2" x14ac:dyDescent="0.2">
      <c r="A3540" s="36" t="s">
        <v>8027</v>
      </c>
      <c r="B3540" t="s">
        <v>95</v>
      </c>
    </row>
    <row r="3541" spans="1:2" x14ac:dyDescent="0.2">
      <c r="A3541" s="36" t="s">
        <v>8026</v>
      </c>
      <c r="B3541" t="s">
        <v>93</v>
      </c>
    </row>
    <row r="3542" spans="1:2" x14ac:dyDescent="0.2">
      <c r="A3542" s="36" t="s">
        <v>8029</v>
      </c>
      <c r="B3542" t="s">
        <v>87</v>
      </c>
    </row>
    <row r="3543" spans="1:2" x14ac:dyDescent="0.2">
      <c r="A3543" s="36" t="s">
        <v>8028</v>
      </c>
      <c r="B3543" t="s">
        <v>90</v>
      </c>
    </row>
    <row r="3544" spans="1:2" x14ac:dyDescent="0.2">
      <c r="A3544" s="36" t="s">
        <v>8030</v>
      </c>
      <c r="B3544" t="s">
        <v>103</v>
      </c>
    </row>
    <row r="3545" spans="1:2" x14ac:dyDescent="0.2">
      <c r="A3545" s="36" t="s">
        <v>8031</v>
      </c>
      <c r="B3545" t="s">
        <v>104</v>
      </c>
    </row>
    <row r="3546" spans="1:2" x14ac:dyDescent="0.2">
      <c r="A3546" s="36" t="s">
        <v>8033</v>
      </c>
      <c r="B3546" t="s">
        <v>91</v>
      </c>
    </row>
    <row r="3547" spans="1:2" x14ac:dyDescent="0.2">
      <c r="A3547" s="36" t="s">
        <v>8034</v>
      </c>
      <c r="B3547" t="s">
        <v>93</v>
      </c>
    </row>
    <row r="3548" spans="1:2" x14ac:dyDescent="0.2">
      <c r="A3548" s="36" t="s">
        <v>8032</v>
      </c>
      <c r="B3548" t="s">
        <v>104</v>
      </c>
    </row>
    <row r="3549" spans="1:2" x14ac:dyDescent="0.2">
      <c r="A3549" s="36" t="s">
        <v>8036</v>
      </c>
      <c r="B3549" t="s">
        <v>99</v>
      </c>
    </row>
    <row r="3550" spans="1:2" x14ac:dyDescent="0.2">
      <c r="A3550" s="36" t="s">
        <v>8035</v>
      </c>
      <c r="B3550" t="s">
        <v>103</v>
      </c>
    </row>
    <row r="3551" spans="1:2" x14ac:dyDescent="0.2">
      <c r="A3551" s="36" t="s">
        <v>8038</v>
      </c>
      <c r="B3551" t="s">
        <v>98</v>
      </c>
    </row>
    <row r="3552" spans="1:2" x14ac:dyDescent="0.2">
      <c r="A3552" s="36" t="s">
        <v>8039</v>
      </c>
      <c r="B3552" t="s">
        <v>105</v>
      </c>
    </row>
    <row r="3553" spans="1:2" x14ac:dyDescent="0.2">
      <c r="A3553" s="36" t="s">
        <v>8037</v>
      </c>
      <c r="B3553" t="s">
        <v>94</v>
      </c>
    </row>
    <row r="3554" spans="1:2" x14ac:dyDescent="0.2">
      <c r="A3554" s="36" t="s">
        <v>8057</v>
      </c>
      <c r="B3554" t="s">
        <v>93</v>
      </c>
    </row>
    <row r="3555" spans="1:2" x14ac:dyDescent="0.2">
      <c r="A3555" s="36" t="s">
        <v>8053</v>
      </c>
      <c r="B3555" t="s">
        <v>98</v>
      </c>
    </row>
    <row r="3556" spans="1:2" x14ac:dyDescent="0.2">
      <c r="A3556" s="36" t="s">
        <v>8050</v>
      </c>
      <c r="B3556" t="s">
        <v>87</v>
      </c>
    </row>
    <row r="3557" spans="1:2" x14ac:dyDescent="0.2">
      <c r="A3557" s="36" t="s">
        <v>8051</v>
      </c>
      <c r="B3557" t="s">
        <v>93</v>
      </c>
    </row>
    <row r="3558" spans="1:2" x14ac:dyDescent="0.2">
      <c r="A3558" s="36" t="s">
        <v>8041</v>
      </c>
      <c r="B3558" t="s">
        <v>98</v>
      </c>
    </row>
    <row r="3559" spans="1:2" x14ac:dyDescent="0.2">
      <c r="A3559" s="36" t="s">
        <v>8055</v>
      </c>
      <c r="B3559" t="s">
        <v>87</v>
      </c>
    </row>
    <row r="3560" spans="1:2" x14ac:dyDescent="0.2">
      <c r="A3560" s="36" t="s">
        <v>8056</v>
      </c>
      <c r="B3560" t="s">
        <v>93</v>
      </c>
    </row>
    <row r="3561" spans="1:2" x14ac:dyDescent="0.2">
      <c r="A3561" s="36" t="s">
        <v>8042</v>
      </c>
      <c r="B3561" t="s">
        <v>98</v>
      </c>
    </row>
    <row r="3562" spans="1:2" x14ac:dyDescent="0.2">
      <c r="A3562" s="36" t="s">
        <v>8054</v>
      </c>
      <c r="B3562" t="s">
        <v>87</v>
      </c>
    </row>
    <row r="3563" spans="1:2" x14ac:dyDescent="0.2">
      <c r="A3563" s="36" t="s">
        <v>8045</v>
      </c>
      <c r="B3563" t="s">
        <v>98</v>
      </c>
    </row>
    <row r="3564" spans="1:2" x14ac:dyDescent="0.2">
      <c r="A3564" s="36" t="s">
        <v>8044</v>
      </c>
      <c r="B3564" t="s">
        <v>93</v>
      </c>
    </row>
    <row r="3565" spans="1:2" x14ac:dyDescent="0.2">
      <c r="A3565" s="36" t="s">
        <v>8046</v>
      </c>
      <c r="B3565" t="s">
        <v>87</v>
      </c>
    </row>
    <row r="3566" spans="1:2" x14ac:dyDescent="0.2">
      <c r="A3566" s="36" t="s">
        <v>8048</v>
      </c>
      <c r="B3566" t="s">
        <v>98</v>
      </c>
    </row>
    <row r="3567" spans="1:2" x14ac:dyDescent="0.2">
      <c r="A3567" s="36" t="s">
        <v>8047</v>
      </c>
      <c r="B3567" t="s">
        <v>87</v>
      </c>
    </row>
    <row r="3568" spans="1:2" x14ac:dyDescent="0.2">
      <c r="A3568" s="36" t="s">
        <v>8040</v>
      </c>
      <c r="B3568" t="s">
        <v>93</v>
      </c>
    </row>
    <row r="3569" spans="1:2" x14ac:dyDescent="0.2">
      <c r="A3569" s="36" t="s">
        <v>8043</v>
      </c>
      <c r="B3569" t="s">
        <v>98</v>
      </c>
    </row>
    <row r="3570" spans="1:2" x14ac:dyDescent="0.2">
      <c r="A3570" s="36" t="s">
        <v>8052</v>
      </c>
      <c r="B3570" t="s">
        <v>87</v>
      </c>
    </row>
    <row r="3571" spans="1:2" x14ac:dyDescent="0.2">
      <c r="A3571" s="36" t="s">
        <v>8049</v>
      </c>
      <c r="B3571" t="s">
        <v>93</v>
      </c>
    </row>
    <row r="3572" spans="1:2" x14ac:dyDescent="0.2">
      <c r="A3572" s="36" t="s">
        <v>8076</v>
      </c>
      <c r="B3572" t="s">
        <v>91</v>
      </c>
    </row>
    <row r="3573" spans="1:2" x14ac:dyDescent="0.2">
      <c r="A3573" s="36" t="s">
        <v>8069</v>
      </c>
      <c r="B3573" t="s">
        <v>95</v>
      </c>
    </row>
    <row r="3574" spans="1:2" x14ac:dyDescent="0.2">
      <c r="A3574" s="36" t="s">
        <v>8091</v>
      </c>
      <c r="B3574" t="s">
        <v>94</v>
      </c>
    </row>
    <row r="3575" spans="1:2" x14ac:dyDescent="0.2">
      <c r="A3575" s="36" t="s">
        <v>8064</v>
      </c>
      <c r="B3575" t="s">
        <v>90</v>
      </c>
    </row>
    <row r="3576" spans="1:2" x14ac:dyDescent="0.2">
      <c r="A3576" s="36" t="s">
        <v>8073</v>
      </c>
      <c r="B3576" t="s">
        <v>105</v>
      </c>
    </row>
    <row r="3577" spans="1:2" x14ac:dyDescent="0.2">
      <c r="A3577" s="36" t="s">
        <v>8085</v>
      </c>
      <c r="B3577" t="s">
        <v>99</v>
      </c>
    </row>
    <row r="3578" spans="1:2" x14ac:dyDescent="0.2">
      <c r="A3578" s="36" t="s">
        <v>8092</v>
      </c>
      <c r="B3578" t="s">
        <v>91</v>
      </c>
    </row>
    <row r="3579" spans="1:2" x14ac:dyDescent="0.2">
      <c r="A3579" s="36" t="s">
        <v>8086</v>
      </c>
      <c r="B3579" t="s">
        <v>95</v>
      </c>
    </row>
    <row r="3580" spans="1:2" x14ac:dyDescent="0.2">
      <c r="A3580" s="36" t="s">
        <v>8080</v>
      </c>
      <c r="B3580" t="s">
        <v>94</v>
      </c>
    </row>
    <row r="3581" spans="1:2" x14ac:dyDescent="0.2">
      <c r="A3581" s="36" t="s">
        <v>8077</v>
      </c>
      <c r="B3581" t="s">
        <v>90</v>
      </c>
    </row>
    <row r="3582" spans="1:2" x14ac:dyDescent="0.2">
      <c r="A3582" s="36" t="s">
        <v>8058</v>
      </c>
      <c r="B3582" t="s">
        <v>105</v>
      </c>
    </row>
    <row r="3583" spans="1:2" x14ac:dyDescent="0.2">
      <c r="A3583" s="36" t="s">
        <v>8094</v>
      </c>
      <c r="B3583" t="s">
        <v>99</v>
      </c>
    </row>
    <row r="3584" spans="1:2" x14ac:dyDescent="0.2">
      <c r="A3584" s="36" t="s">
        <v>8067</v>
      </c>
      <c r="B3584" t="s">
        <v>91</v>
      </c>
    </row>
    <row r="3585" spans="1:2" x14ac:dyDescent="0.2">
      <c r="A3585" s="36" t="s">
        <v>8079</v>
      </c>
      <c r="B3585" t="s">
        <v>95</v>
      </c>
    </row>
    <row r="3586" spans="1:2" x14ac:dyDescent="0.2">
      <c r="A3586" s="36" t="s">
        <v>8071</v>
      </c>
      <c r="B3586" t="s">
        <v>94</v>
      </c>
    </row>
    <row r="3587" spans="1:2" x14ac:dyDescent="0.2">
      <c r="A3587" s="36" t="s">
        <v>8078</v>
      </c>
      <c r="B3587" t="s">
        <v>90</v>
      </c>
    </row>
    <row r="3588" spans="1:2" x14ac:dyDescent="0.2">
      <c r="A3588" s="36" t="s">
        <v>8075</v>
      </c>
      <c r="B3588" t="s">
        <v>105</v>
      </c>
    </row>
    <row r="3589" spans="1:2" x14ac:dyDescent="0.2">
      <c r="A3589" s="36" t="s">
        <v>8096</v>
      </c>
      <c r="B3589" t="s">
        <v>99</v>
      </c>
    </row>
    <row r="3590" spans="1:2" x14ac:dyDescent="0.2">
      <c r="A3590" s="36" t="s">
        <v>8089</v>
      </c>
      <c r="B3590" t="s">
        <v>91</v>
      </c>
    </row>
    <row r="3591" spans="1:2" x14ac:dyDescent="0.2">
      <c r="A3591" s="36" t="s">
        <v>8093</v>
      </c>
      <c r="B3591" t="s">
        <v>95</v>
      </c>
    </row>
    <row r="3592" spans="1:2" x14ac:dyDescent="0.2">
      <c r="A3592" s="36" t="s">
        <v>8084</v>
      </c>
      <c r="B3592" t="s">
        <v>94</v>
      </c>
    </row>
    <row r="3593" spans="1:2" x14ac:dyDescent="0.2">
      <c r="A3593" s="36" t="s">
        <v>8066</v>
      </c>
      <c r="B3593" t="s">
        <v>90</v>
      </c>
    </row>
    <row r="3594" spans="1:2" x14ac:dyDescent="0.2">
      <c r="A3594" s="36" t="s">
        <v>8090</v>
      </c>
      <c r="B3594" t="s">
        <v>105</v>
      </c>
    </row>
    <row r="3595" spans="1:2" x14ac:dyDescent="0.2">
      <c r="A3595" s="36" t="s">
        <v>8095</v>
      </c>
      <c r="B3595" t="s">
        <v>95</v>
      </c>
    </row>
    <row r="3596" spans="1:2" x14ac:dyDescent="0.2">
      <c r="A3596" s="36" t="s">
        <v>8074</v>
      </c>
      <c r="B3596" t="s">
        <v>99</v>
      </c>
    </row>
    <row r="3597" spans="1:2" x14ac:dyDescent="0.2">
      <c r="A3597" s="36" t="s">
        <v>8065</v>
      </c>
      <c r="B3597" t="s">
        <v>91</v>
      </c>
    </row>
    <row r="3598" spans="1:2" x14ac:dyDescent="0.2">
      <c r="A3598" s="36" t="s">
        <v>8070</v>
      </c>
      <c r="B3598" t="s">
        <v>94</v>
      </c>
    </row>
    <row r="3599" spans="1:2" x14ac:dyDescent="0.2">
      <c r="A3599" s="36" t="s">
        <v>8072</v>
      </c>
      <c r="B3599" t="s">
        <v>90</v>
      </c>
    </row>
    <row r="3600" spans="1:2" x14ac:dyDescent="0.2">
      <c r="A3600" s="36" t="s">
        <v>8083</v>
      </c>
      <c r="B3600" t="s">
        <v>105</v>
      </c>
    </row>
    <row r="3601" spans="1:2" x14ac:dyDescent="0.2">
      <c r="A3601" s="36" t="s">
        <v>8060</v>
      </c>
      <c r="B3601" t="s">
        <v>95</v>
      </c>
    </row>
    <row r="3602" spans="1:2" x14ac:dyDescent="0.2">
      <c r="A3602" s="36" t="s">
        <v>8081</v>
      </c>
      <c r="B3602" t="s">
        <v>99</v>
      </c>
    </row>
    <row r="3603" spans="1:2" x14ac:dyDescent="0.2">
      <c r="A3603" s="36" t="s">
        <v>8082</v>
      </c>
      <c r="B3603" t="s">
        <v>91</v>
      </c>
    </row>
    <row r="3604" spans="1:2" x14ac:dyDescent="0.2">
      <c r="A3604" s="36" t="s">
        <v>8059</v>
      </c>
      <c r="B3604" t="s">
        <v>94</v>
      </c>
    </row>
    <row r="3605" spans="1:2" x14ac:dyDescent="0.2">
      <c r="A3605" s="36" t="s">
        <v>8061</v>
      </c>
      <c r="B3605" t="s">
        <v>90</v>
      </c>
    </row>
    <row r="3606" spans="1:2" x14ac:dyDescent="0.2">
      <c r="A3606" s="36" t="s">
        <v>8088</v>
      </c>
      <c r="B3606" t="s">
        <v>99</v>
      </c>
    </row>
    <row r="3607" spans="1:2" x14ac:dyDescent="0.2">
      <c r="A3607" s="36" t="s">
        <v>8062</v>
      </c>
      <c r="B3607" t="s">
        <v>105</v>
      </c>
    </row>
    <row r="3608" spans="1:2" x14ac:dyDescent="0.2">
      <c r="A3608" s="36" t="s">
        <v>8068</v>
      </c>
      <c r="B3608" t="s">
        <v>95</v>
      </c>
    </row>
    <row r="3609" spans="1:2" x14ac:dyDescent="0.2">
      <c r="A3609" s="36" t="s">
        <v>8063</v>
      </c>
      <c r="B3609" t="s">
        <v>91</v>
      </c>
    </row>
    <row r="3610" spans="1:2" x14ac:dyDescent="0.2">
      <c r="A3610" s="36" t="s">
        <v>8087</v>
      </c>
      <c r="B3610" t="s">
        <v>94</v>
      </c>
    </row>
    <row r="3611" spans="1:2" x14ac:dyDescent="0.2">
      <c r="A3611" s="36" t="s">
        <v>8112</v>
      </c>
      <c r="B3611" t="s">
        <v>103</v>
      </c>
    </row>
    <row r="3612" spans="1:2" x14ac:dyDescent="0.2">
      <c r="A3612" s="36" t="s">
        <v>8115</v>
      </c>
      <c r="B3612" t="s">
        <v>104</v>
      </c>
    </row>
    <row r="3613" spans="1:2" x14ac:dyDescent="0.2">
      <c r="A3613" s="36" t="s">
        <v>8111</v>
      </c>
      <c r="B3613" t="s">
        <v>97</v>
      </c>
    </row>
    <row r="3614" spans="1:2" x14ac:dyDescent="0.2">
      <c r="A3614" s="36" t="s">
        <v>8108</v>
      </c>
      <c r="B3614" t="s">
        <v>103</v>
      </c>
    </row>
    <row r="3615" spans="1:2" x14ac:dyDescent="0.2">
      <c r="A3615" s="36" t="s">
        <v>8104</v>
      </c>
      <c r="B3615" t="s">
        <v>104</v>
      </c>
    </row>
    <row r="3616" spans="1:2" x14ac:dyDescent="0.2">
      <c r="A3616" s="36" t="s">
        <v>8116</v>
      </c>
      <c r="B3616" t="s">
        <v>97</v>
      </c>
    </row>
    <row r="3617" spans="1:2" x14ac:dyDescent="0.2">
      <c r="A3617" s="36" t="s">
        <v>8103</v>
      </c>
      <c r="B3617" t="s">
        <v>103</v>
      </c>
    </row>
    <row r="3618" spans="1:2" x14ac:dyDescent="0.2">
      <c r="A3618" s="36" t="s">
        <v>8113</v>
      </c>
      <c r="B3618" t="s">
        <v>104</v>
      </c>
    </row>
    <row r="3619" spans="1:2" x14ac:dyDescent="0.2">
      <c r="A3619" s="36" t="s">
        <v>8105</v>
      </c>
      <c r="B3619" t="s">
        <v>97</v>
      </c>
    </row>
    <row r="3620" spans="1:2" x14ac:dyDescent="0.2">
      <c r="A3620" s="36" t="s">
        <v>8100</v>
      </c>
      <c r="B3620" t="s">
        <v>103</v>
      </c>
    </row>
    <row r="3621" spans="1:2" x14ac:dyDescent="0.2">
      <c r="A3621" s="36" t="s">
        <v>8107</v>
      </c>
      <c r="B3621" t="s">
        <v>104</v>
      </c>
    </row>
    <row r="3622" spans="1:2" x14ac:dyDescent="0.2">
      <c r="A3622" s="36" t="s">
        <v>8110</v>
      </c>
      <c r="B3622" t="s">
        <v>97</v>
      </c>
    </row>
    <row r="3623" spans="1:2" x14ac:dyDescent="0.2">
      <c r="A3623" s="36" t="s">
        <v>8123</v>
      </c>
      <c r="B3623" t="s">
        <v>103</v>
      </c>
    </row>
    <row r="3624" spans="1:2" x14ac:dyDescent="0.2">
      <c r="A3624" s="36" t="s">
        <v>8125</v>
      </c>
      <c r="B3624" t="s">
        <v>104</v>
      </c>
    </row>
    <row r="3625" spans="1:2" x14ac:dyDescent="0.2">
      <c r="A3625" s="36" t="s">
        <v>8130</v>
      </c>
      <c r="B3625" t="s">
        <v>97</v>
      </c>
    </row>
    <row r="3626" spans="1:2" x14ac:dyDescent="0.2">
      <c r="A3626" s="36" t="s">
        <v>8131</v>
      </c>
      <c r="B3626" t="s">
        <v>103</v>
      </c>
    </row>
    <row r="3627" spans="1:2" x14ac:dyDescent="0.2">
      <c r="A3627" s="36" t="s">
        <v>8122</v>
      </c>
      <c r="B3627" t="s">
        <v>104</v>
      </c>
    </row>
    <row r="3628" spans="1:2" x14ac:dyDescent="0.2">
      <c r="A3628" s="36" t="s">
        <v>8126</v>
      </c>
      <c r="B3628" t="s">
        <v>103</v>
      </c>
    </row>
    <row r="3629" spans="1:2" x14ac:dyDescent="0.2">
      <c r="A3629" s="36" t="s">
        <v>8127</v>
      </c>
      <c r="B3629" t="s">
        <v>97</v>
      </c>
    </row>
    <row r="3630" spans="1:2" x14ac:dyDescent="0.2">
      <c r="A3630" s="36" t="s">
        <v>8117</v>
      </c>
      <c r="B3630" t="s">
        <v>103</v>
      </c>
    </row>
    <row r="3631" spans="1:2" x14ac:dyDescent="0.2">
      <c r="A3631" s="36" t="s">
        <v>8101</v>
      </c>
      <c r="B3631" t="s">
        <v>104</v>
      </c>
    </row>
    <row r="3632" spans="1:2" x14ac:dyDescent="0.2">
      <c r="A3632" s="36" t="s">
        <v>8121</v>
      </c>
      <c r="B3632" t="s">
        <v>97</v>
      </c>
    </row>
    <row r="3633" spans="1:2" x14ac:dyDescent="0.2">
      <c r="A3633" s="36" t="s">
        <v>8106</v>
      </c>
      <c r="B3633" t="s">
        <v>103</v>
      </c>
    </row>
    <row r="3634" spans="1:2" x14ac:dyDescent="0.2">
      <c r="A3634" s="36" t="s">
        <v>8114</v>
      </c>
      <c r="B3634" t="s">
        <v>104</v>
      </c>
    </row>
    <row r="3635" spans="1:2" x14ac:dyDescent="0.2">
      <c r="A3635" s="36" t="s">
        <v>8119</v>
      </c>
      <c r="B3635" t="s">
        <v>97</v>
      </c>
    </row>
    <row r="3636" spans="1:2" x14ac:dyDescent="0.2">
      <c r="A3636" s="36" t="s">
        <v>8118</v>
      </c>
      <c r="B3636" t="s">
        <v>103</v>
      </c>
    </row>
    <row r="3637" spans="1:2" x14ac:dyDescent="0.2">
      <c r="A3637" s="36" t="s">
        <v>8120</v>
      </c>
      <c r="B3637" t="s">
        <v>104</v>
      </c>
    </row>
    <row r="3638" spans="1:2" x14ac:dyDescent="0.2">
      <c r="A3638" s="36" t="s">
        <v>8098</v>
      </c>
      <c r="B3638" t="s">
        <v>97</v>
      </c>
    </row>
    <row r="3639" spans="1:2" x14ac:dyDescent="0.2">
      <c r="A3639" s="36" t="s">
        <v>8102</v>
      </c>
      <c r="B3639" t="s">
        <v>103</v>
      </c>
    </row>
    <row r="3640" spans="1:2" x14ac:dyDescent="0.2">
      <c r="A3640" s="36" t="s">
        <v>8124</v>
      </c>
      <c r="B3640" t="s">
        <v>104</v>
      </c>
    </row>
    <row r="3641" spans="1:2" x14ac:dyDescent="0.2">
      <c r="A3641" s="36" t="s">
        <v>8099</v>
      </c>
      <c r="B3641" t="s">
        <v>97</v>
      </c>
    </row>
    <row r="3642" spans="1:2" x14ac:dyDescent="0.2">
      <c r="A3642" s="36" t="s">
        <v>8109</v>
      </c>
      <c r="B3642" t="s">
        <v>103</v>
      </c>
    </row>
    <row r="3643" spans="1:2" x14ac:dyDescent="0.2">
      <c r="A3643" s="36" t="s">
        <v>8128</v>
      </c>
      <c r="B3643" t="s">
        <v>104</v>
      </c>
    </row>
    <row r="3644" spans="1:2" x14ac:dyDescent="0.2">
      <c r="A3644" s="36" t="s">
        <v>8097</v>
      </c>
      <c r="B3644" t="s">
        <v>97</v>
      </c>
    </row>
    <row r="3645" spans="1:2" x14ac:dyDescent="0.2">
      <c r="A3645" s="36" t="s">
        <v>8129</v>
      </c>
      <c r="B3645" t="s">
        <v>103</v>
      </c>
    </row>
    <row r="3646" spans="1:2" x14ac:dyDescent="0.2">
      <c r="A3646" s="36" t="s">
        <v>8135</v>
      </c>
      <c r="B3646" t="s">
        <v>92</v>
      </c>
    </row>
    <row r="3647" spans="1:2" x14ac:dyDescent="0.2">
      <c r="A3647" s="36" t="s">
        <v>8136</v>
      </c>
      <c r="B3647" t="s">
        <v>89</v>
      </c>
    </row>
    <row r="3648" spans="1:2" x14ac:dyDescent="0.2">
      <c r="A3648" s="36" t="s">
        <v>8134</v>
      </c>
      <c r="B3648" t="s">
        <v>84</v>
      </c>
    </row>
    <row r="3649" spans="1:2" x14ac:dyDescent="0.2">
      <c r="A3649" s="36" t="s">
        <v>8132</v>
      </c>
      <c r="B3649" t="s">
        <v>101</v>
      </c>
    </row>
    <row r="3650" spans="1:2" x14ac:dyDescent="0.2">
      <c r="A3650" s="36" t="s">
        <v>8133</v>
      </c>
      <c r="B3650" t="s">
        <v>88</v>
      </c>
    </row>
    <row r="3651" spans="1:2" x14ac:dyDescent="0.2">
      <c r="A3651" s="36" t="s">
        <v>8137</v>
      </c>
      <c r="B3651" t="s">
        <v>89</v>
      </c>
    </row>
    <row r="3652" spans="1:2" x14ac:dyDescent="0.2">
      <c r="A3652" s="36" t="s">
        <v>8138</v>
      </c>
      <c r="B3652" t="s">
        <v>84</v>
      </c>
    </row>
    <row r="3653" spans="1:2" x14ac:dyDescent="0.2">
      <c r="A3653" s="36" t="s">
        <v>8148</v>
      </c>
      <c r="B3653" t="s">
        <v>100</v>
      </c>
    </row>
    <row r="3654" spans="1:2" x14ac:dyDescent="0.2">
      <c r="A3654" s="36" t="s">
        <v>8156</v>
      </c>
      <c r="B3654" t="s">
        <v>96</v>
      </c>
    </row>
    <row r="3655" spans="1:2" x14ac:dyDescent="0.2">
      <c r="A3655" s="36" t="s">
        <v>8152</v>
      </c>
      <c r="B3655" t="s">
        <v>100</v>
      </c>
    </row>
    <row r="3656" spans="1:2" x14ac:dyDescent="0.2">
      <c r="A3656" s="36" t="s">
        <v>8145</v>
      </c>
      <c r="B3656" t="s">
        <v>98</v>
      </c>
    </row>
    <row r="3657" spans="1:2" x14ac:dyDescent="0.2">
      <c r="A3657" s="36" t="s">
        <v>8143</v>
      </c>
      <c r="B3657" t="s">
        <v>87</v>
      </c>
    </row>
    <row r="3658" spans="1:2" x14ac:dyDescent="0.2">
      <c r="A3658" s="36" t="s">
        <v>8153</v>
      </c>
      <c r="B3658" t="s">
        <v>93</v>
      </c>
    </row>
    <row r="3659" spans="1:2" x14ac:dyDescent="0.2">
      <c r="A3659" s="36" t="s">
        <v>8144</v>
      </c>
      <c r="B3659" t="s">
        <v>96</v>
      </c>
    </row>
    <row r="3660" spans="1:2" x14ac:dyDescent="0.2">
      <c r="A3660" s="36" t="s">
        <v>8162</v>
      </c>
      <c r="B3660" t="s">
        <v>92</v>
      </c>
    </row>
    <row r="3661" spans="1:2" x14ac:dyDescent="0.2">
      <c r="A3661" s="36" t="s">
        <v>8161</v>
      </c>
      <c r="B3661" t="s">
        <v>84</v>
      </c>
    </row>
    <row r="3662" spans="1:2" x14ac:dyDescent="0.2">
      <c r="A3662" s="36" t="s">
        <v>8159</v>
      </c>
      <c r="B3662" t="s">
        <v>101</v>
      </c>
    </row>
    <row r="3663" spans="1:2" x14ac:dyDescent="0.2">
      <c r="A3663" s="36" t="s">
        <v>8157</v>
      </c>
      <c r="B3663" t="s">
        <v>88</v>
      </c>
    </row>
    <row r="3664" spans="1:2" x14ac:dyDescent="0.2">
      <c r="A3664" s="36" t="s">
        <v>8155</v>
      </c>
      <c r="B3664" t="s">
        <v>100</v>
      </c>
    </row>
    <row r="3665" spans="1:2" x14ac:dyDescent="0.2">
      <c r="A3665" s="36" t="s">
        <v>8149</v>
      </c>
      <c r="B3665" t="s">
        <v>98</v>
      </c>
    </row>
    <row r="3666" spans="1:2" x14ac:dyDescent="0.2">
      <c r="A3666" s="36" t="s">
        <v>8163</v>
      </c>
      <c r="B3666" t="s">
        <v>87</v>
      </c>
    </row>
    <row r="3667" spans="1:2" x14ac:dyDescent="0.2">
      <c r="A3667" s="36" t="s">
        <v>8158</v>
      </c>
      <c r="B3667" t="s">
        <v>93</v>
      </c>
    </row>
    <row r="3668" spans="1:2" x14ac:dyDescent="0.2">
      <c r="A3668" s="36" t="s">
        <v>8147</v>
      </c>
      <c r="B3668" t="s">
        <v>96</v>
      </c>
    </row>
    <row r="3669" spans="1:2" x14ac:dyDescent="0.2">
      <c r="A3669" s="36" t="s">
        <v>8160</v>
      </c>
      <c r="B3669" t="s">
        <v>98</v>
      </c>
    </row>
    <row r="3670" spans="1:2" x14ac:dyDescent="0.2">
      <c r="A3670" s="36" t="s">
        <v>8140</v>
      </c>
      <c r="B3670" t="s">
        <v>89</v>
      </c>
    </row>
    <row r="3671" spans="1:2" x14ac:dyDescent="0.2">
      <c r="A3671" s="36" t="s">
        <v>8141</v>
      </c>
      <c r="B3671" t="s">
        <v>92</v>
      </c>
    </row>
    <row r="3672" spans="1:2" x14ac:dyDescent="0.2">
      <c r="A3672" s="36" t="s">
        <v>8164</v>
      </c>
      <c r="B3672" t="s">
        <v>84</v>
      </c>
    </row>
    <row r="3673" spans="1:2" x14ac:dyDescent="0.2">
      <c r="A3673" s="36" t="s">
        <v>8139</v>
      </c>
      <c r="B3673" t="s">
        <v>101</v>
      </c>
    </row>
    <row r="3674" spans="1:2" x14ac:dyDescent="0.2">
      <c r="A3674" s="36" t="s">
        <v>8151</v>
      </c>
      <c r="B3674" t="s">
        <v>88</v>
      </c>
    </row>
    <row r="3675" spans="1:2" x14ac:dyDescent="0.2">
      <c r="A3675" s="36" t="s">
        <v>8146</v>
      </c>
      <c r="B3675" t="s">
        <v>100</v>
      </c>
    </row>
    <row r="3676" spans="1:2" x14ac:dyDescent="0.2">
      <c r="A3676" s="36" t="s">
        <v>8154</v>
      </c>
      <c r="B3676" t="s">
        <v>90</v>
      </c>
    </row>
    <row r="3677" spans="1:2" x14ac:dyDescent="0.2">
      <c r="A3677" s="36" t="s">
        <v>8150</v>
      </c>
      <c r="B3677" t="s">
        <v>99</v>
      </c>
    </row>
    <row r="3678" spans="1:2" x14ac:dyDescent="0.2">
      <c r="A3678" s="36" t="s">
        <v>8165</v>
      </c>
      <c r="B3678" t="s">
        <v>105</v>
      </c>
    </row>
    <row r="3679" spans="1:2" x14ac:dyDescent="0.2">
      <c r="A3679" s="36" t="s">
        <v>8142</v>
      </c>
      <c r="B3679" t="s">
        <v>87</v>
      </c>
    </row>
    <row r="3680" spans="1:2" x14ac:dyDescent="0.2">
      <c r="A3680" s="36" t="s">
        <v>8168</v>
      </c>
      <c r="B3680" t="s">
        <v>95</v>
      </c>
    </row>
    <row r="3681" spans="1:2" x14ac:dyDescent="0.2">
      <c r="A3681" s="36" t="s">
        <v>8167</v>
      </c>
      <c r="B3681" t="s">
        <v>95</v>
      </c>
    </row>
    <row r="3682" spans="1:2" x14ac:dyDescent="0.2">
      <c r="A3682" s="36" t="s">
        <v>8170</v>
      </c>
      <c r="B3682" t="s">
        <v>95</v>
      </c>
    </row>
    <row r="3683" spans="1:2" x14ac:dyDescent="0.2">
      <c r="A3683" s="36" t="s">
        <v>8171</v>
      </c>
      <c r="B3683" t="s">
        <v>95</v>
      </c>
    </row>
    <row r="3684" spans="1:2" x14ac:dyDescent="0.2">
      <c r="A3684" s="36" t="s">
        <v>8166</v>
      </c>
      <c r="B3684" t="s">
        <v>95</v>
      </c>
    </row>
    <row r="3685" spans="1:2" x14ac:dyDescent="0.2">
      <c r="A3685" s="36" t="s">
        <v>8169</v>
      </c>
      <c r="B3685" t="s">
        <v>95</v>
      </c>
    </row>
    <row r="3686" spans="1:2" x14ac:dyDescent="0.2">
      <c r="A3686" s="36" t="s">
        <v>8173</v>
      </c>
      <c r="B3686" t="s">
        <v>93</v>
      </c>
    </row>
    <row r="3687" spans="1:2" x14ac:dyDescent="0.2">
      <c r="A3687" s="36" t="s">
        <v>8172</v>
      </c>
      <c r="B3687" t="s">
        <v>96</v>
      </c>
    </row>
    <row r="3688" spans="1:2" x14ac:dyDescent="0.2">
      <c r="A3688" s="36" t="s">
        <v>8174</v>
      </c>
      <c r="B3688" t="s">
        <v>96</v>
      </c>
    </row>
    <row r="3689" spans="1:2" x14ac:dyDescent="0.2">
      <c r="A3689" s="36" t="s">
        <v>8175</v>
      </c>
      <c r="B3689" t="s">
        <v>99</v>
      </c>
    </row>
    <row r="3690" spans="1:2" x14ac:dyDescent="0.2">
      <c r="A3690" s="36" t="s">
        <v>8176</v>
      </c>
      <c r="B3690" t="s">
        <v>91</v>
      </c>
    </row>
    <row r="3691" spans="1:2" x14ac:dyDescent="0.2">
      <c r="A3691" s="36" t="s">
        <v>8183</v>
      </c>
      <c r="B3691" t="s">
        <v>98</v>
      </c>
    </row>
    <row r="3692" spans="1:2" x14ac:dyDescent="0.2">
      <c r="A3692" s="36" t="s">
        <v>8181</v>
      </c>
      <c r="B3692" t="s">
        <v>89</v>
      </c>
    </row>
    <row r="3693" spans="1:2" x14ac:dyDescent="0.2">
      <c r="A3693" s="36" t="s">
        <v>8180</v>
      </c>
      <c r="B3693" t="s">
        <v>101</v>
      </c>
    </row>
    <row r="3694" spans="1:2" x14ac:dyDescent="0.2">
      <c r="A3694" s="36" t="s">
        <v>8182</v>
      </c>
      <c r="B3694" t="s">
        <v>94</v>
      </c>
    </row>
    <row r="3695" spans="1:2" x14ac:dyDescent="0.2">
      <c r="A3695" s="36" t="s">
        <v>8177</v>
      </c>
      <c r="B3695" t="s">
        <v>92</v>
      </c>
    </row>
    <row r="3696" spans="1:2" x14ac:dyDescent="0.2">
      <c r="A3696" s="36" t="s">
        <v>8184</v>
      </c>
      <c r="B3696" t="s">
        <v>84</v>
      </c>
    </row>
    <row r="3697" spans="1:2" x14ac:dyDescent="0.2">
      <c r="A3697" s="36" t="s">
        <v>8178</v>
      </c>
      <c r="B3697" t="s">
        <v>88</v>
      </c>
    </row>
    <row r="3698" spans="1:2" x14ac:dyDescent="0.2">
      <c r="A3698" s="36" t="s">
        <v>8185</v>
      </c>
      <c r="B3698" t="s">
        <v>100</v>
      </c>
    </row>
    <row r="3699" spans="1:2" x14ac:dyDescent="0.2">
      <c r="A3699" s="36" t="s">
        <v>8186</v>
      </c>
      <c r="B3699" t="s">
        <v>98</v>
      </c>
    </row>
    <row r="3700" spans="1:2" x14ac:dyDescent="0.2">
      <c r="A3700" s="36" t="s">
        <v>8179</v>
      </c>
      <c r="B3700" t="s">
        <v>99</v>
      </c>
    </row>
    <row r="3701" spans="1:2" x14ac:dyDescent="0.2">
      <c r="A3701" s="36" t="s">
        <v>8188</v>
      </c>
      <c r="B3701" t="s">
        <v>89</v>
      </c>
    </row>
    <row r="3702" spans="1:2" x14ac:dyDescent="0.2">
      <c r="A3702" s="36" t="s">
        <v>8204</v>
      </c>
      <c r="B3702" t="s">
        <v>101</v>
      </c>
    </row>
    <row r="3703" spans="1:2" x14ac:dyDescent="0.2">
      <c r="A3703" s="36" t="s">
        <v>8196</v>
      </c>
      <c r="B3703" t="s">
        <v>90</v>
      </c>
    </row>
    <row r="3704" spans="1:2" x14ac:dyDescent="0.2">
      <c r="A3704" s="36" t="s">
        <v>8198</v>
      </c>
      <c r="B3704" t="s">
        <v>104</v>
      </c>
    </row>
    <row r="3705" spans="1:2" x14ac:dyDescent="0.2">
      <c r="A3705" s="36" t="s">
        <v>8199</v>
      </c>
      <c r="B3705" t="s">
        <v>91</v>
      </c>
    </row>
    <row r="3706" spans="1:2" x14ac:dyDescent="0.2">
      <c r="A3706" s="36" t="s">
        <v>8194</v>
      </c>
      <c r="B3706" t="s">
        <v>91</v>
      </c>
    </row>
    <row r="3707" spans="1:2" x14ac:dyDescent="0.2">
      <c r="A3707" s="36" t="s">
        <v>8193</v>
      </c>
      <c r="B3707" t="s">
        <v>89</v>
      </c>
    </row>
    <row r="3708" spans="1:2" x14ac:dyDescent="0.2">
      <c r="A3708" s="36" t="s">
        <v>8187</v>
      </c>
      <c r="B3708" t="s">
        <v>101</v>
      </c>
    </row>
    <row r="3709" spans="1:2" x14ac:dyDescent="0.2">
      <c r="A3709" s="36" t="s">
        <v>8201</v>
      </c>
      <c r="B3709" t="s">
        <v>90</v>
      </c>
    </row>
    <row r="3710" spans="1:2" x14ac:dyDescent="0.2">
      <c r="A3710" s="36" t="s">
        <v>8189</v>
      </c>
      <c r="B3710" t="s">
        <v>104</v>
      </c>
    </row>
    <row r="3711" spans="1:2" x14ac:dyDescent="0.2">
      <c r="A3711" s="36" t="s">
        <v>8203</v>
      </c>
      <c r="B3711" t="s">
        <v>91</v>
      </c>
    </row>
    <row r="3712" spans="1:2" x14ac:dyDescent="0.2">
      <c r="A3712" s="36" t="s">
        <v>8206</v>
      </c>
      <c r="B3712" t="s">
        <v>89</v>
      </c>
    </row>
    <row r="3713" spans="1:2" x14ac:dyDescent="0.2">
      <c r="A3713" s="36" t="s">
        <v>8205</v>
      </c>
      <c r="B3713" t="s">
        <v>101</v>
      </c>
    </row>
    <row r="3714" spans="1:2" x14ac:dyDescent="0.2">
      <c r="A3714" s="36" t="s">
        <v>8195</v>
      </c>
      <c r="B3714" t="s">
        <v>90</v>
      </c>
    </row>
    <row r="3715" spans="1:2" x14ac:dyDescent="0.2">
      <c r="A3715" s="36" t="s">
        <v>8202</v>
      </c>
      <c r="B3715" t="s">
        <v>104</v>
      </c>
    </row>
    <row r="3716" spans="1:2" x14ac:dyDescent="0.2">
      <c r="A3716" s="36" t="s">
        <v>8192</v>
      </c>
      <c r="B3716" t="s">
        <v>91</v>
      </c>
    </row>
    <row r="3717" spans="1:2" x14ac:dyDescent="0.2">
      <c r="A3717" s="36" t="s">
        <v>8191</v>
      </c>
      <c r="B3717" t="s">
        <v>91</v>
      </c>
    </row>
    <row r="3718" spans="1:2" x14ac:dyDescent="0.2">
      <c r="A3718" s="36" t="s">
        <v>8190</v>
      </c>
      <c r="B3718" t="s">
        <v>89</v>
      </c>
    </row>
    <row r="3719" spans="1:2" x14ac:dyDescent="0.2">
      <c r="A3719" s="36" t="s">
        <v>8200</v>
      </c>
      <c r="B3719" t="s">
        <v>101</v>
      </c>
    </row>
    <row r="3720" spans="1:2" x14ac:dyDescent="0.2">
      <c r="A3720" s="36" t="s">
        <v>8197</v>
      </c>
      <c r="B3720" t="s">
        <v>90</v>
      </c>
    </row>
    <row r="3721" spans="1:2" x14ac:dyDescent="0.2">
      <c r="A3721" s="36" t="s">
        <v>8210</v>
      </c>
      <c r="B3721" t="s">
        <v>94</v>
      </c>
    </row>
    <row r="3722" spans="1:2" x14ac:dyDescent="0.2">
      <c r="A3722" s="36" t="s">
        <v>8208</v>
      </c>
      <c r="B3722" t="s">
        <v>92</v>
      </c>
    </row>
    <row r="3723" spans="1:2" x14ac:dyDescent="0.2">
      <c r="A3723" s="36" t="s">
        <v>8212</v>
      </c>
      <c r="B3723" t="s">
        <v>97</v>
      </c>
    </row>
    <row r="3724" spans="1:2" x14ac:dyDescent="0.2">
      <c r="A3724" s="36" t="s">
        <v>8213</v>
      </c>
      <c r="B3724" t="s">
        <v>105</v>
      </c>
    </row>
    <row r="3725" spans="1:2" x14ac:dyDescent="0.2">
      <c r="A3725" s="36" t="s">
        <v>8211</v>
      </c>
      <c r="B3725" t="s">
        <v>87</v>
      </c>
    </row>
    <row r="3726" spans="1:2" x14ac:dyDescent="0.2">
      <c r="A3726" s="36" t="s">
        <v>8215</v>
      </c>
      <c r="B3726" t="s">
        <v>88</v>
      </c>
    </row>
    <row r="3727" spans="1:2" x14ac:dyDescent="0.2">
      <c r="A3727" s="36" t="s">
        <v>8214</v>
      </c>
      <c r="B3727" t="s">
        <v>84</v>
      </c>
    </row>
    <row r="3728" spans="1:2" x14ac:dyDescent="0.2">
      <c r="A3728" s="36" t="s">
        <v>8207</v>
      </c>
      <c r="B3728" t="s">
        <v>92</v>
      </c>
    </row>
    <row r="3729" spans="1:2" x14ac:dyDescent="0.2">
      <c r="A3729" s="36" t="s">
        <v>8209</v>
      </c>
      <c r="B3729" t="s">
        <v>103</v>
      </c>
    </row>
    <row r="3730" spans="1:2" x14ac:dyDescent="0.2">
      <c r="A3730" s="36" t="s">
        <v>8216</v>
      </c>
      <c r="B3730" t="s">
        <v>100</v>
      </c>
    </row>
    <row r="3731" spans="1:2" x14ac:dyDescent="0.2">
      <c r="A3731" s="36" t="s">
        <v>8220</v>
      </c>
      <c r="B3731" t="s">
        <v>98</v>
      </c>
    </row>
    <row r="3732" spans="1:2" x14ac:dyDescent="0.2">
      <c r="A3732" s="36" t="s">
        <v>8218</v>
      </c>
      <c r="B3732" t="s">
        <v>99</v>
      </c>
    </row>
    <row r="3733" spans="1:2" x14ac:dyDescent="0.2">
      <c r="A3733" s="36" t="s">
        <v>8217</v>
      </c>
      <c r="B3733" t="s">
        <v>103</v>
      </c>
    </row>
    <row r="3734" spans="1:2" x14ac:dyDescent="0.2">
      <c r="A3734" s="36" t="s">
        <v>8219</v>
      </c>
      <c r="B3734" t="s">
        <v>94</v>
      </c>
    </row>
    <row r="3735" spans="1:2" x14ac:dyDescent="0.2">
      <c r="A3735" s="36" t="s">
        <v>8228</v>
      </c>
      <c r="B3735" t="s">
        <v>99</v>
      </c>
    </row>
    <row r="3736" spans="1:2" x14ac:dyDescent="0.2">
      <c r="A3736" s="36" t="s">
        <v>8223</v>
      </c>
      <c r="B3736" t="s">
        <v>93</v>
      </c>
    </row>
    <row r="3737" spans="1:2" x14ac:dyDescent="0.2">
      <c r="A3737" s="36" t="s">
        <v>8224</v>
      </c>
      <c r="B3737" t="s">
        <v>99</v>
      </c>
    </row>
    <row r="3738" spans="1:2" x14ac:dyDescent="0.2">
      <c r="A3738" s="36" t="s">
        <v>8221</v>
      </c>
      <c r="B3738" t="s">
        <v>93</v>
      </c>
    </row>
    <row r="3739" spans="1:2" x14ac:dyDescent="0.2">
      <c r="A3739" s="36" t="s">
        <v>8227</v>
      </c>
      <c r="B3739" t="s">
        <v>99</v>
      </c>
    </row>
    <row r="3740" spans="1:2" x14ac:dyDescent="0.2">
      <c r="A3740" s="36" t="s">
        <v>8230</v>
      </c>
      <c r="B3740" t="s">
        <v>93</v>
      </c>
    </row>
    <row r="3741" spans="1:2" x14ac:dyDescent="0.2">
      <c r="A3741" s="36" t="s">
        <v>8222</v>
      </c>
      <c r="B3741" t="s">
        <v>99</v>
      </c>
    </row>
    <row r="3742" spans="1:2" x14ac:dyDescent="0.2">
      <c r="A3742" s="36" t="s">
        <v>8226</v>
      </c>
      <c r="B3742" t="s">
        <v>93</v>
      </c>
    </row>
    <row r="3743" spans="1:2" x14ac:dyDescent="0.2">
      <c r="A3743" s="36" t="s">
        <v>8225</v>
      </c>
      <c r="B3743" t="s">
        <v>99</v>
      </c>
    </row>
    <row r="3744" spans="1:2" x14ac:dyDescent="0.2">
      <c r="A3744" s="36" t="s">
        <v>8229</v>
      </c>
      <c r="B3744" t="s">
        <v>93</v>
      </c>
    </row>
    <row r="3745" spans="1:2" x14ac:dyDescent="0.2">
      <c r="A3745" s="36" t="s">
        <v>8232</v>
      </c>
      <c r="B3745" t="s">
        <v>99</v>
      </c>
    </row>
    <row r="3746" spans="1:2" x14ac:dyDescent="0.2">
      <c r="A3746" s="36" t="s">
        <v>8231</v>
      </c>
      <c r="B3746" t="s">
        <v>93</v>
      </c>
    </row>
    <row r="3747" spans="1:2" x14ac:dyDescent="0.2">
      <c r="A3747" s="36" t="s">
        <v>8234</v>
      </c>
      <c r="B3747" t="s">
        <v>97</v>
      </c>
    </row>
    <row r="3748" spans="1:2" x14ac:dyDescent="0.2">
      <c r="A3748" s="36" t="s">
        <v>8236</v>
      </c>
      <c r="B3748" t="s">
        <v>97</v>
      </c>
    </row>
    <row r="3749" spans="1:2" x14ac:dyDescent="0.2">
      <c r="A3749" s="36" t="s">
        <v>8233</v>
      </c>
      <c r="B3749" t="s">
        <v>97</v>
      </c>
    </row>
    <row r="3750" spans="1:2" x14ac:dyDescent="0.2">
      <c r="A3750" s="36" t="s">
        <v>8235</v>
      </c>
      <c r="B3750" t="s">
        <v>97</v>
      </c>
    </row>
    <row r="3751" spans="1:2" x14ac:dyDescent="0.2">
      <c r="A3751" s="36" t="s">
        <v>8237</v>
      </c>
      <c r="B3751" t="s">
        <v>105</v>
      </c>
    </row>
    <row r="3752" spans="1:2" x14ac:dyDescent="0.2">
      <c r="A3752" s="36" t="s">
        <v>8239</v>
      </c>
      <c r="B3752" t="s">
        <v>87</v>
      </c>
    </row>
    <row r="3753" spans="1:2" x14ac:dyDescent="0.2">
      <c r="A3753" s="36" t="s">
        <v>8240</v>
      </c>
      <c r="B3753" t="s">
        <v>88</v>
      </c>
    </row>
    <row r="3754" spans="1:2" x14ac:dyDescent="0.2">
      <c r="A3754" s="36" t="s">
        <v>8238</v>
      </c>
      <c r="B3754" t="s">
        <v>103</v>
      </c>
    </row>
    <row r="3755" spans="1:2" x14ac:dyDescent="0.2">
      <c r="A3755" s="36" t="s">
        <v>8242</v>
      </c>
      <c r="B3755" t="s">
        <v>84</v>
      </c>
    </row>
    <row r="3756" spans="1:2" x14ac:dyDescent="0.2">
      <c r="A3756" s="36" t="s">
        <v>8241</v>
      </c>
      <c r="B3756" t="s">
        <v>92</v>
      </c>
    </row>
    <row r="3757" spans="1:2" x14ac:dyDescent="0.2">
      <c r="A3757" s="36" t="s">
        <v>8244</v>
      </c>
      <c r="B3757" t="s">
        <v>100</v>
      </c>
    </row>
    <row r="3758" spans="1:2" x14ac:dyDescent="0.2">
      <c r="A3758" s="36" t="s">
        <v>8243</v>
      </c>
      <c r="B3758" t="s">
        <v>98</v>
      </c>
    </row>
    <row r="3759" spans="1:2" x14ac:dyDescent="0.2">
      <c r="A3759" s="36" t="s">
        <v>8245</v>
      </c>
      <c r="B3759" t="s">
        <v>96</v>
      </c>
    </row>
    <row r="3760" spans="1:2" x14ac:dyDescent="0.2">
      <c r="A3760" s="36" t="s">
        <v>8246</v>
      </c>
      <c r="B3760" t="s">
        <v>98</v>
      </c>
    </row>
    <row r="3761" spans="1:2" x14ac:dyDescent="0.2">
      <c r="A3761" s="36" t="s">
        <v>8248</v>
      </c>
      <c r="B3761" t="s">
        <v>88</v>
      </c>
    </row>
    <row r="3762" spans="1:2" x14ac:dyDescent="0.2">
      <c r="A3762" s="36" t="s">
        <v>8247</v>
      </c>
      <c r="B3762" t="s">
        <v>94</v>
      </c>
    </row>
    <row r="3763" spans="1:2" x14ac:dyDescent="0.2">
      <c r="A3763" s="36" t="s">
        <v>8249</v>
      </c>
      <c r="B3763" t="s">
        <v>100</v>
      </c>
    </row>
    <row r="3764" spans="1:2" x14ac:dyDescent="0.2">
      <c r="A3764" s="36" t="s">
        <v>8250</v>
      </c>
      <c r="B3764" t="s">
        <v>88</v>
      </c>
    </row>
    <row r="3765" spans="1:2" x14ac:dyDescent="0.2">
      <c r="A3765" s="36" t="s">
        <v>8251</v>
      </c>
      <c r="B3765" t="s">
        <v>98</v>
      </c>
    </row>
    <row r="3766" spans="1:2" x14ac:dyDescent="0.2">
      <c r="A3766" s="36" t="s">
        <v>8252</v>
      </c>
      <c r="B3766" t="s">
        <v>105</v>
      </c>
    </row>
    <row r="3767" spans="1:2" x14ac:dyDescent="0.2">
      <c r="A3767" s="36" t="s">
        <v>8253</v>
      </c>
      <c r="B3767" t="s">
        <v>84</v>
      </c>
    </row>
    <row r="3768" spans="1:2" x14ac:dyDescent="0.2">
      <c r="A3768" s="36" t="s">
        <v>8254</v>
      </c>
      <c r="B3768" t="s">
        <v>92</v>
      </c>
    </row>
    <row r="3769" spans="1:2" x14ac:dyDescent="0.2">
      <c r="A3769" s="36" t="s">
        <v>8255</v>
      </c>
      <c r="B3769" t="s">
        <v>94</v>
      </c>
    </row>
    <row r="3770" spans="1:2" x14ac:dyDescent="0.2">
      <c r="A3770" s="36" t="s">
        <v>8258</v>
      </c>
      <c r="B3770" t="s">
        <v>96</v>
      </c>
    </row>
    <row r="3771" spans="1:2" x14ac:dyDescent="0.2">
      <c r="A3771" s="36" t="s">
        <v>8260</v>
      </c>
      <c r="B3771" t="s">
        <v>84</v>
      </c>
    </row>
    <row r="3772" spans="1:2" x14ac:dyDescent="0.2">
      <c r="A3772" s="36" t="s">
        <v>8256</v>
      </c>
      <c r="B3772" t="s">
        <v>105</v>
      </c>
    </row>
    <row r="3773" spans="1:2" x14ac:dyDescent="0.2">
      <c r="A3773" s="36" t="s">
        <v>8257</v>
      </c>
      <c r="B3773" t="s">
        <v>94</v>
      </c>
    </row>
    <row r="3774" spans="1:2" x14ac:dyDescent="0.2">
      <c r="A3774" s="36" t="s">
        <v>8261</v>
      </c>
      <c r="B3774" t="s">
        <v>92</v>
      </c>
    </row>
    <row r="3775" spans="1:2" x14ac:dyDescent="0.2">
      <c r="A3775" s="36" t="s">
        <v>8259</v>
      </c>
      <c r="B3775" t="s">
        <v>100</v>
      </c>
    </row>
    <row r="3776" spans="1:2" x14ac:dyDescent="0.2">
      <c r="A3776" s="36" t="s">
        <v>8262</v>
      </c>
      <c r="B3776" t="s">
        <v>87</v>
      </c>
    </row>
    <row r="3777" spans="1:2" x14ac:dyDescent="0.2">
      <c r="A3777" s="36" t="s">
        <v>8263</v>
      </c>
      <c r="B3777" t="s">
        <v>96</v>
      </c>
    </row>
    <row r="3778" spans="1:2" x14ac:dyDescent="0.2">
      <c r="A3778" s="36" t="s">
        <v>8269</v>
      </c>
      <c r="B3778" t="s">
        <v>103</v>
      </c>
    </row>
    <row r="3779" spans="1:2" x14ac:dyDescent="0.2">
      <c r="A3779" s="36" t="s">
        <v>8273</v>
      </c>
      <c r="B3779" t="s">
        <v>105</v>
      </c>
    </row>
    <row r="3780" spans="1:2" x14ac:dyDescent="0.2">
      <c r="A3780" s="36" t="s">
        <v>8272</v>
      </c>
      <c r="B3780" t="s">
        <v>104</v>
      </c>
    </row>
    <row r="3781" spans="1:2" x14ac:dyDescent="0.2">
      <c r="A3781" s="36" t="s">
        <v>8265</v>
      </c>
      <c r="B3781" t="s">
        <v>87</v>
      </c>
    </row>
    <row r="3782" spans="1:2" x14ac:dyDescent="0.2">
      <c r="A3782" s="36" t="s">
        <v>8267</v>
      </c>
      <c r="B3782" t="s">
        <v>88</v>
      </c>
    </row>
    <row r="3783" spans="1:2" x14ac:dyDescent="0.2">
      <c r="A3783" s="36" t="s">
        <v>8270</v>
      </c>
      <c r="B3783" t="s">
        <v>103</v>
      </c>
    </row>
    <row r="3784" spans="1:2" x14ac:dyDescent="0.2">
      <c r="A3784" s="36" t="s">
        <v>8268</v>
      </c>
      <c r="B3784" t="s">
        <v>105</v>
      </c>
    </row>
    <row r="3785" spans="1:2" x14ac:dyDescent="0.2">
      <c r="A3785" s="36" t="s">
        <v>8266</v>
      </c>
      <c r="B3785" t="s">
        <v>104</v>
      </c>
    </row>
    <row r="3786" spans="1:2" x14ac:dyDescent="0.2">
      <c r="A3786" s="36" t="s">
        <v>8271</v>
      </c>
      <c r="B3786" t="s">
        <v>87</v>
      </c>
    </row>
    <row r="3787" spans="1:2" x14ac:dyDescent="0.2">
      <c r="A3787" s="36" t="s">
        <v>8264</v>
      </c>
      <c r="B3787" t="s">
        <v>88</v>
      </c>
    </row>
    <row r="3788" spans="1:2" x14ac:dyDescent="0.2">
      <c r="A3788" s="36" t="s">
        <v>8274</v>
      </c>
      <c r="B3788" t="s">
        <v>87</v>
      </c>
    </row>
    <row r="3789" spans="1:2" x14ac:dyDescent="0.2">
      <c r="A3789" s="36" t="s">
        <v>8292</v>
      </c>
      <c r="B3789" t="s">
        <v>91</v>
      </c>
    </row>
    <row r="3790" spans="1:2" x14ac:dyDescent="0.2">
      <c r="A3790" s="36" t="s">
        <v>8290</v>
      </c>
      <c r="B3790" t="s">
        <v>95</v>
      </c>
    </row>
    <row r="3791" spans="1:2" x14ac:dyDescent="0.2">
      <c r="A3791" s="36" t="s">
        <v>8287</v>
      </c>
      <c r="B3791" t="s">
        <v>96</v>
      </c>
    </row>
    <row r="3792" spans="1:2" x14ac:dyDescent="0.2">
      <c r="A3792" s="36" t="s">
        <v>8293</v>
      </c>
      <c r="B3792" t="s">
        <v>89</v>
      </c>
    </row>
    <row r="3793" spans="1:2" x14ac:dyDescent="0.2">
      <c r="A3793" s="36" t="s">
        <v>8286</v>
      </c>
      <c r="B3793" t="s">
        <v>101</v>
      </c>
    </row>
    <row r="3794" spans="1:2" x14ac:dyDescent="0.2">
      <c r="A3794" s="36" t="s">
        <v>8281</v>
      </c>
      <c r="B3794" t="s">
        <v>90</v>
      </c>
    </row>
    <row r="3795" spans="1:2" x14ac:dyDescent="0.2">
      <c r="A3795" s="36" t="s">
        <v>8279</v>
      </c>
      <c r="B3795" t="s">
        <v>91</v>
      </c>
    </row>
    <row r="3796" spans="1:2" x14ac:dyDescent="0.2">
      <c r="A3796" s="36" t="s">
        <v>8278</v>
      </c>
      <c r="B3796" t="s">
        <v>95</v>
      </c>
    </row>
    <row r="3797" spans="1:2" x14ac:dyDescent="0.2">
      <c r="A3797" s="36" t="s">
        <v>8288</v>
      </c>
      <c r="B3797" t="s">
        <v>96</v>
      </c>
    </row>
    <row r="3798" spans="1:2" x14ac:dyDescent="0.2">
      <c r="A3798" s="36" t="s">
        <v>8282</v>
      </c>
      <c r="B3798" t="s">
        <v>89</v>
      </c>
    </row>
    <row r="3799" spans="1:2" x14ac:dyDescent="0.2">
      <c r="A3799" s="36" t="s">
        <v>8275</v>
      </c>
      <c r="B3799" t="s">
        <v>101</v>
      </c>
    </row>
    <row r="3800" spans="1:2" x14ac:dyDescent="0.2">
      <c r="A3800" s="36" t="s">
        <v>8285</v>
      </c>
      <c r="B3800" t="s">
        <v>90</v>
      </c>
    </row>
    <row r="3801" spans="1:2" x14ac:dyDescent="0.2">
      <c r="A3801" s="36" t="s">
        <v>8291</v>
      </c>
      <c r="B3801" t="s">
        <v>91</v>
      </c>
    </row>
    <row r="3802" spans="1:2" x14ac:dyDescent="0.2">
      <c r="A3802" s="36" t="s">
        <v>8294</v>
      </c>
      <c r="B3802" t="s">
        <v>101</v>
      </c>
    </row>
    <row r="3803" spans="1:2" x14ac:dyDescent="0.2">
      <c r="A3803" s="36" t="s">
        <v>8289</v>
      </c>
      <c r="B3803" t="s">
        <v>95</v>
      </c>
    </row>
    <row r="3804" spans="1:2" x14ac:dyDescent="0.2">
      <c r="A3804" s="36" t="s">
        <v>8276</v>
      </c>
      <c r="B3804" t="s">
        <v>96</v>
      </c>
    </row>
    <row r="3805" spans="1:2" x14ac:dyDescent="0.2">
      <c r="A3805" s="36" t="s">
        <v>8277</v>
      </c>
      <c r="B3805" t="s">
        <v>89</v>
      </c>
    </row>
    <row r="3806" spans="1:2" x14ac:dyDescent="0.2">
      <c r="A3806" s="36" t="s">
        <v>8284</v>
      </c>
      <c r="B3806" t="s">
        <v>90</v>
      </c>
    </row>
    <row r="3807" spans="1:2" x14ac:dyDescent="0.2">
      <c r="A3807" s="36" t="s">
        <v>8283</v>
      </c>
      <c r="B3807" t="s">
        <v>91</v>
      </c>
    </row>
    <row r="3808" spans="1:2" x14ac:dyDescent="0.2">
      <c r="A3808" s="36" t="s">
        <v>8280</v>
      </c>
      <c r="B3808" t="s">
        <v>101</v>
      </c>
    </row>
    <row r="3809" spans="1:2" x14ac:dyDescent="0.2">
      <c r="A3809" s="36" t="s">
        <v>8295</v>
      </c>
      <c r="B3809" t="s">
        <v>84</v>
      </c>
    </row>
    <row r="3810" spans="1:2" x14ac:dyDescent="0.2">
      <c r="A3810" s="36" t="s">
        <v>8300</v>
      </c>
      <c r="B3810" t="s">
        <v>94</v>
      </c>
    </row>
    <row r="3811" spans="1:2" x14ac:dyDescent="0.2">
      <c r="A3811" s="36" t="s">
        <v>8299</v>
      </c>
      <c r="B3811" t="s">
        <v>98</v>
      </c>
    </row>
    <row r="3812" spans="1:2" x14ac:dyDescent="0.2">
      <c r="A3812" s="36" t="s">
        <v>8298</v>
      </c>
      <c r="B3812" t="s">
        <v>92</v>
      </c>
    </row>
    <row r="3813" spans="1:2" x14ac:dyDescent="0.2">
      <c r="A3813" s="36" t="s">
        <v>8306</v>
      </c>
      <c r="B3813" t="s">
        <v>94</v>
      </c>
    </row>
    <row r="3814" spans="1:2" x14ac:dyDescent="0.2">
      <c r="A3814" s="36" t="s">
        <v>8297</v>
      </c>
      <c r="B3814" t="s">
        <v>84</v>
      </c>
    </row>
    <row r="3815" spans="1:2" x14ac:dyDescent="0.2">
      <c r="A3815" s="36" t="s">
        <v>8303</v>
      </c>
      <c r="B3815" t="s">
        <v>98</v>
      </c>
    </row>
    <row r="3816" spans="1:2" x14ac:dyDescent="0.2">
      <c r="A3816" s="36" t="s">
        <v>8305</v>
      </c>
      <c r="B3816" t="s">
        <v>92</v>
      </c>
    </row>
    <row r="3817" spans="1:2" x14ac:dyDescent="0.2">
      <c r="A3817" s="36" t="s">
        <v>8304</v>
      </c>
      <c r="B3817" t="s">
        <v>94</v>
      </c>
    </row>
    <row r="3818" spans="1:2" x14ac:dyDescent="0.2">
      <c r="A3818" s="36" t="s">
        <v>8302</v>
      </c>
      <c r="B3818" t="s">
        <v>98</v>
      </c>
    </row>
    <row r="3819" spans="1:2" x14ac:dyDescent="0.2">
      <c r="A3819" s="36" t="s">
        <v>8307</v>
      </c>
      <c r="B3819" t="s">
        <v>84</v>
      </c>
    </row>
    <row r="3820" spans="1:2" x14ac:dyDescent="0.2">
      <c r="A3820" s="36" t="s">
        <v>8308</v>
      </c>
      <c r="B3820" t="s">
        <v>92</v>
      </c>
    </row>
    <row r="3821" spans="1:2" x14ac:dyDescent="0.2">
      <c r="A3821" s="36" t="s">
        <v>8301</v>
      </c>
      <c r="B3821" t="s">
        <v>94</v>
      </c>
    </row>
    <row r="3822" spans="1:2" x14ac:dyDescent="0.2">
      <c r="A3822" s="36" t="s">
        <v>8296</v>
      </c>
      <c r="B3822" t="s">
        <v>98</v>
      </c>
    </row>
    <row r="3823" spans="1:2" x14ac:dyDescent="0.2">
      <c r="A3823" s="36" t="s">
        <v>8316</v>
      </c>
      <c r="B3823" t="s">
        <v>100</v>
      </c>
    </row>
    <row r="3824" spans="1:2" x14ac:dyDescent="0.2">
      <c r="A3824" s="36" t="s">
        <v>8315</v>
      </c>
      <c r="B3824" t="s">
        <v>95</v>
      </c>
    </row>
    <row r="3825" spans="1:2" x14ac:dyDescent="0.2">
      <c r="A3825" s="36" t="s">
        <v>8318</v>
      </c>
      <c r="B3825" t="s">
        <v>100</v>
      </c>
    </row>
    <row r="3826" spans="1:2" x14ac:dyDescent="0.2">
      <c r="A3826" s="36" t="s">
        <v>8320</v>
      </c>
      <c r="B3826" t="s">
        <v>95</v>
      </c>
    </row>
    <row r="3827" spans="1:2" x14ac:dyDescent="0.2">
      <c r="A3827" s="36" t="s">
        <v>8322</v>
      </c>
      <c r="B3827" t="s">
        <v>100</v>
      </c>
    </row>
    <row r="3828" spans="1:2" x14ac:dyDescent="0.2">
      <c r="A3828" s="36" t="s">
        <v>8317</v>
      </c>
      <c r="B3828" t="s">
        <v>95</v>
      </c>
    </row>
    <row r="3829" spans="1:2" x14ac:dyDescent="0.2">
      <c r="A3829" s="36" t="s">
        <v>8321</v>
      </c>
      <c r="B3829" t="s">
        <v>100</v>
      </c>
    </row>
    <row r="3830" spans="1:2" x14ac:dyDescent="0.2">
      <c r="A3830" s="36" t="s">
        <v>8319</v>
      </c>
      <c r="B3830" t="s">
        <v>95</v>
      </c>
    </row>
    <row r="3831" spans="1:2" x14ac:dyDescent="0.2">
      <c r="A3831" s="36" t="s">
        <v>8311</v>
      </c>
      <c r="B3831" t="s">
        <v>100</v>
      </c>
    </row>
    <row r="3832" spans="1:2" x14ac:dyDescent="0.2">
      <c r="A3832" s="36" t="s">
        <v>8313</v>
      </c>
      <c r="B3832" t="s">
        <v>95</v>
      </c>
    </row>
    <row r="3833" spans="1:2" x14ac:dyDescent="0.2">
      <c r="A3833" s="36" t="s">
        <v>8312</v>
      </c>
      <c r="B3833" t="s">
        <v>100</v>
      </c>
    </row>
    <row r="3834" spans="1:2" x14ac:dyDescent="0.2">
      <c r="A3834" s="36" t="s">
        <v>8310</v>
      </c>
      <c r="B3834" t="s">
        <v>95</v>
      </c>
    </row>
    <row r="3835" spans="1:2" x14ac:dyDescent="0.2">
      <c r="A3835" s="36" t="s">
        <v>8314</v>
      </c>
      <c r="B3835" t="s">
        <v>100</v>
      </c>
    </row>
    <row r="3836" spans="1:2" x14ac:dyDescent="0.2">
      <c r="A3836" s="36" t="s">
        <v>8309</v>
      </c>
      <c r="B3836" t="s">
        <v>95</v>
      </c>
    </row>
    <row r="3837" spans="1:2" x14ac:dyDescent="0.2">
      <c r="A3837" s="36" t="s">
        <v>8323</v>
      </c>
      <c r="B3837" t="s">
        <v>96</v>
      </c>
    </row>
    <row r="3838" spans="1:2" x14ac:dyDescent="0.2">
      <c r="A3838" s="36" t="s">
        <v>8325</v>
      </c>
      <c r="B3838" t="s">
        <v>89</v>
      </c>
    </row>
    <row r="3839" spans="1:2" x14ac:dyDescent="0.2">
      <c r="A3839" s="36" t="s">
        <v>8324</v>
      </c>
      <c r="B3839" t="s">
        <v>90</v>
      </c>
    </row>
    <row r="3840" spans="1:2" x14ac:dyDescent="0.2">
      <c r="A3840" s="36" t="s">
        <v>8326</v>
      </c>
      <c r="B3840" t="s">
        <v>91</v>
      </c>
    </row>
    <row r="3841" spans="1:2" x14ac:dyDescent="0.2">
      <c r="A3841" s="36" t="s">
        <v>8327</v>
      </c>
      <c r="B3841" t="s">
        <v>101</v>
      </c>
    </row>
    <row r="3842" spans="1:2" x14ac:dyDescent="0.2">
      <c r="A3842" s="36" t="s">
        <v>8330</v>
      </c>
      <c r="B3842" t="s">
        <v>91</v>
      </c>
    </row>
    <row r="3843" spans="1:2" x14ac:dyDescent="0.2">
      <c r="A3843" s="36" t="s">
        <v>8328</v>
      </c>
      <c r="B3843" t="s">
        <v>101</v>
      </c>
    </row>
    <row r="3844" spans="1:2" x14ac:dyDescent="0.2">
      <c r="A3844" s="36" t="s">
        <v>8329</v>
      </c>
      <c r="B3844" t="s">
        <v>91</v>
      </c>
    </row>
    <row r="3845" spans="1:2" x14ac:dyDescent="0.2">
      <c r="A3845" s="36" t="s">
        <v>8331</v>
      </c>
      <c r="B3845" t="s">
        <v>99</v>
      </c>
    </row>
    <row r="3846" spans="1:2" x14ac:dyDescent="0.2">
      <c r="A3846" s="36" t="s">
        <v>8332</v>
      </c>
      <c r="B3846" t="s">
        <v>96</v>
      </c>
    </row>
    <row r="3847" spans="1:2" x14ac:dyDescent="0.2">
      <c r="A3847" s="36" t="s">
        <v>8333</v>
      </c>
      <c r="B3847" t="s">
        <v>93</v>
      </c>
    </row>
    <row r="3848" spans="1:2" x14ac:dyDescent="0.2">
      <c r="A3848" s="36" t="s">
        <v>8335</v>
      </c>
      <c r="B3848" t="s">
        <v>99</v>
      </c>
    </row>
    <row r="3849" spans="1:2" x14ac:dyDescent="0.2">
      <c r="A3849" s="36" t="s">
        <v>8334</v>
      </c>
      <c r="B3849" t="s">
        <v>96</v>
      </c>
    </row>
    <row r="3850" spans="1:2" x14ac:dyDescent="0.2">
      <c r="A3850" s="36" t="s">
        <v>8336</v>
      </c>
      <c r="B3850" t="s">
        <v>89</v>
      </c>
    </row>
    <row r="3851" spans="1:2" x14ac:dyDescent="0.2">
      <c r="A3851" s="36" t="s">
        <v>8337</v>
      </c>
      <c r="B3851" t="s">
        <v>90</v>
      </c>
    </row>
    <row r="3852" spans="1:2" x14ac:dyDescent="0.2">
      <c r="A3852" s="36" t="s">
        <v>8338</v>
      </c>
      <c r="B3852" t="s">
        <v>103</v>
      </c>
    </row>
    <row r="3853" spans="1:2" x14ac:dyDescent="0.2">
      <c r="A3853" s="36" t="s">
        <v>8342</v>
      </c>
      <c r="B3853" t="s">
        <v>105</v>
      </c>
    </row>
    <row r="3854" spans="1:2" x14ac:dyDescent="0.2">
      <c r="A3854" s="36" t="s">
        <v>8347</v>
      </c>
      <c r="B3854" t="s">
        <v>104</v>
      </c>
    </row>
    <row r="3855" spans="1:2" x14ac:dyDescent="0.2">
      <c r="A3855" s="36" t="s">
        <v>8340</v>
      </c>
      <c r="B3855" t="s">
        <v>103</v>
      </c>
    </row>
    <row r="3856" spans="1:2" x14ac:dyDescent="0.2">
      <c r="A3856" s="36" t="s">
        <v>8344</v>
      </c>
      <c r="B3856" t="s">
        <v>105</v>
      </c>
    </row>
    <row r="3857" spans="1:2" x14ac:dyDescent="0.2">
      <c r="A3857" s="36" t="s">
        <v>8343</v>
      </c>
      <c r="B3857" t="s">
        <v>104</v>
      </c>
    </row>
    <row r="3858" spans="1:2" x14ac:dyDescent="0.2">
      <c r="A3858" s="36" t="s">
        <v>8346</v>
      </c>
      <c r="B3858" t="s">
        <v>103</v>
      </c>
    </row>
    <row r="3859" spans="1:2" x14ac:dyDescent="0.2">
      <c r="A3859" s="36" t="s">
        <v>8341</v>
      </c>
      <c r="B3859" t="s">
        <v>105</v>
      </c>
    </row>
    <row r="3860" spans="1:2" x14ac:dyDescent="0.2">
      <c r="A3860" s="36" t="s">
        <v>8345</v>
      </c>
      <c r="B3860" t="s">
        <v>104</v>
      </c>
    </row>
    <row r="3861" spans="1:2" x14ac:dyDescent="0.2">
      <c r="A3861" s="36" t="s">
        <v>8339</v>
      </c>
      <c r="B3861" t="s">
        <v>105</v>
      </c>
    </row>
    <row r="3862" spans="1:2" x14ac:dyDescent="0.2">
      <c r="A3862" s="36" t="s">
        <v>8348</v>
      </c>
      <c r="B3862" t="s">
        <v>89</v>
      </c>
    </row>
    <row r="3863" spans="1:2" x14ac:dyDescent="0.2">
      <c r="A3863" s="36" t="s">
        <v>8352</v>
      </c>
      <c r="B3863" t="s">
        <v>96</v>
      </c>
    </row>
    <row r="3864" spans="1:2" x14ac:dyDescent="0.2">
      <c r="A3864" s="36" t="s">
        <v>8349</v>
      </c>
      <c r="B3864" t="s">
        <v>90</v>
      </c>
    </row>
    <row r="3865" spans="1:2" x14ac:dyDescent="0.2">
      <c r="A3865" s="36" t="s">
        <v>8350</v>
      </c>
      <c r="B3865" t="s">
        <v>89</v>
      </c>
    </row>
    <row r="3866" spans="1:2" x14ac:dyDescent="0.2">
      <c r="A3866" s="36" t="s">
        <v>8351</v>
      </c>
      <c r="B3866" t="s">
        <v>88</v>
      </c>
    </row>
    <row r="3867" spans="1:2" x14ac:dyDescent="0.2">
      <c r="A3867" s="36" t="s">
        <v>8353</v>
      </c>
      <c r="B3867" t="s">
        <v>93</v>
      </c>
    </row>
    <row r="3868" spans="1:2" x14ac:dyDescent="0.2">
      <c r="A3868" s="36" t="s">
        <v>8354</v>
      </c>
      <c r="B3868" t="s">
        <v>101</v>
      </c>
    </row>
    <row r="3869" spans="1:2" x14ac:dyDescent="0.2">
      <c r="A3869" s="36" t="s">
        <v>8355</v>
      </c>
      <c r="B3869" t="s">
        <v>87</v>
      </c>
    </row>
    <row r="3870" spans="1:2" x14ac:dyDescent="0.2">
      <c r="A3870" s="36" t="s">
        <v>8356</v>
      </c>
      <c r="B3870" t="s">
        <v>99</v>
      </c>
    </row>
    <row r="3871" spans="1:2" x14ac:dyDescent="0.2">
      <c r="A3871" s="36" t="s">
        <v>8367</v>
      </c>
      <c r="B3871" t="s">
        <v>97</v>
      </c>
    </row>
    <row r="3872" spans="1:2" x14ac:dyDescent="0.2">
      <c r="A3872" s="36" t="s">
        <v>8375</v>
      </c>
      <c r="B3872" t="s">
        <v>96</v>
      </c>
    </row>
    <row r="3873" spans="1:2" x14ac:dyDescent="0.2">
      <c r="A3873" s="36" t="s">
        <v>8373</v>
      </c>
      <c r="B3873" t="s">
        <v>87</v>
      </c>
    </row>
    <row r="3874" spans="1:2" x14ac:dyDescent="0.2">
      <c r="A3874" s="36" t="s">
        <v>8374</v>
      </c>
      <c r="B3874" t="s">
        <v>90</v>
      </c>
    </row>
    <row r="3875" spans="1:2" x14ac:dyDescent="0.2">
      <c r="A3875" s="36" t="s">
        <v>8366</v>
      </c>
      <c r="B3875" t="s">
        <v>89</v>
      </c>
    </row>
    <row r="3876" spans="1:2" x14ac:dyDescent="0.2">
      <c r="A3876" s="36" t="s">
        <v>8371</v>
      </c>
      <c r="B3876" t="s">
        <v>91</v>
      </c>
    </row>
    <row r="3877" spans="1:2" x14ac:dyDescent="0.2">
      <c r="A3877" s="36" t="s">
        <v>8376</v>
      </c>
      <c r="B3877" t="s">
        <v>88</v>
      </c>
    </row>
    <row r="3878" spans="1:2" x14ac:dyDescent="0.2">
      <c r="A3878" s="36" t="s">
        <v>8365</v>
      </c>
      <c r="B3878" t="s">
        <v>101</v>
      </c>
    </row>
    <row r="3879" spans="1:2" x14ac:dyDescent="0.2">
      <c r="A3879" s="36" t="s">
        <v>8360</v>
      </c>
      <c r="B3879" t="s">
        <v>93</v>
      </c>
    </row>
    <row r="3880" spans="1:2" x14ac:dyDescent="0.2">
      <c r="A3880" s="36" t="s">
        <v>8358</v>
      </c>
      <c r="B3880" t="s">
        <v>99</v>
      </c>
    </row>
    <row r="3881" spans="1:2" x14ac:dyDescent="0.2">
      <c r="A3881" s="36" t="s">
        <v>8370</v>
      </c>
      <c r="B3881" t="s">
        <v>97</v>
      </c>
    </row>
    <row r="3882" spans="1:2" x14ac:dyDescent="0.2">
      <c r="A3882" s="36" t="s">
        <v>8372</v>
      </c>
      <c r="B3882" t="s">
        <v>96</v>
      </c>
    </row>
    <row r="3883" spans="1:2" x14ac:dyDescent="0.2">
      <c r="A3883" s="36" t="s">
        <v>8368</v>
      </c>
      <c r="B3883" t="s">
        <v>87</v>
      </c>
    </row>
    <row r="3884" spans="1:2" x14ac:dyDescent="0.2">
      <c r="A3884" s="36" t="s">
        <v>8362</v>
      </c>
      <c r="B3884" t="s">
        <v>90</v>
      </c>
    </row>
    <row r="3885" spans="1:2" x14ac:dyDescent="0.2">
      <c r="A3885" s="36" t="s">
        <v>8357</v>
      </c>
      <c r="B3885" t="s">
        <v>89</v>
      </c>
    </row>
    <row r="3886" spans="1:2" x14ac:dyDescent="0.2">
      <c r="A3886" s="36" t="s">
        <v>8369</v>
      </c>
      <c r="B3886" t="s">
        <v>91</v>
      </c>
    </row>
    <row r="3887" spans="1:2" x14ac:dyDescent="0.2">
      <c r="A3887" s="36" t="s">
        <v>8363</v>
      </c>
      <c r="B3887" t="s">
        <v>88</v>
      </c>
    </row>
    <row r="3888" spans="1:2" x14ac:dyDescent="0.2">
      <c r="A3888" s="36" t="s">
        <v>8364</v>
      </c>
      <c r="B3888" t="s">
        <v>101</v>
      </c>
    </row>
    <row r="3889" spans="1:2" x14ac:dyDescent="0.2">
      <c r="A3889" s="36" t="s">
        <v>8378</v>
      </c>
      <c r="B3889" t="s">
        <v>93</v>
      </c>
    </row>
    <row r="3890" spans="1:2" x14ac:dyDescent="0.2">
      <c r="A3890" s="36" t="s">
        <v>8361</v>
      </c>
      <c r="B3890" t="s">
        <v>99</v>
      </c>
    </row>
    <row r="3891" spans="1:2" x14ac:dyDescent="0.2">
      <c r="A3891" s="36" t="s">
        <v>8359</v>
      </c>
      <c r="B3891" t="s">
        <v>97</v>
      </c>
    </row>
    <row r="3892" spans="1:2" x14ac:dyDescent="0.2">
      <c r="A3892" s="36" t="s">
        <v>8377</v>
      </c>
      <c r="B3892" t="s">
        <v>96</v>
      </c>
    </row>
    <row r="3893" spans="1:2" x14ac:dyDescent="0.2">
      <c r="A3893" s="36" t="s">
        <v>8389</v>
      </c>
      <c r="B3893" t="s">
        <v>87</v>
      </c>
    </row>
    <row r="3894" spans="1:2" x14ac:dyDescent="0.2">
      <c r="A3894" s="36" t="s">
        <v>8384</v>
      </c>
      <c r="B3894" t="s">
        <v>84</v>
      </c>
    </row>
    <row r="3895" spans="1:2" x14ac:dyDescent="0.2">
      <c r="A3895" s="36" t="s">
        <v>8391</v>
      </c>
      <c r="B3895" t="s">
        <v>90</v>
      </c>
    </row>
    <row r="3896" spans="1:2" x14ac:dyDescent="0.2">
      <c r="A3896" s="36" t="s">
        <v>8381</v>
      </c>
      <c r="B3896" t="s">
        <v>89</v>
      </c>
    </row>
    <row r="3897" spans="1:2" x14ac:dyDescent="0.2">
      <c r="A3897" s="36" t="s">
        <v>8380</v>
      </c>
      <c r="B3897" t="s">
        <v>103</v>
      </c>
    </row>
    <row r="3898" spans="1:2" x14ac:dyDescent="0.2">
      <c r="A3898" s="36" t="s">
        <v>8379</v>
      </c>
      <c r="B3898" t="s">
        <v>91</v>
      </c>
    </row>
    <row r="3899" spans="1:2" x14ac:dyDescent="0.2">
      <c r="A3899" s="36" t="s">
        <v>8392</v>
      </c>
      <c r="B3899" t="s">
        <v>89</v>
      </c>
    </row>
    <row r="3900" spans="1:2" x14ac:dyDescent="0.2">
      <c r="A3900" s="36" t="s">
        <v>8386</v>
      </c>
      <c r="B3900" t="s">
        <v>90</v>
      </c>
    </row>
    <row r="3901" spans="1:2" x14ac:dyDescent="0.2">
      <c r="A3901" s="36" t="s">
        <v>8385</v>
      </c>
      <c r="B3901" t="s">
        <v>87</v>
      </c>
    </row>
    <row r="3902" spans="1:2" x14ac:dyDescent="0.2">
      <c r="A3902" s="36" t="s">
        <v>8383</v>
      </c>
      <c r="B3902" t="s">
        <v>84</v>
      </c>
    </row>
    <row r="3903" spans="1:2" x14ac:dyDescent="0.2">
      <c r="A3903" s="36" t="s">
        <v>8396</v>
      </c>
      <c r="B3903" t="s">
        <v>103</v>
      </c>
    </row>
    <row r="3904" spans="1:2" x14ac:dyDescent="0.2">
      <c r="A3904" s="36" t="s">
        <v>8382</v>
      </c>
      <c r="B3904" t="s">
        <v>91</v>
      </c>
    </row>
    <row r="3905" spans="1:2" x14ac:dyDescent="0.2">
      <c r="A3905" s="36" t="s">
        <v>8394</v>
      </c>
      <c r="B3905" t="s">
        <v>89</v>
      </c>
    </row>
    <row r="3906" spans="1:2" x14ac:dyDescent="0.2">
      <c r="A3906" s="36" t="s">
        <v>8398</v>
      </c>
      <c r="B3906" t="s">
        <v>90</v>
      </c>
    </row>
    <row r="3907" spans="1:2" x14ac:dyDescent="0.2">
      <c r="A3907" s="36" t="s">
        <v>8390</v>
      </c>
      <c r="B3907" t="s">
        <v>87</v>
      </c>
    </row>
    <row r="3908" spans="1:2" x14ac:dyDescent="0.2">
      <c r="A3908" s="36" t="s">
        <v>8397</v>
      </c>
      <c r="B3908" t="s">
        <v>84</v>
      </c>
    </row>
    <row r="3909" spans="1:2" x14ac:dyDescent="0.2">
      <c r="A3909" s="36" t="s">
        <v>8399</v>
      </c>
      <c r="B3909" t="s">
        <v>89</v>
      </c>
    </row>
    <row r="3910" spans="1:2" x14ac:dyDescent="0.2">
      <c r="A3910" s="36" t="s">
        <v>8400</v>
      </c>
      <c r="B3910" t="s">
        <v>103</v>
      </c>
    </row>
    <row r="3911" spans="1:2" x14ac:dyDescent="0.2">
      <c r="A3911" s="36" t="s">
        <v>8387</v>
      </c>
      <c r="B3911" t="s">
        <v>91</v>
      </c>
    </row>
    <row r="3912" spans="1:2" x14ac:dyDescent="0.2">
      <c r="A3912" s="36" t="s">
        <v>8403</v>
      </c>
      <c r="B3912" t="s">
        <v>90</v>
      </c>
    </row>
    <row r="3913" spans="1:2" x14ac:dyDescent="0.2">
      <c r="A3913" s="36" t="s">
        <v>8407</v>
      </c>
      <c r="B3913" t="s">
        <v>87</v>
      </c>
    </row>
    <row r="3914" spans="1:2" x14ac:dyDescent="0.2">
      <c r="A3914" s="36" t="s">
        <v>8388</v>
      </c>
      <c r="B3914" t="s">
        <v>84</v>
      </c>
    </row>
    <row r="3915" spans="1:2" x14ac:dyDescent="0.2">
      <c r="A3915" s="36" t="s">
        <v>8409</v>
      </c>
      <c r="B3915" t="s">
        <v>89</v>
      </c>
    </row>
    <row r="3916" spans="1:2" x14ac:dyDescent="0.2">
      <c r="A3916" s="36" t="s">
        <v>8408</v>
      </c>
      <c r="B3916" t="s">
        <v>103</v>
      </c>
    </row>
    <row r="3917" spans="1:2" x14ac:dyDescent="0.2">
      <c r="A3917" s="36" t="s">
        <v>8406</v>
      </c>
      <c r="B3917" t="s">
        <v>91</v>
      </c>
    </row>
    <row r="3918" spans="1:2" x14ac:dyDescent="0.2">
      <c r="A3918" s="36" t="s">
        <v>8393</v>
      </c>
      <c r="B3918" t="s">
        <v>90</v>
      </c>
    </row>
    <row r="3919" spans="1:2" x14ac:dyDescent="0.2">
      <c r="A3919" s="36" t="s">
        <v>8395</v>
      </c>
      <c r="B3919" t="s">
        <v>87</v>
      </c>
    </row>
    <row r="3920" spans="1:2" x14ac:dyDescent="0.2">
      <c r="A3920" s="36" t="s">
        <v>8401</v>
      </c>
      <c r="B3920" t="s">
        <v>84</v>
      </c>
    </row>
    <row r="3921" spans="1:2" x14ac:dyDescent="0.2">
      <c r="A3921" s="36" t="s">
        <v>8404</v>
      </c>
      <c r="B3921" t="s">
        <v>89</v>
      </c>
    </row>
    <row r="3922" spans="1:2" x14ac:dyDescent="0.2">
      <c r="A3922" s="36" t="s">
        <v>8402</v>
      </c>
      <c r="B3922" t="s">
        <v>103</v>
      </c>
    </row>
    <row r="3923" spans="1:2" x14ac:dyDescent="0.2">
      <c r="A3923" s="36" t="s">
        <v>8405</v>
      </c>
      <c r="B3923" t="s">
        <v>91</v>
      </c>
    </row>
    <row r="3924" spans="1:2" x14ac:dyDescent="0.2">
      <c r="A3924" s="36" t="s">
        <v>8410</v>
      </c>
      <c r="B3924" t="s">
        <v>88</v>
      </c>
    </row>
    <row r="3925" spans="1:2" x14ac:dyDescent="0.2">
      <c r="A3925" s="36" t="s">
        <v>8411</v>
      </c>
      <c r="B3925" t="s">
        <v>101</v>
      </c>
    </row>
    <row r="3926" spans="1:2" x14ac:dyDescent="0.2">
      <c r="A3926" s="36" t="s">
        <v>8432</v>
      </c>
      <c r="B3926" t="s">
        <v>93</v>
      </c>
    </row>
    <row r="3927" spans="1:2" x14ac:dyDescent="0.2">
      <c r="A3927" s="36" t="s">
        <v>8422</v>
      </c>
      <c r="B3927" t="s">
        <v>104</v>
      </c>
    </row>
    <row r="3928" spans="1:2" x14ac:dyDescent="0.2">
      <c r="A3928" s="36" t="s">
        <v>8424</v>
      </c>
      <c r="B3928" t="s">
        <v>101</v>
      </c>
    </row>
    <row r="3929" spans="1:2" x14ac:dyDescent="0.2">
      <c r="A3929" s="36" t="s">
        <v>8456</v>
      </c>
      <c r="B3929" t="s">
        <v>99</v>
      </c>
    </row>
    <row r="3930" spans="1:2" x14ac:dyDescent="0.2">
      <c r="A3930" s="36" t="s">
        <v>8449</v>
      </c>
      <c r="B3930" t="s">
        <v>92</v>
      </c>
    </row>
    <row r="3931" spans="1:2" x14ac:dyDescent="0.2">
      <c r="A3931" s="36" t="s">
        <v>8439</v>
      </c>
      <c r="B3931" t="s">
        <v>97</v>
      </c>
    </row>
    <row r="3932" spans="1:2" x14ac:dyDescent="0.2">
      <c r="A3932" s="36" t="s">
        <v>8445</v>
      </c>
      <c r="B3932" t="s">
        <v>96</v>
      </c>
    </row>
    <row r="3933" spans="1:2" x14ac:dyDescent="0.2">
      <c r="A3933" s="36" t="s">
        <v>8454</v>
      </c>
      <c r="B3933" t="s">
        <v>105</v>
      </c>
    </row>
    <row r="3934" spans="1:2" x14ac:dyDescent="0.2">
      <c r="A3934" s="36" t="s">
        <v>8446</v>
      </c>
      <c r="B3934" t="s">
        <v>94</v>
      </c>
    </row>
    <row r="3935" spans="1:2" x14ac:dyDescent="0.2">
      <c r="A3935" s="36" t="s">
        <v>8435</v>
      </c>
      <c r="B3935" t="s">
        <v>93</v>
      </c>
    </row>
    <row r="3936" spans="1:2" x14ac:dyDescent="0.2">
      <c r="A3936" s="36" t="s">
        <v>8450</v>
      </c>
      <c r="B3936" t="s">
        <v>88</v>
      </c>
    </row>
    <row r="3937" spans="1:2" x14ac:dyDescent="0.2">
      <c r="A3937" s="36" t="s">
        <v>8419</v>
      </c>
      <c r="B3937" t="s">
        <v>104</v>
      </c>
    </row>
    <row r="3938" spans="1:2" x14ac:dyDescent="0.2">
      <c r="A3938" s="36" t="s">
        <v>8429</v>
      </c>
      <c r="B3938" t="s">
        <v>101</v>
      </c>
    </row>
    <row r="3939" spans="1:2" x14ac:dyDescent="0.2">
      <c r="A3939" s="36" t="s">
        <v>8431</v>
      </c>
      <c r="B3939" t="s">
        <v>99</v>
      </c>
    </row>
    <row r="3940" spans="1:2" x14ac:dyDescent="0.2">
      <c r="A3940" s="36" t="s">
        <v>8427</v>
      </c>
      <c r="B3940" t="s">
        <v>92</v>
      </c>
    </row>
    <row r="3941" spans="1:2" x14ac:dyDescent="0.2">
      <c r="A3941" s="36" t="s">
        <v>8447</v>
      </c>
      <c r="B3941" t="s">
        <v>97</v>
      </c>
    </row>
    <row r="3942" spans="1:2" x14ac:dyDescent="0.2">
      <c r="A3942" s="36" t="s">
        <v>8425</v>
      </c>
      <c r="B3942" t="s">
        <v>96</v>
      </c>
    </row>
    <row r="3943" spans="1:2" x14ac:dyDescent="0.2">
      <c r="A3943" s="36" t="s">
        <v>8451</v>
      </c>
      <c r="B3943" t="s">
        <v>104</v>
      </c>
    </row>
    <row r="3944" spans="1:2" x14ac:dyDescent="0.2">
      <c r="A3944" s="36" t="s">
        <v>8421</v>
      </c>
      <c r="B3944" t="s">
        <v>105</v>
      </c>
    </row>
    <row r="3945" spans="1:2" x14ac:dyDescent="0.2">
      <c r="A3945" s="36" t="s">
        <v>8443</v>
      </c>
      <c r="B3945" t="s">
        <v>94</v>
      </c>
    </row>
    <row r="3946" spans="1:2" x14ac:dyDescent="0.2">
      <c r="A3946" s="36" t="s">
        <v>8420</v>
      </c>
      <c r="B3946" t="s">
        <v>93</v>
      </c>
    </row>
    <row r="3947" spans="1:2" x14ac:dyDescent="0.2">
      <c r="A3947" s="36" t="s">
        <v>8423</v>
      </c>
      <c r="B3947" t="s">
        <v>88</v>
      </c>
    </row>
    <row r="3948" spans="1:2" x14ac:dyDescent="0.2">
      <c r="A3948" s="36" t="s">
        <v>8458</v>
      </c>
      <c r="B3948" t="s">
        <v>101</v>
      </c>
    </row>
    <row r="3949" spans="1:2" x14ac:dyDescent="0.2">
      <c r="A3949" s="36" t="s">
        <v>8417</v>
      </c>
      <c r="B3949" t="s">
        <v>99</v>
      </c>
    </row>
    <row r="3950" spans="1:2" x14ac:dyDescent="0.2">
      <c r="A3950" s="36" t="s">
        <v>8438</v>
      </c>
      <c r="B3950" t="s">
        <v>92</v>
      </c>
    </row>
    <row r="3951" spans="1:2" x14ac:dyDescent="0.2">
      <c r="A3951" s="36" t="s">
        <v>8414</v>
      </c>
      <c r="B3951" t="s">
        <v>97</v>
      </c>
    </row>
    <row r="3952" spans="1:2" x14ac:dyDescent="0.2">
      <c r="A3952" s="36" t="s">
        <v>8441</v>
      </c>
      <c r="B3952" t="s">
        <v>96</v>
      </c>
    </row>
    <row r="3953" spans="1:2" x14ac:dyDescent="0.2">
      <c r="A3953" s="36" t="s">
        <v>8448</v>
      </c>
      <c r="B3953" t="s">
        <v>104</v>
      </c>
    </row>
    <row r="3954" spans="1:2" x14ac:dyDescent="0.2">
      <c r="A3954" s="36" t="s">
        <v>8457</v>
      </c>
      <c r="B3954" t="s">
        <v>105</v>
      </c>
    </row>
    <row r="3955" spans="1:2" x14ac:dyDescent="0.2">
      <c r="A3955" s="36" t="s">
        <v>8413</v>
      </c>
      <c r="B3955" t="s">
        <v>94</v>
      </c>
    </row>
    <row r="3956" spans="1:2" x14ac:dyDescent="0.2">
      <c r="A3956" s="36" t="s">
        <v>8418</v>
      </c>
      <c r="B3956" t="s">
        <v>93</v>
      </c>
    </row>
    <row r="3957" spans="1:2" x14ac:dyDescent="0.2">
      <c r="A3957" s="36" t="s">
        <v>8415</v>
      </c>
      <c r="B3957" t="s">
        <v>88</v>
      </c>
    </row>
    <row r="3958" spans="1:2" x14ac:dyDescent="0.2">
      <c r="A3958" s="36" t="s">
        <v>8440</v>
      </c>
      <c r="B3958" t="s">
        <v>101</v>
      </c>
    </row>
    <row r="3959" spans="1:2" x14ac:dyDescent="0.2">
      <c r="A3959" s="36" t="s">
        <v>8434</v>
      </c>
      <c r="B3959" t="s">
        <v>99</v>
      </c>
    </row>
    <row r="3960" spans="1:2" x14ac:dyDescent="0.2">
      <c r="A3960" s="36" t="s">
        <v>8455</v>
      </c>
      <c r="B3960" t="s">
        <v>92</v>
      </c>
    </row>
    <row r="3961" spans="1:2" x14ac:dyDescent="0.2">
      <c r="A3961" s="36" t="s">
        <v>8433</v>
      </c>
      <c r="B3961" t="s">
        <v>97</v>
      </c>
    </row>
    <row r="3962" spans="1:2" x14ac:dyDescent="0.2">
      <c r="A3962" s="36" t="s">
        <v>8442</v>
      </c>
      <c r="B3962" t="s">
        <v>96</v>
      </c>
    </row>
    <row r="3963" spans="1:2" x14ac:dyDescent="0.2">
      <c r="A3963" s="36" t="s">
        <v>8428</v>
      </c>
      <c r="B3963" t="s">
        <v>104</v>
      </c>
    </row>
    <row r="3964" spans="1:2" x14ac:dyDescent="0.2">
      <c r="A3964" s="36" t="s">
        <v>8437</v>
      </c>
      <c r="B3964" t="s">
        <v>105</v>
      </c>
    </row>
    <row r="3965" spans="1:2" x14ac:dyDescent="0.2">
      <c r="A3965" s="36" t="s">
        <v>8426</v>
      </c>
      <c r="B3965" t="s">
        <v>94</v>
      </c>
    </row>
    <row r="3966" spans="1:2" x14ac:dyDescent="0.2">
      <c r="A3966" s="36" t="s">
        <v>8436</v>
      </c>
      <c r="B3966" t="s">
        <v>93</v>
      </c>
    </row>
    <row r="3967" spans="1:2" x14ac:dyDescent="0.2">
      <c r="A3967" s="36" t="s">
        <v>8430</v>
      </c>
      <c r="B3967" t="s">
        <v>88</v>
      </c>
    </row>
    <row r="3968" spans="1:2" x14ac:dyDescent="0.2">
      <c r="A3968" s="36" t="s">
        <v>8444</v>
      </c>
      <c r="B3968" t="s">
        <v>101</v>
      </c>
    </row>
    <row r="3969" spans="1:2" x14ac:dyDescent="0.2">
      <c r="A3969" s="36" t="s">
        <v>8453</v>
      </c>
      <c r="B3969" t="s">
        <v>99</v>
      </c>
    </row>
    <row r="3970" spans="1:2" x14ac:dyDescent="0.2">
      <c r="A3970" s="36" t="s">
        <v>8452</v>
      </c>
      <c r="B3970" t="s">
        <v>92</v>
      </c>
    </row>
    <row r="3971" spans="1:2" x14ac:dyDescent="0.2">
      <c r="A3971" s="36" t="s">
        <v>8412</v>
      </c>
      <c r="B3971" t="s">
        <v>97</v>
      </c>
    </row>
    <row r="3972" spans="1:2" x14ac:dyDescent="0.2">
      <c r="A3972" s="36" t="s">
        <v>8416</v>
      </c>
      <c r="B3972" t="s">
        <v>96</v>
      </c>
    </row>
    <row r="3973" spans="1:2" x14ac:dyDescent="0.2">
      <c r="A3973" s="36" t="s">
        <v>8463</v>
      </c>
      <c r="B3973" t="s">
        <v>98</v>
      </c>
    </row>
    <row r="3974" spans="1:2" x14ac:dyDescent="0.2">
      <c r="A3974" s="36" t="s">
        <v>8465</v>
      </c>
      <c r="B3974" t="s">
        <v>98</v>
      </c>
    </row>
    <row r="3975" spans="1:2" x14ac:dyDescent="0.2">
      <c r="A3975" s="36" t="s">
        <v>8460</v>
      </c>
      <c r="B3975" t="s">
        <v>98</v>
      </c>
    </row>
    <row r="3976" spans="1:2" x14ac:dyDescent="0.2">
      <c r="A3976" s="36" t="s">
        <v>8464</v>
      </c>
      <c r="B3976" t="s">
        <v>98</v>
      </c>
    </row>
    <row r="3977" spans="1:2" x14ac:dyDescent="0.2">
      <c r="A3977" s="36" t="s">
        <v>8461</v>
      </c>
      <c r="B3977" t="s">
        <v>104</v>
      </c>
    </row>
    <row r="3978" spans="1:2" x14ac:dyDescent="0.2">
      <c r="A3978" s="36" t="s">
        <v>8459</v>
      </c>
      <c r="B3978" t="s">
        <v>105</v>
      </c>
    </row>
    <row r="3979" spans="1:2" x14ac:dyDescent="0.2">
      <c r="A3979" s="36" t="s">
        <v>8462</v>
      </c>
      <c r="B3979" t="s">
        <v>94</v>
      </c>
    </row>
    <row r="3980" spans="1:2" x14ac:dyDescent="0.2">
      <c r="A3980" s="36" t="s">
        <v>8466</v>
      </c>
      <c r="B3980" t="s">
        <v>98</v>
      </c>
    </row>
    <row r="3981" spans="1:2" x14ac:dyDescent="0.2">
      <c r="A3981" s="36" t="s">
        <v>8467</v>
      </c>
      <c r="B3981" t="s">
        <v>93</v>
      </c>
    </row>
    <row r="3982" spans="1:2" x14ac:dyDescent="0.2">
      <c r="A3982" s="36" t="s">
        <v>8468</v>
      </c>
      <c r="B3982" t="s">
        <v>88</v>
      </c>
    </row>
    <row r="3983" spans="1:2" x14ac:dyDescent="0.2">
      <c r="A3983" s="36" t="s">
        <v>8477</v>
      </c>
      <c r="B3983" t="s">
        <v>88</v>
      </c>
    </row>
    <row r="3984" spans="1:2" x14ac:dyDescent="0.2">
      <c r="A3984" s="36" t="s">
        <v>8472</v>
      </c>
      <c r="B3984" t="s">
        <v>101</v>
      </c>
    </row>
    <row r="3985" spans="1:2" x14ac:dyDescent="0.2">
      <c r="A3985" s="36" t="s">
        <v>8475</v>
      </c>
      <c r="B3985" t="s">
        <v>99</v>
      </c>
    </row>
    <row r="3986" spans="1:2" x14ac:dyDescent="0.2">
      <c r="A3986" s="36" t="s">
        <v>8482</v>
      </c>
      <c r="B3986" t="s">
        <v>92</v>
      </c>
    </row>
    <row r="3987" spans="1:2" x14ac:dyDescent="0.2">
      <c r="A3987" s="36" t="s">
        <v>8480</v>
      </c>
      <c r="B3987" t="s">
        <v>97</v>
      </c>
    </row>
    <row r="3988" spans="1:2" x14ac:dyDescent="0.2">
      <c r="A3988" s="36" t="s">
        <v>8478</v>
      </c>
      <c r="B3988" t="s">
        <v>96</v>
      </c>
    </row>
    <row r="3989" spans="1:2" x14ac:dyDescent="0.2">
      <c r="A3989" s="36" t="s">
        <v>8479</v>
      </c>
      <c r="B3989" t="s">
        <v>104</v>
      </c>
    </row>
    <row r="3990" spans="1:2" x14ac:dyDescent="0.2">
      <c r="A3990" s="36" t="s">
        <v>8471</v>
      </c>
      <c r="B3990" t="s">
        <v>105</v>
      </c>
    </row>
    <row r="3991" spans="1:2" x14ac:dyDescent="0.2">
      <c r="A3991" s="36" t="s">
        <v>8484</v>
      </c>
      <c r="B3991" t="s">
        <v>99</v>
      </c>
    </row>
    <row r="3992" spans="1:2" x14ac:dyDescent="0.2">
      <c r="A3992" s="36" t="s">
        <v>8474</v>
      </c>
      <c r="B3992" t="s">
        <v>98</v>
      </c>
    </row>
    <row r="3993" spans="1:2" x14ac:dyDescent="0.2">
      <c r="A3993" s="36" t="s">
        <v>8483</v>
      </c>
      <c r="B3993" t="s">
        <v>94</v>
      </c>
    </row>
    <row r="3994" spans="1:2" x14ac:dyDescent="0.2">
      <c r="A3994" s="36" t="s">
        <v>8476</v>
      </c>
      <c r="B3994" t="s">
        <v>105</v>
      </c>
    </row>
    <row r="3995" spans="1:2" x14ac:dyDescent="0.2">
      <c r="A3995" s="36" t="s">
        <v>8469</v>
      </c>
      <c r="B3995" t="s">
        <v>88</v>
      </c>
    </row>
    <row r="3996" spans="1:2" x14ac:dyDescent="0.2">
      <c r="A3996" s="36" t="s">
        <v>8473</v>
      </c>
      <c r="B3996" t="s">
        <v>101</v>
      </c>
    </row>
    <row r="3997" spans="1:2" x14ac:dyDescent="0.2">
      <c r="A3997" s="36" t="s">
        <v>8470</v>
      </c>
      <c r="B3997" t="s">
        <v>92</v>
      </c>
    </row>
    <row r="3998" spans="1:2" x14ac:dyDescent="0.2">
      <c r="A3998" s="36" t="s">
        <v>8481</v>
      </c>
      <c r="B3998" t="s">
        <v>97</v>
      </c>
    </row>
    <row r="3999" spans="1:2" x14ac:dyDescent="0.2">
      <c r="A3999" s="36" t="s">
        <v>8537</v>
      </c>
      <c r="B3999" t="s">
        <v>93</v>
      </c>
    </row>
    <row r="4000" spans="1:2" x14ac:dyDescent="0.2">
      <c r="A4000" s="36" t="s">
        <v>8538</v>
      </c>
      <c r="B4000" t="s">
        <v>96</v>
      </c>
    </row>
    <row r="4001" spans="1:2" x14ac:dyDescent="0.2">
      <c r="A4001" s="36" t="s">
        <v>8536</v>
      </c>
      <c r="B4001" t="s">
        <v>104</v>
      </c>
    </row>
    <row r="4002" spans="1:2" x14ac:dyDescent="0.2">
      <c r="A4002" s="36" t="s">
        <v>8540</v>
      </c>
      <c r="B4002" t="s">
        <v>99</v>
      </c>
    </row>
    <row r="4003" spans="1:2" x14ac:dyDescent="0.2">
      <c r="A4003" s="36" t="s">
        <v>8541</v>
      </c>
      <c r="B4003" t="s">
        <v>98</v>
      </c>
    </row>
    <row r="4004" spans="1:2" x14ac:dyDescent="0.2">
      <c r="A4004" s="36" t="s">
        <v>8539</v>
      </c>
      <c r="B4004" t="s">
        <v>94</v>
      </c>
    </row>
    <row r="4005" spans="1:2" x14ac:dyDescent="0.2">
      <c r="A4005" s="36" t="s">
        <v>8542</v>
      </c>
      <c r="B4005" t="s">
        <v>99</v>
      </c>
    </row>
    <row r="4006" spans="1:2" x14ac:dyDescent="0.2">
      <c r="A4006" s="36" t="s">
        <v>8554</v>
      </c>
      <c r="B4006" t="s">
        <v>105</v>
      </c>
    </row>
    <row r="4007" spans="1:2" x14ac:dyDescent="0.2">
      <c r="A4007" s="36" t="s">
        <v>8544</v>
      </c>
      <c r="B4007" t="s">
        <v>88</v>
      </c>
    </row>
    <row r="4008" spans="1:2" x14ac:dyDescent="0.2">
      <c r="A4008" s="36" t="s">
        <v>8556</v>
      </c>
      <c r="B4008" t="s">
        <v>105</v>
      </c>
    </row>
    <row r="4009" spans="1:2" x14ac:dyDescent="0.2">
      <c r="A4009" s="36" t="s">
        <v>8547</v>
      </c>
      <c r="B4009" t="s">
        <v>88</v>
      </c>
    </row>
    <row r="4010" spans="1:2" x14ac:dyDescent="0.2">
      <c r="A4010" s="36" t="s">
        <v>8549</v>
      </c>
      <c r="B4010" t="s">
        <v>105</v>
      </c>
    </row>
    <row r="4011" spans="1:2" x14ac:dyDescent="0.2">
      <c r="A4011" s="36" t="s">
        <v>8553</v>
      </c>
      <c r="B4011" t="s">
        <v>88</v>
      </c>
    </row>
    <row r="4012" spans="1:2" x14ac:dyDescent="0.2">
      <c r="A4012" s="36" t="s">
        <v>8545</v>
      </c>
      <c r="B4012" t="s">
        <v>105</v>
      </c>
    </row>
    <row r="4013" spans="1:2" x14ac:dyDescent="0.2">
      <c r="A4013" s="36" t="s">
        <v>8555</v>
      </c>
      <c r="B4013" t="s">
        <v>88</v>
      </c>
    </row>
    <row r="4014" spans="1:2" x14ac:dyDescent="0.2">
      <c r="A4014" s="36" t="s">
        <v>8550</v>
      </c>
      <c r="B4014" t="s">
        <v>88</v>
      </c>
    </row>
    <row r="4015" spans="1:2" x14ac:dyDescent="0.2">
      <c r="A4015" s="36" t="s">
        <v>8551</v>
      </c>
      <c r="B4015" t="s">
        <v>88</v>
      </c>
    </row>
    <row r="4016" spans="1:2" x14ac:dyDescent="0.2">
      <c r="A4016" s="36" t="s">
        <v>8552</v>
      </c>
      <c r="B4016" t="s">
        <v>105</v>
      </c>
    </row>
    <row r="4017" spans="1:2" x14ac:dyDescent="0.2">
      <c r="A4017" s="36" t="s">
        <v>8548</v>
      </c>
      <c r="B4017" t="s">
        <v>88</v>
      </c>
    </row>
    <row r="4018" spans="1:2" x14ac:dyDescent="0.2">
      <c r="A4018" s="36" t="s">
        <v>8543</v>
      </c>
      <c r="B4018" t="s">
        <v>105</v>
      </c>
    </row>
    <row r="4019" spans="1:2" x14ac:dyDescent="0.2">
      <c r="A4019" s="36" t="s">
        <v>8546</v>
      </c>
      <c r="B4019" t="s">
        <v>88</v>
      </c>
    </row>
    <row r="4020" spans="1:2" x14ac:dyDescent="0.2">
      <c r="A4020" s="36" t="s">
        <v>8561</v>
      </c>
      <c r="B4020" t="s">
        <v>101</v>
      </c>
    </row>
    <row r="4021" spans="1:2" x14ac:dyDescent="0.2">
      <c r="A4021" s="36" t="s">
        <v>8559</v>
      </c>
      <c r="B4021" t="s">
        <v>92</v>
      </c>
    </row>
    <row r="4022" spans="1:2" x14ac:dyDescent="0.2">
      <c r="A4022" s="36" t="s">
        <v>8564</v>
      </c>
      <c r="B4022" t="s">
        <v>97</v>
      </c>
    </row>
    <row r="4023" spans="1:2" x14ac:dyDescent="0.2">
      <c r="A4023" s="36" t="s">
        <v>8560</v>
      </c>
      <c r="B4023" t="s">
        <v>98</v>
      </c>
    </row>
    <row r="4024" spans="1:2" x14ac:dyDescent="0.2">
      <c r="A4024" s="36" t="s">
        <v>8566</v>
      </c>
      <c r="B4024" t="s">
        <v>101</v>
      </c>
    </row>
    <row r="4025" spans="1:2" x14ac:dyDescent="0.2">
      <c r="A4025" s="36" t="s">
        <v>8565</v>
      </c>
      <c r="B4025" t="s">
        <v>92</v>
      </c>
    </row>
    <row r="4026" spans="1:2" x14ac:dyDescent="0.2">
      <c r="A4026" s="36" t="s">
        <v>8557</v>
      </c>
      <c r="B4026" t="s">
        <v>97</v>
      </c>
    </row>
    <row r="4027" spans="1:2" x14ac:dyDescent="0.2">
      <c r="A4027" s="36" t="s">
        <v>8562</v>
      </c>
      <c r="B4027" t="s">
        <v>98</v>
      </c>
    </row>
    <row r="4028" spans="1:2" x14ac:dyDescent="0.2">
      <c r="A4028" s="36" t="s">
        <v>8567</v>
      </c>
      <c r="B4028" t="s">
        <v>92</v>
      </c>
    </row>
    <row r="4029" spans="1:2" x14ac:dyDescent="0.2">
      <c r="A4029" s="36" t="s">
        <v>8558</v>
      </c>
      <c r="B4029" t="s">
        <v>101</v>
      </c>
    </row>
    <row r="4030" spans="1:2" x14ac:dyDescent="0.2">
      <c r="A4030" s="36" t="s">
        <v>8563</v>
      </c>
      <c r="B4030" t="s">
        <v>97</v>
      </c>
    </row>
    <row r="4031" spans="1:2" x14ac:dyDescent="0.2">
      <c r="A4031" s="36" t="s">
        <v>8569</v>
      </c>
      <c r="B4031" t="s">
        <v>94</v>
      </c>
    </row>
    <row r="4032" spans="1:2" x14ac:dyDescent="0.2">
      <c r="A4032" s="36" t="s">
        <v>8568</v>
      </c>
      <c r="B4032" t="s">
        <v>104</v>
      </c>
    </row>
    <row r="4033" spans="1:2" x14ac:dyDescent="0.2">
      <c r="A4033" s="36" t="s">
        <v>8571</v>
      </c>
      <c r="B4033" t="s">
        <v>93</v>
      </c>
    </row>
    <row r="4034" spans="1:2" x14ac:dyDescent="0.2">
      <c r="A4034" s="36" t="s">
        <v>8572</v>
      </c>
      <c r="B4034" t="s">
        <v>100</v>
      </c>
    </row>
    <row r="4035" spans="1:2" x14ac:dyDescent="0.2">
      <c r="A4035" s="36" t="s">
        <v>8574</v>
      </c>
      <c r="B4035" t="s">
        <v>96</v>
      </c>
    </row>
    <row r="4036" spans="1:2" x14ac:dyDescent="0.2">
      <c r="A4036" s="36" t="s">
        <v>8573</v>
      </c>
      <c r="B4036" t="s">
        <v>99</v>
      </c>
    </row>
    <row r="4037" spans="1:2" x14ac:dyDescent="0.2">
      <c r="A4037" s="36" t="s">
        <v>8570</v>
      </c>
      <c r="B4037" t="s">
        <v>104</v>
      </c>
    </row>
    <row r="4038" spans="1:2" x14ac:dyDescent="0.2">
      <c r="A4038" s="36" t="s">
        <v>8575</v>
      </c>
      <c r="B4038" t="s">
        <v>95</v>
      </c>
    </row>
    <row r="4039" spans="1:2" x14ac:dyDescent="0.2">
      <c r="A4039" s="36" t="s">
        <v>8578</v>
      </c>
      <c r="B4039" t="s">
        <v>94</v>
      </c>
    </row>
    <row r="4040" spans="1:2" x14ac:dyDescent="0.2">
      <c r="A4040" s="36" t="s">
        <v>8577</v>
      </c>
      <c r="B4040" t="s">
        <v>94</v>
      </c>
    </row>
    <row r="4041" spans="1:2" x14ac:dyDescent="0.2">
      <c r="A4041" s="36" t="s">
        <v>8576</v>
      </c>
      <c r="B4041" t="s">
        <v>93</v>
      </c>
    </row>
    <row r="4042" spans="1:2" x14ac:dyDescent="0.2">
      <c r="A4042" s="36" t="s">
        <v>8579</v>
      </c>
      <c r="B4042" t="s">
        <v>100</v>
      </c>
    </row>
    <row r="4043" spans="1:2" x14ac:dyDescent="0.2">
      <c r="A4043" s="36" t="s">
        <v>8580</v>
      </c>
      <c r="B4043" t="s">
        <v>96</v>
      </c>
    </row>
    <row r="4044" spans="1:2" x14ac:dyDescent="0.2">
      <c r="A4044" s="36" t="s">
        <v>8582</v>
      </c>
      <c r="B4044" t="s">
        <v>90</v>
      </c>
    </row>
    <row r="4045" spans="1:2" x14ac:dyDescent="0.2">
      <c r="A4045" s="36" t="s">
        <v>8581</v>
      </c>
      <c r="B4045" t="s">
        <v>99</v>
      </c>
    </row>
    <row r="4046" spans="1:2" x14ac:dyDescent="0.2">
      <c r="A4046" s="36" t="s">
        <v>8601</v>
      </c>
      <c r="B4046" t="s">
        <v>95</v>
      </c>
    </row>
    <row r="4047" spans="1:2" x14ac:dyDescent="0.2">
      <c r="A4047" s="36" t="s">
        <v>8591</v>
      </c>
      <c r="B4047" t="s">
        <v>104</v>
      </c>
    </row>
    <row r="4048" spans="1:2" x14ac:dyDescent="0.2">
      <c r="A4048" s="36" t="s">
        <v>8586</v>
      </c>
      <c r="B4048" t="s">
        <v>95</v>
      </c>
    </row>
    <row r="4049" spans="1:2" x14ac:dyDescent="0.2">
      <c r="A4049" s="36" t="s">
        <v>8599</v>
      </c>
      <c r="B4049" t="s">
        <v>104</v>
      </c>
    </row>
    <row r="4050" spans="1:2" x14ac:dyDescent="0.2">
      <c r="A4050" s="36" t="s">
        <v>8592</v>
      </c>
      <c r="B4050" t="s">
        <v>95</v>
      </c>
    </row>
    <row r="4051" spans="1:2" x14ac:dyDescent="0.2">
      <c r="A4051" s="36" t="s">
        <v>8596</v>
      </c>
      <c r="B4051" t="s">
        <v>104</v>
      </c>
    </row>
    <row r="4052" spans="1:2" x14ac:dyDescent="0.2">
      <c r="A4052" s="36" t="s">
        <v>8584</v>
      </c>
      <c r="B4052" t="s">
        <v>95</v>
      </c>
    </row>
    <row r="4053" spans="1:2" x14ac:dyDescent="0.2">
      <c r="A4053" s="36" t="s">
        <v>8590</v>
      </c>
      <c r="B4053" t="s">
        <v>104</v>
      </c>
    </row>
    <row r="4054" spans="1:2" x14ac:dyDescent="0.2">
      <c r="A4054" s="36" t="s">
        <v>8583</v>
      </c>
      <c r="B4054" t="s">
        <v>104</v>
      </c>
    </row>
    <row r="4055" spans="1:2" x14ac:dyDescent="0.2">
      <c r="A4055" s="36" t="s">
        <v>8588</v>
      </c>
      <c r="B4055" t="s">
        <v>95</v>
      </c>
    </row>
    <row r="4056" spans="1:2" x14ac:dyDescent="0.2">
      <c r="A4056" s="36" t="s">
        <v>8585</v>
      </c>
      <c r="B4056" t="s">
        <v>104</v>
      </c>
    </row>
    <row r="4057" spans="1:2" x14ac:dyDescent="0.2">
      <c r="A4057" s="36" t="s">
        <v>8593</v>
      </c>
      <c r="B4057" t="s">
        <v>95</v>
      </c>
    </row>
    <row r="4058" spans="1:2" x14ac:dyDescent="0.2">
      <c r="A4058" s="36" t="s">
        <v>8610</v>
      </c>
      <c r="B4058" t="s">
        <v>104</v>
      </c>
    </row>
    <row r="4059" spans="1:2" x14ac:dyDescent="0.2">
      <c r="A4059" s="36" t="s">
        <v>8604</v>
      </c>
      <c r="B4059" t="s">
        <v>95</v>
      </c>
    </row>
    <row r="4060" spans="1:2" x14ac:dyDescent="0.2">
      <c r="A4060" s="36" t="s">
        <v>8609</v>
      </c>
      <c r="B4060" t="s">
        <v>104</v>
      </c>
    </row>
    <row r="4061" spans="1:2" x14ac:dyDescent="0.2">
      <c r="A4061" s="36" t="s">
        <v>8589</v>
      </c>
      <c r="B4061" t="s">
        <v>95</v>
      </c>
    </row>
    <row r="4062" spans="1:2" x14ac:dyDescent="0.2">
      <c r="A4062" s="36" t="s">
        <v>8595</v>
      </c>
      <c r="B4062" t="s">
        <v>104</v>
      </c>
    </row>
    <row r="4063" spans="1:2" x14ac:dyDescent="0.2">
      <c r="A4063" s="36" t="s">
        <v>8605</v>
      </c>
      <c r="B4063" t="s">
        <v>95</v>
      </c>
    </row>
    <row r="4064" spans="1:2" x14ac:dyDescent="0.2">
      <c r="A4064" s="36" t="s">
        <v>8611</v>
      </c>
      <c r="B4064" t="s">
        <v>95</v>
      </c>
    </row>
    <row r="4065" spans="1:2" x14ac:dyDescent="0.2">
      <c r="A4065" s="36" t="s">
        <v>8607</v>
      </c>
      <c r="B4065" t="s">
        <v>104</v>
      </c>
    </row>
    <row r="4066" spans="1:2" x14ac:dyDescent="0.2">
      <c r="A4066" s="36" t="s">
        <v>8606</v>
      </c>
      <c r="B4066" t="s">
        <v>95</v>
      </c>
    </row>
    <row r="4067" spans="1:2" x14ac:dyDescent="0.2">
      <c r="A4067" s="36" t="s">
        <v>8603</v>
      </c>
      <c r="B4067" t="s">
        <v>104</v>
      </c>
    </row>
    <row r="4068" spans="1:2" x14ac:dyDescent="0.2">
      <c r="A4068" s="36" t="s">
        <v>8597</v>
      </c>
      <c r="B4068" t="s">
        <v>95</v>
      </c>
    </row>
    <row r="4069" spans="1:2" x14ac:dyDescent="0.2">
      <c r="A4069" s="36" t="s">
        <v>8602</v>
      </c>
      <c r="B4069" t="s">
        <v>104</v>
      </c>
    </row>
    <row r="4070" spans="1:2" x14ac:dyDescent="0.2">
      <c r="A4070" s="36" t="s">
        <v>8594</v>
      </c>
      <c r="B4070" t="s">
        <v>95</v>
      </c>
    </row>
    <row r="4071" spans="1:2" x14ac:dyDescent="0.2">
      <c r="A4071" s="36" t="s">
        <v>8587</v>
      </c>
      <c r="B4071" t="s">
        <v>104</v>
      </c>
    </row>
    <row r="4072" spans="1:2" x14ac:dyDescent="0.2">
      <c r="A4072" s="36" t="s">
        <v>8600</v>
      </c>
      <c r="B4072" t="s">
        <v>95</v>
      </c>
    </row>
    <row r="4073" spans="1:2" x14ac:dyDescent="0.2">
      <c r="A4073" s="36" t="s">
        <v>8608</v>
      </c>
      <c r="B4073" t="s">
        <v>104</v>
      </c>
    </row>
    <row r="4074" spans="1:2" x14ac:dyDescent="0.2">
      <c r="A4074" s="36" t="s">
        <v>8598</v>
      </c>
      <c r="B4074" t="s">
        <v>95</v>
      </c>
    </row>
    <row r="4075" spans="1:2" x14ac:dyDescent="0.2">
      <c r="A4075" s="36" t="s">
        <v>8613</v>
      </c>
      <c r="B4075" t="s">
        <v>99</v>
      </c>
    </row>
    <row r="4076" spans="1:2" x14ac:dyDescent="0.2">
      <c r="A4076" s="36" t="s">
        <v>8616</v>
      </c>
      <c r="B4076" t="s">
        <v>100</v>
      </c>
    </row>
    <row r="4077" spans="1:2" x14ac:dyDescent="0.2">
      <c r="A4077" s="36" t="s">
        <v>8615</v>
      </c>
      <c r="B4077" t="s">
        <v>87</v>
      </c>
    </row>
    <row r="4078" spans="1:2" x14ac:dyDescent="0.2">
      <c r="A4078" s="36" t="s">
        <v>8614</v>
      </c>
      <c r="B4078" t="s">
        <v>94</v>
      </c>
    </row>
    <row r="4079" spans="1:2" x14ac:dyDescent="0.2">
      <c r="A4079" s="36" t="s">
        <v>8612</v>
      </c>
      <c r="B4079" t="s">
        <v>96</v>
      </c>
    </row>
    <row r="4080" spans="1:2" x14ac:dyDescent="0.2">
      <c r="A4080" s="36" t="s">
        <v>8617</v>
      </c>
      <c r="B4080" t="s">
        <v>99</v>
      </c>
    </row>
    <row r="4081" spans="1:2" x14ac:dyDescent="0.2">
      <c r="A4081" s="36" t="s">
        <v>8618</v>
      </c>
      <c r="B4081" t="s">
        <v>84</v>
      </c>
    </row>
    <row r="4082" spans="1:2" x14ac:dyDescent="0.2">
      <c r="A4082" s="36" t="s">
        <v>8619</v>
      </c>
      <c r="B4082" t="s">
        <v>90</v>
      </c>
    </row>
    <row r="4083" spans="1:2" x14ac:dyDescent="0.2">
      <c r="A4083" s="36" t="s">
        <v>8621</v>
      </c>
      <c r="B4083" t="s">
        <v>89</v>
      </c>
    </row>
    <row r="4084" spans="1:2" x14ac:dyDescent="0.2">
      <c r="A4084" s="36" t="s">
        <v>8623</v>
      </c>
      <c r="B4084" t="s">
        <v>103</v>
      </c>
    </row>
    <row r="4085" spans="1:2" x14ac:dyDescent="0.2">
      <c r="A4085" s="36" t="s">
        <v>8620</v>
      </c>
      <c r="B4085" t="s">
        <v>91</v>
      </c>
    </row>
    <row r="4086" spans="1:2" x14ac:dyDescent="0.2">
      <c r="A4086" s="36" t="s">
        <v>8622</v>
      </c>
      <c r="B4086" t="s">
        <v>94</v>
      </c>
    </row>
    <row r="4087" spans="1:2" x14ac:dyDescent="0.2">
      <c r="A4087" s="36" t="s">
        <v>8626</v>
      </c>
      <c r="B4087" t="s">
        <v>93</v>
      </c>
    </row>
    <row r="4088" spans="1:2" x14ac:dyDescent="0.2">
      <c r="A4088" s="36" t="s">
        <v>8628</v>
      </c>
      <c r="B4088" t="s">
        <v>87</v>
      </c>
    </row>
    <row r="4089" spans="1:2" x14ac:dyDescent="0.2">
      <c r="A4089" s="36" t="s">
        <v>8627</v>
      </c>
      <c r="B4089" t="s">
        <v>98</v>
      </c>
    </row>
    <row r="4090" spans="1:2" x14ac:dyDescent="0.2">
      <c r="A4090" s="36" t="s">
        <v>8624</v>
      </c>
      <c r="B4090" t="s">
        <v>100</v>
      </c>
    </row>
    <row r="4091" spans="1:2" x14ac:dyDescent="0.2">
      <c r="A4091" s="36" t="s">
        <v>8625</v>
      </c>
      <c r="B4091" t="s">
        <v>92</v>
      </c>
    </row>
    <row r="4092" spans="1:2" x14ac:dyDescent="0.2">
      <c r="A4092" s="36" t="s">
        <v>8640</v>
      </c>
      <c r="B4092" t="s">
        <v>87</v>
      </c>
    </row>
    <row r="4093" spans="1:2" x14ac:dyDescent="0.2">
      <c r="A4093" s="36" t="s">
        <v>8644</v>
      </c>
      <c r="B4093" t="s">
        <v>96</v>
      </c>
    </row>
    <row r="4094" spans="1:2" x14ac:dyDescent="0.2">
      <c r="A4094" s="36" t="s">
        <v>8641</v>
      </c>
      <c r="B4094" t="s">
        <v>99</v>
      </c>
    </row>
    <row r="4095" spans="1:2" x14ac:dyDescent="0.2">
      <c r="A4095" s="36" t="s">
        <v>8658</v>
      </c>
      <c r="B4095" t="s">
        <v>90</v>
      </c>
    </row>
    <row r="4096" spans="1:2" x14ac:dyDescent="0.2">
      <c r="A4096" s="36" t="s">
        <v>8652</v>
      </c>
      <c r="B4096" t="s">
        <v>87</v>
      </c>
    </row>
    <row r="4097" spans="1:2" x14ac:dyDescent="0.2">
      <c r="A4097" s="36" t="s">
        <v>8671</v>
      </c>
      <c r="B4097" t="s">
        <v>96</v>
      </c>
    </row>
    <row r="4098" spans="1:2" x14ac:dyDescent="0.2">
      <c r="A4098" s="36" t="s">
        <v>8668</v>
      </c>
      <c r="B4098" t="s">
        <v>99</v>
      </c>
    </row>
    <row r="4099" spans="1:2" x14ac:dyDescent="0.2">
      <c r="A4099" s="36" t="s">
        <v>8670</v>
      </c>
      <c r="B4099" t="s">
        <v>90</v>
      </c>
    </row>
    <row r="4100" spans="1:2" x14ac:dyDescent="0.2">
      <c r="A4100" s="36" t="s">
        <v>8650</v>
      </c>
      <c r="B4100" t="s">
        <v>87</v>
      </c>
    </row>
    <row r="4101" spans="1:2" x14ac:dyDescent="0.2">
      <c r="A4101" s="36" t="s">
        <v>8664</v>
      </c>
      <c r="B4101" t="s">
        <v>96</v>
      </c>
    </row>
    <row r="4102" spans="1:2" x14ac:dyDescent="0.2">
      <c r="A4102" s="36" t="s">
        <v>8632</v>
      </c>
      <c r="B4102" t="s">
        <v>99</v>
      </c>
    </row>
    <row r="4103" spans="1:2" x14ac:dyDescent="0.2">
      <c r="A4103" s="36" t="s">
        <v>8654</v>
      </c>
      <c r="B4103" t="s">
        <v>90</v>
      </c>
    </row>
    <row r="4104" spans="1:2" x14ac:dyDescent="0.2">
      <c r="A4104" s="36" t="s">
        <v>8677</v>
      </c>
      <c r="B4104" t="s">
        <v>87</v>
      </c>
    </row>
    <row r="4105" spans="1:2" x14ac:dyDescent="0.2">
      <c r="A4105" s="36" t="s">
        <v>8676</v>
      </c>
      <c r="B4105" t="s">
        <v>96</v>
      </c>
    </row>
    <row r="4106" spans="1:2" x14ac:dyDescent="0.2">
      <c r="A4106" s="36" t="s">
        <v>8662</v>
      </c>
      <c r="B4106" t="s">
        <v>99</v>
      </c>
    </row>
    <row r="4107" spans="1:2" x14ac:dyDescent="0.2">
      <c r="A4107" s="36" t="s">
        <v>8646</v>
      </c>
      <c r="B4107" t="s">
        <v>90</v>
      </c>
    </row>
    <row r="4108" spans="1:2" x14ac:dyDescent="0.2">
      <c r="A4108" s="36" t="s">
        <v>8642</v>
      </c>
      <c r="B4108" t="s">
        <v>87</v>
      </c>
    </row>
    <row r="4109" spans="1:2" x14ac:dyDescent="0.2">
      <c r="A4109" s="36" t="s">
        <v>8702</v>
      </c>
      <c r="B4109" t="s">
        <v>96</v>
      </c>
    </row>
    <row r="4110" spans="1:2" x14ac:dyDescent="0.2">
      <c r="A4110" s="36" t="s">
        <v>8653</v>
      </c>
      <c r="B4110" t="s">
        <v>99</v>
      </c>
    </row>
    <row r="4111" spans="1:2" x14ac:dyDescent="0.2">
      <c r="A4111" s="36" t="s">
        <v>8701</v>
      </c>
      <c r="B4111" t="s">
        <v>90</v>
      </c>
    </row>
    <row r="4112" spans="1:2" x14ac:dyDescent="0.2">
      <c r="A4112" s="36" t="s">
        <v>8659</v>
      </c>
      <c r="B4112" t="s">
        <v>87</v>
      </c>
    </row>
    <row r="4113" spans="1:2" x14ac:dyDescent="0.2">
      <c r="A4113" s="36" t="s">
        <v>8718</v>
      </c>
      <c r="B4113" t="s">
        <v>96</v>
      </c>
    </row>
    <row r="4114" spans="1:2" x14ac:dyDescent="0.2">
      <c r="A4114" s="36" t="s">
        <v>8680</v>
      </c>
      <c r="B4114" t="s">
        <v>99</v>
      </c>
    </row>
    <row r="4115" spans="1:2" x14ac:dyDescent="0.2">
      <c r="A4115" s="36" t="s">
        <v>8675</v>
      </c>
      <c r="B4115" t="s">
        <v>90</v>
      </c>
    </row>
    <row r="4116" spans="1:2" x14ac:dyDescent="0.2">
      <c r="A4116" s="36" t="s">
        <v>8635</v>
      </c>
      <c r="B4116" t="s">
        <v>87</v>
      </c>
    </row>
    <row r="4117" spans="1:2" x14ac:dyDescent="0.2">
      <c r="A4117" s="36" t="s">
        <v>8685</v>
      </c>
      <c r="B4117" t="s">
        <v>96</v>
      </c>
    </row>
    <row r="4118" spans="1:2" x14ac:dyDescent="0.2">
      <c r="A4118" s="36" t="s">
        <v>8648</v>
      </c>
      <c r="B4118" t="s">
        <v>99</v>
      </c>
    </row>
    <row r="4119" spans="1:2" x14ac:dyDescent="0.2">
      <c r="A4119" s="36" t="s">
        <v>8647</v>
      </c>
      <c r="B4119" t="s">
        <v>90</v>
      </c>
    </row>
    <row r="4120" spans="1:2" x14ac:dyDescent="0.2">
      <c r="A4120" s="36" t="s">
        <v>8673</v>
      </c>
      <c r="B4120" t="s">
        <v>87</v>
      </c>
    </row>
    <row r="4121" spans="1:2" x14ac:dyDescent="0.2">
      <c r="A4121" s="36" t="s">
        <v>8686</v>
      </c>
      <c r="B4121" t="s">
        <v>96</v>
      </c>
    </row>
    <row r="4122" spans="1:2" x14ac:dyDescent="0.2">
      <c r="A4122" s="36" t="s">
        <v>8678</v>
      </c>
      <c r="B4122" t="s">
        <v>99</v>
      </c>
    </row>
    <row r="4123" spans="1:2" x14ac:dyDescent="0.2">
      <c r="A4123" s="36" t="s">
        <v>8657</v>
      </c>
      <c r="B4123" t="s">
        <v>90</v>
      </c>
    </row>
    <row r="4124" spans="1:2" x14ac:dyDescent="0.2">
      <c r="A4124" s="36" t="s">
        <v>8630</v>
      </c>
      <c r="B4124" t="s">
        <v>87</v>
      </c>
    </row>
    <row r="4125" spans="1:2" x14ac:dyDescent="0.2">
      <c r="A4125" s="36" t="s">
        <v>8631</v>
      </c>
      <c r="B4125" t="s">
        <v>96</v>
      </c>
    </row>
    <row r="4126" spans="1:2" x14ac:dyDescent="0.2">
      <c r="A4126" s="36" t="s">
        <v>8656</v>
      </c>
      <c r="B4126" t="s">
        <v>99</v>
      </c>
    </row>
    <row r="4127" spans="1:2" x14ac:dyDescent="0.2">
      <c r="A4127" s="36" t="s">
        <v>8695</v>
      </c>
      <c r="B4127" t="s">
        <v>90</v>
      </c>
    </row>
    <row r="4128" spans="1:2" x14ac:dyDescent="0.2">
      <c r="A4128" s="36" t="s">
        <v>8633</v>
      </c>
      <c r="B4128" t="s">
        <v>87</v>
      </c>
    </row>
    <row r="4129" spans="1:2" x14ac:dyDescent="0.2">
      <c r="A4129" s="36" t="s">
        <v>8663</v>
      </c>
      <c r="B4129" t="s">
        <v>96</v>
      </c>
    </row>
    <row r="4130" spans="1:2" x14ac:dyDescent="0.2">
      <c r="A4130" s="36" t="s">
        <v>8634</v>
      </c>
      <c r="B4130" t="s">
        <v>99</v>
      </c>
    </row>
    <row r="4131" spans="1:2" x14ac:dyDescent="0.2">
      <c r="A4131" s="36" t="s">
        <v>8637</v>
      </c>
      <c r="B4131" t="s">
        <v>90</v>
      </c>
    </row>
    <row r="4132" spans="1:2" x14ac:dyDescent="0.2">
      <c r="A4132" s="36" t="s">
        <v>8639</v>
      </c>
      <c r="B4132" t="s">
        <v>87</v>
      </c>
    </row>
    <row r="4133" spans="1:2" x14ac:dyDescent="0.2">
      <c r="A4133" s="36" t="s">
        <v>8693</v>
      </c>
      <c r="B4133" t="s">
        <v>96</v>
      </c>
    </row>
    <row r="4134" spans="1:2" x14ac:dyDescent="0.2">
      <c r="A4134" s="36" t="s">
        <v>8689</v>
      </c>
      <c r="B4134" t="s">
        <v>99</v>
      </c>
    </row>
    <row r="4135" spans="1:2" x14ac:dyDescent="0.2">
      <c r="A4135" s="36" t="s">
        <v>8688</v>
      </c>
      <c r="B4135" t="s">
        <v>90</v>
      </c>
    </row>
    <row r="4136" spans="1:2" x14ac:dyDescent="0.2">
      <c r="A4136" s="36" t="s">
        <v>8638</v>
      </c>
      <c r="B4136" t="s">
        <v>87</v>
      </c>
    </row>
    <row r="4137" spans="1:2" x14ac:dyDescent="0.2">
      <c r="A4137" s="36" t="s">
        <v>8705</v>
      </c>
      <c r="B4137" t="s">
        <v>90</v>
      </c>
    </row>
    <row r="4138" spans="1:2" x14ac:dyDescent="0.2">
      <c r="A4138" s="36" t="s">
        <v>8655</v>
      </c>
      <c r="B4138" t="s">
        <v>96</v>
      </c>
    </row>
    <row r="4139" spans="1:2" x14ac:dyDescent="0.2">
      <c r="A4139" s="36" t="s">
        <v>8697</v>
      </c>
      <c r="B4139" t="s">
        <v>99</v>
      </c>
    </row>
    <row r="4140" spans="1:2" x14ac:dyDescent="0.2">
      <c r="A4140" s="36" t="s">
        <v>8706</v>
      </c>
      <c r="B4140" t="s">
        <v>96</v>
      </c>
    </row>
    <row r="4141" spans="1:2" x14ac:dyDescent="0.2">
      <c r="A4141" s="36" t="s">
        <v>8720</v>
      </c>
      <c r="B4141" t="s">
        <v>87</v>
      </c>
    </row>
    <row r="4142" spans="1:2" x14ac:dyDescent="0.2">
      <c r="A4142" s="36" t="s">
        <v>8721</v>
      </c>
      <c r="B4142" t="s">
        <v>90</v>
      </c>
    </row>
    <row r="4143" spans="1:2" x14ac:dyDescent="0.2">
      <c r="A4143" s="36" t="s">
        <v>8649</v>
      </c>
      <c r="B4143" t="s">
        <v>99</v>
      </c>
    </row>
    <row r="4144" spans="1:2" x14ac:dyDescent="0.2">
      <c r="A4144" s="36" t="s">
        <v>8716</v>
      </c>
      <c r="B4144" t="s">
        <v>96</v>
      </c>
    </row>
    <row r="4145" spans="1:2" x14ac:dyDescent="0.2">
      <c r="A4145" s="36" t="s">
        <v>8723</v>
      </c>
      <c r="B4145" t="s">
        <v>87</v>
      </c>
    </row>
    <row r="4146" spans="1:2" x14ac:dyDescent="0.2">
      <c r="A4146" s="36" t="s">
        <v>8708</v>
      </c>
      <c r="B4146" t="s">
        <v>90</v>
      </c>
    </row>
    <row r="4147" spans="1:2" x14ac:dyDescent="0.2">
      <c r="A4147" s="36" t="s">
        <v>8704</v>
      </c>
      <c r="B4147" t="s">
        <v>99</v>
      </c>
    </row>
    <row r="4148" spans="1:2" x14ac:dyDescent="0.2">
      <c r="A4148" s="36" t="s">
        <v>8681</v>
      </c>
      <c r="B4148" t="s">
        <v>96</v>
      </c>
    </row>
    <row r="4149" spans="1:2" x14ac:dyDescent="0.2">
      <c r="A4149" s="36" t="s">
        <v>8672</v>
      </c>
      <c r="B4149" t="s">
        <v>87</v>
      </c>
    </row>
    <row r="4150" spans="1:2" x14ac:dyDescent="0.2">
      <c r="A4150" s="36" t="s">
        <v>8682</v>
      </c>
      <c r="B4150" t="s">
        <v>90</v>
      </c>
    </row>
    <row r="4151" spans="1:2" x14ac:dyDescent="0.2">
      <c r="A4151" s="36" t="s">
        <v>8728</v>
      </c>
      <c r="B4151" t="s">
        <v>99</v>
      </c>
    </row>
    <row r="4152" spans="1:2" x14ac:dyDescent="0.2">
      <c r="A4152" s="36" t="s">
        <v>8629</v>
      </c>
      <c r="B4152" t="s">
        <v>96</v>
      </c>
    </row>
    <row r="4153" spans="1:2" x14ac:dyDescent="0.2">
      <c r="A4153" s="36" t="s">
        <v>8726</v>
      </c>
      <c r="B4153" t="s">
        <v>87</v>
      </c>
    </row>
    <row r="4154" spans="1:2" x14ac:dyDescent="0.2">
      <c r="A4154" s="36" t="s">
        <v>8727</v>
      </c>
      <c r="B4154" t="s">
        <v>90</v>
      </c>
    </row>
    <row r="4155" spans="1:2" x14ac:dyDescent="0.2">
      <c r="A4155" s="36" t="s">
        <v>8703</v>
      </c>
      <c r="B4155" t="s">
        <v>99</v>
      </c>
    </row>
    <row r="4156" spans="1:2" x14ac:dyDescent="0.2">
      <c r="A4156" s="36" t="s">
        <v>8679</v>
      </c>
      <c r="B4156" t="s">
        <v>96</v>
      </c>
    </row>
    <row r="4157" spans="1:2" x14ac:dyDescent="0.2">
      <c r="A4157" s="36" t="s">
        <v>8643</v>
      </c>
      <c r="B4157" t="s">
        <v>87</v>
      </c>
    </row>
    <row r="4158" spans="1:2" x14ac:dyDescent="0.2">
      <c r="A4158" s="36" t="s">
        <v>8683</v>
      </c>
      <c r="B4158" t="s">
        <v>90</v>
      </c>
    </row>
    <row r="4159" spans="1:2" x14ac:dyDescent="0.2">
      <c r="A4159" s="36" t="s">
        <v>8698</v>
      </c>
      <c r="B4159" t="s">
        <v>99</v>
      </c>
    </row>
    <row r="4160" spans="1:2" x14ac:dyDescent="0.2">
      <c r="A4160" s="36" t="s">
        <v>8696</v>
      </c>
      <c r="B4160" t="s">
        <v>96</v>
      </c>
    </row>
    <row r="4161" spans="1:2" x14ac:dyDescent="0.2">
      <c r="A4161" s="36" t="s">
        <v>8651</v>
      </c>
      <c r="B4161" t="s">
        <v>87</v>
      </c>
    </row>
    <row r="4162" spans="1:2" x14ac:dyDescent="0.2">
      <c r="A4162" s="36" t="s">
        <v>8725</v>
      </c>
      <c r="B4162" t="s">
        <v>90</v>
      </c>
    </row>
    <row r="4163" spans="1:2" x14ac:dyDescent="0.2">
      <c r="A4163" s="36" t="s">
        <v>8694</v>
      </c>
      <c r="B4163" t="s">
        <v>99</v>
      </c>
    </row>
    <row r="4164" spans="1:2" x14ac:dyDescent="0.2">
      <c r="A4164" s="36" t="s">
        <v>8719</v>
      </c>
      <c r="B4164" t="s">
        <v>96</v>
      </c>
    </row>
    <row r="4165" spans="1:2" x14ac:dyDescent="0.2">
      <c r="A4165" s="36" t="s">
        <v>8711</v>
      </c>
      <c r="B4165" t="s">
        <v>87</v>
      </c>
    </row>
    <row r="4166" spans="1:2" x14ac:dyDescent="0.2">
      <c r="A4166" s="36" t="s">
        <v>8712</v>
      </c>
      <c r="B4166" t="s">
        <v>90</v>
      </c>
    </row>
    <row r="4167" spans="1:2" x14ac:dyDescent="0.2">
      <c r="A4167" s="36" t="s">
        <v>8645</v>
      </c>
      <c r="B4167" t="s">
        <v>99</v>
      </c>
    </row>
    <row r="4168" spans="1:2" x14ac:dyDescent="0.2">
      <c r="A4168" s="36" t="s">
        <v>8713</v>
      </c>
      <c r="B4168" t="s">
        <v>96</v>
      </c>
    </row>
    <row r="4169" spans="1:2" x14ac:dyDescent="0.2">
      <c r="A4169" s="36" t="s">
        <v>8722</v>
      </c>
      <c r="B4169" t="s">
        <v>87</v>
      </c>
    </row>
    <row r="4170" spans="1:2" x14ac:dyDescent="0.2">
      <c r="A4170" s="36" t="s">
        <v>8715</v>
      </c>
      <c r="B4170" t="s">
        <v>90</v>
      </c>
    </row>
    <row r="4171" spans="1:2" x14ac:dyDescent="0.2">
      <c r="A4171" s="36" t="s">
        <v>8699</v>
      </c>
      <c r="B4171" t="s">
        <v>99</v>
      </c>
    </row>
    <row r="4172" spans="1:2" x14ac:dyDescent="0.2">
      <c r="A4172" s="36" t="s">
        <v>8661</v>
      </c>
      <c r="B4172" t="s">
        <v>96</v>
      </c>
    </row>
    <row r="4173" spans="1:2" x14ac:dyDescent="0.2">
      <c r="A4173" s="36" t="s">
        <v>8666</v>
      </c>
      <c r="B4173" t="s">
        <v>87</v>
      </c>
    </row>
    <row r="4174" spans="1:2" x14ac:dyDescent="0.2">
      <c r="A4174" s="36" t="s">
        <v>8684</v>
      </c>
      <c r="B4174" t="s">
        <v>90</v>
      </c>
    </row>
    <row r="4175" spans="1:2" x14ac:dyDescent="0.2">
      <c r="A4175" s="36" t="s">
        <v>8674</v>
      </c>
      <c r="B4175" t="s">
        <v>99</v>
      </c>
    </row>
    <row r="4176" spans="1:2" x14ac:dyDescent="0.2">
      <c r="A4176" s="36" t="s">
        <v>8667</v>
      </c>
      <c r="B4176" t="s">
        <v>96</v>
      </c>
    </row>
    <row r="4177" spans="1:2" x14ac:dyDescent="0.2">
      <c r="A4177" s="36" t="s">
        <v>8660</v>
      </c>
      <c r="B4177" t="s">
        <v>87</v>
      </c>
    </row>
    <row r="4178" spans="1:2" x14ac:dyDescent="0.2">
      <c r="A4178" s="36" t="s">
        <v>8669</v>
      </c>
      <c r="B4178" t="s">
        <v>87</v>
      </c>
    </row>
    <row r="4179" spans="1:2" x14ac:dyDescent="0.2">
      <c r="A4179" s="36" t="s">
        <v>8665</v>
      </c>
      <c r="B4179" t="s">
        <v>96</v>
      </c>
    </row>
    <row r="4180" spans="1:2" x14ac:dyDescent="0.2">
      <c r="A4180" s="36" t="s">
        <v>8731</v>
      </c>
      <c r="B4180" t="s">
        <v>99</v>
      </c>
    </row>
    <row r="4181" spans="1:2" x14ac:dyDescent="0.2">
      <c r="A4181" s="36" t="s">
        <v>8732</v>
      </c>
      <c r="B4181" t="s">
        <v>90</v>
      </c>
    </row>
    <row r="4182" spans="1:2" x14ac:dyDescent="0.2">
      <c r="A4182" s="36" t="s">
        <v>8729</v>
      </c>
      <c r="B4182" t="s">
        <v>87</v>
      </c>
    </row>
    <row r="4183" spans="1:2" x14ac:dyDescent="0.2">
      <c r="A4183" s="36" t="s">
        <v>8709</v>
      </c>
      <c r="B4183" t="s">
        <v>96</v>
      </c>
    </row>
    <row r="4184" spans="1:2" x14ac:dyDescent="0.2">
      <c r="A4184" s="36" t="s">
        <v>8714</v>
      </c>
      <c r="B4184" t="s">
        <v>99</v>
      </c>
    </row>
    <row r="4185" spans="1:2" x14ac:dyDescent="0.2">
      <c r="A4185" s="36" t="s">
        <v>8687</v>
      </c>
      <c r="B4185" t="s">
        <v>90</v>
      </c>
    </row>
    <row r="4186" spans="1:2" x14ac:dyDescent="0.2">
      <c r="A4186" s="36" t="s">
        <v>8636</v>
      </c>
      <c r="B4186" t="s">
        <v>87</v>
      </c>
    </row>
    <row r="4187" spans="1:2" x14ac:dyDescent="0.2">
      <c r="A4187" s="36" t="s">
        <v>8717</v>
      </c>
      <c r="B4187" t="s">
        <v>96</v>
      </c>
    </row>
    <row r="4188" spans="1:2" x14ac:dyDescent="0.2">
      <c r="A4188" s="36" t="s">
        <v>8707</v>
      </c>
      <c r="B4188" t="s">
        <v>99</v>
      </c>
    </row>
    <row r="4189" spans="1:2" x14ac:dyDescent="0.2">
      <c r="A4189" s="36" t="s">
        <v>8690</v>
      </c>
      <c r="B4189" t="s">
        <v>90</v>
      </c>
    </row>
    <row r="4190" spans="1:2" x14ac:dyDescent="0.2">
      <c r="A4190" s="36" t="s">
        <v>8730</v>
      </c>
      <c r="B4190" t="s">
        <v>87</v>
      </c>
    </row>
    <row r="4191" spans="1:2" x14ac:dyDescent="0.2">
      <c r="A4191" s="36" t="s">
        <v>8724</v>
      </c>
      <c r="B4191" t="s">
        <v>96</v>
      </c>
    </row>
    <row r="4192" spans="1:2" x14ac:dyDescent="0.2">
      <c r="A4192" s="36" t="s">
        <v>8692</v>
      </c>
      <c r="B4192" t="s">
        <v>99</v>
      </c>
    </row>
    <row r="4193" spans="1:2" x14ac:dyDescent="0.2">
      <c r="A4193" s="36" t="s">
        <v>8710</v>
      </c>
      <c r="B4193" t="s">
        <v>90</v>
      </c>
    </row>
    <row r="4194" spans="1:2" x14ac:dyDescent="0.2">
      <c r="A4194" s="36" t="s">
        <v>8691</v>
      </c>
      <c r="B4194" t="s">
        <v>87</v>
      </c>
    </row>
    <row r="4195" spans="1:2" x14ac:dyDescent="0.2">
      <c r="A4195" s="36" t="s">
        <v>8700</v>
      </c>
      <c r="B4195" t="s">
        <v>96</v>
      </c>
    </row>
    <row r="4196" spans="1:2" x14ac:dyDescent="0.2">
      <c r="A4196" s="36" t="s">
        <v>8819</v>
      </c>
      <c r="B4196" t="s">
        <v>89</v>
      </c>
    </row>
    <row r="4197" spans="1:2" x14ac:dyDescent="0.2">
      <c r="A4197" s="36" t="s">
        <v>8783</v>
      </c>
      <c r="B4197" t="s">
        <v>103</v>
      </c>
    </row>
    <row r="4198" spans="1:2" x14ac:dyDescent="0.2">
      <c r="A4198" s="36" t="s">
        <v>8782</v>
      </c>
      <c r="B4198" t="s">
        <v>91</v>
      </c>
    </row>
    <row r="4199" spans="1:2" x14ac:dyDescent="0.2">
      <c r="A4199" s="36" t="s">
        <v>8825</v>
      </c>
      <c r="B4199" t="s">
        <v>93</v>
      </c>
    </row>
    <row r="4200" spans="1:2" x14ac:dyDescent="0.2">
      <c r="A4200" s="36" t="s">
        <v>8822</v>
      </c>
      <c r="B4200" t="s">
        <v>89</v>
      </c>
    </row>
    <row r="4201" spans="1:2" x14ac:dyDescent="0.2">
      <c r="A4201" s="36" t="s">
        <v>8823</v>
      </c>
      <c r="B4201" t="s">
        <v>103</v>
      </c>
    </row>
    <row r="4202" spans="1:2" x14ac:dyDescent="0.2">
      <c r="A4202" s="36" t="s">
        <v>8786</v>
      </c>
      <c r="B4202" t="s">
        <v>91</v>
      </c>
    </row>
    <row r="4203" spans="1:2" x14ac:dyDescent="0.2">
      <c r="A4203" s="36" t="s">
        <v>8785</v>
      </c>
      <c r="B4203" t="s">
        <v>93</v>
      </c>
    </row>
    <row r="4204" spans="1:2" x14ac:dyDescent="0.2">
      <c r="A4204" s="36" t="s">
        <v>8776</v>
      </c>
      <c r="B4204" t="s">
        <v>89</v>
      </c>
    </row>
    <row r="4205" spans="1:2" x14ac:dyDescent="0.2">
      <c r="A4205" s="36" t="s">
        <v>8781</v>
      </c>
      <c r="B4205" t="s">
        <v>103</v>
      </c>
    </row>
    <row r="4206" spans="1:2" x14ac:dyDescent="0.2">
      <c r="A4206" s="36" t="s">
        <v>8784</v>
      </c>
      <c r="B4206" t="s">
        <v>91</v>
      </c>
    </row>
    <row r="4207" spans="1:2" x14ac:dyDescent="0.2">
      <c r="A4207" s="36" t="s">
        <v>8787</v>
      </c>
      <c r="B4207" t="s">
        <v>93</v>
      </c>
    </row>
    <row r="4208" spans="1:2" x14ac:dyDescent="0.2">
      <c r="A4208" s="36" t="s">
        <v>8816</v>
      </c>
      <c r="B4208" t="s">
        <v>89</v>
      </c>
    </row>
    <row r="4209" spans="1:2" x14ac:dyDescent="0.2">
      <c r="A4209" s="36" t="s">
        <v>8829</v>
      </c>
      <c r="B4209" t="s">
        <v>103</v>
      </c>
    </row>
    <row r="4210" spans="1:2" x14ac:dyDescent="0.2">
      <c r="A4210" s="36" t="s">
        <v>8827</v>
      </c>
      <c r="B4210" t="s">
        <v>91</v>
      </c>
    </row>
    <row r="4211" spans="1:2" x14ac:dyDescent="0.2">
      <c r="A4211" s="36" t="s">
        <v>8808</v>
      </c>
      <c r="B4211" t="s">
        <v>93</v>
      </c>
    </row>
    <row r="4212" spans="1:2" x14ac:dyDescent="0.2">
      <c r="A4212" s="36" t="s">
        <v>8807</v>
      </c>
      <c r="B4212" t="s">
        <v>89</v>
      </c>
    </row>
    <row r="4213" spans="1:2" x14ac:dyDescent="0.2">
      <c r="A4213" s="36" t="s">
        <v>8806</v>
      </c>
      <c r="B4213" t="s">
        <v>103</v>
      </c>
    </row>
    <row r="4214" spans="1:2" x14ac:dyDescent="0.2">
      <c r="A4214" s="36" t="s">
        <v>8818</v>
      </c>
      <c r="B4214" t="s">
        <v>91</v>
      </c>
    </row>
    <row r="4215" spans="1:2" x14ac:dyDescent="0.2">
      <c r="A4215" s="36" t="s">
        <v>8821</v>
      </c>
      <c r="B4215" t="s">
        <v>93</v>
      </c>
    </row>
    <row r="4216" spans="1:2" x14ac:dyDescent="0.2">
      <c r="A4216" s="36" t="s">
        <v>8824</v>
      </c>
      <c r="B4216" t="s">
        <v>89</v>
      </c>
    </row>
    <row r="4217" spans="1:2" x14ac:dyDescent="0.2">
      <c r="A4217" s="36" t="s">
        <v>8826</v>
      </c>
      <c r="B4217" t="s">
        <v>103</v>
      </c>
    </row>
    <row r="4218" spans="1:2" x14ac:dyDescent="0.2">
      <c r="A4218" s="36" t="s">
        <v>8828</v>
      </c>
      <c r="B4218" t="s">
        <v>91</v>
      </c>
    </row>
    <row r="4219" spans="1:2" x14ac:dyDescent="0.2">
      <c r="A4219" s="36" t="s">
        <v>8817</v>
      </c>
      <c r="B4219" t="s">
        <v>93</v>
      </c>
    </row>
    <row r="4220" spans="1:2" x14ac:dyDescent="0.2">
      <c r="A4220" s="36" t="s">
        <v>8788</v>
      </c>
      <c r="B4220" t="s">
        <v>89</v>
      </c>
    </row>
    <row r="4221" spans="1:2" x14ac:dyDescent="0.2">
      <c r="A4221" s="36" t="s">
        <v>8789</v>
      </c>
      <c r="B4221" t="s">
        <v>103</v>
      </c>
    </row>
    <row r="4222" spans="1:2" x14ac:dyDescent="0.2">
      <c r="A4222" s="36" t="s">
        <v>8790</v>
      </c>
      <c r="B4222" t="s">
        <v>91</v>
      </c>
    </row>
    <row r="4223" spans="1:2" x14ac:dyDescent="0.2">
      <c r="A4223" s="36" t="s">
        <v>8793</v>
      </c>
      <c r="B4223" t="s">
        <v>93</v>
      </c>
    </row>
    <row r="4224" spans="1:2" x14ac:dyDescent="0.2">
      <c r="A4224" s="36" t="s">
        <v>8794</v>
      </c>
      <c r="B4224" t="s">
        <v>89</v>
      </c>
    </row>
    <row r="4225" spans="1:2" x14ac:dyDescent="0.2">
      <c r="A4225" s="36" t="s">
        <v>8791</v>
      </c>
      <c r="B4225" t="s">
        <v>103</v>
      </c>
    </row>
    <row r="4226" spans="1:2" x14ac:dyDescent="0.2">
      <c r="A4226" s="36" t="s">
        <v>8758</v>
      </c>
      <c r="B4226" t="s">
        <v>91</v>
      </c>
    </row>
    <row r="4227" spans="1:2" x14ac:dyDescent="0.2">
      <c r="A4227" s="36" t="s">
        <v>8759</v>
      </c>
      <c r="B4227" t="s">
        <v>93</v>
      </c>
    </row>
    <row r="4228" spans="1:2" x14ac:dyDescent="0.2">
      <c r="A4228" s="36" t="s">
        <v>8820</v>
      </c>
      <c r="B4228" t="s">
        <v>89</v>
      </c>
    </row>
    <row r="4229" spans="1:2" x14ac:dyDescent="0.2">
      <c r="A4229" s="36" t="s">
        <v>8799</v>
      </c>
      <c r="B4229" t="s">
        <v>103</v>
      </c>
    </row>
    <row r="4230" spans="1:2" x14ac:dyDescent="0.2">
      <c r="A4230" s="36" t="s">
        <v>8801</v>
      </c>
      <c r="B4230" t="s">
        <v>91</v>
      </c>
    </row>
    <row r="4231" spans="1:2" x14ac:dyDescent="0.2">
      <c r="A4231" s="36" t="s">
        <v>8760</v>
      </c>
      <c r="B4231" t="s">
        <v>93</v>
      </c>
    </row>
    <row r="4232" spans="1:2" x14ac:dyDescent="0.2">
      <c r="A4232" s="36" t="s">
        <v>8780</v>
      </c>
      <c r="B4232" t="s">
        <v>89</v>
      </c>
    </row>
    <row r="4233" spans="1:2" x14ac:dyDescent="0.2">
      <c r="A4233" s="36" t="s">
        <v>8779</v>
      </c>
      <c r="B4233" t="s">
        <v>103</v>
      </c>
    </row>
    <row r="4234" spans="1:2" x14ac:dyDescent="0.2">
      <c r="A4234" s="36" t="s">
        <v>8796</v>
      </c>
      <c r="B4234" t="s">
        <v>91</v>
      </c>
    </row>
    <row r="4235" spans="1:2" x14ac:dyDescent="0.2">
      <c r="A4235" s="36" t="s">
        <v>8775</v>
      </c>
      <c r="B4235" t="s">
        <v>93</v>
      </c>
    </row>
    <row r="4236" spans="1:2" x14ac:dyDescent="0.2">
      <c r="A4236" s="36" t="s">
        <v>8774</v>
      </c>
      <c r="B4236" t="s">
        <v>89</v>
      </c>
    </row>
    <row r="4237" spans="1:2" x14ac:dyDescent="0.2">
      <c r="A4237" s="36" t="s">
        <v>8777</v>
      </c>
      <c r="B4237" t="s">
        <v>103</v>
      </c>
    </row>
    <row r="4238" spans="1:2" x14ac:dyDescent="0.2">
      <c r="A4238" s="36" t="s">
        <v>8798</v>
      </c>
      <c r="B4238" t="s">
        <v>91</v>
      </c>
    </row>
    <row r="4239" spans="1:2" x14ac:dyDescent="0.2">
      <c r="A4239" s="36" t="s">
        <v>8800</v>
      </c>
      <c r="B4239" t="s">
        <v>93</v>
      </c>
    </row>
    <row r="4240" spans="1:2" x14ac:dyDescent="0.2">
      <c r="A4240" s="36" t="s">
        <v>8792</v>
      </c>
      <c r="B4240" t="s">
        <v>89</v>
      </c>
    </row>
    <row r="4241" spans="1:2" x14ac:dyDescent="0.2">
      <c r="A4241" s="36" t="s">
        <v>8795</v>
      </c>
      <c r="B4241" t="s">
        <v>103</v>
      </c>
    </row>
    <row r="4242" spans="1:2" x14ac:dyDescent="0.2">
      <c r="A4242" s="36" t="s">
        <v>8797</v>
      </c>
      <c r="B4242" t="s">
        <v>91</v>
      </c>
    </row>
    <row r="4243" spans="1:2" x14ac:dyDescent="0.2">
      <c r="A4243" s="36" t="s">
        <v>8778</v>
      </c>
      <c r="B4243" t="s">
        <v>93</v>
      </c>
    </row>
    <row r="4244" spans="1:2" x14ac:dyDescent="0.2">
      <c r="A4244" s="36" t="s">
        <v>8742</v>
      </c>
      <c r="B4244" t="s">
        <v>89</v>
      </c>
    </row>
    <row r="4245" spans="1:2" x14ac:dyDescent="0.2">
      <c r="A4245" s="36" t="s">
        <v>8741</v>
      </c>
      <c r="B4245" t="s">
        <v>103</v>
      </c>
    </row>
    <row r="4246" spans="1:2" x14ac:dyDescent="0.2">
      <c r="A4246" s="36" t="s">
        <v>8733</v>
      </c>
      <c r="B4246" t="s">
        <v>91</v>
      </c>
    </row>
    <row r="4247" spans="1:2" x14ac:dyDescent="0.2">
      <c r="A4247" s="36" t="s">
        <v>8738</v>
      </c>
      <c r="B4247" t="s">
        <v>93</v>
      </c>
    </row>
    <row r="4248" spans="1:2" x14ac:dyDescent="0.2">
      <c r="A4248" s="36" t="s">
        <v>8766</v>
      </c>
      <c r="B4248" t="s">
        <v>89</v>
      </c>
    </row>
    <row r="4249" spans="1:2" x14ac:dyDescent="0.2">
      <c r="A4249" s="36" t="s">
        <v>8740</v>
      </c>
      <c r="B4249" t="s">
        <v>103</v>
      </c>
    </row>
    <row r="4250" spans="1:2" x14ac:dyDescent="0.2">
      <c r="A4250" s="36" t="s">
        <v>8739</v>
      </c>
      <c r="B4250" t="s">
        <v>91</v>
      </c>
    </row>
    <row r="4251" spans="1:2" x14ac:dyDescent="0.2">
      <c r="A4251" s="36" t="s">
        <v>8734</v>
      </c>
      <c r="B4251" t="s">
        <v>93</v>
      </c>
    </row>
    <row r="4252" spans="1:2" x14ac:dyDescent="0.2">
      <c r="A4252" s="36" t="s">
        <v>8748</v>
      </c>
      <c r="B4252" t="s">
        <v>89</v>
      </c>
    </row>
    <row r="4253" spans="1:2" x14ac:dyDescent="0.2">
      <c r="A4253" s="36" t="s">
        <v>8750</v>
      </c>
      <c r="B4253" t="s">
        <v>103</v>
      </c>
    </row>
    <row r="4254" spans="1:2" x14ac:dyDescent="0.2">
      <c r="A4254" s="36" t="s">
        <v>8752</v>
      </c>
      <c r="B4254" t="s">
        <v>91</v>
      </c>
    </row>
    <row r="4255" spans="1:2" x14ac:dyDescent="0.2">
      <c r="A4255" s="36" t="s">
        <v>8749</v>
      </c>
      <c r="B4255" t="s">
        <v>93</v>
      </c>
    </row>
    <row r="4256" spans="1:2" x14ac:dyDescent="0.2">
      <c r="A4256" s="36" t="s">
        <v>8735</v>
      </c>
      <c r="B4256" t="s">
        <v>89</v>
      </c>
    </row>
    <row r="4257" spans="1:2" x14ac:dyDescent="0.2">
      <c r="A4257" s="36" t="s">
        <v>8736</v>
      </c>
      <c r="B4257" t="s">
        <v>103</v>
      </c>
    </row>
    <row r="4258" spans="1:2" x14ac:dyDescent="0.2">
      <c r="A4258" s="36" t="s">
        <v>8737</v>
      </c>
      <c r="B4258" t="s">
        <v>91</v>
      </c>
    </row>
    <row r="4259" spans="1:2" x14ac:dyDescent="0.2">
      <c r="A4259" s="36" t="s">
        <v>8767</v>
      </c>
      <c r="B4259" t="s">
        <v>93</v>
      </c>
    </row>
    <row r="4260" spans="1:2" x14ac:dyDescent="0.2">
      <c r="A4260" s="36" t="s">
        <v>8755</v>
      </c>
      <c r="B4260" t="s">
        <v>89</v>
      </c>
    </row>
    <row r="4261" spans="1:2" x14ac:dyDescent="0.2">
      <c r="A4261" s="36" t="s">
        <v>8757</v>
      </c>
      <c r="B4261" t="s">
        <v>103</v>
      </c>
    </row>
    <row r="4262" spans="1:2" x14ac:dyDescent="0.2">
      <c r="A4262" s="36" t="s">
        <v>8756</v>
      </c>
      <c r="B4262" t="s">
        <v>91</v>
      </c>
    </row>
    <row r="4263" spans="1:2" x14ac:dyDescent="0.2">
      <c r="A4263" s="36" t="s">
        <v>8753</v>
      </c>
      <c r="B4263" t="s">
        <v>93</v>
      </c>
    </row>
    <row r="4264" spans="1:2" x14ac:dyDescent="0.2">
      <c r="A4264" s="36" t="s">
        <v>8762</v>
      </c>
      <c r="B4264" t="s">
        <v>89</v>
      </c>
    </row>
    <row r="4265" spans="1:2" x14ac:dyDescent="0.2">
      <c r="A4265" s="36" t="s">
        <v>8761</v>
      </c>
      <c r="B4265" t="s">
        <v>89</v>
      </c>
    </row>
    <row r="4266" spans="1:2" x14ac:dyDescent="0.2">
      <c r="A4266" s="36" t="s">
        <v>8754</v>
      </c>
      <c r="B4266" t="s">
        <v>103</v>
      </c>
    </row>
    <row r="4267" spans="1:2" x14ac:dyDescent="0.2">
      <c r="A4267" s="36" t="s">
        <v>8769</v>
      </c>
      <c r="B4267" t="s">
        <v>91</v>
      </c>
    </row>
    <row r="4268" spans="1:2" x14ac:dyDescent="0.2">
      <c r="A4268" s="36" t="s">
        <v>8764</v>
      </c>
      <c r="B4268" t="s">
        <v>93</v>
      </c>
    </row>
    <row r="4269" spans="1:2" x14ac:dyDescent="0.2">
      <c r="A4269" s="36" t="s">
        <v>8763</v>
      </c>
      <c r="B4269" t="s">
        <v>89</v>
      </c>
    </row>
    <row r="4270" spans="1:2" x14ac:dyDescent="0.2">
      <c r="A4270" s="36" t="s">
        <v>8765</v>
      </c>
      <c r="B4270" t="s">
        <v>103</v>
      </c>
    </row>
    <row r="4271" spans="1:2" x14ac:dyDescent="0.2">
      <c r="A4271" s="36" t="s">
        <v>8771</v>
      </c>
      <c r="B4271" t="s">
        <v>91</v>
      </c>
    </row>
    <row r="4272" spans="1:2" x14ac:dyDescent="0.2">
      <c r="A4272" s="36" t="s">
        <v>8768</v>
      </c>
      <c r="B4272" t="s">
        <v>93</v>
      </c>
    </row>
    <row r="4273" spans="1:2" x14ac:dyDescent="0.2">
      <c r="A4273" s="36" t="s">
        <v>8770</v>
      </c>
      <c r="B4273" t="s">
        <v>89</v>
      </c>
    </row>
    <row r="4274" spans="1:2" x14ac:dyDescent="0.2">
      <c r="A4274" s="36" t="s">
        <v>8772</v>
      </c>
      <c r="B4274" t="s">
        <v>103</v>
      </c>
    </row>
    <row r="4275" spans="1:2" x14ac:dyDescent="0.2">
      <c r="A4275" s="36" t="s">
        <v>8811</v>
      </c>
      <c r="B4275" t="s">
        <v>91</v>
      </c>
    </row>
    <row r="4276" spans="1:2" x14ac:dyDescent="0.2">
      <c r="A4276" s="36" t="s">
        <v>8810</v>
      </c>
      <c r="B4276" t="s">
        <v>93</v>
      </c>
    </row>
    <row r="4277" spans="1:2" x14ac:dyDescent="0.2">
      <c r="A4277" s="36" t="s">
        <v>8809</v>
      </c>
      <c r="B4277" t="s">
        <v>89</v>
      </c>
    </row>
    <row r="4278" spans="1:2" x14ac:dyDescent="0.2">
      <c r="A4278" s="36" t="s">
        <v>8773</v>
      </c>
      <c r="B4278" t="s">
        <v>103</v>
      </c>
    </row>
    <row r="4279" spans="1:2" x14ac:dyDescent="0.2">
      <c r="A4279" s="36" t="s">
        <v>8747</v>
      </c>
      <c r="B4279" t="s">
        <v>91</v>
      </c>
    </row>
    <row r="4280" spans="1:2" x14ac:dyDescent="0.2">
      <c r="A4280" s="36" t="s">
        <v>8746</v>
      </c>
      <c r="B4280" t="s">
        <v>93</v>
      </c>
    </row>
    <row r="4281" spans="1:2" x14ac:dyDescent="0.2">
      <c r="A4281" s="36" t="s">
        <v>8745</v>
      </c>
      <c r="B4281" t="s">
        <v>89</v>
      </c>
    </row>
    <row r="4282" spans="1:2" x14ac:dyDescent="0.2">
      <c r="A4282" s="36" t="s">
        <v>8812</v>
      </c>
      <c r="B4282" t="s">
        <v>103</v>
      </c>
    </row>
    <row r="4283" spans="1:2" x14ac:dyDescent="0.2">
      <c r="A4283" s="36" t="s">
        <v>8803</v>
      </c>
      <c r="B4283" t="s">
        <v>91</v>
      </c>
    </row>
    <row r="4284" spans="1:2" x14ac:dyDescent="0.2">
      <c r="A4284" s="36" t="s">
        <v>8802</v>
      </c>
      <c r="B4284" t="s">
        <v>93</v>
      </c>
    </row>
    <row r="4285" spans="1:2" x14ac:dyDescent="0.2">
      <c r="A4285" s="36" t="s">
        <v>8805</v>
      </c>
      <c r="B4285" t="s">
        <v>89</v>
      </c>
    </row>
    <row r="4286" spans="1:2" x14ac:dyDescent="0.2">
      <c r="A4286" s="36" t="s">
        <v>8804</v>
      </c>
      <c r="B4286" t="s">
        <v>103</v>
      </c>
    </row>
    <row r="4287" spans="1:2" x14ac:dyDescent="0.2">
      <c r="A4287" s="36" t="s">
        <v>8815</v>
      </c>
      <c r="B4287" t="s">
        <v>91</v>
      </c>
    </row>
    <row r="4288" spans="1:2" x14ac:dyDescent="0.2">
      <c r="A4288" s="36" t="s">
        <v>8814</v>
      </c>
      <c r="B4288" t="s">
        <v>93</v>
      </c>
    </row>
    <row r="4289" spans="1:2" x14ac:dyDescent="0.2">
      <c r="A4289" s="36" t="s">
        <v>8813</v>
      </c>
      <c r="B4289" t="s">
        <v>89</v>
      </c>
    </row>
    <row r="4290" spans="1:2" x14ac:dyDescent="0.2">
      <c r="A4290" s="36" t="s">
        <v>8744</v>
      </c>
      <c r="B4290" t="s">
        <v>103</v>
      </c>
    </row>
    <row r="4291" spans="1:2" x14ac:dyDescent="0.2">
      <c r="A4291" s="36" t="s">
        <v>8743</v>
      </c>
      <c r="B4291" t="s">
        <v>91</v>
      </c>
    </row>
    <row r="4292" spans="1:2" x14ac:dyDescent="0.2">
      <c r="A4292" s="36" t="s">
        <v>8751</v>
      </c>
      <c r="B4292" t="s">
        <v>93</v>
      </c>
    </row>
    <row r="4293" spans="1:2" x14ac:dyDescent="0.2">
      <c r="A4293" s="36" t="s">
        <v>8839</v>
      </c>
      <c r="B4293" t="s">
        <v>101</v>
      </c>
    </row>
    <row r="4294" spans="1:2" x14ac:dyDescent="0.2">
      <c r="A4294" s="36" t="s">
        <v>8852</v>
      </c>
      <c r="B4294" t="s">
        <v>94</v>
      </c>
    </row>
    <row r="4295" spans="1:2" x14ac:dyDescent="0.2">
      <c r="A4295" s="36" t="s">
        <v>8834</v>
      </c>
      <c r="B4295" t="s">
        <v>97</v>
      </c>
    </row>
    <row r="4296" spans="1:2" x14ac:dyDescent="0.2">
      <c r="A4296" s="36" t="s">
        <v>8842</v>
      </c>
      <c r="B4296" t="s">
        <v>98</v>
      </c>
    </row>
    <row r="4297" spans="1:2" x14ac:dyDescent="0.2">
      <c r="A4297" s="36" t="s">
        <v>8849</v>
      </c>
      <c r="B4297" t="s">
        <v>100</v>
      </c>
    </row>
    <row r="4298" spans="1:2" x14ac:dyDescent="0.2">
      <c r="A4298" s="36" t="s">
        <v>8840</v>
      </c>
      <c r="B4298" t="s">
        <v>101</v>
      </c>
    </row>
    <row r="4299" spans="1:2" x14ac:dyDescent="0.2">
      <c r="A4299" s="36" t="s">
        <v>8853</v>
      </c>
      <c r="B4299" t="s">
        <v>94</v>
      </c>
    </row>
    <row r="4300" spans="1:2" x14ac:dyDescent="0.2">
      <c r="A4300" s="36" t="s">
        <v>8851</v>
      </c>
      <c r="B4300" t="s">
        <v>97</v>
      </c>
    </row>
    <row r="4301" spans="1:2" x14ac:dyDescent="0.2">
      <c r="A4301" s="36" t="s">
        <v>8843</v>
      </c>
      <c r="B4301" t="s">
        <v>98</v>
      </c>
    </row>
    <row r="4302" spans="1:2" x14ac:dyDescent="0.2">
      <c r="A4302" s="36" t="s">
        <v>8847</v>
      </c>
      <c r="B4302" t="s">
        <v>100</v>
      </c>
    </row>
    <row r="4303" spans="1:2" x14ac:dyDescent="0.2">
      <c r="A4303" s="36" t="s">
        <v>8841</v>
      </c>
      <c r="B4303" t="s">
        <v>101</v>
      </c>
    </row>
    <row r="4304" spans="1:2" x14ac:dyDescent="0.2">
      <c r="A4304" s="36" t="s">
        <v>8836</v>
      </c>
      <c r="B4304" t="s">
        <v>94</v>
      </c>
    </row>
    <row r="4305" spans="1:2" x14ac:dyDescent="0.2">
      <c r="A4305" s="36" t="s">
        <v>8850</v>
      </c>
      <c r="B4305" t="s">
        <v>97</v>
      </c>
    </row>
    <row r="4306" spans="1:2" x14ac:dyDescent="0.2">
      <c r="A4306" s="36" t="s">
        <v>8844</v>
      </c>
      <c r="B4306" t="s">
        <v>98</v>
      </c>
    </row>
    <row r="4307" spans="1:2" x14ac:dyDescent="0.2">
      <c r="A4307" s="36" t="s">
        <v>8846</v>
      </c>
      <c r="B4307" t="s">
        <v>100</v>
      </c>
    </row>
    <row r="4308" spans="1:2" x14ac:dyDescent="0.2">
      <c r="A4308" s="36" t="s">
        <v>8835</v>
      </c>
      <c r="B4308" t="s">
        <v>94</v>
      </c>
    </row>
    <row r="4309" spans="1:2" x14ac:dyDescent="0.2">
      <c r="A4309" s="36" t="s">
        <v>8830</v>
      </c>
      <c r="B4309" t="s">
        <v>100</v>
      </c>
    </row>
    <row r="4310" spans="1:2" x14ac:dyDescent="0.2">
      <c r="A4310" s="36" t="s">
        <v>8854</v>
      </c>
      <c r="B4310" t="s">
        <v>101</v>
      </c>
    </row>
    <row r="4311" spans="1:2" x14ac:dyDescent="0.2">
      <c r="A4311" s="36" t="s">
        <v>8838</v>
      </c>
      <c r="B4311" t="s">
        <v>97</v>
      </c>
    </row>
    <row r="4312" spans="1:2" x14ac:dyDescent="0.2">
      <c r="A4312" s="36" t="s">
        <v>8832</v>
      </c>
      <c r="B4312" t="s">
        <v>98</v>
      </c>
    </row>
    <row r="4313" spans="1:2" x14ac:dyDescent="0.2">
      <c r="A4313" s="36" t="s">
        <v>8848</v>
      </c>
      <c r="B4313" t="s">
        <v>94</v>
      </c>
    </row>
    <row r="4314" spans="1:2" x14ac:dyDescent="0.2">
      <c r="A4314" s="36" t="s">
        <v>8845</v>
      </c>
      <c r="B4314" t="s">
        <v>100</v>
      </c>
    </row>
    <row r="4315" spans="1:2" x14ac:dyDescent="0.2">
      <c r="A4315" s="36" t="s">
        <v>8837</v>
      </c>
      <c r="B4315" t="s">
        <v>101</v>
      </c>
    </row>
    <row r="4316" spans="1:2" x14ac:dyDescent="0.2">
      <c r="A4316" s="36" t="s">
        <v>8833</v>
      </c>
      <c r="B4316" t="s">
        <v>97</v>
      </c>
    </row>
    <row r="4317" spans="1:2" x14ac:dyDescent="0.2">
      <c r="A4317" s="36" t="s">
        <v>8831</v>
      </c>
      <c r="B4317" t="s">
        <v>98</v>
      </c>
    </row>
    <row r="4318" spans="1:2" x14ac:dyDescent="0.2">
      <c r="A4318" s="36" t="s">
        <v>8876</v>
      </c>
      <c r="B4318" t="s">
        <v>92</v>
      </c>
    </row>
    <row r="4319" spans="1:2" x14ac:dyDescent="0.2">
      <c r="A4319" s="36" t="s">
        <v>8865</v>
      </c>
      <c r="B4319" t="s">
        <v>92</v>
      </c>
    </row>
    <row r="4320" spans="1:2" x14ac:dyDescent="0.2">
      <c r="A4320" s="36" t="s">
        <v>8877</v>
      </c>
      <c r="B4320" t="s">
        <v>92</v>
      </c>
    </row>
    <row r="4321" spans="1:2" x14ac:dyDescent="0.2">
      <c r="A4321" s="36" t="s">
        <v>8855</v>
      </c>
      <c r="B4321" t="s">
        <v>92</v>
      </c>
    </row>
    <row r="4322" spans="1:2" x14ac:dyDescent="0.2">
      <c r="A4322" s="36" t="s">
        <v>8861</v>
      </c>
      <c r="B4322" t="s">
        <v>92</v>
      </c>
    </row>
    <row r="4323" spans="1:2" x14ac:dyDescent="0.2">
      <c r="A4323" s="36" t="s">
        <v>8859</v>
      </c>
      <c r="B4323" t="s">
        <v>84</v>
      </c>
    </row>
    <row r="4324" spans="1:2" x14ac:dyDescent="0.2">
      <c r="A4324" s="36" t="s">
        <v>8857</v>
      </c>
      <c r="B4324" t="s">
        <v>92</v>
      </c>
    </row>
    <row r="4325" spans="1:2" x14ac:dyDescent="0.2">
      <c r="A4325" s="36" t="s">
        <v>8856</v>
      </c>
      <c r="B4325" t="s">
        <v>84</v>
      </c>
    </row>
    <row r="4326" spans="1:2" x14ac:dyDescent="0.2">
      <c r="A4326" s="36" t="s">
        <v>8860</v>
      </c>
      <c r="B4326" t="s">
        <v>92</v>
      </c>
    </row>
    <row r="4327" spans="1:2" x14ac:dyDescent="0.2">
      <c r="A4327" s="36" t="s">
        <v>8866</v>
      </c>
      <c r="B4327" t="s">
        <v>84</v>
      </c>
    </row>
    <row r="4328" spans="1:2" x14ac:dyDescent="0.2">
      <c r="A4328" s="36" t="s">
        <v>8864</v>
      </c>
      <c r="B4328" t="s">
        <v>92</v>
      </c>
    </row>
    <row r="4329" spans="1:2" x14ac:dyDescent="0.2">
      <c r="A4329" s="36" t="s">
        <v>8870</v>
      </c>
      <c r="B4329" t="s">
        <v>84</v>
      </c>
    </row>
    <row r="4330" spans="1:2" x14ac:dyDescent="0.2">
      <c r="A4330" s="36" t="s">
        <v>8873</v>
      </c>
      <c r="B4330" t="s">
        <v>92</v>
      </c>
    </row>
    <row r="4331" spans="1:2" x14ac:dyDescent="0.2">
      <c r="A4331" s="36" t="s">
        <v>8867</v>
      </c>
      <c r="B4331" t="s">
        <v>84</v>
      </c>
    </row>
    <row r="4332" spans="1:2" x14ac:dyDescent="0.2">
      <c r="A4332" s="36" t="s">
        <v>8863</v>
      </c>
      <c r="B4332" t="s">
        <v>92</v>
      </c>
    </row>
    <row r="4333" spans="1:2" x14ac:dyDescent="0.2">
      <c r="A4333" s="36" t="s">
        <v>8869</v>
      </c>
      <c r="B4333" t="s">
        <v>84</v>
      </c>
    </row>
    <row r="4334" spans="1:2" x14ac:dyDescent="0.2">
      <c r="A4334" s="36" t="s">
        <v>8862</v>
      </c>
      <c r="B4334" t="s">
        <v>100</v>
      </c>
    </row>
    <row r="4335" spans="1:2" x14ac:dyDescent="0.2">
      <c r="A4335" s="36" t="s">
        <v>8875</v>
      </c>
      <c r="B4335" t="s">
        <v>92</v>
      </c>
    </row>
    <row r="4336" spans="1:2" x14ac:dyDescent="0.2">
      <c r="A4336" s="36" t="s">
        <v>8874</v>
      </c>
      <c r="B4336" t="s">
        <v>94</v>
      </c>
    </row>
    <row r="4337" spans="1:2" x14ac:dyDescent="0.2">
      <c r="A4337" s="36" t="s">
        <v>8871</v>
      </c>
      <c r="B4337" t="s">
        <v>97</v>
      </c>
    </row>
    <row r="4338" spans="1:2" x14ac:dyDescent="0.2">
      <c r="A4338" s="36" t="s">
        <v>8868</v>
      </c>
      <c r="B4338" t="s">
        <v>84</v>
      </c>
    </row>
    <row r="4339" spans="1:2" x14ac:dyDescent="0.2">
      <c r="A4339" s="36" t="s">
        <v>8872</v>
      </c>
      <c r="B4339" t="s">
        <v>94</v>
      </c>
    </row>
    <row r="4340" spans="1:2" x14ac:dyDescent="0.2">
      <c r="A4340" s="36" t="s">
        <v>8858</v>
      </c>
      <c r="B4340" t="s">
        <v>100</v>
      </c>
    </row>
    <row r="4341" spans="1:2" x14ac:dyDescent="0.2">
      <c r="A4341" s="36" t="s">
        <v>9054</v>
      </c>
      <c r="B4341" t="s">
        <v>105</v>
      </c>
    </row>
    <row r="4342" spans="1:2" x14ac:dyDescent="0.2">
      <c r="A4342" s="36" t="s">
        <v>9055</v>
      </c>
      <c r="B4342" t="s">
        <v>92</v>
      </c>
    </row>
    <row r="4343" spans="1:2" x14ac:dyDescent="0.2">
      <c r="A4343" s="36" t="s">
        <v>9056</v>
      </c>
      <c r="B4343" t="s">
        <v>98</v>
      </c>
    </row>
    <row r="4344" spans="1:2" x14ac:dyDescent="0.2">
      <c r="A4344" s="36" t="s">
        <v>9057</v>
      </c>
      <c r="B4344" t="s">
        <v>97</v>
      </c>
    </row>
    <row r="4345" spans="1:2" x14ac:dyDescent="0.2">
      <c r="A4345" s="36" t="s">
        <v>9058</v>
      </c>
      <c r="B4345" t="s">
        <v>105</v>
      </c>
    </row>
    <row r="4346" spans="1:2" x14ac:dyDescent="0.2">
      <c r="A4346" s="36" t="s">
        <v>10380</v>
      </c>
      <c r="B4346" t="s">
        <v>172</v>
      </c>
    </row>
    <row r="4347" spans="1:2" x14ac:dyDescent="0.2">
      <c r="A4347" s="36" t="s">
        <v>10381</v>
      </c>
      <c r="B4347" t="s">
        <v>172</v>
      </c>
    </row>
    <row r="4348" spans="1:2" x14ac:dyDescent="0.2">
      <c r="A4348" s="36" t="s">
        <v>10382</v>
      </c>
      <c r="B4348" t="s">
        <v>172</v>
      </c>
    </row>
    <row r="4349" spans="1:2" x14ac:dyDescent="0.2">
      <c r="A4349" s="36" t="s">
        <v>10383</v>
      </c>
      <c r="B4349" t="s">
        <v>172</v>
      </c>
    </row>
    <row r="4350" spans="1:2" x14ac:dyDescent="0.2">
      <c r="A4350" s="36" t="s">
        <v>10384</v>
      </c>
      <c r="B4350" t="s">
        <v>172</v>
      </c>
    </row>
    <row r="4351" spans="1:2" x14ac:dyDescent="0.2">
      <c r="A4351" s="36" t="s">
        <v>10385</v>
      </c>
      <c r="B4351" t="s">
        <v>172</v>
      </c>
    </row>
    <row r="4352" spans="1:2" x14ac:dyDescent="0.2">
      <c r="A4352" s="36" t="s">
        <v>10386</v>
      </c>
      <c r="B4352" t="s">
        <v>172</v>
      </c>
    </row>
    <row r="4353" spans="1:2" x14ac:dyDescent="0.2">
      <c r="A4353" s="36" t="s">
        <v>10387</v>
      </c>
      <c r="B4353" t="s">
        <v>172</v>
      </c>
    </row>
    <row r="4354" spans="1:2" x14ac:dyDescent="0.2">
      <c r="A4354" s="36" t="s">
        <v>10388</v>
      </c>
      <c r="B4354" t="s">
        <v>172</v>
      </c>
    </row>
    <row r="4355" spans="1:2" x14ac:dyDescent="0.2">
      <c r="A4355" s="36" t="s">
        <v>10389</v>
      </c>
      <c r="B4355" t="s">
        <v>172</v>
      </c>
    </row>
    <row r="4356" spans="1:2" x14ac:dyDescent="0.2">
      <c r="A4356" s="36" t="s">
        <v>10390</v>
      </c>
      <c r="B4356" t="s">
        <v>172</v>
      </c>
    </row>
    <row r="4357" spans="1:2" x14ac:dyDescent="0.2">
      <c r="A4357" s="36" t="s">
        <v>10391</v>
      </c>
      <c r="B4357" t="s">
        <v>172</v>
      </c>
    </row>
    <row r="4358" spans="1:2" x14ac:dyDescent="0.2">
      <c r="A4358" s="36" t="s">
        <v>10392</v>
      </c>
      <c r="B4358" t="s">
        <v>172</v>
      </c>
    </row>
    <row r="4359" spans="1:2" x14ac:dyDescent="0.2">
      <c r="A4359" s="36" t="s">
        <v>10393</v>
      </c>
      <c r="B4359" t="s">
        <v>172</v>
      </c>
    </row>
    <row r="4360" spans="1:2" x14ac:dyDescent="0.2">
      <c r="A4360" s="36" t="s">
        <v>10394</v>
      </c>
      <c r="B4360" t="s">
        <v>172</v>
      </c>
    </row>
    <row r="4361" spans="1:2" x14ac:dyDescent="0.2">
      <c r="A4361" s="36" t="s">
        <v>10395</v>
      </c>
      <c r="B4361" t="s">
        <v>172</v>
      </c>
    </row>
    <row r="4362" spans="1:2" x14ac:dyDescent="0.2">
      <c r="A4362" s="36" t="s">
        <v>10396</v>
      </c>
      <c r="B4362" t="s">
        <v>172</v>
      </c>
    </row>
    <row r="4363" spans="1:2" x14ac:dyDescent="0.2">
      <c r="A4363" s="36" t="s">
        <v>10397</v>
      </c>
      <c r="B4363" t="s">
        <v>172</v>
      </c>
    </row>
    <row r="4364" spans="1:2" x14ac:dyDescent="0.2">
      <c r="A4364" s="36" t="s">
        <v>10398</v>
      </c>
      <c r="B4364" t="s">
        <v>172</v>
      </c>
    </row>
    <row r="4365" spans="1:2" x14ac:dyDescent="0.2">
      <c r="A4365" s="36" t="s">
        <v>10399</v>
      </c>
      <c r="B4365" t="s">
        <v>172</v>
      </c>
    </row>
    <row r="4366" spans="1:2" x14ac:dyDescent="0.2">
      <c r="A4366" s="36" t="s">
        <v>10400</v>
      </c>
      <c r="B4366" t="s">
        <v>172</v>
      </c>
    </row>
    <row r="4367" spans="1:2" x14ac:dyDescent="0.2">
      <c r="A4367" s="36" t="s">
        <v>10401</v>
      </c>
      <c r="B4367" t="s">
        <v>172</v>
      </c>
    </row>
    <row r="4368" spans="1:2" x14ac:dyDescent="0.2">
      <c r="A4368" s="36" t="s">
        <v>10402</v>
      </c>
      <c r="B4368" t="s">
        <v>172</v>
      </c>
    </row>
    <row r="4369" spans="1:2" x14ac:dyDescent="0.2">
      <c r="A4369" s="36" t="s">
        <v>10403</v>
      </c>
      <c r="B4369" t="s">
        <v>172</v>
      </c>
    </row>
    <row r="4370" spans="1:2" x14ac:dyDescent="0.2">
      <c r="A4370" s="36" t="s">
        <v>10404</v>
      </c>
      <c r="B4370" t="s">
        <v>172</v>
      </c>
    </row>
    <row r="4371" spans="1:2" x14ac:dyDescent="0.2">
      <c r="A4371" s="36" t="s">
        <v>10405</v>
      </c>
      <c r="B4371" t="s">
        <v>172</v>
      </c>
    </row>
    <row r="4372" spans="1:2" x14ac:dyDescent="0.2">
      <c r="A4372" s="36" t="s">
        <v>10406</v>
      </c>
      <c r="B4372" t="s">
        <v>172</v>
      </c>
    </row>
    <row r="4373" spans="1:2" x14ac:dyDescent="0.2">
      <c r="A4373" s="36" t="s">
        <v>10407</v>
      </c>
      <c r="B4373" t="s">
        <v>172</v>
      </c>
    </row>
    <row r="4374" spans="1:2" x14ac:dyDescent="0.2">
      <c r="A4374" s="36" t="s">
        <v>10408</v>
      </c>
      <c r="B4374" t="s">
        <v>172</v>
      </c>
    </row>
    <row r="4375" spans="1:2" x14ac:dyDescent="0.2">
      <c r="A4375" s="36" t="s">
        <v>10409</v>
      </c>
      <c r="B4375" t="s">
        <v>172</v>
      </c>
    </row>
    <row r="4376" spans="1:2" x14ac:dyDescent="0.2">
      <c r="A4376" s="36" t="s">
        <v>10410</v>
      </c>
      <c r="B4376" t="s">
        <v>172</v>
      </c>
    </row>
    <row r="4377" spans="1:2" x14ac:dyDescent="0.2">
      <c r="A4377" s="36" t="s">
        <v>10411</v>
      </c>
      <c r="B4377" t="s">
        <v>172</v>
      </c>
    </row>
    <row r="4378" spans="1:2" x14ac:dyDescent="0.2">
      <c r="A4378" s="36" t="s">
        <v>10412</v>
      </c>
      <c r="B4378" t="s">
        <v>172</v>
      </c>
    </row>
    <row r="4379" spans="1:2" x14ac:dyDescent="0.2">
      <c r="A4379" s="36" t="s">
        <v>10413</v>
      </c>
      <c r="B4379" t="s">
        <v>172</v>
      </c>
    </row>
    <row r="4380" spans="1:2" x14ac:dyDescent="0.2">
      <c r="A4380" s="36" t="s">
        <v>10414</v>
      </c>
      <c r="B4380" t="s">
        <v>172</v>
      </c>
    </row>
    <row r="4381" spans="1:2" x14ac:dyDescent="0.2">
      <c r="A4381" s="36" t="s">
        <v>10415</v>
      </c>
      <c r="B4381" t="s">
        <v>172</v>
      </c>
    </row>
    <row r="4382" spans="1:2" x14ac:dyDescent="0.2">
      <c r="A4382" s="36" t="s">
        <v>10416</v>
      </c>
      <c r="B4382" t="s">
        <v>172</v>
      </c>
    </row>
    <row r="4383" spans="1:2" x14ac:dyDescent="0.2">
      <c r="A4383" s="36" t="s">
        <v>10417</v>
      </c>
      <c r="B4383" t="s">
        <v>172</v>
      </c>
    </row>
    <row r="4384" spans="1:2" x14ac:dyDescent="0.2">
      <c r="A4384" s="36" t="s">
        <v>10418</v>
      </c>
      <c r="B4384" t="s">
        <v>172</v>
      </c>
    </row>
    <row r="4385" spans="1:2" x14ac:dyDescent="0.2">
      <c r="A4385" s="36" t="s">
        <v>10419</v>
      </c>
      <c r="B4385" t="s">
        <v>172</v>
      </c>
    </row>
    <row r="4386" spans="1:2" x14ac:dyDescent="0.2">
      <c r="A4386" s="36" t="s">
        <v>10420</v>
      </c>
      <c r="B4386" t="s">
        <v>172</v>
      </c>
    </row>
    <row r="4387" spans="1:2" x14ac:dyDescent="0.2">
      <c r="A4387" s="36" t="s">
        <v>10421</v>
      </c>
      <c r="B4387" t="s">
        <v>172</v>
      </c>
    </row>
    <row r="4388" spans="1:2" x14ac:dyDescent="0.2">
      <c r="A4388" s="36" t="s">
        <v>10422</v>
      </c>
      <c r="B4388" t="s">
        <v>172</v>
      </c>
    </row>
    <row r="4389" spans="1:2" x14ac:dyDescent="0.2">
      <c r="A4389" s="36" t="s">
        <v>10423</v>
      </c>
      <c r="B4389" t="s">
        <v>172</v>
      </c>
    </row>
    <row r="4390" spans="1:2" x14ac:dyDescent="0.2">
      <c r="A4390" s="36" t="s">
        <v>10424</v>
      </c>
      <c r="B4390" t="s">
        <v>172</v>
      </c>
    </row>
    <row r="4391" spans="1:2" x14ac:dyDescent="0.2">
      <c r="A4391" s="36" t="s">
        <v>10425</v>
      </c>
      <c r="B4391" t="s">
        <v>172</v>
      </c>
    </row>
    <row r="4392" spans="1:2" x14ac:dyDescent="0.2">
      <c r="A4392" s="36" t="s">
        <v>10426</v>
      </c>
      <c r="B4392" t="s">
        <v>172</v>
      </c>
    </row>
    <row r="4393" spans="1:2" x14ac:dyDescent="0.2">
      <c r="A4393" s="36" t="s">
        <v>10427</v>
      </c>
      <c r="B4393" t="s">
        <v>172</v>
      </c>
    </row>
    <row r="4394" spans="1:2" x14ac:dyDescent="0.2">
      <c r="A4394" s="36" t="s">
        <v>10428</v>
      </c>
      <c r="B4394" t="s">
        <v>172</v>
      </c>
    </row>
    <row r="4395" spans="1:2" x14ac:dyDescent="0.2">
      <c r="A4395" s="36" t="s">
        <v>10429</v>
      </c>
      <c r="B4395" t="s">
        <v>172</v>
      </c>
    </row>
    <row r="4396" spans="1:2" x14ac:dyDescent="0.2">
      <c r="A4396" s="36" t="s">
        <v>10430</v>
      </c>
      <c r="B4396" t="s">
        <v>172</v>
      </c>
    </row>
    <row r="4397" spans="1:2" x14ac:dyDescent="0.2">
      <c r="A4397" s="36" t="s">
        <v>10431</v>
      </c>
      <c r="B4397" t="s">
        <v>172</v>
      </c>
    </row>
    <row r="4398" spans="1:2" x14ac:dyDescent="0.2">
      <c r="A4398" s="36" t="s">
        <v>10432</v>
      </c>
      <c r="B4398" t="s">
        <v>172</v>
      </c>
    </row>
    <row r="4399" spans="1:2" x14ac:dyDescent="0.2">
      <c r="A4399" s="36" t="s">
        <v>10433</v>
      </c>
      <c r="B4399" t="s">
        <v>172</v>
      </c>
    </row>
    <row r="4400" spans="1:2" x14ac:dyDescent="0.2">
      <c r="A4400" s="36" t="s">
        <v>10434</v>
      </c>
      <c r="B4400" t="s">
        <v>172</v>
      </c>
    </row>
    <row r="4401" spans="1:2" x14ac:dyDescent="0.2">
      <c r="A4401" s="36" t="s">
        <v>10435</v>
      </c>
      <c r="B4401" t="s">
        <v>172</v>
      </c>
    </row>
    <row r="4402" spans="1:2" x14ac:dyDescent="0.2">
      <c r="A4402" s="36" t="s">
        <v>10436</v>
      </c>
      <c r="B4402" t="s">
        <v>172</v>
      </c>
    </row>
    <row r="4403" spans="1:2" x14ac:dyDescent="0.2">
      <c r="A4403" s="36" t="s">
        <v>10437</v>
      </c>
      <c r="B4403" t="s">
        <v>172</v>
      </c>
    </row>
    <row r="4404" spans="1:2" x14ac:dyDescent="0.2">
      <c r="A4404" s="36" t="s">
        <v>10438</v>
      </c>
      <c r="B4404" t="s">
        <v>172</v>
      </c>
    </row>
    <row r="4405" spans="1:2" x14ac:dyDescent="0.2">
      <c r="A4405" s="36" t="s">
        <v>10439</v>
      </c>
      <c r="B4405" t="s">
        <v>172</v>
      </c>
    </row>
    <row r="4406" spans="1:2" x14ac:dyDescent="0.2">
      <c r="A4406" s="36" t="s">
        <v>10440</v>
      </c>
      <c r="B4406" t="s">
        <v>172</v>
      </c>
    </row>
    <row r="4407" spans="1:2" x14ac:dyDescent="0.2">
      <c r="A4407" s="36" t="s">
        <v>10441</v>
      </c>
      <c r="B4407" t="s">
        <v>172</v>
      </c>
    </row>
    <row r="4408" spans="1:2" x14ac:dyDescent="0.2">
      <c r="A4408" s="36" t="s">
        <v>10442</v>
      </c>
      <c r="B4408" t="s">
        <v>172</v>
      </c>
    </row>
    <row r="4409" spans="1:2" x14ac:dyDescent="0.2">
      <c r="A4409" s="36" t="s">
        <v>10443</v>
      </c>
      <c r="B4409" t="s">
        <v>172</v>
      </c>
    </row>
    <row r="4410" spans="1:2" x14ac:dyDescent="0.2">
      <c r="A4410" s="36" t="s">
        <v>10444</v>
      </c>
      <c r="B4410" t="s">
        <v>172</v>
      </c>
    </row>
    <row r="4411" spans="1:2" x14ac:dyDescent="0.2">
      <c r="A4411" s="36" t="s">
        <v>10445</v>
      </c>
      <c r="B4411" t="s">
        <v>172</v>
      </c>
    </row>
    <row r="4412" spans="1:2" x14ac:dyDescent="0.2">
      <c r="A4412" s="36" t="s">
        <v>10446</v>
      </c>
      <c r="B4412" t="s">
        <v>172</v>
      </c>
    </row>
    <row r="4413" spans="1:2" x14ac:dyDescent="0.2">
      <c r="A4413" s="36" t="s">
        <v>10447</v>
      </c>
      <c r="B4413" t="s">
        <v>172</v>
      </c>
    </row>
    <row r="4414" spans="1:2" x14ac:dyDescent="0.2">
      <c r="A4414" s="36" t="s">
        <v>10448</v>
      </c>
      <c r="B4414" t="s">
        <v>172</v>
      </c>
    </row>
    <row r="4415" spans="1:2" x14ac:dyDescent="0.2">
      <c r="A4415" s="36" t="s">
        <v>10449</v>
      </c>
      <c r="B4415" t="s">
        <v>172</v>
      </c>
    </row>
    <row r="4416" spans="1:2" x14ac:dyDescent="0.2">
      <c r="A4416" s="36" t="s">
        <v>10450</v>
      </c>
      <c r="B4416" t="s">
        <v>172</v>
      </c>
    </row>
    <row r="4417" spans="1:2" x14ac:dyDescent="0.2">
      <c r="A4417" s="36" t="s">
        <v>10451</v>
      </c>
      <c r="B4417" t="s">
        <v>172</v>
      </c>
    </row>
    <row r="4418" spans="1:2" x14ac:dyDescent="0.2">
      <c r="A4418" s="36" t="s">
        <v>10452</v>
      </c>
      <c r="B4418" t="s">
        <v>172</v>
      </c>
    </row>
    <row r="4419" spans="1:2" x14ac:dyDescent="0.2">
      <c r="A4419" s="36" t="s">
        <v>10453</v>
      </c>
      <c r="B4419" t="s">
        <v>172</v>
      </c>
    </row>
    <row r="4420" spans="1:2" x14ac:dyDescent="0.2">
      <c r="A4420" s="36" t="s">
        <v>10454</v>
      </c>
      <c r="B4420" t="s">
        <v>172</v>
      </c>
    </row>
    <row r="4421" spans="1:2" x14ac:dyDescent="0.2">
      <c r="A4421" s="36" t="s">
        <v>10455</v>
      </c>
      <c r="B4421" t="s">
        <v>172</v>
      </c>
    </row>
    <row r="4422" spans="1:2" x14ac:dyDescent="0.2">
      <c r="A4422" s="36" t="s">
        <v>10456</v>
      </c>
      <c r="B4422" t="s">
        <v>172</v>
      </c>
    </row>
    <row r="4423" spans="1:2" x14ac:dyDescent="0.2">
      <c r="A4423" s="36" t="s">
        <v>10457</v>
      </c>
      <c r="B4423" t="s">
        <v>172</v>
      </c>
    </row>
    <row r="4424" spans="1:2" x14ac:dyDescent="0.2">
      <c r="A4424" s="36" t="s">
        <v>10458</v>
      </c>
      <c r="B4424" t="s">
        <v>172</v>
      </c>
    </row>
    <row r="4425" spans="1:2" x14ac:dyDescent="0.2">
      <c r="A4425" s="36" t="s">
        <v>10459</v>
      </c>
      <c r="B4425" t="s">
        <v>172</v>
      </c>
    </row>
    <row r="4426" spans="1:2" x14ac:dyDescent="0.2">
      <c r="A4426" s="36" t="s">
        <v>10460</v>
      </c>
      <c r="B4426" t="s">
        <v>172</v>
      </c>
    </row>
    <row r="4427" spans="1:2" x14ac:dyDescent="0.2">
      <c r="A4427" s="36" t="s">
        <v>10461</v>
      </c>
      <c r="B4427" t="s">
        <v>172</v>
      </c>
    </row>
    <row r="4428" spans="1:2" x14ac:dyDescent="0.2">
      <c r="A4428" s="36" t="s">
        <v>10462</v>
      </c>
      <c r="B4428" t="s">
        <v>172</v>
      </c>
    </row>
    <row r="4429" spans="1:2" x14ac:dyDescent="0.2">
      <c r="A4429" s="36" t="s">
        <v>10463</v>
      </c>
      <c r="B4429" t="s">
        <v>172</v>
      </c>
    </row>
    <row r="4430" spans="1:2" x14ac:dyDescent="0.2">
      <c r="A4430" s="36" t="s">
        <v>10464</v>
      </c>
      <c r="B4430" t="s">
        <v>172</v>
      </c>
    </row>
    <row r="4431" spans="1:2" x14ac:dyDescent="0.2">
      <c r="A4431" s="36" t="s">
        <v>10465</v>
      </c>
      <c r="B4431" t="s">
        <v>172</v>
      </c>
    </row>
    <row r="4432" spans="1:2" x14ac:dyDescent="0.2">
      <c r="A4432" s="36" t="s">
        <v>10466</v>
      </c>
      <c r="B4432" t="s">
        <v>172</v>
      </c>
    </row>
    <row r="4433" spans="1:2" x14ac:dyDescent="0.2">
      <c r="A4433" s="36" t="s">
        <v>10467</v>
      </c>
      <c r="B4433" t="s">
        <v>172</v>
      </c>
    </row>
    <row r="4434" spans="1:2" x14ac:dyDescent="0.2">
      <c r="A4434" s="36" t="s">
        <v>10468</v>
      </c>
      <c r="B4434" t="s">
        <v>172</v>
      </c>
    </row>
    <row r="4435" spans="1:2" x14ac:dyDescent="0.2">
      <c r="A4435" s="36" t="s">
        <v>10469</v>
      </c>
      <c r="B4435" t="s">
        <v>172</v>
      </c>
    </row>
    <row r="4436" spans="1:2" x14ac:dyDescent="0.2">
      <c r="A4436" s="36" t="s">
        <v>10470</v>
      </c>
      <c r="B4436" t="s">
        <v>172</v>
      </c>
    </row>
    <row r="4437" spans="1:2" x14ac:dyDescent="0.2">
      <c r="A4437" s="36" t="s">
        <v>10471</v>
      </c>
      <c r="B4437" t="s">
        <v>172</v>
      </c>
    </row>
    <row r="4438" spans="1:2" x14ac:dyDescent="0.2">
      <c r="A4438" s="36" t="s">
        <v>10472</v>
      </c>
      <c r="B4438" t="s">
        <v>172</v>
      </c>
    </row>
    <row r="4439" spans="1:2" x14ac:dyDescent="0.2">
      <c r="A4439" s="36" t="s">
        <v>10473</v>
      </c>
      <c r="B4439" t="s">
        <v>172</v>
      </c>
    </row>
    <row r="4440" spans="1:2" x14ac:dyDescent="0.2">
      <c r="A4440" s="36" t="s">
        <v>10474</v>
      </c>
      <c r="B4440" t="s">
        <v>172</v>
      </c>
    </row>
    <row r="4441" spans="1:2" x14ac:dyDescent="0.2">
      <c r="A4441" s="36" t="s">
        <v>10475</v>
      </c>
      <c r="B4441" t="s">
        <v>172</v>
      </c>
    </row>
    <row r="4442" spans="1:2" x14ac:dyDescent="0.2">
      <c r="A4442" s="36" t="s">
        <v>10476</v>
      </c>
      <c r="B4442" t="s">
        <v>172</v>
      </c>
    </row>
    <row r="4443" spans="1:2" x14ac:dyDescent="0.2">
      <c r="A4443" s="36" t="s">
        <v>10477</v>
      </c>
      <c r="B4443" t="s">
        <v>172</v>
      </c>
    </row>
    <row r="4444" spans="1:2" x14ac:dyDescent="0.2">
      <c r="A4444" s="36" t="s">
        <v>10478</v>
      </c>
      <c r="B4444" t="s">
        <v>172</v>
      </c>
    </row>
    <row r="4445" spans="1:2" x14ac:dyDescent="0.2">
      <c r="A4445" s="36" t="s">
        <v>10479</v>
      </c>
      <c r="B4445" t="s">
        <v>172</v>
      </c>
    </row>
    <row r="4446" spans="1:2" x14ac:dyDescent="0.2">
      <c r="A4446" s="36" t="s">
        <v>10480</v>
      </c>
      <c r="B4446" t="s">
        <v>172</v>
      </c>
    </row>
    <row r="4447" spans="1:2" x14ac:dyDescent="0.2">
      <c r="A4447" s="36" t="s">
        <v>10481</v>
      </c>
      <c r="B4447" t="s">
        <v>172</v>
      </c>
    </row>
    <row r="4448" spans="1:2" x14ac:dyDescent="0.2">
      <c r="A4448" s="36" t="s">
        <v>10482</v>
      </c>
      <c r="B4448" t="s">
        <v>172</v>
      </c>
    </row>
    <row r="4449" spans="1:2" x14ac:dyDescent="0.2">
      <c r="A4449" s="36" t="s">
        <v>10483</v>
      </c>
      <c r="B4449" t="s">
        <v>172</v>
      </c>
    </row>
    <row r="4450" spans="1:2" x14ac:dyDescent="0.2">
      <c r="A4450" s="36" t="s">
        <v>10484</v>
      </c>
      <c r="B4450" t="s">
        <v>172</v>
      </c>
    </row>
    <row r="4451" spans="1:2" x14ac:dyDescent="0.2">
      <c r="A4451" s="36" t="s">
        <v>10485</v>
      </c>
      <c r="B4451" t="s">
        <v>172</v>
      </c>
    </row>
    <row r="4452" spans="1:2" x14ac:dyDescent="0.2">
      <c r="A4452" s="36" t="s">
        <v>10486</v>
      </c>
      <c r="B4452" t="s">
        <v>172</v>
      </c>
    </row>
    <row r="4453" spans="1:2" x14ac:dyDescent="0.2">
      <c r="A4453" s="36" t="s">
        <v>10487</v>
      </c>
      <c r="B4453" t="s">
        <v>172</v>
      </c>
    </row>
    <row r="4454" spans="1:2" x14ac:dyDescent="0.2">
      <c r="A4454" s="36" t="s">
        <v>10488</v>
      </c>
      <c r="B4454" t="s">
        <v>172</v>
      </c>
    </row>
    <row r="4455" spans="1:2" x14ac:dyDescent="0.2">
      <c r="A4455" s="36" t="s">
        <v>10489</v>
      </c>
      <c r="B4455" t="s">
        <v>172</v>
      </c>
    </row>
    <row r="4456" spans="1:2" x14ac:dyDescent="0.2">
      <c r="A4456" s="36" t="s">
        <v>10490</v>
      </c>
      <c r="B4456" t="s">
        <v>172</v>
      </c>
    </row>
    <row r="4457" spans="1:2" x14ac:dyDescent="0.2">
      <c r="A4457" s="36" t="s">
        <v>10491</v>
      </c>
      <c r="B4457" t="s">
        <v>172</v>
      </c>
    </row>
    <row r="4458" spans="1:2" x14ac:dyDescent="0.2">
      <c r="A4458" s="36" t="s">
        <v>10492</v>
      </c>
      <c r="B4458" t="s">
        <v>172</v>
      </c>
    </row>
    <row r="4459" spans="1:2" x14ac:dyDescent="0.2">
      <c r="A4459" s="36" t="s">
        <v>10493</v>
      </c>
      <c r="B4459" t="s">
        <v>172</v>
      </c>
    </row>
    <row r="4460" spans="1:2" x14ac:dyDescent="0.2">
      <c r="A4460" s="36" t="s">
        <v>10494</v>
      </c>
      <c r="B4460" t="s">
        <v>172</v>
      </c>
    </row>
    <row r="4461" spans="1:2" x14ac:dyDescent="0.2">
      <c r="A4461" s="36" t="s">
        <v>10495</v>
      </c>
      <c r="B4461" t="s">
        <v>172</v>
      </c>
    </row>
    <row r="4462" spans="1:2" x14ac:dyDescent="0.2">
      <c r="A4462" s="36" t="s">
        <v>10496</v>
      </c>
      <c r="B4462" t="s">
        <v>172</v>
      </c>
    </row>
    <row r="4463" spans="1:2" x14ac:dyDescent="0.2">
      <c r="A4463" s="36" t="s">
        <v>10497</v>
      </c>
      <c r="B4463" t="s">
        <v>172</v>
      </c>
    </row>
    <row r="4464" spans="1:2" x14ac:dyDescent="0.2">
      <c r="A4464" s="36" t="s">
        <v>10498</v>
      </c>
      <c r="B4464" t="s">
        <v>172</v>
      </c>
    </row>
    <row r="4465" spans="1:2" x14ac:dyDescent="0.2">
      <c r="A4465" s="36" t="s">
        <v>10499</v>
      </c>
      <c r="B4465" t="s">
        <v>172</v>
      </c>
    </row>
    <row r="4466" spans="1:2" x14ac:dyDescent="0.2">
      <c r="A4466" s="36" t="s">
        <v>10500</v>
      </c>
      <c r="B4466" t="s">
        <v>172</v>
      </c>
    </row>
    <row r="4467" spans="1:2" x14ac:dyDescent="0.2">
      <c r="A4467" s="36" t="s">
        <v>10501</v>
      </c>
      <c r="B4467" t="s">
        <v>172</v>
      </c>
    </row>
    <row r="4468" spans="1:2" x14ac:dyDescent="0.2">
      <c r="A4468" s="36" t="s">
        <v>10502</v>
      </c>
      <c r="B4468" t="s">
        <v>172</v>
      </c>
    </row>
    <row r="4469" spans="1:2" x14ac:dyDescent="0.2">
      <c r="A4469" s="36" t="s">
        <v>10503</v>
      </c>
      <c r="B4469" t="s">
        <v>172</v>
      </c>
    </row>
    <row r="4470" spans="1:2" x14ac:dyDescent="0.2">
      <c r="A4470" s="36" t="s">
        <v>10504</v>
      </c>
      <c r="B4470" t="s">
        <v>172</v>
      </c>
    </row>
    <row r="4471" spans="1:2" x14ac:dyDescent="0.2">
      <c r="A4471" s="36" t="s">
        <v>10505</v>
      </c>
      <c r="B4471" t="s">
        <v>172</v>
      </c>
    </row>
    <row r="4472" spans="1:2" x14ac:dyDescent="0.2">
      <c r="A4472" s="36" t="s">
        <v>10506</v>
      </c>
      <c r="B4472" t="s">
        <v>172</v>
      </c>
    </row>
    <row r="4473" spans="1:2" x14ac:dyDescent="0.2">
      <c r="A4473" s="36" t="s">
        <v>10507</v>
      </c>
      <c r="B4473" t="s">
        <v>172</v>
      </c>
    </row>
    <row r="4474" spans="1:2" x14ac:dyDescent="0.2">
      <c r="A4474" s="36" t="s">
        <v>10508</v>
      </c>
      <c r="B4474" t="s">
        <v>172</v>
      </c>
    </row>
    <row r="4475" spans="1:2" x14ac:dyDescent="0.2">
      <c r="A4475" s="36" t="s">
        <v>10509</v>
      </c>
      <c r="B4475" t="s">
        <v>172</v>
      </c>
    </row>
    <row r="4476" spans="1:2" x14ac:dyDescent="0.2">
      <c r="A4476" s="36" t="s">
        <v>10510</v>
      </c>
      <c r="B4476" t="s">
        <v>172</v>
      </c>
    </row>
    <row r="4477" spans="1:2" x14ac:dyDescent="0.2">
      <c r="A4477" s="36" t="s">
        <v>10511</v>
      </c>
      <c r="B4477" t="s">
        <v>172</v>
      </c>
    </row>
    <row r="4478" spans="1:2" x14ac:dyDescent="0.2">
      <c r="A4478" s="36" t="s">
        <v>10512</v>
      </c>
      <c r="B4478" t="s">
        <v>172</v>
      </c>
    </row>
    <row r="4479" spans="1:2" x14ac:dyDescent="0.2">
      <c r="A4479" s="36" t="s">
        <v>10513</v>
      </c>
      <c r="B4479" t="s">
        <v>172</v>
      </c>
    </row>
    <row r="4480" spans="1:2" x14ac:dyDescent="0.2">
      <c r="A4480" s="36" t="s">
        <v>10514</v>
      </c>
      <c r="B4480" t="s">
        <v>172</v>
      </c>
    </row>
    <row r="4481" spans="1:2" x14ac:dyDescent="0.2">
      <c r="A4481" s="36" t="s">
        <v>10515</v>
      </c>
      <c r="B4481" t="s">
        <v>172</v>
      </c>
    </row>
    <row r="4482" spans="1:2" x14ac:dyDescent="0.2">
      <c r="A4482" s="36" t="s">
        <v>10516</v>
      </c>
      <c r="B4482" t="s">
        <v>172</v>
      </c>
    </row>
    <row r="4483" spans="1:2" x14ac:dyDescent="0.2">
      <c r="A4483" s="36" t="s">
        <v>10517</v>
      </c>
      <c r="B4483" t="s">
        <v>172</v>
      </c>
    </row>
    <row r="4484" spans="1:2" x14ac:dyDescent="0.2">
      <c r="A4484" s="36" t="s">
        <v>10518</v>
      </c>
      <c r="B4484" t="s">
        <v>172</v>
      </c>
    </row>
    <row r="4485" spans="1:2" x14ac:dyDescent="0.2">
      <c r="A4485" s="36" t="s">
        <v>10519</v>
      </c>
      <c r="B4485" t="s">
        <v>172</v>
      </c>
    </row>
    <row r="4486" spans="1:2" x14ac:dyDescent="0.2">
      <c r="A4486" s="36" t="s">
        <v>10520</v>
      </c>
      <c r="B4486" t="s">
        <v>172</v>
      </c>
    </row>
    <row r="4487" spans="1:2" x14ac:dyDescent="0.2">
      <c r="A4487" s="36" t="s">
        <v>10521</v>
      </c>
      <c r="B4487" t="s">
        <v>172</v>
      </c>
    </row>
    <row r="4488" spans="1:2" x14ac:dyDescent="0.2">
      <c r="A4488" s="36" t="s">
        <v>10522</v>
      </c>
      <c r="B4488" t="s">
        <v>172</v>
      </c>
    </row>
    <row r="4489" spans="1:2" x14ac:dyDescent="0.2">
      <c r="A4489" s="36" t="s">
        <v>10523</v>
      </c>
      <c r="B4489" t="s">
        <v>172</v>
      </c>
    </row>
    <row r="4490" spans="1:2" x14ac:dyDescent="0.2">
      <c r="A4490" s="36" t="s">
        <v>10524</v>
      </c>
      <c r="B4490" t="s">
        <v>172</v>
      </c>
    </row>
    <row r="4491" spans="1:2" x14ac:dyDescent="0.2">
      <c r="A4491" s="36" t="s">
        <v>10525</v>
      </c>
      <c r="B4491" t="s">
        <v>172</v>
      </c>
    </row>
    <row r="4492" spans="1:2" x14ac:dyDescent="0.2">
      <c r="A4492" s="36" t="s">
        <v>10526</v>
      </c>
      <c r="B4492" t="s">
        <v>172</v>
      </c>
    </row>
    <row r="4493" spans="1:2" x14ac:dyDescent="0.2">
      <c r="A4493" s="36" t="s">
        <v>10527</v>
      </c>
      <c r="B4493" t="s">
        <v>172</v>
      </c>
    </row>
    <row r="4494" spans="1:2" x14ac:dyDescent="0.2">
      <c r="A4494" s="36" t="s">
        <v>10528</v>
      </c>
      <c r="B4494" t="s">
        <v>172</v>
      </c>
    </row>
    <row r="4495" spans="1:2" x14ac:dyDescent="0.2">
      <c r="A4495" s="36" t="s">
        <v>10529</v>
      </c>
      <c r="B4495" t="s">
        <v>172</v>
      </c>
    </row>
    <row r="4496" spans="1:2" x14ac:dyDescent="0.2">
      <c r="A4496" s="36" t="s">
        <v>10530</v>
      </c>
      <c r="B4496" t="s">
        <v>172</v>
      </c>
    </row>
    <row r="4497" spans="1:2" x14ac:dyDescent="0.2">
      <c r="A4497" s="36" t="s">
        <v>10531</v>
      </c>
      <c r="B4497" t="s">
        <v>172</v>
      </c>
    </row>
    <row r="4498" spans="1:2" x14ac:dyDescent="0.2">
      <c r="A4498" s="36" t="s">
        <v>10532</v>
      </c>
      <c r="B4498" t="s">
        <v>172</v>
      </c>
    </row>
    <row r="4499" spans="1:2" x14ac:dyDescent="0.2">
      <c r="A4499" s="36" t="s">
        <v>10533</v>
      </c>
      <c r="B4499" t="s">
        <v>172</v>
      </c>
    </row>
    <row r="4500" spans="1:2" x14ac:dyDescent="0.2">
      <c r="A4500" s="36" t="s">
        <v>10534</v>
      </c>
      <c r="B4500" t="s">
        <v>172</v>
      </c>
    </row>
    <row r="4501" spans="1:2" x14ac:dyDescent="0.2">
      <c r="A4501" s="36" t="s">
        <v>10535</v>
      </c>
      <c r="B4501" t="s">
        <v>172</v>
      </c>
    </row>
    <row r="4502" spans="1:2" x14ac:dyDescent="0.2">
      <c r="A4502" s="36" t="s">
        <v>10536</v>
      </c>
      <c r="B4502" t="s">
        <v>172</v>
      </c>
    </row>
    <row r="4503" spans="1:2" x14ac:dyDescent="0.2">
      <c r="A4503" s="36" t="s">
        <v>10537</v>
      </c>
      <c r="B4503" t="s">
        <v>172</v>
      </c>
    </row>
    <row r="4504" spans="1:2" x14ac:dyDescent="0.2">
      <c r="A4504" s="36" t="s">
        <v>10538</v>
      </c>
      <c r="B4504" t="s">
        <v>172</v>
      </c>
    </row>
    <row r="4505" spans="1:2" x14ac:dyDescent="0.2">
      <c r="A4505" s="36" t="s">
        <v>10539</v>
      </c>
      <c r="B4505" t="s">
        <v>172</v>
      </c>
    </row>
    <row r="4506" spans="1:2" x14ac:dyDescent="0.2">
      <c r="A4506" s="36" t="s">
        <v>10540</v>
      </c>
      <c r="B4506" t="s">
        <v>172</v>
      </c>
    </row>
    <row r="4507" spans="1:2" x14ac:dyDescent="0.2">
      <c r="A4507" s="36" t="s">
        <v>10541</v>
      </c>
      <c r="B4507" t="s">
        <v>172</v>
      </c>
    </row>
    <row r="4508" spans="1:2" x14ac:dyDescent="0.2">
      <c r="A4508" s="36" t="s">
        <v>10542</v>
      </c>
      <c r="B4508" t="s">
        <v>172</v>
      </c>
    </row>
    <row r="4509" spans="1:2" x14ac:dyDescent="0.2">
      <c r="A4509" s="36" t="s">
        <v>10543</v>
      </c>
      <c r="B4509" t="s">
        <v>172</v>
      </c>
    </row>
    <row r="4510" spans="1:2" x14ac:dyDescent="0.2">
      <c r="A4510" s="36" t="s">
        <v>10544</v>
      </c>
      <c r="B4510" t="s">
        <v>172</v>
      </c>
    </row>
    <row r="4511" spans="1:2" x14ac:dyDescent="0.2">
      <c r="A4511" s="36" t="s">
        <v>10545</v>
      </c>
      <c r="B4511" t="s">
        <v>172</v>
      </c>
    </row>
    <row r="4512" spans="1:2" x14ac:dyDescent="0.2">
      <c r="A4512" s="36" t="s">
        <v>10546</v>
      </c>
      <c r="B4512" t="s">
        <v>172</v>
      </c>
    </row>
    <row r="4513" spans="1:2" x14ac:dyDescent="0.2">
      <c r="A4513" s="36" t="s">
        <v>10547</v>
      </c>
      <c r="B4513" t="s">
        <v>172</v>
      </c>
    </row>
    <row r="4514" spans="1:2" x14ac:dyDescent="0.2">
      <c r="A4514" s="36" t="s">
        <v>10548</v>
      </c>
      <c r="B4514" t="s">
        <v>172</v>
      </c>
    </row>
    <row r="4515" spans="1:2" x14ac:dyDescent="0.2">
      <c r="A4515" s="36" t="s">
        <v>10549</v>
      </c>
      <c r="B4515" t="s">
        <v>172</v>
      </c>
    </row>
    <row r="4516" spans="1:2" x14ac:dyDescent="0.2">
      <c r="A4516" s="36" t="s">
        <v>10550</v>
      </c>
      <c r="B4516" t="s">
        <v>172</v>
      </c>
    </row>
    <row r="4517" spans="1:2" x14ac:dyDescent="0.2">
      <c r="A4517" s="36" t="s">
        <v>10551</v>
      </c>
      <c r="B4517" t="s">
        <v>172</v>
      </c>
    </row>
    <row r="4518" spans="1:2" x14ac:dyDescent="0.2">
      <c r="A4518" s="36" t="s">
        <v>10552</v>
      </c>
      <c r="B4518" t="s">
        <v>172</v>
      </c>
    </row>
    <row r="4519" spans="1:2" x14ac:dyDescent="0.2">
      <c r="A4519" s="36" t="s">
        <v>10553</v>
      </c>
      <c r="B4519" t="s">
        <v>172</v>
      </c>
    </row>
    <row r="4520" spans="1:2" x14ac:dyDescent="0.2">
      <c r="A4520" s="36" t="s">
        <v>10554</v>
      </c>
      <c r="B4520" t="s">
        <v>172</v>
      </c>
    </row>
    <row r="4521" spans="1:2" x14ac:dyDescent="0.2">
      <c r="A4521" s="36" t="s">
        <v>10555</v>
      </c>
      <c r="B4521" t="s">
        <v>172</v>
      </c>
    </row>
    <row r="4522" spans="1:2" x14ac:dyDescent="0.2">
      <c r="A4522" s="36" t="s">
        <v>10556</v>
      </c>
      <c r="B4522" t="s">
        <v>172</v>
      </c>
    </row>
    <row r="4523" spans="1:2" x14ac:dyDescent="0.2">
      <c r="A4523" s="36" t="s">
        <v>10557</v>
      </c>
      <c r="B4523" t="s">
        <v>172</v>
      </c>
    </row>
    <row r="4524" spans="1:2" x14ac:dyDescent="0.2">
      <c r="A4524" s="36" t="s">
        <v>10558</v>
      </c>
      <c r="B4524" t="s">
        <v>172</v>
      </c>
    </row>
    <row r="4525" spans="1:2" x14ac:dyDescent="0.2">
      <c r="A4525" s="36" t="s">
        <v>10559</v>
      </c>
      <c r="B4525" t="s">
        <v>172</v>
      </c>
    </row>
    <row r="4526" spans="1:2" x14ac:dyDescent="0.2">
      <c r="A4526" s="36" t="s">
        <v>10560</v>
      </c>
      <c r="B4526" t="s">
        <v>172</v>
      </c>
    </row>
    <row r="4527" spans="1:2" x14ac:dyDescent="0.2">
      <c r="A4527" s="36" t="s">
        <v>10561</v>
      </c>
      <c r="B4527" t="s">
        <v>172</v>
      </c>
    </row>
    <row r="4528" spans="1:2" x14ac:dyDescent="0.2">
      <c r="A4528" s="36" t="s">
        <v>10562</v>
      </c>
      <c r="B4528" t="s">
        <v>172</v>
      </c>
    </row>
    <row r="4529" spans="1:2" x14ac:dyDescent="0.2">
      <c r="A4529" s="36" t="s">
        <v>10563</v>
      </c>
      <c r="B4529" t="s">
        <v>172</v>
      </c>
    </row>
    <row r="4530" spans="1:2" x14ac:dyDescent="0.2">
      <c r="A4530" s="36" t="s">
        <v>10564</v>
      </c>
      <c r="B4530" t="s">
        <v>172</v>
      </c>
    </row>
    <row r="4531" spans="1:2" x14ac:dyDescent="0.2">
      <c r="A4531" s="36" t="s">
        <v>10565</v>
      </c>
      <c r="B4531" t="s">
        <v>172</v>
      </c>
    </row>
    <row r="4532" spans="1:2" x14ac:dyDescent="0.2">
      <c r="A4532" s="36" t="s">
        <v>10566</v>
      </c>
      <c r="B4532" t="s">
        <v>172</v>
      </c>
    </row>
    <row r="4533" spans="1:2" x14ac:dyDescent="0.2">
      <c r="A4533" s="36" t="s">
        <v>10567</v>
      </c>
      <c r="B4533" t="s">
        <v>172</v>
      </c>
    </row>
    <row r="4534" spans="1:2" x14ac:dyDescent="0.2">
      <c r="A4534" s="36" t="s">
        <v>10568</v>
      </c>
      <c r="B4534" t="s">
        <v>172</v>
      </c>
    </row>
    <row r="4535" spans="1:2" x14ac:dyDescent="0.2">
      <c r="A4535" s="36" t="s">
        <v>10569</v>
      </c>
      <c r="B4535" t="s">
        <v>172</v>
      </c>
    </row>
    <row r="4536" spans="1:2" x14ac:dyDescent="0.2">
      <c r="A4536" s="36" t="s">
        <v>10570</v>
      </c>
      <c r="B4536" t="s">
        <v>172</v>
      </c>
    </row>
    <row r="4537" spans="1:2" x14ac:dyDescent="0.2">
      <c r="A4537" s="36" t="s">
        <v>10571</v>
      </c>
      <c r="B4537" t="s">
        <v>172</v>
      </c>
    </row>
    <row r="4538" spans="1:2" x14ac:dyDescent="0.2">
      <c r="A4538" s="36" t="s">
        <v>10572</v>
      </c>
      <c r="B4538" t="s">
        <v>172</v>
      </c>
    </row>
    <row r="4539" spans="1:2" x14ac:dyDescent="0.2">
      <c r="A4539" s="36" t="s">
        <v>10573</v>
      </c>
      <c r="B4539" t="s">
        <v>172</v>
      </c>
    </row>
    <row r="4540" spans="1:2" x14ac:dyDescent="0.2">
      <c r="A4540" s="36" t="s">
        <v>10574</v>
      </c>
      <c r="B4540" t="s">
        <v>172</v>
      </c>
    </row>
    <row r="4541" spans="1:2" x14ac:dyDescent="0.2">
      <c r="A4541" s="36" t="s">
        <v>10575</v>
      </c>
      <c r="B4541" t="s">
        <v>172</v>
      </c>
    </row>
    <row r="4542" spans="1:2" x14ac:dyDescent="0.2">
      <c r="A4542" s="36" t="s">
        <v>10576</v>
      </c>
      <c r="B4542" t="s">
        <v>172</v>
      </c>
    </row>
    <row r="4543" spans="1:2" x14ac:dyDescent="0.2">
      <c r="A4543" s="36" t="s">
        <v>10577</v>
      </c>
      <c r="B4543" t="s">
        <v>172</v>
      </c>
    </row>
    <row r="4544" spans="1:2" x14ac:dyDescent="0.2">
      <c r="A4544" s="36" t="s">
        <v>10578</v>
      </c>
      <c r="B4544" t="s">
        <v>172</v>
      </c>
    </row>
    <row r="4545" spans="1:2" x14ac:dyDescent="0.2">
      <c r="A4545" s="36" t="s">
        <v>10579</v>
      </c>
      <c r="B4545" t="s">
        <v>172</v>
      </c>
    </row>
    <row r="4546" spans="1:2" x14ac:dyDescent="0.2">
      <c r="A4546" s="36" t="s">
        <v>10580</v>
      </c>
      <c r="B4546" t="s">
        <v>172</v>
      </c>
    </row>
    <row r="4547" spans="1:2" x14ac:dyDescent="0.2">
      <c r="A4547" s="36" t="s">
        <v>10581</v>
      </c>
      <c r="B4547" t="s">
        <v>172</v>
      </c>
    </row>
    <row r="4548" spans="1:2" x14ac:dyDescent="0.2">
      <c r="A4548" s="36" t="s">
        <v>10582</v>
      </c>
      <c r="B4548" t="s">
        <v>172</v>
      </c>
    </row>
    <row r="4549" spans="1:2" x14ac:dyDescent="0.2">
      <c r="A4549" s="36" t="s">
        <v>10583</v>
      </c>
      <c r="B4549" t="s">
        <v>172</v>
      </c>
    </row>
    <row r="4550" spans="1:2" x14ac:dyDescent="0.2">
      <c r="A4550" s="36" t="s">
        <v>10584</v>
      </c>
      <c r="B4550" t="s">
        <v>172</v>
      </c>
    </row>
    <row r="4551" spans="1:2" x14ac:dyDescent="0.2">
      <c r="A4551" s="36" t="s">
        <v>10585</v>
      </c>
      <c r="B4551" t="s">
        <v>172</v>
      </c>
    </row>
    <row r="4552" spans="1:2" x14ac:dyDescent="0.2">
      <c r="A4552" s="36" t="s">
        <v>10586</v>
      </c>
      <c r="B4552" t="s">
        <v>172</v>
      </c>
    </row>
    <row r="4553" spans="1:2" x14ac:dyDescent="0.2">
      <c r="A4553" s="36" t="s">
        <v>10587</v>
      </c>
      <c r="B4553" t="s">
        <v>172</v>
      </c>
    </row>
    <row r="4554" spans="1:2" x14ac:dyDescent="0.2">
      <c r="A4554" s="36" t="s">
        <v>10588</v>
      </c>
      <c r="B4554" t="s">
        <v>172</v>
      </c>
    </row>
    <row r="4555" spans="1:2" x14ac:dyDescent="0.2">
      <c r="A4555" s="36" t="s">
        <v>10589</v>
      </c>
      <c r="B4555" t="s">
        <v>172</v>
      </c>
    </row>
    <row r="4556" spans="1:2" x14ac:dyDescent="0.2">
      <c r="A4556" s="36" t="s">
        <v>10590</v>
      </c>
      <c r="B4556" t="s">
        <v>172</v>
      </c>
    </row>
    <row r="4557" spans="1:2" x14ac:dyDescent="0.2">
      <c r="A4557" s="36" t="s">
        <v>10591</v>
      </c>
      <c r="B4557" t="s">
        <v>172</v>
      </c>
    </row>
    <row r="4558" spans="1:2" x14ac:dyDescent="0.2">
      <c r="A4558" s="36" t="s">
        <v>10592</v>
      </c>
      <c r="B4558" t="s">
        <v>172</v>
      </c>
    </row>
    <row r="4559" spans="1:2" x14ac:dyDescent="0.2">
      <c r="A4559" s="36" t="s">
        <v>10593</v>
      </c>
      <c r="B4559" t="s">
        <v>172</v>
      </c>
    </row>
    <row r="4560" spans="1:2" x14ac:dyDescent="0.2">
      <c r="A4560" s="36" t="s">
        <v>10594</v>
      </c>
      <c r="B4560" t="s">
        <v>172</v>
      </c>
    </row>
    <row r="4561" spans="1:2" x14ac:dyDescent="0.2">
      <c r="A4561" s="36" t="s">
        <v>10595</v>
      </c>
      <c r="B4561" t="s">
        <v>172</v>
      </c>
    </row>
    <row r="4562" spans="1:2" x14ac:dyDescent="0.2">
      <c r="A4562" s="36" t="s">
        <v>10596</v>
      </c>
      <c r="B4562" t="s">
        <v>172</v>
      </c>
    </row>
    <row r="4563" spans="1:2" x14ac:dyDescent="0.2">
      <c r="A4563" s="36" t="s">
        <v>10597</v>
      </c>
      <c r="B4563" t="s">
        <v>172</v>
      </c>
    </row>
    <row r="4564" spans="1:2" x14ac:dyDescent="0.2">
      <c r="A4564" s="36" t="s">
        <v>10598</v>
      </c>
      <c r="B4564" t="s">
        <v>172</v>
      </c>
    </row>
    <row r="4565" spans="1:2" x14ac:dyDescent="0.2">
      <c r="A4565" s="36" t="s">
        <v>10599</v>
      </c>
      <c r="B4565" t="s">
        <v>172</v>
      </c>
    </row>
    <row r="4566" spans="1:2" x14ac:dyDescent="0.2">
      <c r="A4566" s="36" t="s">
        <v>10600</v>
      </c>
      <c r="B4566" t="s">
        <v>172</v>
      </c>
    </row>
    <row r="4567" spans="1:2" x14ac:dyDescent="0.2">
      <c r="A4567" s="36" t="s">
        <v>10601</v>
      </c>
      <c r="B4567" t="s">
        <v>172</v>
      </c>
    </row>
    <row r="4568" spans="1:2" x14ac:dyDescent="0.2">
      <c r="A4568" s="36" t="s">
        <v>10602</v>
      </c>
      <c r="B4568" t="s">
        <v>172</v>
      </c>
    </row>
    <row r="4569" spans="1:2" x14ac:dyDescent="0.2">
      <c r="A4569" s="36" t="s">
        <v>10603</v>
      </c>
      <c r="B4569" t="s">
        <v>172</v>
      </c>
    </row>
    <row r="4570" spans="1:2" x14ac:dyDescent="0.2">
      <c r="A4570" s="36" t="s">
        <v>10604</v>
      </c>
      <c r="B4570" t="s">
        <v>172</v>
      </c>
    </row>
    <row r="4571" spans="1:2" x14ac:dyDescent="0.2">
      <c r="A4571" s="36" t="s">
        <v>10605</v>
      </c>
      <c r="B4571" t="s">
        <v>172</v>
      </c>
    </row>
    <row r="4572" spans="1:2" x14ac:dyDescent="0.2">
      <c r="A4572" s="36" t="s">
        <v>10606</v>
      </c>
      <c r="B4572" t="s">
        <v>172</v>
      </c>
    </row>
    <row r="4573" spans="1:2" x14ac:dyDescent="0.2">
      <c r="A4573" s="36" t="s">
        <v>10607</v>
      </c>
      <c r="B4573" t="s">
        <v>172</v>
      </c>
    </row>
    <row r="4574" spans="1:2" x14ac:dyDescent="0.2">
      <c r="A4574" s="36" t="s">
        <v>10608</v>
      </c>
      <c r="B4574" t="s">
        <v>172</v>
      </c>
    </row>
    <row r="4575" spans="1:2" x14ac:dyDescent="0.2">
      <c r="A4575" s="36" t="s">
        <v>10609</v>
      </c>
      <c r="B4575" t="s">
        <v>172</v>
      </c>
    </row>
    <row r="4576" spans="1:2" x14ac:dyDescent="0.2">
      <c r="A4576" s="36" t="s">
        <v>10610</v>
      </c>
      <c r="B4576" t="s">
        <v>172</v>
      </c>
    </row>
    <row r="4577" spans="1:2" x14ac:dyDescent="0.2">
      <c r="A4577" s="36" t="s">
        <v>10611</v>
      </c>
      <c r="B4577" t="s">
        <v>172</v>
      </c>
    </row>
    <row r="4578" spans="1:2" x14ac:dyDescent="0.2">
      <c r="A4578" s="36" t="s">
        <v>10612</v>
      </c>
      <c r="B4578" t="s">
        <v>172</v>
      </c>
    </row>
    <row r="4579" spans="1:2" x14ac:dyDescent="0.2">
      <c r="A4579" s="36" t="s">
        <v>10613</v>
      </c>
      <c r="B4579" t="s">
        <v>172</v>
      </c>
    </row>
    <row r="4580" spans="1:2" x14ac:dyDescent="0.2">
      <c r="A4580" s="36" t="s">
        <v>10614</v>
      </c>
      <c r="B4580" t="s">
        <v>172</v>
      </c>
    </row>
    <row r="4581" spans="1:2" x14ac:dyDescent="0.2">
      <c r="A4581" s="36" t="s">
        <v>10615</v>
      </c>
      <c r="B4581" t="s">
        <v>172</v>
      </c>
    </row>
    <row r="4582" spans="1:2" x14ac:dyDescent="0.2">
      <c r="A4582" s="36" t="s">
        <v>10616</v>
      </c>
      <c r="B4582" t="s">
        <v>172</v>
      </c>
    </row>
    <row r="4583" spans="1:2" x14ac:dyDescent="0.2">
      <c r="A4583" s="36" t="s">
        <v>10617</v>
      </c>
      <c r="B4583" t="s">
        <v>172</v>
      </c>
    </row>
    <row r="4584" spans="1:2" x14ac:dyDescent="0.2">
      <c r="A4584" s="36" t="s">
        <v>10618</v>
      </c>
      <c r="B4584" t="s">
        <v>172</v>
      </c>
    </row>
    <row r="4585" spans="1:2" x14ac:dyDescent="0.2">
      <c r="A4585" s="36" t="s">
        <v>10619</v>
      </c>
      <c r="B4585" t="s">
        <v>172</v>
      </c>
    </row>
    <row r="4586" spans="1:2" x14ac:dyDescent="0.2">
      <c r="A4586" s="36" t="s">
        <v>10620</v>
      </c>
      <c r="B4586" t="s">
        <v>172</v>
      </c>
    </row>
    <row r="4587" spans="1:2" x14ac:dyDescent="0.2">
      <c r="A4587" s="36" t="s">
        <v>10621</v>
      </c>
      <c r="B4587" t="s">
        <v>172</v>
      </c>
    </row>
    <row r="4588" spans="1:2" x14ac:dyDescent="0.2">
      <c r="A4588" s="36" t="s">
        <v>10622</v>
      </c>
      <c r="B4588" t="s">
        <v>172</v>
      </c>
    </row>
    <row r="4589" spans="1:2" x14ac:dyDescent="0.2">
      <c r="A4589" s="36" t="s">
        <v>10623</v>
      </c>
      <c r="B4589" t="s">
        <v>172</v>
      </c>
    </row>
    <row r="4590" spans="1:2" x14ac:dyDescent="0.2">
      <c r="A4590" s="36" t="s">
        <v>10624</v>
      </c>
      <c r="B4590" t="s">
        <v>172</v>
      </c>
    </row>
    <row r="4591" spans="1:2" x14ac:dyDescent="0.2">
      <c r="A4591" s="36" t="s">
        <v>10625</v>
      </c>
      <c r="B4591" t="s">
        <v>172</v>
      </c>
    </row>
    <row r="4592" spans="1:2" x14ac:dyDescent="0.2">
      <c r="A4592" s="36" t="s">
        <v>10626</v>
      </c>
      <c r="B4592" t="s">
        <v>172</v>
      </c>
    </row>
    <row r="4593" spans="1:2" x14ac:dyDescent="0.2">
      <c r="A4593" s="36" t="s">
        <v>10627</v>
      </c>
      <c r="B4593" t="s">
        <v>172</v>
      </c>
    </row>
    <row r="4594" spans="1:2" x14ac:dyDescent="0.2">
      <c r="A4594" s="36" t="s">
        <v>10628</v>
      </c>
      <c r="B4594" t="s">
        <v>172</v>
      </c>
    </row>
    <row r="4595" spans="1:2" x14ac:dyDescent="0.2">
      <c r="A4595" s="36" t="s">
        <v>10629</v>
      </c>
      <c r="B4595" t="s">
        <v>172</v>
      </c>
    </row>
    <row r="4596" spans="1:2" x14ac:dyDescent="0.2">
      <c r="A4596" s="36" t="s">
        <v>10630</v>
      </c>
      <c r="B4596" t="s">
        <v>172</v>
      </c>
    </row>
    <row r="4597" spans="1:2" x14ac:dyDescent="0.2">
      <c r="A4597" s="36" t="s">
        <v>10631</v>
      </c>
      <c r="B4597" t="s">
        <v>172</v>
      </c>
    </row>
    <row r="4598" spans="1:2" x14ac:dyDescent="0.2">
      <c r="A4598" s="36" t="s">
        <v>10632</v>
      </c>
      <c r="B4598" t="s">
        <v>172</v>
      </c>
    </row>
    <row r="4599" spans="1:2" x14ac:dyDescent="0.2">
      <c r="A4599" s="36" t="s">
        <v>10633</v>
      </c>
      <c r="B4599" t="s">
        <v>172</v>
      </c>
    </row>
    <row r="4600" spans="1:2" x14ac:dyDescent="0.2">
      <c r="A4600" s="36" t="s">
        <v>10634</v>
      </c>
      <c r="B4600" t="s">
        <v>172</v>
      </c>
    </row>
    <row r="4601" spans="1:2" x14ac:dyDescent="0.2">
      <c r="A4601" s="36" t="s">
        <v>10635</v>
      </c>
      <c r="B4601" t="s">
        <v>172</v>
      </c>
    </row>
    <row r="4602" spans="1:2" x14ac:dyDescent="0.2">
      <c r="A4602" s="36" t="s">
        <v>10636</v>
      </c>
      <c r="B4602" t="s">
        <v>172</v>
      </c>
    </row>
    <row r="4603" spans="1:2" x14ac:dyDescent="0.2">
      <c r="A4603" s="36" t="s">
        <v>10637</v>
      </c>
      <c r="B4603" t="s">
        <v>172</v>
      </c>
    </row>
    <row r="4604" spans="1:2" x14ac:dyDescent="0.2">
      <c r="A4604" s="36" t="s">
        <v>10638</v>
      </c>
      <c r="B4604" t="s">
        <v>172</v>
      </c>
    </row>
    <row r="4605" spans="1:2" x14ac:dyDescent="0.2">
      <c r="A4605" s="36" t="s">
        <v>10639</v>
      </c>
      <c r="B4605" t="s">
        <v>172</v>
      </c>
    </row>
    <row r="4606" spans="1:2" x14ac:dyDescent="0.2">
      <c r="A4606" s="36" t="s">
        <v>10640</v>
      </c>
      <c r="B4606" t="s">
        <v>172</v>
      </c>
    </row>
    <row r="4607" spans="1:2" x14ac:dyDescent="0.2">
      <c r="A4607" s="36" t="s">
        <v>10641</v>
      </c>
      <c r="B4607" t="s">
        <v>172</v>
      </c>
    </row>
    <row r="4608" spans="1:2" x14ac:dyDescent="0.2">
      <c r="A4608" s="36" t="s">
        <v>10642</v>
      </c>
      <c r="B4608" t="s">
        <v>172</v>
      </c>
    </row>
    <row r="4609" spans="1:2" x14ac:dyDescent="0.2">
      <c r="A4609" s="36" t="s">
        <v>10643</v>
      </c>
      <c r="B4609" t="s">
        <v>172</v>
      </c>
    </row>
    <row r="4610" spans="1:2" x14ac:dyDescent="0.2">
      <c r="A4610" s="36" t="s">
        <v>10644</v>
      </c>
      <c r="B4610" t="s">
        <v>172</v>
      </c>
    </row>
    <row r="4611" spans="1:2" x14ac:dyDescent="0.2">
      <c r="A4611" s="36" t="s">
        <v>10645</v>
      </c>
      <c r="B4611" t="s">
        <v>172</v>
      </c>
    </row>
    <row r="4612" spans="1:2" x14ac:dyDescent="0.2">
      <c r="A4612" s="36" t="s">
        <v>10646</v>
      </c>
      <c r="B4612" t="s">
        <v>172</v>
      </c>
    </row>
    <row r="4613" spans="1:2" x14ac:dyDescent="0.2">
      <c r="A4613" s="36" t="s">
        <v>10647</v>
      </c>
      <c r="B4613" t="s">
        <v>172</v>
      </c>
    </row>
    <row r="4614" spans="1:2" x14ac:dyDescent="0.2">
      <c r="A4614" s="36" t="s">
        <v>10648</v>
      </c>
      <c r="B4614" t="s">
        <v>172</v>
      </c>
    </row>
    <row r="4615" spans="1:2" x14ac:dyDescent="0.2">
      <c r="A4615" s="36" t="s">
        <v>10649</v>
      </c>
      <c r="B4615" t="s">
        <v>172</v>
      </c>
    </row>
    <row r="4616" spans="1:2" x14ac:dyDescent="0.2">
      <c r="A4616" s="36" t="s">
        <v>10650</v>
      </c>
      <c r="B4616" t="s">
        <v>172</v>
      </c>
    </row>
    <row r="4617" spans="1:2" x14ac:dyDescent="0.2">
      <c r="A4617" s="36" t="s">
        <v>10651</v>
      </c>
      <c r="B4617" t="s">
        <v>172</v>
      </c>
    </row>
    <row r="4618" spans="1:2" x14ac:dyDescent="0.2">
      <c r="A4618" s="36" t="s">
        <v>10652</v>
      </c>
      <c r="B4618" t="s">
        <v>172</v>
      </c>
    </row>
    <row r="4619" spans="1:2" x14ac:dyDescent="0.2">
      <c r="A4619" s="36" t="s">
        <v>10653</v>
      </c>
      <c r="B4619" t="s">
        <v>172</v>
      </c>
    </row>
    <row r="4620" spans="1:2" x14ac:dyDescent="0.2">
      <c r="A4620" s="36" t="s">
        <v>10654</v>
      </c>
      <c r="B4620" t="s">
        <v>172</v>
      </c>
    </row>
    <row r="4621" spans="1:2" x14ac:dyDescent="0.2">
      <c r="A4621" s="36" t="s">
        <v>10655</v>
      </c>
      <c r="B4621" t="s">
        <v>172</v>
      </c>
    </row>
    <row r="4622" spans="1:2" x14ac:dyDescent="0.2">
      <c r="A4622" s="36" t="s">
        <v>10656</v>
      </c>
      <c r="B4622" t="s">
        <v>172</v>
      </c>
    </row>
    <row r="4623" spans="1:2" x14ac:dyDescent="0.2">
      <c r="A4623" s="36" t="s">
        <v>10657</v>
      </c>
      <c r="B4623" t="s">
        <v>172</v>
      </c>
    </row>
    <row r="4624" spans="1:2" x14ac:dyDescent="0.2">
      <c r="A4624" s="36" t="s">
        <v>10658</v>
      </c>
      <c r="B4624" t="s">
        <v>172</v>
      </c>
    </row>
    <row r="4625" spans="1:2" x14ac:dyDescent="0.2">
      <c r="A4625" s="36" t="s">
        <v>10659</v>
      </c>
      <c r="B4625" t="s">
        <v>172</v>
      </c>
    </row>
    <row r="4626" spans="1:2" x14ac:dyDescent="0.2">
      <c r="A4626" s="36" t="s">
        <v>10660</v>
      </c>
      <c r="B4626" t="s">
        <v>172</v>
      </c>
    </row>
    <row r="4627" spans="1:2" x14ac:dyDescent="0.2">
      <c r="A4627" s="36" t="s">
        <v>10661</v>
      </c>
      <c r="B4627" t="s">
        <v>172</v>
      </c>
    </row>
    <row r="4628" spans="1:2" x14ac:dyDescent="0.2">
      <c r="A4628" s="36" t="s">
        <v>10662</v>
      </c>
      <c r="B4628" t="s">
        <v>172</v>
      </c>
    </row>
    <row r="4629" spans="1:2" x14ac:dyDescent="0.2">
      <c r="A4629" s="36" t="s">
        <v>10663</v>
      </c>
      <c r="B4629" t="s">
        <v>172</v>
      </c>
    </row>
    <row r="4630" spans="1:2" x14ac:dyDescent="0.2">
      <c r="A4630" s="36" t="s">
        <v>10664</v>
      </c>
      <c r="B4630" t="s">
        <v>172</v>
      </c>
    </row>
    <row r="4631" spans="1:2" x14ac:dyDescent="0.2">
      <c r="A4631" s="36" t="s">
        <v>10665</v>
      </c>
      <c r="B4631" t="s">
        <v>172</v>
      </c>
    </row>
    <row r="4632" spans="1:2" x14ac:dyDescent="0.2">
      <c r="A4632" s="36" t="s">
        <v>10666</v>
      </c>
      <c r="B4632" t="s">
        <v>172</v>
      </c>
    </row>
    <row r="4633" spans="1:2" x14ac:dyDescent="0.2">
      <c r="A4633" s="36" t="s">
        <v>10667</v>
      </c>
      <c r="B4633" t="s">
        <v>172</v>
      </c>
    </row>
    <row r="4634" spans="1:2" x14ac:dyDescent="0.2">
      <c r="A4634" s="36" t="s">
        <v>10668</v>
      </c>
      <c r="B4634" t="s">
        <v>172</v>
      </c>
    </row>
    <row r="4635" spans="1:2" x14ac:dyDescent="0.2">
      <c r="A4635" s="36" t="s">
        <v>10669</v>
      </c>
      <c r="B4635" t="s">
        <v>172</v>
      </c>
    </row>
    <row r="4636" spans="1:2" x14ac:dyDescent="0.2">
      <c r="A4636" s="36" t="s">
        <v>10670</v>
      </c>
      <c r="B4636" t="s">
        <v>172</v>
      </c>
    </row>
    <row r="4637" spans="1:2" x14ac:dyDescent="0.2">
      <c r="A4637" s="36" t="s">
        <v>10671</v>
      </c>
      <c r="B4637" t="s">
        <v>172</v>
      </c>
    </row>
    <row r="4638" spans="1:2" x14ac:dyDescent="0.2">
      <c r="A4638" s="36" t="s">
        <v>10672</v>
      </c>
      <c r="B4638" t="s">
        <v>172</v>
      </c>
    </row>
    <row r="4639" spans="1:2" x14ac:dyDescent="0.2">
      <c r="A4639" s="36" t="s">
        <v>10673</v>
      </c>
      <c r="B4639" t="s">
        <v>172</v>
      </c>
    </row>
    <row r="4640" spans="1:2" x14ac:dyDescent="0.2">
      <c r="A4640" s="36" t="s">
        <v>10674</v>
      </c>
      <c r="B4640" t="s">
        <v>172</v>
      </c>
    </row>
    <row r="4641" spans="1:2" x14ac:dyDescent="0.2">
      <c r="A4641" s="36" t="s">
        <v>10675</v>
      </c>
      <c r="B4641" t="s">
        <v>172</v>
      </c>
    </row>
    <row r="4642" spans="1:2" x14ac:dyDescent="0.2">
      <c r="A4642" s="36" t="s">
        <v>10676</v>
      </c>
      <c r="B4642" t="s">
        <v>172</v>
      </c>
    </row>
    <row r="4643" spans="1:2" x14ac:dyDescent="0.2">
      <c r="A4643" s="36" t="s">
        <v>10677</v>
      </c>
      <c r="B4643" t="s">
        <v>172</v>
      </c>
    </row>
    <row r="4644" spans="1:2" x14ac:dyDescent="0.2">
      <c r="A4644" s="36" t="s">
        <v>10678</v>
      </c>
      <c r="B4644" t="s">
        <v>172</v>
      </c>
    </row>
    <row r="4645" spans="1:2" x14ac:dyDescent="0.2">
      <c r="A4645" s="36" t="s">
        <v>10679</v>
      </c>
      <c r="B4645" t="s">
        <v>172</v>
      </c>
    </row>
    <row r="4646" spans="1:2" x14ac:dyDescent="0.2">
      <c r="A4646" s="36" t="s">
        <v>10680</v>
      </c>
      <c r="B4646" t="s">
        <v>172</v>
      </c>
    </row>
    <row r="4647" spans="1:2" x14ac:dyDescent="0.2">
      <c r="A4647" s="36" t="s">
        <v>10681</v>
      </c>
      <c r="B4647" t="s">
        <v>172</v>
      </c>
    </row>
    <row r="4648" spans="1:2" x14ac:dyDescent="0.2">
      <c r="A4648" s="36" t="s">
        <v>10682</v>
      </c>
      <c r="B4648" t="s">
        <v>172</v>
      </c>
    </row>
    <row r="4649" spans="1:2" x14ac:dyDescent="0.2">
      <c r="A4649" s="36" t="s">
        <v>10683</v>
      </c>
      <c r="B4649" t="s">
        <v>172</v>
      </c>
    </row>
    <row r="4650" spans="1:2" x14ac:dyDescent="0.2">
      <c r="A4650" s="36" t="s">
        <v>10684</v>
      </c>
      <c r="B4650" t="s">
        <v>172</v>
      </c>
    </row>
    <row r="4651" spans="1:2" x14ac:dyDescent="0.2">
      <c r="A4651" s="36" t="s">
        <v>10685</v>
      </c>
      <c r="B4651" t="s">
        <v>172</v>
      </c>
    </row>
    <row r="4652" spans="1:2" x14ac:dyDescent="0.2">
      <c r="A4652" s="36" t="s">
        <v>10686</v>
      </c>
      <c r="B4652" t="s">
        <v>172</v>
      </c>
    </row>
    <row r="4653" spans="1:2" x14ac:dyDescent="0.2">
      <c r="A4653" s="36" t="s">
        <v>10687</v>
      </c>
      <c r="B4653" t="s">
        <v>172</v>
      </c>
    </row>
    <row r="4654" spans="1:2" x14ac:dyDescent="0.2">
      <c r="A4654" s="36" t="s">
        <v>10688</v>
      </c>
      <c r="B4654" t="s">
        <v>172</v>
      </c>
    </row>
    <row r="4655" spans="1:2" x14ac:dyDescent="0.2">
      <c r="A4655" s="36" t="s">
        <v>10689</v>
      </c>
      <c r="B4655" t="s">
        <v>172</v>
      </c>
    </row>
    <row r="4656" spans="1:2" x14ac:dyDescent="0.2">
      <c r="A4656" s="36" t="s">
        <v>10690</v>
      </c>
      <c r="B4656" t="s">
        <v>172</v>
      </c>
    </row>
    <row r="4657" spans="1:2" x14ac:dyDescent="0.2">
      <c r="A4657" s="36" t="s">
        <v>10691</v>
      </c>
      <c r="B4657" t="s">
        <v>172</v>
      </c>
    </row>
    <row r="4658" spans="1:2" x14ac:dyDescent="0.2">
      <c r="A4658" s="36" t="s">
        <v>10692</v>
      </c>
      <c r="B4658" t="s">
        <v>172</v>
      </c>
    </row>
    <row r="4659" spans="1:2" x14ac:dyDescent="0.2">
      <c r="A4659" s="36" t="s">
        <v>10693</v>
      </c>
      <c r="B4659" t="s">
        <v>172</v>
      </c>
    </row>
    <row r="4660" spans="1:2" x14ac:dyDescent="0.2">
      <c r="A4660" s="36" t="s">
        <v>10694</v>
      </c>
      <c r="B4660" t="s">
        <v>172</v>
      </c>
    </row>
    <row r="4661" spans="1:2" x14ac:dyDescent="0.2">
      <c r="A4661" s="36" t="s">
        <v>10695</v>
      </c>
      <c r="B4661" t="s">
        <v>172</v>
      </c>
    </row>
    <row r="4662" spans="1:2" x14ac:dyDescent="0.2">
      <c r="A4662" s="36" t="s">
        <v>10696</v>
      </c>
      <c r="B4662" t="s">
        <v>172</v>
      </c>
    </row>
    <row r="4663" spans="1:2" x14ac:dyDescent="0.2">
      <c r="A4663" s="36" t="s">
        <v>10697</v>
      </c>
      <c r="B4663" t="s">
        <v>172</v>
      </c>
    </row>
    <row r="4664" spans="1:2" x14ac:dyDescent="0.2">
      <c r="A4664" s="36" t="s">
        <v>10698</v>
      </c>
      <c r="B4664" t="s">
        <v>172</v>
      </c>
    </row>
    <row r="4665" spans="1:2" x14ac:dyDescent="0.2">
      <c r="A4665" s="36" t="s">
        <v>10699</v>
      </c>
      <c r="B4665" t="s">
        <v>172</v>
      </c>
    </row>
    <row r="4666" spans="1:2" x14ac:dyDescent="0.2">
      <c r="A4666" s="36" t="s">
        <v>10700</v>
      </c>
      <c r="B4666" t="s">
        <v>172</v>
      </c>
    </row>
    <row r="4667" spans="1:2" x14ac:dyDescent="0.2">
      <c r="A4667" s="36" t="s">
        <v>10701</v>
      </c>
      <c r="B4667" t="s">
        <v>172</v>
      </c>
    </row>
    <row r="4668" spans="1:2" x14ac:dyDescent="0.2">
      <c r="A4668" s="36" t="s">
        <v>10702</v>
      </c>
      <c r="B4668" t="s">
        <v>172</v>
      </c>
    </row>
    <row r="4669" spans="1:2" x14ac:dyDescent="0.2">
      <c r="A4669" s="36" t="s">
        <v>10703</v>
      </c>
      <c r="B4669" t="s">
        <v>172</v>
      </c>
    </row>
    <row r="4670" spans="1:2" x14ac:dyDescent="0.2">
      <c r="A4670" s="36" t="s">
        <v>10704</v>
      </c>
      <c r="B4670" t="s">
        <v>172</v>
      </c>
    </row>
    <row r="4671" spans="1:2" x14ac:dyDescent="0.2">
      <c r="A4671" s="36" t="s">
        <v>10705</v>
      </c>
      <c r="B4671" t="s">
        <v>172</v>
      </c>
    </row>
    <row r="4672" spans="1:2" x14ac:dyDescent="0.2">
      <c r="A4672" s="36" t="s">
        <v>10706</v>
      </c>
      <c r="B4672" t="s">
        <v>172</v>
      </c>
    </row>
    <row r="4673" spans="1:2" x14ac:dyDescent="0.2">
      <c r="A4673" s="36" t="s">
        <v>10707</v>
      </c>
      <c r="B4673" t="s">
        <v>172</v>
      </c>
    </row>
    <row r="4674" spans="1:2" x14ac:dyDescent="0.2">
      <c r="A4674" s="36" t="s">
        <v>10708</v>
      </c>
      <c r="B4674" t="s">
        <v>172</v>
      </c>
    </row>
    <row r="4675" spans="1:2" x14ac:dyDescent="0.2">
      <c r="A4675" s="36" t="s">
        <v>10709</v>
      </c>
      <c r="B4675" t="s">
        <v>172</v>
      </c>
    </row>
    <row r="4676" spans="1:2" x14ac:dyDescent="0.2">
      <c r="A4676" s="36" t="s">
        <v>10710</v>
      </c>
      <c r="B4676" t="s">
        <v>172</v>
      </c>
    </row>
    <row r="4677" spans="1:2" x14ac:dyDescent="0.2">
      <c r="A4677" s="36" t="s">
        <v>10711</v>
      </c>
      <c r="B4677" t="s">
        <v>172</v>
      </c>
    </row>
    <row r="4678" spans="1:2" x14ac:dyDescent="0.2">
      <c r="A4678" s="36" t="s">
        <v>10712</v>
      </c>
      <c r="B4678" t="s">
        <v>172</v>
      </c>
    </row>
    <row r="4679" spans="1:2" x14ac:dyDescent="0.2">
      <c r="A4679" s="36" t="s">
        <v>10713</v>
      </c>
      <c r="B4679" t="s">
        <v>172</v>
      </c>
    </row>
    <row r="4680" spans="1:2" x14ac:dyDescent="0.2">
      <c r="A4680" s="36" t="s">
        <v>10714</v>
      </c>
      <c r="B4680" t="s">
        <v>172</v>
      </c>
    </row>
    <row r="4681" spans="1:2" x14ac:dyDescent="0.2">
      <c r="A4681" s="36" t="s">
        <v>10715</v>
      </c>
      <c r="B4681" t="s">
        <v>172</v>
      </c>
    </row>
    <row r="4682" spans="1:2" x14ac:dyDescent="0.2">
      <c r="A4682" s="36" t="s">
        <v>10716</v>
      </c>
      <c r="B4682" t="s">
        <v>172</v>
      </c>
    </row>
    <row r="4683" spans="1:2" x14ac:dyDescent="0.2">
      <c r="A4683" s="36" t="s">
        <v>10717</v>
      </c>
      <c r="B4683" t="s">
        <v>172</v>
      </c>
    </row>
    <row r="4684" spans="1:2" x14ac:dyDescent="0.2">
      <c r="A4684" s="36" t="s">
        <v>10718</v>
      </c>
      <c r="B4684" t="s">
        <v>172</v>
      </c>
    </row>
    <row r="4685" spans="1:2" x14ac:dyDescent="0.2">
      <c r="A4685" s="36" t="s">
        <v>10719</v>
      </c>
      <c r="B4685" t="s">
        <v>172</v>
      </c>
    </row>
    <row r="4686" spans="1:2" x14ac:dyDescent="0.2">
      <c r="A4686" s="36" t="s">
        <v>10720</v>
      </c>
      <c r="B4686" t="s">
        <v>172</v>
      </c>
    </row>
    <row r="4687" spans="1:2" x14ac:dyDescent="0.2">
      <c r="A4687" s="36" t="s">
        <v>10721</v>
      </c>
      <c r="B4687" t="s">
        <v>172</v>
      </c>
    </row>
    <row r="4688" spans="1:2" x14ac:dyDescent="0.2">
      <c r="A4688" s="36" t="s">
        <v>10722</v>
      </c>
      <c r="B4688" t="s">
        <v>172</v>
      </c>
    </row>
    <row r="4689" spans="1:2" x14ac:dyDescent="0.2">
      <c r="A4689" s="36" t="s">
        <v>10723</v>
      </c>
      <c r="B4689" t="s">
        <v>172</v>
      </c>
    </row>
    <row r="4690" spans="1:2" x14ac:dyDescent="0.2">
      <c r="A4690" s="36" t="s">
        <v>10724</v>
      </c>
      <c r="B4690" t="s">
        <v>172</v>
      </c>
    </row>
    <row r="4691" spans="1:2" x14ac:dyDescent="0.2">
      <c r="A4691" s="36" t="s">
        <v>10725</v>
      </c>
      <c r="B4691" t="s">
        <v>172</v>
      </c>
    </row>
    <row r="4692" spans="1:2" x14ac:dyDescent="0.2">
      <c r="A4692" s="36" t="s">
        <v>10726</v>
      </c>
      <c r="B4692" t="s">
        <v>172</v>
      </c>
    </row>
    <row r="4693" spans="1:2" x14ac:dyDescent="0.2">
      <c r="A4693" s="36" t="s">
        <v>10727</v>
      </c>
      <c r="B4693" t="s">
        <v>172</v>
      </c>
    </row>
    <row r="4694" spans="1:2" x14ac:dyDescent="0.2">
      <c r="A4694" s="36" t="s">
        <v>10728</v>
      </c>
      <c r="B4694" t="s">
        <v>172</v>
      </c>
    </row>
    <row r="4695" spans="1:2" x14ac:dyDescent="0.2">
      <c r="A4695" s="36" t="s">
        <v>10729</v>
      </c>
      <c r="B4695" t="s">
        <v>172</v>
      </c>
    </row>
    <row r="4696" spans="1:2" x14ac:dyDescent="0.2">
      <c r="A4696" s="36" t="s">
        <v>10730</v>
      </c>
      <c r="B4696" t="s">
        <v>172</v>
      </c>
    </row>
    <row r="4697" spans="1:2" x14ac:dyDescent="0.2">
      <c r="A4697" s="36" t="s">
        <v>10731</v>
      </c>
      <c r="B4697" t="s">
        <v>172</v>
      </c>
    </row>
    <row r="4698" spans="1:2" x14ac:dyDescent="0.2">
      <c r="A4698" s="36" t="s">
        <v>10732</v>
      </c>
      <c r="B4698" t="s">
        <v>172</v>
      </c>
    </row>
    <row r="4699" spans="1:2" x14ac:dyDescent="0.2">
      <c r="A4699" s="36" t="s">
        <v>10733</v>
      </c>
      <c r="B4699" t="s">
        <v>172</v>
      </c>
    </row>
    <row r="4700" spans="1:2" x14ac:dyDescent="0.2">
      <c r="A4700" s="36" t="s">
        <v>10734</v>
      </c>
      <c r="B4700" t="s">
        <v>172</v>
      </c>
    </row>
    <row r="4701" spans="1:2" x14ac:dyDescent="0.2">
      <c r="A4701" s="36" t="s">
        <v>10735</v>
      </c>
      <c r="B4701" t="s">
        <v>172</v>
      </c>
    </row>
    <row r="4702" spans="1:2" x14ac:dyDescent="0.2">
      <c r="A4702" s="36" t="s">
        <v>10736</v>
      </c>
      <c r="B4702" t="s">
        <v>172</v>
      </c>
    </row>
    <row r="4703" spans="1:2" x14ac:dyDescent="0.2">
      <c r="A4703" s="36" t="s">
        <v>10737</v>
      </c>
      <c r="B4703" t="s">
        <v>172</v>
      </c>
    </row>
    <row r="4704" spans="1:2" x14ac:dyDescent="0.2">
      <c r="A4704" s="36" t="s">
        <v>10738</v>
      </c>
      <c r="B4704" t="s">
        <v>172</v>
      </c>
    </row>
    <row r="4705" spans="1:2" x14ac:dyDescent="0.2">
      <c r="A4705" s="36" t="s">
        <v>10739</v>
      </c>
      <c r="B4705" t="s">
        <v>172</v>
      </c>
    </row>
    <row r="4706" spans="1:2" x14ac:dyDescent="0.2">
      <c r="A4706" s="36" t="s">
        <v>10740</v>
      </c>
      <c r="B4706" t="s">
        <v>172</v>
      </c>
    </row>
    <row r="4707" spans="1:2" x14ac:dyDescent="0.2">
      <c r="A4707" s="36" t="s">
        <v>10741</v>
      </c>
      <c r="B4707" t="s">
        <v>172</v>
      </c>
    </row>
    <row r="4708" spans="1:2" x14ac:dyDescent="0.2">
      <c r="A4708" s="36" t="s">
        <v>10742</v>
      </c>
      <c r="B4708" t="s">
        <v>172</v>
      </c>
    </row>
    <row r="4709" spans="1:2" x14ac:dyDescent="0.2">
      <c r="A4709" s="36" t="s">
        <v>10743</v>
      </c>
      <c r="B4709" t="s">
        <v>172</v>
      </c>
    </row>
    <row r="4710" spans="1:2" x14ac:dyDescent="0.2">
      <c r="A4710" s="36" t="s">
        <v>10744</v>
      </c>
      <c r="B4710" t="s">
        <v>172</v>
      </c>
    </row>
    <row r="4711" spans="1:2" x14ac:dyDescent="0.2">
      <c r="A4711" s="36" t="s">
        <v>10745</v>
      </c>
      <c r="B4711" t="s">
        <v>172</v>
      </c>
    </row>
    <row r="4712" spans="1:2" x14ac:dyDescent="0.2">
      <c r="A4712" s="36" t="s">
        <v>10746</v>
      </c>
      <c r="B4712" t="s">
        <v>172</v>
      </c>
    </row>
    <row r="4713" spans="1:2" x14ac:dyDescent="0.2">
      <c r="A4713" s="36" t="s">
        <v>10747</v>
      </c>
      <c r="B4713" t="s">
        <v>172</v>
      </c>
    </row>
    <row r="4714" spans="1:2" x14ac:dyDescent="0.2">
      <c r="A4714" s="36" t="s">
        <v>10748</v>
      </c>
      <c r="B4714" t="s">
        <v>172</v>
      </c>
    </row>
    <row r="4715" spans="1:2" x14ac:dyDescent="0.2">
      <c r="A4715" s="36" t="s">
        <v>10749</v>
      </c>
      <c r="B4715" t="s">
        <v>172</v>
      </c>
    </row>
    <row r="4716" spans="1:2" x14ac:dyDescent="0.2">
      <c r="A4716" s="36" t="s">
        <v>10750</v>
      </c>
      <c r="B4716" t="s">
        <v>172</v>
      </c>
    </row>
    <row r="4717" spans="1:2" x14ac:dyDescent="0.2">
      <c r="A4717" s="36" t="s">
        <v>10751</v>
      </c>
      <c r="B4717" t="s">
        <v>172</v>
      </c>
    </row>
    <row r="4718" spans="1:2" x14ac:dyDescent="0.2">
      <c r="A4718" s="36" t="s">
        <v>10752</v>
      </c>
      <c r="B4718" t="s">
        <v>172</v>
      </c>
    </row>
    <row r="4719" spans="1:2" x14ac:dyDescent="0.2">
      <c r="A4719" s="36" t="s">
        <v>10753</v>
      </c>
      <c r="B4719" t="s">
        <v>172</v>
      </c>
    </row>
    <row r="4720" spans="1:2" x14ac:dyDescent="0.2">
      <c r="A4720" s="36" t="s">
        <v>10754</v>
      </c>
      <c r="B4720" t="s">
        <v>172</v>
      </c>
    </row>
    <row r="4721" spans="1:2" x14ac:dyDescent="0.2">
      <c r="A4721" s="36" t="s">
        <v>10755</v>
      </c>
      <c r="B4721" t="s">
        <v>172</v>
      </c>
    </row>
    <row r="4722" spans="1:2" x14ac:dyDescent="0.2">
      <c r="A4722" s="36" t="s">
        <v>10756</v>
      </c>
      <c r="B4722" t="s">
        <v>172</v>
      </c>
    </row>
    <row r="4723" spans="1:2" x14ac:dyDescent="0.2">
      <c r="A4723" s="36" t="s">
        <v>10757</v>
      </c>
      <c r="B4723" t="s">
        <v>172</v>
      </c>
    </row>
    <row r="4724" spans="1:2" x14ac:dyDescent="0.2">
      <c r="A4724" s="36" t="s">
        <v>10758</v>
      </c>
      <c r="B4724" t="s">
        <v>172</v>
      </c>
    </row>
    <row r="4725" spans="1:2" x14ac:dyDescent="0.2">
      <c r="A4725" s="36" t="s">
        <v>10759</v>
      </c>
      <c r="B4725" t="s">
        <v>172</v>
      </c>
    </row>
    <row r="4726" spans="1:2" x14ac:dyDescent="0.2">
      <c r="A4726" s="36" t="s">
        <v>10760</v>
      </c>
      <c r="B4726" t="s">
        <v>172</v>
      </c>
    </row>
    <row r="4727" spans="1:2" x14ac:dyDescent="0.2">
      <c r="A4727" s="36" t="s">
        <v>10761</v>
      </c>
      <c r="B4727" t="s">
        <v>172</v>
      </c>
    </row>
    <row r="4728" spans="1:2" x14ac:dyDescent="0.2">
      <c r="A4728" s="36" t="s">
        <v>10762</v>
      </c>
      <c r="B4728" t="s">
        <v>172</v>
      </c>
    </row>
    <row r="4729" spans="1:2" x14ac:dyDescent="0.2">
      <c r="A4729" s="36" t="s">
        <v>10763</v>
      </c>
      <c r="B4729" t="s">
        <v>172</v>
      </c>
    </row>
    <row r="4730" spans="1:2" x14ac:dyDescent="0.2">
      <c r="A4730" s="36" t="s">
        <v>10764</v>
      </c>
      <c r="B4730" t="s">
        <v>172</v>
      </c>
    </row>
    <row r="4731" spans="1:2" x14ac:dyDescent="0.2">
      <c r="A4731" s="36" t="s">
        <v>10765</v>
      </c>
      <c r="B4731" t="s">
        <v>172</v>
      </c>
    </row>
    <row r="4732" spans="1:2" x14ac:dyDescent="0.2">
      <c r="A4732" s="36" t="s">
        <v>10766</v>
      </c>
      <c r="B4732" t="s">
        <v>172</v>
      </c>
    </row>
    <row r="4733" spans="1:2" x14ac:dyDescent="0.2">
      <c r="A4733" s="36" t="s">
        <v>10767</v>
      </c>
      <c r="B4733" t="s">
        <v>172</v>
      </c>
    </row>
    <row r="4734" spans="1:2" x14ac:dyDescent="0.2">
      <c r="A4734" s="36" t="s">
        <v>10768</v>
      </c>
      <c r="B4734" t="s">
        <v>172</v>
      </c>
    </row>
    <row r="4735" spans="1:2" x14ac:dyDescent="0.2">
      <c r="A4735" s="36" t="s">
        <v>10769</v>
      </c>
      <c r="B4735" t="s">
        <v>172</v>
      </c>
    </row>
    <row r="4736" spans="1:2" x14ac:dyDescent="0.2">
      <c r="A4736" s="36" t="s">
        <v>10770</v>
      </c>
      <c r="B4736" t="s">
        <v>172</v>
      </c>
    </row>
    <row r="4737" spans="1:2" x14ac:dyDescent="0.2">
      <c r="A4737" s="36" t="s">
        <v>10771</v>
      </c>
      <c r="B4737" t="s">
        <v>172</v>
      </c>
    </row>
    <row r="4738" spans="1:2" x14ac:dyDescent="0.2">
      <c r="A4738" s="36" t="s">
        <v>10772</v>
      </c>
      <c r="B4738" t="s">
        <v>172</v>
      </c>
    </row>
    <row r="4739" spans="1:2" x14ac:dyDescent="0.2">
      <c r="A4739" s="36" t="s">
        <v>10773</v>
      </c>
      <c r="B4739" t="s">
        <v>172</v>
      </c>
    </row>
    <row r="4740" spans="1:2" x14ac:dyDescent="0.2">
      <c r="A4740" s="36" t="s">
        <v>10774</v>
      </c>
      <c r="B4740" t="s">
        <v>172</v>
      </c>
    </row>
    <row r="4741" spans="1:2" x14ac:dyDescent="0.2">
      <c r="A4741" s="36" t="s">
        <v>10775</v>
      </c>
      <c r="B4741" t="s">
        <v>172</v>
      </c>
    </row>
    <row r="4742" spans="1:2" x14ac:dyDescent="0.2">
      <c r="A4742" s="36" t="s">
        <v>10776</v>
      </c>
      <c r="B4742" t="s">
        <v>172</v>
      </c>
    </row>
    <row r="4743" spans="1:2" x14ac:dyDescent="0.2">
      <c r="A4743" s="36" t="s">
        <v>10777</v>
      </c>
      <c r="B4743" t="s">
        <v>172</v>
      </c>
    </row>
    <row r="4744" spans="1:2" x14ac:dyDescent="0.2">
      <c r="A4744" s="36" t="s">
        <v>10778</v>
      </c>
      <c r="B4744" t="s">
        <v>172</v>
      </c>
    </row>
    <row r="4745" spans="1:2" x14ac:dyDescent="0.2">
      <c r="A4745" s="36" t="s">
        <v>10779</v>
      </c>
      <c r="B4745" t="s">
        <v>172</v>
      </c>
    </row>
    <row r="4746" spans="1:2" x14ac:dyDescent="0.2">
      <c r="A4746" s="36" t="s">
        <v>10780</v>
      </c>
      <c r="B4746" t="s">
        <v>172</v>
      </c>
    </row>
    <row r="4747" spans="1:2" x14ac:dyDescent="0.2">
      <c r="A4747" s="36" t="s">
        <v>10781</v>
      </c>
      <c r="B4747" t="s">
        <v>172</v>
      </c>
    </row>
    <row r="4748" spans="1:2" x14ac:dyDescent="0.2">
      <c r="A4748" s="36" t="s">
        <v>10782</v>
      </c>
      <c r="B4748" t="s">
        <v>172</v>
      </c>
    </row>
    <row r="4749" spans="1:2" x14ac:dyDescent="0.2">
      <c r="A4749" s="36" t="s">
        <v>10783</v>
      </c>
      <c r="B4749" t="s">
        <v>172</v>
      </c>
    </row>
    <row r="4750" spans="1:2" x14ac:dyDescent="0.2">
      <c r="A4750" s="36" t="s">
        <v>10784</v>
      </c>
      <c r="B4750" t="s">
        <v>172</v>
      </c>
    </row>
    <row r="4751" spans="1:2" x14ac:dyDescent="0.2">
      <c r="A4751" s="36" t="s">
        <v>10785</v>
      </c>
      <c r="B4751" t="s">
        <v>172</v>
      </c>
    </row>
    <row r="4752" spans="1:2" x14ac:dyDescent="0.2">
      <c r="A4752" s="36" t="s">
        <v>10786</v>
      </c>
      <c r="B4752" t="s">
        <v>172</v>
      </c>
    </row>
    <row r="4753" spans="1:2" x14ac:dyDescent="0.2">
      <c r="A4753" s="36" t="s">
        <v>10787</v>
      </c>
      <c r="B4753" t="s">
        <v>172</v>
      </c>
    </row>
    <row r="4754" spans="1:2" x14ac:dyDescent="0.2">
      <c r="A4754" s="36" t="s">
        <v>10788</v>
      </c>
      <c r="B4754" t="s">
        <v>172</v>
      </c>
    </row>
    <row r="4755" spans="1:2" x14ac:dyDescent="0.2">
      <c r="A4755" s="36" t="s">
        <v>10789</v>
      </c>
      <c r="B4755" t="s">
        <v>172</v>
      </c>
    </row>
    <row r="4756" spans="1:2" x14ac:dyDescent="0.2">
      <c r="A4756" s="36" t="s">
        <v>10790</v>
      </c>
      <c r="B4756" t="s">
        <v>172</v>
      </c>
    </row>
    <row r="4757" spans="1:2" x14ac:dyDescent="0.2">
      <c r="A4757" s="36" t="s">
        <v>10791</v>
      </c>
      <c r="B4757" t="s">
        <v>172</v>
      </c>
    </row>
    <row r="4758" spans="1:2" x14ac:dyDescent="0.2">
      <c r="A4758" s="36" t="s">
        <v>10792</v>
      </c>
      <c r="B4758" t="s">
        <v>172</v>
      </c>
    </row>
    <row r="4759" spans="1:2" x14ac:dyDescent="0.2">
      <c r="A4759" s="36" t="s">
        <v>10793</v>
      </c>
      <c r="B4759" t="s">
        <v>172</v>
      </c>
    </row>
    <row r="4760" spans="1:2" x14ac:dyDescent="0.2">
      <c r="A4760" s="36" t="s">
        <v>10794</v>
      </c>
      <c r="B4760" t="s">
        <v>172</v>
      </c>
    </row>
    <row r="4761" spans="1:2" x14ac:dyDescent="0.2">
      <c r="A4761" s="36" t="s">
        <v>10795</v>
      </c>
      <c r="B4761" t="s">
        <v>172</v>
      </c>
    </row>
    <row r="4762" spans="1:2" x14ac:dyDescent="0.2">
      <c r="A4762" s="36" t="s">
        <v>10796</v>
      </c>
      <c r="B4762" t="s">
        <v>172</v>
      </c>
    </row>
    <row r="4763" spans="1:2" x14ac:dyDescent="0.2">
      <c r="A4763" s="36" t="s">
        <v>10797</v>
      </c>
      <c r="B4763" t="s">
        <v>172</v>
      </c>
    </row>
    <row r="4764" spans="1:2" x14ac:dyDescent="0.2">
      <c r="A4764" s="36" t="s">
        <v>10798</v>
      </c>
      <c r="B4764" t="s">
        <v>172</v>
      </c>
    </row>
    <row r="4765" spans="1:2" x14ac:dyDescent="0.2">
      <c r="A4765" s="36" t="s">
        <v>10799</v>
      </c>
      <c r="B4765" t="s">
        <v>172</v>
      </c>
    </row>
    <row r="4766" spans="1:2" x14ac:dyDescent="0.2">
      <c r="A4766" s="36" t="s">
        <v>10800</v>
      </c>
      <c r="B4766" t="s">
        <v>172</v>
      </c>
    </row>
    <row r="4767" spans="1:2" x14ac:dyDescent="0.2">
      <c r="A4767" s="36" t="s">
        <v>10801</v>
      </c>
      <c r="B4767" t="s">
        <v>172</v>
      </c>
    </row>
    <row r="4768" spans="1:2" x14ac:dyDescent="0.2">
      <c r="A4768" s="36" t="s">
        <v>10802</v>
      </c>
      <c r="B4768" t="s">
        <v>172</v>
      </c>
    </row>
    <row r="4769" spans="1:2" x14ac:dyDescent="0.2">
      <c r="A4769" s="36" t="s">
        <v>10803</v>
      </c>
      <c r="B4769" t="s">
        <v>172</v>
      </c>
    </row>
    <row r="4770" spans="1:2" x14ac:dyDescent="0.2">
      <c r="A4770" s="36" t="s">
        <v>10804</v>
      </c>
      <c r="B4770" t="s">
        <v>172</v>
      </c>
    </row>
    <row r="4771" spans="1:2" x14ac:dyDescent="0.2">
      <c r="A4771" s="36" t="s">
        <v>10805</v>
      </c>
      <c r="B4771" t="s">
        <v>172</v>
      </c>
    </row>
    <row r="4772" spans="1:2" x14ac:dyDescent="0.2">
      <c r="A4772" s="36" t="s">
        <v>10806</v>
      </c>
      <c r="B4772" t="s">
        <v>172</v>
      </c>
    </row>
    <row r="4773" spans="1:2" x14ac:dyDescent="0.2">
      <c r="A4773" s="36" t="s">
        <v>10807</v>
      </c>
      <c r="B4773" t="s">
        <v>172</v>
      </c>
    </row>
    <row r="4774" spans="1:2" x14ac:dyDescent="0.2">
      <c r="A4774" s="36" t="s">
        <v>10808</v>
      </c>
      <c r="B4774" t="s">
        <v>172</v>
      </c>
    </row>
    <row r="4775" spans="1:2" x14ac:dyDescent="0.2">
      <c r="A4775" s="36" t="s">
        <v>10809</v>
      </c>
      <c r="B4775" t="s">
        <v>172</v>
      </c>
    </row>
    <row r="4776" spans="1:2" x14ac:dyDescent="0.2">
      <c r="A4776" s="36" t="s">
        <v>10810</v>
      </c>
      <c r="B4776" t="s">
        <v>172</v>
      </c>
    </row>
    <row r="4777" spans="1:2" x14ac:dyDescent="0.2">
      <c r="A4777" s="36" t="s">
        <v>10811</v>
      </c>
      <c r="B4777" t="s">
        <v>172</v>
      </c>
    </row>
    <row r="4778" spans="1:2" x14ac:dyDescent="0.2">
      <c r="A4778" s="36" t="s">
        <v>10812</v>
      </c>
      <c r="B4778" t="s">
        <v>172</v>
      </c>
    </row>
    <row r="4779" spans="1:2" x14ac:dyDescent="0.2">
      <c r="A4779" s="36" t="s">
        <v>10813</v>
      </c>
      <c r="B4779" t="s">
        <v>172</v>
      </c>
    </row>
    <row r="4780" spans="1:2" x14ac:dyDescent="0.2">
      <c r="A4780" s="36" t="s">
        <v>10814</v>
      </c>
      <c r="B4780" t="s">
        <v>172</v>
      </c>
    </row>
    <row r="4781" spans="1:2" x14ac:dyDescent="0.2">
      <c r="A4781" s="36" t="s">
        <v>10815</v>
      </c>
      <c r="B4781" t="s">
        <v>172</v>
      </c>
    </row>
    <row r="4782" spans="1:2" x14ac:dyDescent="0.2">
      <c r="A4782" s="36" t="s">
        <v>10816</v>
      </c>
      <c r="B4782" t="s">
        <v>172</v>
      </c>
    </row>
    <row r="4783" spans="1:2" x14ac:dyDescent="0.2">
      <c r="A4783" s="36" t="s">
        <v>10817</v>
      </c>
      <c r="B4783" t="s">
        <v>172</v>
      </c>
    </row>
    <row r="4784" spans="1:2" x14ac:dyDescent="0.2">
      <c r="A4784" s="36" t="s">
        <v>10818</v>
      </c>
      <c r="B4784" t="s">
        <v>172</v>
      </c>
    </row>
    <row r="4785" spans="1:2" x14ac:dyDescent="0.2">
      <c r="A4785" s="36" t="s">
        <v>10819</v>
      </c>
      <c r="B4785" t="s">
        <v>172</v>
      </c>
    </row>
    <row r="4786" spans="1:2" x14ac:dyDescent="0.2">
      <c r="A4786" s="36" t="s">
        <v>10820</v>
      </c>
      <c r="B4786" t="s">
        <v>172</v>
      </c>
    </row>
    <row r="4787" spans="1:2" x14ac:dyDescent="0.2">
      <c r="A4787" s="36" t="s">
        <v>10821</v>
      </c>
      <c r="B4787" t="s">
        <v>172</v>
      </c>
    </row>
    <row r="4788" spans="1:2" x14ac:dyDescent="0.2">
      <c r="A4788" s="36" t="s">
        <v>10822</v>
      </c>
      <c r="B4788" t="s">
        <v>172</v>
      </c>
    </row>
    <row r="4789" spans="1:2" x14ac:dyDescent="0.2">
      <c r="A4789" s="36" t="s">
        <v>10823</v>
      </c>
      <c r="B4789" t="s">
        <v>172</v>
      </c>
    </row>
    <row r="4790" spans="1:2" x14ac:dyDescent="0.2">
      <c r="A4790" s="36" t="s">
        <v>10824</v>
      </c>
      <c r="B4790" t="s">
        <v>172</v>
      </c>
    </row>
    <row r="4791" spans="1:2" x14ac:dyDescent="0.2">
      <c r="A4791" s="36" t="s">
        <v>10825</v>
      </c>
      <c r="B4791" t="s">
        <v>172</v>
      </c>
    </row>
    <row r="4792" spans="1:2" x14ac:dyDescent="0.2">
      <c r="A4792" s="36" t="s">
        <v>10826</v>
      </c>
      <c r="B4792" t="s">
        <v>172</v>
      </c>
    </row>
    <row r="4793" spans="1:2" x14ac:dyDescent="0.2">
      <c r="A4793" s="36" t="s">
        <v>10827</v>
      </c>
      <c r="B4793" t="s">
        <v>172</v>
      </c>
    </row>
    <row r="4794" spans="1:2" x14ac:dyDescent="0.2">
      <c r="A4794" s="36" t="s">
        <v>10828</v>
      </c>
      <c r="B4794" t="s">
        <v>172</v>
      </c>
    </row>
    <row r="4795" spans="1:2" x14ac:dyDescent="0.2">
      <c r="A4795" s="36" t="s">
        <v>10829</v>
      </c>
      <c r="B4795" t="s">
        <v>172</v>
      </c>
    </row>
    <row r="4796" spans="1:2" x14ac:dyDescent="0.2">
      <c r="A4796" s="36" t="s">
        <v>10830</v>
      </c>
      <c r="B4796" t="s">
        <v>172</v>
      </c>
    </row>
    <row r="4797" spans="1:2" x14ac:dyDescent="0.2">
      <c r="A4797" s="36" t="s">
        <v>10831</v>
      </c>
      <c r="B4797" t="s">
        <v>172</v>
      </c>
    </row>
    <row r="4798" spans="1:2" x14ac:dyDescent="0.2">
      <c r="A4798" s="36" t="s">
        <v>10832</v>
      </c>
      <c r="B4798" t="s">
        <v>172</v>
      </c>
    </row>
    <row r="4799" spans="1:2" x14ac:dyDescent="0.2">
      <c r="A4799" s="36" t="s">
        <v>10833</v>
      </c>
      <c r="B4799" t="s">
        <v>172</v>
      </c>
    </row>
    <row r="4800" spans="1:2" x14ac:dyDescent="0.2">
      <c r="A4800" s="36" t="s">
        <v>10834</v>
      </c>
      <c r="B4800" t="s">
        <v>172</v>
      </c>
    </row>
    <row r="4801" spans="1:2" x14ac:dyDescent="0.2">
      <c r="A4801" s="36" t="s">
        <v>10835</v>
      </c>
      <c r="B4801" t="s">
        <v>172</v>
      </c>
    </row>
    <row r="4802" spans="1:2" x14ac:dyDescent="0.2">
      <c r="A4802" s="36" t="s">
        <v>10836</v>
      </c>
      <c r="B4802" t="s">
        <v>172</v>
      </c>
    </row>
    <row r="4803" spans="1:2" x14ac:dyDescent="0.2">
      <c r="A4803" s="36" t="s">
        <v>10837</v>
      </c>
      <c r="B4803" t="s">
        <v>172</v>
      </c>
    </row>
    <row r="4804" spans="1:2" x14ac:dyDescent="0.2">
      <c r="A4804" s="36" t="s">
        <v>10838</v>
      </c>
      <c r="B4804" t="s">
        <v>172</v>
      </c>
    </row>
    <row r="4805" spans="1:2" x14ac:dyDescent="0.2">
      <c r="A4805" s="36" t="s">
        <v>10839</v>
      </c>
      <c r="B4805" t="s">
        <v>172</v>
      </c>
    </row>
    <row r="4806" spans="1:2" x14ac:dyDescent="0.2">
      <c r="A4806" s="36" t="s">
        <v>10840</v>
      </c>
      <c r="B4806" t="s">
        <v>172</v>
      </c>
    </row>
    <row r="4807" spans="1:2" x14ac:dyDescent="0.2">
      <c r="A4807" s="36" t="s">
        <v>10841</v>
      </c>
      <c r="B4807" t="s">
        <v>172</v>
      </c>
    </row>
    <row r="4808" spans="1:2" x14ac:dyDescent="0.2">
      <c r="A4808" s="36" t="s">
        <v>10842</v>
      </c>
      <c r="B4808" t="s">
        <v>172</v>
      </c>
    </row>
    <row r="4809" spans="1:2" x14ac:dyDescent="0.2">
      <c r="A4809" s="36" t="s">
        <v>10843</v>
      </c>
      <c r="B4809" t="s">
        <v>172</v>
      </c>
    </row>
    <row r="4810" spans="1:2" x14ac:dyDescent="0.2">
      <c r="A4810" s="36" t="s">
        <v>10844</v>
      </c>
      <c r="B4810" t="s">
        <v>172</v>
      </c>
    </row>
    <row r="4811" spans="1:2" x14ac:dyDescent="0.2">
      <c r="A4811" s="36" t="s">
        <v>10845</v>
      </c>
      <c r="B4811" t="s">
        <v>172</v>
      </c>
    </row>
    <row r="4812" spans="1:2" x14ac:dyDescent="0.2">
      <c r="A4812" s="36" t="s">
        <v>10846</v>
      </c>
      <c r="B4812" t="s">
        <v>172</v>
      </c>
    </row>
    <row r="4813" spans="1:2" x14ac:dyDescent="0.2">
      <c r="A4813" s="36" t="s">
        <v>10847</v>
      </c>
      <c r="B4813" t="s">
        <v>172</v>
      </c>
    </row>
    <row r="4814" spans="1:2" x14ac:dyDescent="0.2">
      <c r="A4814" s="36" t="s">
        <v>10848</v>
      </c>
      <c r="B4814" t="s">
        <v>172</v>
      </c>
    </row>
    <row r="4815" spans="1:2" x14ac:dyDescent="0.2">
      <c r="A4815" s="36" t="s">
        <v>10849</v>
      </c>
      <c r="B4815" t="s">
        <v>172</v>
      </c>
    </row>
    <row r="4816" spans="1:2" x14ac:dyDescent="0.2">
      <c r="A4816" s="36" t="s">
        <v>10850</v>
      </c>
      <c r="B4816" t="s">
        <v>172</v>
      </c>
    </row>
    <row r="4817" spans="1:2" x14ac:dyDescent="0.2">
      <c r="A4817" s="36" t="s">
        <v>10851</v>
      </c>
      <c r="B4817" t="s">
        <v>172</v>
      </c>
    </row>
    <row r="4818" spans="1:2" x14ac:dyDescent="0.2">
      <c r="A4818" s="36" t="s">
        <v>10852</v>
      </c>
      <c r="B4818" t="s">
        <v>172</v>
      </c>
    </row>
    <row r="4819" spans="1:2" x14ac:dyDescent="0.2">
      <c r="A4819" s="36" t="s">
        <v>10853</v>
      </c>
      <c r="B4819" t="s">
        <v>172</v>
      </c>
    </row>
    <row r="4820" spans="1:2" x14ac:dyDescent="0.2">
      <c r="A4820" s="36" t="s">
        <v>10854</v>
      </c>
      <c r="B4820" t="s">
        <v>172</v>
      </c>
    </row>
    <row r="4821" spans="1:2" x14ac:dyDescent="0.2">
      <c r="A4821" s="36" t="s">
        <v>10855</v>
      </c>
      <c r="B4821" t="s">
        <v>172</v>
      </c>
    </row>
    <row r="4822" spans="1:2" x14ac:dyDescent="0.2">
      <c r="A4822" s="36" t="s">
        <v>10856</v>
      </c>
      <c r="B4822" t="s">
        <v>172</v>
      </c>
    </row>
    <row r="4823" spans="1:2" x14ac:dyDescent="0.2">
      <c r="A4823" s="36" t="s">
        <v>10857</v>
      </c>
      <c r="B4823" t="s">
        <v>172</v>
      </c>
    </row>
    <row r="4824" spans="1:2" x14ac:dyDescent="0.2">
      <c r="A4824" s="36" t="s">
        <v>10858</v>
      </c>
      <c r="B4824" t="s">
        <v>172</v>
      </c>
    </row>
    <row r="4825" spans="1:2" x14ac:dyDescent="0.2">
      <c r="A4825" s="36" t="s">
        <v>10859</v>
      </c>
      <c r="B4825" t="s">
        <v>172</v>
      </c>
    </row>
    <row r="4826" spans="1:2" x14ac:dyDescent="0.2">
      <c r="A4826" s="36" t="s">
        <v>10860</v>
      </c>
      <c r="B4826" t="s">
        <v>172</v>
      </c>
    </row>
    <row r="4827" spans="1:2" x14ac:dyDescent="0.2">
      <c r="A4827" s="36" t="s">
        <v>10861</v>
      </c>
      <c r="B4827" t="s">
        <v>172</v>
      </c>
    </row>
    <row r="4828" spans="1:2" x14ac:dyDescent="0.2">
      <c r="A4828" s="36" t="s">
        <v>10862</v>
      </c>
      <c r="B4828" t="s">
        <v>172</v>
      </c>
    </row>
    <row r="4829" spans="1:2" x14ac:dyDescent="0.2">
      <c r="A4829" s="36" t="s">
        <v>10863</v>
      </c>
      <c r="B4829" t="s">
        <v>172</v>
      </c>
    </row>
    <row r="4830" spans="1:2" x14ac:dyDescent="0.2">
      <c r="A4830" s="36" t="s">
        <v>10864</v>
      </c>
      <c r="B4830" t="s">
        <v>172</v>
      </c>
    </row>
    <row r="4831" spans="1:2" x14ac:dyDescent="0.2">
      <c r="A4831" s="36" t="s">
        <v>10865</v>
      </c>
      <c r="B4831" t="s">
        <v>172</v>
      </c>
    </row>
    <row r="4832" spans="1:2" x14ac:dyDescent="0.2">
      <c r="A4832" s="36" t="s">
        <v>10866</v>
      </c>
      <c r="B4832" t="s">
        <v>172</v>
      </c>
    </row>
    <row r="4833" spans="1:2" x14ac:dyDescent="0.2">
      <c r="A4833" s="36" t="s">
        <v>10867</v>
      </c>
      <c r="B4833" t="s">
        <v>172</v>
      </c>
    </row>
    <row r="4834" spans="1:2" x14ac:dyDescent="0.2">
      <c r="A4834" s="36" t="s">
        <v>10868</v>
      </c>
      <c r="B4834" t="s">
        <v>172</v>
      </c>
    </row>
    <row r="4835" spans="1:2" x14ac:dyDescent="0.2">
      <c r="A4835" s="36" t="s">
        <v>10869</v>
      </c>
      <c r="B4835" t="s">
        <v>172</v>
      </c>
    </row>
    <row r="4836" spans="1:2" x14ac:dyDescent="0.2">
      <c r="A4836" s="36" t="s">
        <v>10870</v>
      </c>
      <c r="B4836" t="s">
        <v>172</v>
      </c>
    </row>
    <row r="4837" spans="1:2" x14ac:dyDescent="0.2">
      <c r="A4837" s="36" t="s">
        <v>10871</v>
      </c>
      <c r="B4837" t="s">
        <v>172</v>
      </c>
    </row>
    <row r="4838" spans="1:2" x14ac:dyDescent="0.2">
      <c r="A4838" s="36" t="s">
        <v>10872</v>
      </c>
      <c r="B4838" t="s">
        <v>172</v>
      </c>
    </row>
    <row r="4839" spans="1:2" x14ac:dyDescent="0.2">
      <c r="A4839" s="36" t="s">
        <v>10873</v>
      </c>
      <c r="B4839" t="s">
        <v>172</v>
      </c>
    </row>
    <row r="4840" spans="1:2" x14ac:dyDescent="0.2">
      <c r="A4840" s="36" t="s">
        <v>10874</v>
      </c>
      <c r="B4840" t="s">
        <v>172</v>
      </c>
    </row>
    <row r="4841" spans="1:2" x14ac:dyDescent="0.2">
      <c r="A4841" s="36" t="s">
        <v>10875</v>
      </c>
      <c r="B4841" t="s">
        <v>172</v>
      </c>
    </row>
    <row r="4842" spans="1:2" x14ac:dyDescent="0.2">
      <c r="A4842" s="36" t="s">
        <v>10876</v>
      </c>
      <c r="B4842" t="s">
        <v>172</v>
      </c>
    </row>
    <row r="4843" spans="1:2" x14ac:dyDescent="0.2">
      <c r="A4843" s="36" t="s">
        <v>10877</v>
      </c>
      <c r="B4843" t="s">
        <v>172</v>
      </c>
    </row>
    <row r="4844" spans="1:2" x14ac:dyDescent="0.2">
      <c r="A4844" s="36" t="s">
        <v>10878</v>
      </c>
      <c r="B4844" t="s">
        <v>172</v>
      </c>
    </row>
    <row r="4845" spans="1:2" x14ac:dyDescent="0.2">
      <c r="A4845" s="36" t="s">
        <v>10879</v>
      </c>
      <c r="B4845" t="s">
        <v>172</v>
      </c>
    </row>
    <row r="4846" spans="1:2" x14ac:dyDescent="0.2">
      <c r="A4846" s="36" t="s">
        <v>10880</v>
      </c>
      <c r="B4846" t="s">
        <v>172</v>
      </c>
    </row>
    <row r="4847" spans="1:2" x14ac:dyDescent="0.2">
      <c r="A4847" s="36" t="s">
        <v>10881</v>
      </c>
      <c r="B4847" t="s">
        <v>172</v>
      </c>
    </row>
    <row r="4848" spans="1:2" x14ac:dyDescent="0.2">
      <c r="A4848" s="36" t="s">
        <v>10882</v>
      </c>
      <c r="B4848" t="s">
        <v>172</v>
      </c>
    </row>
    <row r="4849" spans="1:2" x14ac:dyDescent="0.2">
      <c r="A4849" s="36" t="s">
        <v>10883</v>
      </c>
      <c r="B4849" t="s">
        <v>172</v>
      </c>
    </row>
    <row r="4850" spans="1:2" x14ac:dyDescent="0.2">
      <c r="A4850" s="36" t="s">
        <v>10884</v>
      </c>
      <c r="B4850" t="s">
        <v>172</v>
      </c>
    </row>
    <row r="4851" spans="1:2" x14ac:dyDescent="0.2">
      <c r="A4851" s="36" t="s">
        <v>10885</v>
      </c>
      <c r="B4851" t="s">
        <v>172</v>
      </c>
    </row>
    <row r="4852" spans="1:2" x14ac:dyDescent="0.2">
      <c r="A4852" s="36" t="s">
        <v>10886</v>
      </c>
      <c r="B4852" t="s">
        <v>172</v>
      </c>
    </row>
    <row r="4853" spans="1:2" x14ac:dyDescent="0.2">
      <c r="A4853" s="36" t="s">
        <v>10887</v>
      </c>
      <c r="B4853" t="s">
        <v>172</v>
      </c>
    </row>
    <row r="4854" spans="1:2" x14ac:dyDescent="0.2">
      <c r="A4854" s="36" t="s">
        <v>10888</v>
      </c>
      <c r="B4854" t="s">
        <v>172</v>
      </c>
    </row>
    <row r="4855" spans="1:2" x14ac:dyDescent="0.2">
      <c r="A4855" s="36" t="s">
        <v>10889</v>
      </c>
      <c r="B4855" t="s">
        <v>172</v>
      </c>
    </row>
    <row r="4856" spans="1:2" x14ac:dyDescent="0.2">
      <c r="A4856" s="36" t="s">
        <v>10890</v>
      </c>
      <c r="B4856" t="s">
        <v>172</v>
      </c>
    </row>
    <row r="4857" spans="1:2" x14ac:dyDescent="0.2">
      <c r="A4857" s="36" t="s">
        <v>10891</v>
      </c>
      <c r="B4857" t="s">
        <v>172</v>
      </c>
    </row>
    <row r="4858" spans="1:2" x14ac:dyDescent="0.2">
      <c r="A4858" s="36" t="s">
        <v>10892</v>
      </c>
      <c r="B4858" t="s">
        <v>172</v>
      </c>
    </row>
    <row r="4859" spans="1:2" x14ac:dyDescent="0.2">
      <c r="A4859" s="36" t="s">
        <v>10893</v>
      </c>
      <c r="B4859" t="s">
        <v>172</v>
      </c>
    </row>
    <row r="4860" spans="1:2" x14ac:dyDescent="0.2">
      <c r="A4860" s="36" t="s">
        <v>10894</v>
      </c>
      <c r="B4860" t="s">
        <v>172</v>
      </c>
    </row>
    <row r="4861" spans="1:2" x14ac:dyDescent="0.2">
      <c r="A4861" s="36" t="s">
        <v>10895</v>
      </c>
      <c r="B4861" t="s">
        <v>172</v>
      </c>
    </row>
    <row r="4862" spans="1:2" x14ac:dyDescent="0.2">
      <c r="A4862" s="36" t="s">
        <v>10896</v>
      </c>
      <c r="B4862" t="s">
        <v>172</v>
      </c>
    </row>
    <row r="4863" spans="1:2" x14ac:dyDescent="0.2">
      <c r="A4863" s="36" t="s">
        <v>10897</v>
      </c>
      <c r="B4863" t="s">
        <v>172</v>
      </c>
    </row>
    <row r="4864" spans="1:2" x14ac:dyDescent="0.2">
      <c r="A4864" s="36" t="s">
        <v>10898</v>
      </c>
      <c r="B4864" t="s">
        <v>172</v>
      </c>
    </row>
    <row r="4865" spans="1:2" x14ac:dyDescent="0.2">
      <c r="A4865" s="36" t="s">
        <v>10899</v>
      </c>
      <c r="B4865" t="s">
        <v>172</v>
      </c>
    </row>
    <row r="4866" spans="1:2" x14ac:dyDescent="0.2">
      <c r="A4866" s="36" t="s">
        <v>10900</v>
      </c>
      <c r="B4866" t="s">
        <v>172</v>
      </c>
    </row>
    <row r="4867" spans="1:2" x14ac:dyDescent="0.2">
      <c r="A4867" s="36" t="s">
        <v>10901</v>
      </c>
      <c r="B4867" t="s">
        <v>172</v>
      </c>
    </row>
    <row r="4868" spans="1:2" x14ac:dyDescent="0.2">
      <c r="A4868" s="36" t="s">
        <v>10902</v>
      </c>
      <c r="B4868" t="s">
        <v>172</v>
      </c>
    </row>
    <row r="4869" spans="1:2" x14ac:dyDescent="0.2">
      <c r="A4869" s="36" t="s">
        <v>10903</v>
      </c>
      <c r="B4869" t="s">
        <v>172</v>
      </c>
    </row>
    <row r="4870" spans="1:2" x14ac:dyDescent="0.2">
      <c r="A4870" s="36" t="s">
        <v>10904</v>
      </c>
      <c r="B4870" t="s">
        <v>172</v>
      </c>
    </row>
    <row r="4871" spans="1:2" x14ac:dyDescent="0.2">
      <c r="A4871" s="36" t="s">
        <v>10905</v>
      </c>
      <c r="B4871" t="s">
        <v>172</v>
      </c>
    </row>
    <row r="4872" spans="1:2" x14ac:dyDescent="0.2">
      <c r="A4872" s="36" t="s">
        <v>10906</v>
      </c>
      <c r="B4872" t="s">
        <v>172</v>
      </c>
    </row>
    <row r="4873" spans="1:2" x14ac:dyDescent="0.2">
      <c r="A4873" s="36" t="s">
        <v>10907</v>
      </c>
      <c r="B4873" t="s">
        <v>172</v>
      </c>
    </row>
    <row r="4874" spans="1:2" x14ac:dyDescent="0.2">
      <c r="A4874" s="36" t="s">
        <v>10908</v>
      </c>
      <c r="B4874" t="s">
        <v>172</v>
      </c>
    </row>
    <row r="4875" spans="1:2" x14ac:dyDescent="0.2">
      <c r="A4875" s="36" t="s">
        <v>10909</v>
      </c>
      <c r="B4875" t="s">
        <v>172</v>
      </c>
    </row>
    <row r="4876" spans="1:2" x14ac:dyDescent="0.2">
      <c r="A4876" s="36" t="s">
        <v>10910</v>
      </c>
      <c r="B4876" t="s">
        <v>172</v>
      </c>
    </row>
    <row r="4877" spans="1:2" x14ac:dyDescent="0.2">
      <c r="A4877" s="36" t="s">
        <v>10911</v>
      </c>
      <c r="B4877" t="s">
        <v>172</v>
      </c>
    </row>
    <row r="4878" spans="1:2" x14ac:dyDescent="0.2">
      <c r="A4878" s="36" t="s">
        <v>10912</v>
      </c>
      <c r="B4878" t="s">
        <v>172</v>
      </c>
    </row>
    <row r="4879" spans="1:2" x14ac:dyDescent="0.2">
      <c r="A4879" s="36" t="s">
        <v>10913</v>
      </c>
      <c r="B4879" t="s">
        <v>172</v>
      </c>
    </row>
    <row r="4880" spans="1:2" x14ac:dyDescent="0.2">
      <c r="A4880" s="36" t="s">
        <v>10914</v>
      </c>
      <c r="B4880" t="s">
        <v>172</v>
      </c>
    </row>
    <row r="4881" spans="1:2" x14ac:dyDescent="0.2">
      <c r="A4881" s="36" t="s">
        <v>10915</v>
      </c>
      <c r="B4881" t="s">
        <v>172</v>
      </c>
    </row>
    <row r="4882" spans="1:2" x14ac:dyDescent="0.2">
      <c r="A4882" s="36" t="s">
        <v>10916</v>
      </c>
      <c r="B4882" t="s">
        <v>172</v>
      </c>
    </row>
    <row r="4883" spans="1:2" x14ac:dyDescent="0.2">
      <c r="A4883" s="36" t="s">
        <v>10917</v>
      </c>
      <c r="B4883" t="s">
        <v>172</v>
      </c>
    </row>
    <row r="4884" spans="1:2" x14ac:dyDescent="0.2">
      <c r="A4884" s="36" t="s">
        <v>10918</v>
      </c>
      <c r="B4884" t="s">
        <v>172</v>
      </c>
    </row>
    <row r="4885" spans="1:2" x14ac:dyDescent="0.2">
      <c r="A4885" s="36" t="s">
        <v>10919</v>
      </c>
      <c r="B4885" t="s">
        <v>172</v>
      </c>
    </row>
    <row r="4886" spans="1:2" x14ac:dyDescent="0.2">
      <c r="A4886" s="36" t="s">
        <v>10920</v>
      </c>
      <c r="B4886" t="s">
        <v>172</v>
      </c>
    </row>
    <row r="4887" spans="1:2" x14ac:dyDescent="0.2">
      <c r="A4887" s="36" t="s">
        <v>10921</v>
      </c>
      <c r="B4887" t="s">
        <v>172</v>
      </c>
    </row>
    <row r="4888" spans="1:2" x14ac:dyDescent="0.2">
      <c r="A4888" s="36" t="s">
        <v>10922</v>
      </c>
      <c r="B4888" t="s">
        <v>172</v>
      </c>
    </row>
    <row r="4889" spans="1:2" x14ac:dyDescent="0.2">
      <c r="A4889" s="36" t="s">
        <v>10923</v>
      </c>
      <c r="B4889" t="s">
        <v>172</v>
      </c>
    </row>
    <row r="4890" spans="1:2" x14ac:dyDescent="0.2">
      <c r="A4890" s="36" t="s">
        <v>10924</v>
      </c>
      <c r="B4890" t="s">
        <v>172</v>
      </c>
    </row>
    <row r="4891" spans="1:2" x14ac:dyDescent="0.2">
      <c r="A4891" s="36" t="s">
        <v>10925</v>
      </c>
      <c r="B4891" t="s">
        <v>172</v>
      </c>
    </row>
    <row r="4892" spans="1:2" x14ac:dyDescent="0.2">
      <c r="A4892" s="36" t="s">
        <v>10926</v>
      </c>
      <c r="B4892" t="s">
        <v>172</v>
      </c>
    </row>
    <row r="4893" spans="1:2" x14ac:dyDescent="0.2">
      <c r="A4893" s="36" t="s">
        <v>10927</v>
      </c>
      <c r="B4893" t="s">
        <v>172</v>
      </c>
    </row>
    <row r="4894" spans="1:2" x14ac:dyDescent="0.2">
      <c r="A4894" s="36" t="s">
        <v>10928</v>
      </c>
      <c r="B4894" t="s">
        <v>172</v>
      </c>
    </row>
    <row r="4895" spans="1:2" x14ac:dyDescent="0.2">
      <c r="A4895" s="36" t="s">
        <v>10929</v>
      </c>
      <c r="B4895" t="s">
        <v>172</v>
      </c>
    </row>
    <row r="4896" spans="1:2" x14ac:dyDescent="0.2">
      <c r="A4896" s="36" t="s">
        <v>10930</v>
      </c>
      <c r="B4896" t="s">
        <v>172</v>
      </c>
    </row>
    <row r="4897" spans="1:2" x14ac:dyDescent="0.2">
      <c r="A4897" s="36" t="s">
        <v>10931</v>
      </c>
      <c r="B4897" t="s">
        <v>172</v>
      </c>
    </row>
    <row r="4898" spans="1:2" x14ac:dyDescent="0.2">
      <c r="A4898" s="36" t="s">
        <v>10932</v>
      </c>
      <c r="B4898" t="s">
        <v>172</v>
      </c>
    </row>
    <row r="4899" spans="1:2" x14ac:dyDescent="0.2">
      <c r="A4899" s="36" t="s">
        <v>10933</v>
      </c>
      <c r="B4899" t="s">
        <v>172</v>
      </c>
    </row>
    <row r="4900" spans="1:2" x14ac:dyDescent="0.2">
      <c r="A4900" s="36" t="s">
        <v>10934</v>
      </c>
      <c r="B4900" t="s">
        <v>172</v>
      </c>
    </row>
    <row r="4901" spans="1:2" x14ac:dyDescent="0.2">
      <c r="A4901" s="36" t="s">
        <v>10935</v>
      </c>
      <c r="B4901" t="s">
        <v>172</v>
      </c>
    </row>
    <row r="4902" spans="1:2" x14ac:dyDescent="0.2">
      <c r="A4902" s="36" t="s">
        <v>10936</v>
      </c>
      <c r="B4902" t="s">
        <v>172</v>
      </c>
    </row>
    <row r="4903" spans="1:2" x14ac:dyDescent="0.2">
      <c r="A4903" s="36" t="s">
        <v>10937</v>
      </c>
      <c r="B4903" t="s">
        <v>172</v>
      </c>
    </row>
    <row r="4904" spans="1:2" x14ac:dyDescent="0.2">
      <c r="A4904" s="36" t="s">
        <v>10938</v>
      </c>
      <c r="B4904" t="s">
        <v>172</v>
      </c>
    </row>
    <row r="4905" spans="1:2" x14ac:dyDescent="0.2">
      <c r="A4905" s="36" t="s">
        <v>10939</v>
      </c>
      <c r="B4905" t="s">
        <v>172</v>
      </c>
    </row>
    <row r="4906" spans="1:2" x14ac:dyDescent="0.2">
      <c r="A4906" s="36" t="s">
        <v>10940</v>
      </c>
      <c r="B4906" t="s">
        <v>172</v>
      </c>
    </row>
    <row r="4907" spans="1:2" x14ac:dyDescent="0.2">
      <c r="A4907" s="36" t="s">
        <v>10941</v>
      </c>
      <c r="B4907" t="s">
        <v>172</v>
      </c>
    </row>
    <row r="4908" spans="1:2" x14ac:dyDescent="0.2">
      <c r="A4908" s="36" t="s">
        <v>10942</v>
      </c>
      <c r="B4908" t="s">
        <v>172</v>
      </c>
    </row>
    <row r="4909" spans="1:2" x14ac:dyDescent="0.2">
      <c r="A4909" s="36" t="s">
        <v>10943</v>
      </c>
      <c r="B4909" t="s">
        <v>172</v>
      </c>
    </row>
    <row r="4910" spans="1:2" x14ac:dyDescent="0.2">
      <c r="A4910" s="36" t="s">
        <v>10944</v>
      </c>
      <c r="B4910" t="s">
        <v>172</v>
      </c>
    </row>
    <row r="4911" spans="1:2" x14ac:dyDescent="0.2">
      <c r="A4911" s="36" t="s">
        <v>10945</v>
      </c>
      <c r="B4911" t="s">
        <v>172</v>
      </c>
    </row>
    <row r="4912" spans="1:2" x14ac:dyDescent="0.2">
      <c r="A4912" s="36" t="s">
        <v>10946</v>
      </c>
      <c r="B4912" t="s">
        <v>172</v>
      </c>
    </row>
    <row r="4913" spans="1:2" x14ac:dyDescent="0.2">
      <c r="A4913" s="36" t="s">
        <v>10947</v>
      </c>
      <c r="B4913" t="s">
        <v>172</v>
      </c>
    </row>
    <row r="4914" spans="1:2" x14ac:dyDescent="0.2">
      <c r="A4914" s="36" t="s">
        <v>10948</v>
      </c>
      <c r="B4914" t="s">
        <v>172</v>
      </c>
    </row>
    <row r="4915" spans="1:2" x14ac:dyDescent="0.2">
      <c r="A4915" s="36" t="s">
        <v>10949</v>
      </c>
      <c r="B4915" t="s">
        <v>172</v>
      </c>
    </row>
    <row r="4916" spans="1:2" x14ac:dyDescent="0.2">
      <c r="A4916" s="36" t="s">
        <v>10950</v>
      </c>
      <c r="B4916" t="s">
        <v>172</v>
      </c>
    </row>
    <row r="4917" spans="1:2" x14ac:dyDescent="0.2">
      <c r="A4917" s="36" t="s">
        <v>10951</v>
      </c>
      <c r="B4917" t="s">
        <v>172</v>
      </c>
    </row>
    <row r="4918" spans="1:2" x14ac:dyDescent="0.2">
      <c r="A4918" s="36" t="s">
        <v>10952</v>
      </c>
      <c r="B4918" t="s">
        <v>172</v>
      </c>
    </row>
    <row r="4919" spans="1:2" x14ac:dyDescent="0.2">
      <c r="A4919" s="36" t="s">
        <v>10953</v>
      </c>
      <c r="B4919" t="s">
        <v>172</v>
      </c>
    </row>
    <row r="4920" spans="1:2" x14ac:dyDescent="0.2">
      <c r="A4920" s="36" t="s">
        <v>10954</v>
      </c>
      <c r="B4920" t="s">
        <v>172</v>
      </c>
    </row>
    <row r="4921" spans="1:2" x14ac:dyDescent="0.2">
      <c r="A4921" s="36" t="s">
        <v>10955</v>
      </c>
      <c r="B4921" t="s">
        <v>172</v>
      </c>
    </row>
    <row r="4922" spans="1:2" x14ac:dyDescent="0.2">
      <c r="A4922" s="36" t="s">
        <v>10956</v>
      </c>
      <c r="B4922" t="s">
        <v>172</v>
      </c>
    </row>
    <row r="4923" spans="1:2" x14ac:dyDescent="0.2">
      <c r="A4923" s="36" t="s">
        <v>10957</v>
      </c>
      <c r="B4923" t="s">
        <v>172</v>
      </c>
    </row>
    <row r="4924" spans="1:2" x14ac:dyDescent="0.2">
      <c r="A4924" s="36" t="s">
        <v>10958</v>
      </c>
      <c r="B4924" t="s">
        <v>172</v>
      </c>
    </row>
    <row r="4925" spans="1:2" x14ac:dyDescent="0.2">
      <c r="A4925" s="36" t="s">
        <v>10959</v>
      </c>
      <c r="B4925" t="s">
        <v>172</v>
      </c>
    </row>
    <row r="4926" spans="1:2" x14ac:dyDescent="0.2">
      <c r="A4926" s="36" t="s">
        <v>10960</v>
      </c>
      <c r="B4926" t="s">
        <v>172</v>
      </c>
    </row>
    <row r="4927" spans="1:2" x14ac:dyDescent="0.2">
      <c r="A4927" s="36" t="s">
        <v>10961</v>
      </c>
      <c r="B4927" t="s">
        <v>172</v>
      </c>
    </row>
    <row r="4928" spans="1:2" x14ac:dyDescent="0.2">
      <c r="A4928" s="36" t="s">
        <v>10962</v>
      </c>
      <c r="B4928" t="s">
        <v>172</v>
      </c>
    </row>
    <row r="4929" spans="1:2" x14ac:dyDescent="0.2">
      <c r="A4929" s="36" t="s">
        <v>10963</v>
      </c>
      <c r="B4929" t="s">
        <v>172</v>
      </c>
    </row>
    <row r="4930" spans="1:2" x14ac:dyDescent="0.2">
      <c r="A4930" s="36" t="s">
        <v>10964</v>
      </c>
      <c r="B4930" t="s">
        <v>172</v>
      </c>
    </row>
    <row r="4931" spans="1:2" x14ac:dyDescent="0.2">
      <c r="A4931" s="36" t="s">
        <v>10965</v>
      </c>
      <c r="B4931" t="s">
        <v>172</v>
      </c>
    </row>
    <row r="4932" spans="1:2" x14ac:dyDescent="0.2">
      <c r="A4932" s="36" t="s">
        <v>10966</v>
      </c>
      <c r="B4932" t="s">
        <v>172</v>
      </c>
    </row>
    <row r="4933" spans="1:2" x14ac:dyDescent="0.2">
      <c r="A4933" s="36" t="s">
        <v>10967</v>
      </c>
      <c r="B4933" t="s">
        <v>172</v>
      </c>
    </row>
    <row r="4934" spans="1:2" x14ac:dyDescent="0.2">
      <c r="A4934" s="36" t="s">
        <v>10968</v>
      </c>
      <c r="B4934" t="s">
        <v>172</v>
      </c>
    </row>
    <row r="4935" spans="1:2" x14ac:dyDescent="0.2">
      <c r="A4935" s="36" t="s">
        <v>10969</v>
      </c>
      <c r="B4935" t="s">
        <v>172</v>
      </c>
    </row>
    <row r="4936" spans="1:2" x14ac:dyDescent="0.2">
      <c r="A4936" s="36" t="s">
        <v>10970</v>
      </c>
      <c r="B4936" t="s">
        <v>172</v>
      </c>
    </row>
    <row r="4937" spans="1:2" x14ac:dyDescent="0.2">
      <c r="A4937" s="36" t="s">
        <v>10971</v>
      </c>
      <c r="B4937" t="s">
        <v>172</v>
      </c>
    </row>
    <row r="4938" spans="1:2" x14ac:dyDescent="0.2">
      <c r="A4938" s="36" t="s">
        <v>10972</v>
      </c>
      <c r="B4938" t="s">
        <v>172</v>
      </c>
    </row>
    <row r="4939" spans="1:2" x14ac:dyDescent="0.2">
      <c r="A4939" s="36" t="s">
        <v>10973</v>
      </c>
      <c r="B4939" t="s">
        <v>172</v>
      </c>
    </row>
    <row r="4940" spans="1:2" x14ac:dyDescent="0.2">
      <c r="A4940" s="36" t="s">
        <v>10974</v>
      </c>
      <c r="B4940" t="s">
        <v>172</v>
      </c>
    </row>
    <row r="4941" spans="1:2" x14ac:dyDescent="0.2">
      <c r="A4941" s="36" t="s">
        <v>10975</v>
      </c>
      <c r="B4941" t="s">
        <v>172</v>
      </c>
    </row>
    <row r="4942" spans="1:2" x14ac:dyDescent="0.2">
      <c r="A4942" s="36" t="s">
        <v>10976</v>
      </c>
      <c r="B4942" t="s">
        <v>172</v>
      </c>
    </row>
    <row r="4943" spans="1:2" x14ac:dyDescent="0.2">
      <c r="A4943" s="36" t="s">
        <v>10977</v>
      </c>
      <c r="B4943" t="s">
        <v>172</v>
      </c>
    </row>
    <row r="4944" spans="1:2" x14ac:dyDescent="0.2">
      <c r="A4944" s="36" t="s">
        <v>10978</v>
      </c>
      <c r="B4944" t="s">
        <v>172</v>
      </c>
    </row>
    <row r="4945" spans="1:2" x14ac:dyDescent="0.2">
      <c r="A4945" s="36" t="s">
        <v>10979</v>
      </c>
      <c r="B4945" t="s">
        <v>172</v>
      </c>
    </row>
    <row r="4946" spans="1:2" x14ac:dyDescent="0.2">
      <c r="A4946" s="36" t="s">
        <v>10980</v>
      </c>
      <c r="B4946" t="s">
        <v>172</v>
      </c>
    </row>
    <row r="4947" spans="1:2" x14ac:dyDescent="0.2">
      <c r="A4947" s="36" t="s">
        <v>10981</v>
      </c>
      <c r="B4947" t="s">
        <v>172</v>
      </c>
    </row>
    <row r="4948" spans="1:2" x14ac:dyDescent="0.2">
      <c r="A4948" s="36" t="s">
        <v>10982</v>
      </c>
      <c r="B4948" t="s">
        <v>172</v>
      </c>
    </row>
    <row r="4949" spans="1:2" x14ac:dyDescent="0.2">
      <c r="A4949" s="36" t="s">
        <v>10983</v>
      </c>
      <c r="B4949" t="s">
        <v>172</v>
      </c>
    </row>
    <row r="4950" spans="1:2" x14ac:dyDescent="0.2">
      <c r="A4950" s="36" t="s">
        <v>10984</v>
      </c>
      <c r="B4950" t="s">
        <v>172</v>
      </c>
    </row>
    <row r="4951" spans="1:2" x14ac:dyDescent="0.2">
      <c r="A4951" s="36" t="s">
        <v>10985</v>
      </c>
      <c r="B4951" t="s">
        <v>172</v>
      </c>
    </row>
    <row r="4952" spans="1:2" x14ac:dyDescent="0.2">
      <c r="A4952" s="36" t="s">
        <v>10986</v>
      </c>
      <c r="B4952" t="s">
        <v>172</v>
      </c>
    </row>
    <row r="4953" spans="1:2" x14ac:dyDescent="0.2">
      <c r="A4953" s="36" t="s">
        <v>10987</v>
      </c>
      <c r="B4953" t="s">
        <v>172</v>
      </c>
    </row>
    <row r="4954" spans="1:2" x14ac:dyDescent="0.2">
      <c r="A4954" s="36" t="s">
        <v>10988</v>
      </c>
      <c r="B4954" t="s">
        <v>172</v>
      </c>
    </row>
    <row r="4955" spans="1:2" x14ac:dyDescent="0.2">
      <c r="A4955" s="36" t="s">
        <v>10989</v>
      </c>
      <c r="B4955" t="s">
        <v>172</v>
      </c>
    </row>
    <row r="4956" spans="1:2" x14ac:dyDescent="0.2">
      <c r="A4956" s="36" t="s">
        <v>10990</v>
      </c>
      <c r="B4956" t="s">
        <v>172</v>
      </c>
    </row>
    <row r="4957" spans="1:2" x14ac:dyDescent="0.2">
      <c r="A4957" s="36" t="s">
        <v>10991</v>
      </c>
      <c r="B4957" t="s">
        <v>172</v>
      </c>
    </row>
    <row r="4958" spans="1:2" x14ac:dyDescent="0.2">
      <c r="A4958" s="36" t="s">
        <v>10992</v>
      </c>
      <c r="B4958" t="s">
        <v>172</v>
      </c>
    </row>
    <row r="4959" spans="1:2" x14ac:dyDescent="0.2">
      <c r="A4959" s="36" t="s">
        <v>10993</v>
      </c>
      <c r="B4959" t="s">
        <v>172</v>
      </c>
    </row>
    <row r="4960" spans="1:2" x14ac:dyDescent="0.2">
      <c r="A4960" s="36" t="s">
        <v>10994</v>
      </c>
      <c r="B4960" t="s">
        <v>172</v>
      </c>
    </row>
    <row r="4961" spans="1:2" x14ac:dyDescent="0.2">
      <c r="A4961" s="36" t="s">
        <v>10995</v>
      </c>
      <c r="B4961" t="s">
        <v>172</v>
      </c>
    </row>
    <row r="4962" spans="1:2" x14ac:dyDescent="0.2">
      <c r="A4962" s="36" t="s">
        <v>10996</v>
      </c>
      <c r="B4962" t="s">
        <v>172</v>
      </c>
    </row>
    <row r="4963" spans="1:2" x14ac:dyDescent="0.2">
      <c r="A4963" s="36" t="s">
        <v>10997</v>
      </c>
      <c r="B4963" t="s">
        <v>172</v>
      </c>
    </row>
    <row r="4964" spans="1:2" x14ac:dyDescent="0.2">
      <c r="A4964" s="36" t="s">
        <v>10998</v>
      </c>
      <c r="B4964" t="s">
        <v>172</v>
      </c>
    </row>
    <row r="4965" spans="1:2" x14ac:dyDescent="0.2">
      <c r="A4965" s="36" t="s">
        <v>10999</v>
      </c>
      <c r="B4965" t="s">
        <v>172</v>
      </c>
    </row>
    <row r="4966" spans="1:2" x14ac:dyDescent="0.2">
      <c r="A4966" s="36" t="s">
        <v>11000</v>
      </c>
      <c r="B4966" t="s">
        <v>172</v>
      </c>
    </row>
    <row r="4967" spans="1:2" x14ac:dyDescent="0.2">
      <c r="A4967" s="36" t="s">
        <v>11001</v>
      </c>
      <c r="B4967" t="s">
        <v>172</v>
      </c>
    </row>
    <row r="4968" spans="1:2" x14ac:dyDescent="0.2">
      <c r="A4968" s="36" t="s">
        <v>11002</v>
      </c>
      <c r="B4968" t="s">
        <v>172</v>
      </c>
    </row>
    <row r="4969" spans="1:2" x14ac:dyDescent="0.2">
      <c r="A4969" s="36" t="s">
        <v>11003</v>
      </c>
      <c r="B4969" t="s">
        <v>172</v>
      </c>
    </row>
    <row r="4970" spans="1:2" x14ac:dyDescent="0.2">
      <c r="A4970" s="36" t="s">
        <v>11004</v>
      </c>
      <c r="B4970" t="s">
        <v>172</v>
      </c>
    </row>
    <row r="4971" spans="1:2" x14ac:dyDescent="0.2">
      <c r="A4971" s="36" t="s">
        <v>11005</v>
      </c>
      <c r="B4971" t="s">
        <v>172</v>
      </c>
    </row>
    <row r="4972" spans="1:2" x14ac:dyDescent="0.2">
      <c r="A4972" s="36" t="s">
        <v>11006</v>
      </c>
      <c r="B4972" t="s">
        <v>172</v>
      </c>
    </row>
    <row r="4973" spans="1:2" x14ac:dyDescent="0.2">
      <c r="A4973" s="36" t="s">
        <v>11007</v>
      </c>
      <c r="B4973" t="s">
        <v>172</v>
      </c>
    </row>
    <row r="4974" spans="1:2" x14ac:dyDescent="0.2">
      <c r="A4974" s="36" t="s">
        <v>11008</v>
      </c>
      <c r="B4974" t="s">
        <v>172</v>
      </c>
    </row>
    <row r="4975" spans="1:2" x14ac:dyDescent="0.2">
      <c r="A4975" s="36" t="s">
        <v>11009</v>
      </c>
      <c r="B4975" t="s">
        <v>172</v>
      </c>
    </row>
    <row r="4976" spans="1:2" x14ac:dyDescent="0.2">
      <c r="A4976" s="36" t="s">
        <v>11010</v>
      </c>
      <c r="B4976" t="s">
        <v>172</v>
      </c>
    </row>
    <row r="4977" spans="1:2" x14ac:dyDescent="0.2">
      <c r="A4977" s="36" t="s">
        <v>11011</v>
      </c>
      <c r="B4977" t="s">
        <v>172</v>
      </c>
    </row>
    <row r="4978" spans="1:2" x14ac:dyDescent="0.2">
      <c r="A4978" s="36" t="s">
        <v>11012</v>
      </c>
      <c r="B4978" t="s">
        <v>172</v>
      </c>
    </row>
    <row r="4979" spans="1:2" x14ac:dyDescent="0.2">
      <c r="A4979" s="36" t="s">
        <v>11013</v>
      </c>
      <c r="B4979" t="s">
        <v>172</v>
      </c>
    </row>
    <row r="4980" spans="1:2" x14ac:dyDescent="0.2">
      <c r="A4980" s="36" t="s">
        <v>11014</v>
      </c>
      <c r="B4980" t="s">
        <v>172</v>
      </c>
    </row>
    <row r="4981" spans="1:2" x14ac:dyDescent="0.2">
      <c r="A4981" s="36" t="s">
        <v>11015</v>
      </c>
      <c r="B4981" t="s">
        <v>172</v>
      </c>
    </row>
    <row r="4982" spans="1:2" x14ac:dyDescent="0.2">
      <c r="A4982" s="36" t="s">
        <v>11016</v>
      </c>
      <c r="B4982" t="s">
        <v>172</v>
      </c>
    </row>
    <row r="4983" spans="1:2" x14ac:dyDescent="0.2">
      <c r="A4983" s="36" t="s">
        <v>11017</v>
      </c>
      <c r="B4983" t="s">
        <v>172</v>
      </c>
    </row>
    <row r="4984" spans="1:2" x14ac:dyDescent="0.2">
      <c r="A4984" s="36" t="s">
        <v>11018</v>
      </c>
      <c r="B4984" t="s">
        <v>172</v>
      </c>
    </row>
    <row r="4985" spans="1:2" x14ac:dyDescent="0.2">
      <c r="A4985" s="36" t="s">
        <v>11019</v>
      </c>
      <c r="B4985" t="s">
        <v>172</v>
      </c>
    </row>
    <row r="4986" spans="1:2" x14ac:dyDescent="0.2">
      <c r="A4986" s="36" t="s">
        <v>11020</v>
      </c>
      <c r="B4986" t="s">
        <v>172</v>
      </c>
    </row>
    <row r="4987" spans="1:2" x14ac:dyDescent="0.2">
      <c r="A4987" s="36" t="s">
        <v>11021</v>
      </c>
      <c r="B4987" t="s">
        <v>172</v>
      </c>
    </row>
    <row r="4988" spans="1:2" x14ac:dyDescent="0.2">
      <c r="A4988" s="36" t="s">
        <v>11022</v>
      </c>
      <c r="B4988" t="s">
        <v>172</v>
      </c>
    </row>
    <row r="4989" spans="1:2" x14ac:dyDescent="0.2">
      <c r="A4989" s="36" t="s">
        <v>11023</v>
      </c>
      <c r="B4989" t="s">
        <v>172</v>
      </c>
    </row>
    <row r="4990" spans="1:2" x14ac:dyDescent="0.2">
      <c r="A4990" s="36" t="s">
        <v>11024</v>
      </c>
      <c r="B4990" t="s">
        <v>172</v>
      </c>
    </row>
    <row r="4991" spans="1:2" x14ac:dyDescent="0.2">
      <c r="A4991" s="36" t="s">
        <v>11025</v>
      </c>
      <c r="B4991" t="s">
        <v>172</v>
      </c>
    </row>
    <row r="4992" spans="1:2" x14ac:dyDescent="0.2">
      <c r="A4992" s="36" t="s">
        <v>11026</v>
      </c>
      <c r="B4992" t="s">
        <v>172</v>
      </c>
    </row>
    <row r="4993" spans="1:2" x14ac:dyDescent="0.2">
      <c r="A4993" s="36" t="s">
        <v>11027</v>
      </c>
      <c r="B4993" t="s">
        <v>172</v>
      </c>
    </row>
    <row r="4994" spans="1:2" x14ac:dyDescent="0.2">
      <c r="A4994" s="36" t="s">
        <v>11028</v>
      </c>
      <c r="B4994" t="s">
        <v>172</v>
      </c>
    </row>
    <row r="4995" spans="1:2" x14ac:dyDescent="0.2">
      <c r="A4995" s="36" t="s">
        <v>11029</v>
      </c>
      <c r="B4995" t="s">
        <v>172</v>
      </c>
    </row>
    <row r="4996" spans="1:2" x14ac:dyDescent="0.2">
      <c r="A4996" s="36" t="s">
        <v>11030</v>
      </c>
      <c r="B4996" t="s">
        <v>172</v>
      </c>
    </row>
    <row r="4997" spans="1:2" x14ac:dyDescent="0.2">
      <c r="A4997" s="36" t="s">
        <v>11031</v>
      </c>
      <c r="B4997" t="s">
        <v>172</v>
      </c>
    </row>
  </sheetData>
  <pageMargins left="0.7" right="0.7" top="0.75" bottom="0.75" header="0.3" footer="0.3"/>
  <pageSetup paperSize="9" orientation="portrait" r:id="rId1"/>
  <headerFooter>
    <oddFooter>&amp;C&amp;1#&amp;"Calibri"&amp;12&amp;K000000Classification: Pandora Internal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PublishAssignedLine">
                <anchor moveWithCells="1" sizeWithCells="1">
                  <from>
                    <xdr:col>1</xdr:col>
                    <xdr:colOff>1123950</xdr:colOff>
                    <xdr:row>1</xdr:row>
                    <xdr:rowOff>123825</xdr:rowOff>
                  </from>
                  <to>
                    <xdr:col>1</xdr:col>
                    <xdr:colOff>2228850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refreshAssignedline">
                <anchor moveWithCells="1" sizeWithCells="1">
                  <from>
                    <xdr:col>0</xdr:col>
                    <xdr:colOff>133350</xdr:colOff>
                    <xdr:row>1</xdr:row>
                    <xdr:rowOff>152400</xdr:rowOff>
                  </from>
                  <to>
                    <xdr:col>0</xdr:col>
                    <xdr:colOff>1504950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35DE7C-457F-488B-B23B-D8D986B44E11}">
  <sheetPr codeName="Sheet8"/>
  <dimension ref="A1:G461"/>
  <sheetViews>
    <sheetView workbookViewId="0">
      <selection activeCell="E23" sqref="E23"/>
    </sheetView>
  </sheetViews>
  <sheetFormatPr defaultRowHeight="14.25" x14ac:dyDescent="0.2"/>
  <cols>
    <col min="1" max="1" width="15" bestFit="1" customWidth="1"/>
    <col min="2" max="2" width="16.125" bestFit="1" customWidth="1"/>
    <col min="3" max="3" width="29.625" bestFit="1" customWidth="1"/>
    <col min="4" max="4" width="21.75" bestFit="1" customWidth="1"/>
    <col min="5" max="5" width="81" bestFit="1" customWidth="1"/>
    <col min="6" max="6" width="30.75" bestFit="1" customWidth="1"/>
    <col min="7" max="7" width="21" bestFit="1" customWidth="1"/>
    <col min="8" max="8" width="11.125" bestFit="1" customWidth="1"/>
  </cols>
  <sheetData>
    <row r="1" spans="1:7" x14ac:dyDescent="0.2">
      <c r="A1" t="s">
        <v>26</v>
      </c>
      <c r="B1" t="s">
        <v>28</v>
      </c>
      <c r="C1" t="s">
        <v>67</v>
      </c>
      <c r="D1" t="s">
        <v>121</v>
      </c>
      <c r="E1" t="s">
        <v>122</v>
      </c>
      <c r="F1" t="s">
        <v>125</v>
      </c>
      <c r="G1" t="s">
        <v>128</v>
      </c>
    </row>
    <row r="2" spans="1:7" x14ac:dyDescent="0.2">
      <c r="A2" t="s">
        <v>16</v>
      </c>
      <c r="B2" t="s">
        <v>774</v>
      </c>
      <c r="C2">
        <v>6</v>
      </c>
      <c r="D2">
        <v>6</v>
      </c>
      <c r="E2" t="s">
        <v>10379</v>
      </c>
      <c r="F2" t="b">
        <v>0</v>
      </c>
      <c r="G2" t="b">
        <f>ItemAllocation[[#This Row],[MaximumWaxCellAllocation]]&gt;=ItemAllocation[[#This Row],[NumberOfWaxCells]]</f>
        <v>1</v>
      </c>
    </row>
    <row r="3" spans="1:7" x14ac:dyDescent="0.2">
      <c r="A3" t="s">
        <v>16</v>
      </c>
      <c r="B3" t="s">
        <v>772</v>
      </c>
      <c r="C3">
        <v>15</v>
      </c>
      <c r="D3">
        <v>1</v>
      </c>
      <c r="E3" t="s">
        <v>92</v>
      </c>
      <c r="F3" t="b">
        <v>0</v>
      </c>
      <c r="G3" t="b">
        <f>ItemAllocation[[#This Row],[MaximumWaxCellAllocation]]&gt;=ItemAllocation[[#This Row],[NumberOfWaxCells]]</f>
        <v>1</v>
      </c>
    </row>
    <row r="4" spans="1:7" x14ac:dyDescent="0.2">
      <c r="A4" t="s">
        <v>16</v>
      </c>
      <c r="B4" t="s">
        <v>671</v>
      </c>
      <c r="C4">
        <v>9</v>
      </c>
      <c r="D4">
        <v>5</v>
      </c>
      <c r="E4" t="s">
        <v>11042</v>
      </c>
      <c r="F4" t="b">
        <v>0</v>
      </c>
      <c r="G4" t="b">
        <f>ItemAllocation[[#This Row],[MaximumWaxCellAllocation]]&gt;=ItemAllocation[[#This Row],[NumberOfWaxCells]]</f>
        <v>1</v>
      </c>
    </row>
    <row r="5" spans="1:7" x14ac:dyDescent="0.2">
      <c r="A5" t="s">
        <v>16</v>
      </c>
      <c r="B5" t="s">
        <v>347</v>
      </c>
      <c r="C5">
        <v>27</v>
      </c>
      <c r="D5">
        <v>7</v>
      </c>
      <c r="E5" t="s">
        <v>11043</v>
      </c>
      <c r="F5" t="b">
        <v>0</v>
      </c>
      <c r="G5" t="b">
        <f>ItemAllocation[[#This Row],[MaximumWaxCellAllocation]]&gt;=ItemAllocation[[#This Row],[NumberOfWaxCells]]</f>
        <v>1</v>
      </c>
    </row>
    <row r="6" spans="1:7" x14ac:dyDescent="0.2">
      <c r="A6" t="s">
        <v>16</v>
      </c>
      <c r="B6" t="s">
        <v>355</v>
      </c>
      <c r="C6">
        <v>71</v>
      </c>
      <c r="D6">
        <v>9</v>
      </c>
      <c r="E6" t="s">
        <v>11468</v>
      </c>
      <c r="F6" t="b">
        <v>0</v>
      </c>
      <c r="G6" t="b">
        <f>ItemAllocation[[#This Row],[MaximumWaxCellAllocation]]&gt;=ItemAllocation[[#This Row],[NumberOfWaxCells]]</f>
        <v>1</v>
      </c>
    </row>
    <row r="7" spans="1:7" x14ac:dyDescent="0.2">
      <c r="A7" t="s">
        <v>16</v>
      </c>
      <c r="B7" t="s">
        <v>2730</v>
      </c>
      <c r="C7">
        <v>4</v>
      </c>
      <c r="D7">
        <v>4</v>
      </c>
      <c r="E7" t="s">
        <v>11469</v>
      </c>
      <c r="F7" t="b">
        <v>0</v>
      </c>
      <c r="G7" t="b">
        <f>ItemAllocation[[#This Row],[MaximumWaxCellAllocation]]&gt;=ItemAllocation[[#This Row],[NumberOfWaxCells]]</f>
        <v>1</v>
      </c>
    </row>
    <row r="8" spans="1:7" x14ac:dyDescent="0.2">
      <c r="A8" t="s">
        <v>16</v>
      </c>
      <c r="B8" t="s">
        <v>255</v>
      </c>
      <c r="C8">
        <v>15</v>
      </c>
      <c r="D8">
        <v>13</v>
      </c>
      <c r="E8" t="s">
        <v>11470</v>
      </c>
      <c r="F8" t="b">
        <v>0</v>
      </c>
      <c r="G8" t="b">
        <f>ItemAllocation[[#This Row],[MaximumWaxCellAllocation]]&gt;=ItemAllocation[[#This Row],[NumberOfWaxCells]]</f>
        <v>1</v>
      </c>
    </row>
    <row r="9" spans="1:7" x14ac:dyDescent="0.2">
      <c r="A9" t="s">
        <v>16</v>
      </c>
      <c r="B9" t="s">
        <v>256</v>
      </c>
      <c r="C9">
        <v>37</v>
      </c>
      <c r="D9">
        <v>18</v>
      </c>
      <c r="E9" t="s">
        <v>11471</v>
      </c>
      <c r="F9" t="b">
        <v>0</v>
      </c>
      <c r="G9" t="b">
        <f>ItemAllocation[[#This Row],[MaximumWaxCellAllocation]]&gt;=ItemAllocation[[#This Row],[NumberOfWaxCells]]</f>
        <v>1</v>
      </c>
    </row>
    <row r="10" spans="1:7" x14ac:dyDescent="0.2">
      <c r="A10" t="s">
        <v>16</v>
      </c>
      <c r="B10" t="s">
        <v>670</v>
      </c>
      <c r="C10">
        <v>2</v>
      </c>
      <c r="D10">
        <v>2</v>
      </c>
      <c r="E10" t="s">
        <v>11472</v>
      </c>
      <c r="F10" t="b">
        <v>0</v>
      </c>
      <c r="G10" t="b">
        <f>ItemAllocation[[#This Row],[MaximumWaxCellAllocation]]&gt;=ItemAllocation[[#This Row],[NumberOfWaxCells]]</f>
        <v>1</v>
      </c>
    </row>
    <row r="11" spans="1:7" x14ac:dyDescent="0.2">
      <c r="A11" t="s">
        <v>16</v>
      </c>
      <c r="B11" t="s">
        <v>928</v>
      </c>
      <c r="C11">
        <v>3</v>
      </c>
      <c r="D11">
        <v>3</v>
      </c>
      <c r="E11" t="s">
        <v>11473</v>
      </c>
      <c r="F11" t="b">
        <v>0</v>
      </c>
      <c r="G11" t="b">
        <f>ItemAllocation[[#This Row],[MaximumWaxCellAllocation]]&gt;=ItemAllocation[[#This Row],[NumberOfWaxCells]]</f>
        <v>1</v>
      </c>
    </row>
    <row r="12" spans="1:7" x14ac:dyDescent="0.2">
      <c r="A12" t="s">
        <v>16</v>
      </c>
      <c r="B12" t="s">
        <v>927</v>
      </c>
      <c r="C12">
        <v>3</v>
      </c>
      <c r="D12">
        <v>1</v>
      </c>
      <c r="E12" t="s">
        <v>98</v>
      </c>
      <c r="F12" t="b">
        <v>0</v>
      </c>
      <c r="G12" t="b">
        <f>ItemAllocation[[#This Row],[MaximumWaxCellAllocation]]&gt;=ItemAllocation[[#This Row],[NumberOfWaxCells]]</f>
        <v>1</v>
      </c>
    </row>
    <row r="13" spans="1:7" x14ac:dyDescent="0.2">
      <c r="A13" t="s">
        <v>16</v>
      </c>
      <c r="B13" t="s">
        <v>410</v>
      </c>
      <c r="C13">
        <v>18</v>
      </c>
      <c r="D13">
        <v>15</v>
      </c>
      <c r="E13" t="s">
        <v>11474</v>
      </c>
      <c r="F13" t="b">
        <v>0</v>
      </c>
      <c r="G13" t="b">
        <f>ItemAllocation[[#This Row],[MaximumWaxCellAllocation]]&gt;=ItemAllocation[[#This Row],[NumberOfWaxCells]]</f>
        <v>1</v>
      </c>
    </row>
    <row r="14" spans="1:7" x14ac:dyDescent="0.2">
      <c r="A14" t="s">
        <v>16</v>
      </c>
      <c r="B14" t="s">
        <v>411</v>
      </c>
      <c r="C14">
        <v>20</v>
      </c>
      <c r="D14">
        <v>7</v>
      </c>
      <c r="E14" t="s">
        <v>11475</v>
      </c>
      <c r="F14" t="b">
        <v>0</v>
      </c>
      <c r="G14" t="b">
        <f>ItemAllocation[[#This Row],[MaximumWaxCellAllocation]]&gt;=ItemAllocation[[#This Row],[NumberOfWaxCells]]</f>
        <v>1</v>
      </c>
    </row>
    <row r="15" spans="1:7" x14ac:dyDescent="0.2">
      <c r="A15" t="s">
        <v>16</v>
      </c>
      <c r="B15" t="s">
        <v>259</v>
      </c>
      <c r="C15">
        <v>4</v>
      </c>
      <c r="D15">
        <v>4</v>
      </c>
      <c r="E15" t="s">
        <v>11476</v>
      </c>
      <c r="F15" t="b">
        <v>0</v>
      </c>
      <c r="G15" t="b">
        <f>ItemAllocation[[#This Row],[MaximumWaxCellAllocation]]&gt;=ItemAllocation[[#This Row],[NumberOfWaxCells]]</f>
        <v>1</v>
      </c>
    </row>
    <row r="16" spans="1:7" x14ac:dyDescent="0.2">
      <c r="A16" t="s">
        <v>16</v>
      </c>
      <c r="B16" t="s">
        <v>674</v>
      </c>
      <c r="C16">
        <v>2</v>
      </c>
      <c r="D16">
        <v>2</v>
      </c>
      <c r="E16" t="s">
        <v>11167</v>
      </c>
      <c r="F16" t="b">
        <v>0</v>
      </c>
      <c r="G16" t="b">
        <f>ItemAllocation[[#This Row],[MaximumWaxCellAllocation]]&gt;=ItemAllocation[[#This Row],[NumberOfWaxCells]]</f>
        <v>1</v>
      </c>
    </row>
    <row r="17" spans="1:7" x14ac:dyDescent="0.2">
      <c r="A17" t="s">
        <v>16</v>
      </c>
      <c r="B17" t="s">
        <v>672</v>
      </c>
      <c r="C17">
        <v>2</v>
      </c>
      <c r="D17">
        <v>2</v>
      </c>
      <c r="E17" t="s">
        <v>11477</v>
      </c>
      <c r="F17" t="b">
        <v>0</v>
      </c>
      <c r="G17" t="b">
        <f>ItemAllocation[[#This Row],[MaximumWaxCellAllocation]]&gt;=ItemAllocation[[#This Row],[NumberOfWaxCells]]</f>
        <v>1</v>
      </c>
    </row>
    <row r="18" spans="1:7" x14ac:dyDescent="0.2">
      <c r="A18" t="s">
        <v>16</v>
      </c>
      <c r="B18" t="s">
        <v>5990</v>
      </c>
      <c r="C18">
        <v>3</v>
      </c>
      <c r="D18">
        <v>1</v>
      </c>
      <c r="E18" t="s">
        <v>87</v>
      </c>
      <c r="F18" t="b">
        <v>0</v>
      </c>
      <c r="G18" t="b">
        <f>ItemAllocation[[#This Row],[MaximumWaxCellAllocation]]&gt;=ItemAllocation[[#This Row],[NumberOfWaxCells]]</f>
        <v>1</v>
      </c>
    </row>
    <row r="19" spans="1:7" x14ac:dyDescent="0.2">
      <c r="A19" t="s">
        <v>16</v>
      </c>
      <c r="B19" t="s">
        <v>5615</v>
      </c>
      <c r="C19">
        <v>40</v>
      </c>
      <c r="D19">
        <v>19</v>
      </c>
      <c r="E19" t="s">
        <v>11044</v>
      </c>
      <c r="F19" t="b">
        <v>0</v>
      </c>
      <c r="G19" t="b">
        <f>ItemAllocation[[#This Row],[MaximumWaxCellAllocation]]&gt;=ItemAllocation[[#This Row],[NumberOfWaxCells]]</f>
        <v>1</v>
      </c>
    </row>
    <row r="20" spans="1:7" x14ac:dyDescent="0.2">
      <c r="A20" t="s">
        <v>16</v>
      </c>
      <c r="B20" t="s">
        <v>416</v>
      </c>
      <c r="C20">
        <v>3</v>
      </c>
      <c r="D20">
        <v>3</v>
      </c>
      <c r="E20" t="s">
        <v>11059</v>
      </c>
      <c r="F20" t="b">
        <v>0</v>
      </c>
      <c r="G20" t="b">
        <f>ItemAllocation[[#This Row],[MaximumWaxCellAllocation]]&gt;=ItemAllocation[[#This Row],[NumberOfWaxCells]]</f>
        <v>1</v>
      </c>
    </row>
    <row r="21" spans="1:7" x14ac:dyDescent="0.2">
      <c r="A21" t="s">
        <v>16</v>
      </c>
      <c r="B21" t="s">
        <v>300</v>
      </c>
      <c r="C21">
        <v>10</v>
      </c>
      <c r="D21">
        <v>8</v>
      </c>
      <c r="E21" t="s">
        <v>11060</v>
      </c>
      <c r="F21" t="b">
        <v>0</v>
      </c>
      <c r="G21" t="b">
        <f>ItemAllocation[[#This Row],[MaximumWaxCellAllocation]]&gt;=ItemAllocation[[#This Row],[NumberOfWaxCells]]</f>
        <v>1</v>
      </c>
    </row>
    <row r="22" spans="1:7" x14ac:dyDescent="0.2">
      <c r="A22" t="s">
        <v>16</v>
      </c>
      <c r="B22" t="s">
        <v>1729</v>
      </c>
      <c r="C22">
        <v>7</v>
      </c>
      <c r="D22">
        <v>7</v>
      </c>
      <c r="E22" t="s">
        <v>11061</v>
      </c>
      <c r="F22" t="b">
        <v>0</v>
      </c>
      <c r="G22" t="b">
        <f>ItemAllocation[[#This Row],[MaximumWaxCellAllocation]]&gt;=ItemAllocation[[#This Row],[NumberOfWaxCells]]</f>
        <v>1</v>
      </c>
    </row>
    <row r="23" spans="1:7" x14ac:dyDescent="0.2">
      <c r="A23" t="s">
        <v>16</v>
      </c>
      <c r="B23" t="s">
        <v>2622</v>
      </c>
      <c r="C23">
        <v>7</v>
      </c>
      <c r="D23">
        <v>7</v>
      </c>
      <c r="E23" t="s">
        <v>11062</v>
      </c>
      <c r="F23" t="b">
        <v>0</v>
      </c>
      <c r="G23" t="b">
        <f>ItemAllocation[[#This Row],[MaximumWaxCellAllocation]]&gt;=ItemAllocation[[#This Row],[NumberOfWaxCells]]</f>
        <v>1</v>
      </c>
    </row>
    <row r="24" spans="1:7" x14ac:dyDescent="0.2">
      <c r="A24" t="s">
        <v>16</v>
      </c>
      <c r="B24" t="s">
        <v>2836</v>
      </c>
      <c r="C24">
        <v>2</v>
      </c>
      <c r="D24">
        <v>2</v>
      </c>
      <c r="E24" t="s">
        <v>5879</v>
      </c>
      <c r="F24" t="b">
        <v>0</v>
      </c>
      <c r="G24" t="b">
        <f>ItemAllocation[[#This Row],[MaximumWaxCellAllocation]]&gt;=ItemAllocation[[#This Row],[NumberOfWaxCells]]</f>
        <v>1</v>
      </c>
    </row>
    <row r="25" spans="1:7" x14ac:dyDescent="0.2">
      <c r="A25" t="s">
        <v>16</v>
      </c>
      <c r="B25" t="s">
        <v>770</v>
      </c>
      <c r="C25">
        <v>2</v>
      </c>
      <c r="D25">
        <v>2</v>
      </c>
      <c r="E25" t="s">
        <v>5939</v>
      </c>
      <c r="F25" t="b">
        <v>0</v>
      </c>
      <c r="G25" t="b">
        <f>ItemAllocation[[#This Row],[MaximumWaxCellAllocation]]&gt;=ItemAllocation[[#This Row],[NumberOfWaxCells]]</f>
        <v>1</v>
      </c>
    </row>
    <row r="26" spans="1:7" x14ac:dyDescent="0.2">
      <c r="A26" t="s">
        <v>16</v>
      </c>
      <c r="B26" t="s">
        <v>757</v>
      </c>
      <c r="C26">
        <v>4</v>
      </c>
      <c r="D26">
        <v>1</v>
      </c>
      <c r="E26" t="s">
        <v>89</v>
      </c>
      <c r="F26" t="b">
        <v>0</v>
      </c>
      <c r="G26" t="b">
        <f>ItemAllocation[[#This Row],[MaximumWaxCellAllocation]]&gt;=ItemAllocation[[#This Row],[NumberOfWaxCells]]</f>
        <v>1</v>
      </c>
    </row>
    <row r="27" spans="1:7" x14ac:dyDescent="0.2">
      <c r="A27" t="s">
        <v>16</v>
      </c>
      <c r="B27" t="s">
        <v>294</v>
      </c>
      <c r="C27">
        <v>3</v>
      </c>
      <c r="D27">
        <v>2</v>
      </c>
      <c r="E27" t="s">
        <v>11063</v>
      </c>
      <c r="F27" t="b">
        <v>0</v>
      </c>
      <c r="G27" t="b">
        <f>ItemAllocation[[#This Row],[MaximumWaxCellAllocation]]&gt;=ItemAllocation[[#This Row],[NumberOfWaxCells]]</f>
        <v>1</v>
      </c>
    </row>
    <row r="28" spans="1:7" x14ac:dyDescent="0.2">
      <c r="A28" t="s">
        <v>16</v>
      </c>
      <c r="B28" t="s">
        <v>368</v>
      </c>
      <c r="C28">
        <v>2</v>
      </c>
      <c r="D28">
        <v>2</v>
      </c>
      <c r="E28" t="s">
        <v>11064</v>
      </c>
      <c r="F28" t="b">
        <v>0</v>
      </c>
      <c r="G28" t="b">
        <f>ItemAllocation[[#This Row],[MaximumWaxCellAllocation]]&gt;=ItemAllocation[[#This Row],[NumberOfWaxCells]]</f>
        <v>1</v>
      </c>
    </row>
    <row r="29" spans="1:7" x14ac:dyDescent="0.2">
      <c r="A29" t="s">
        <v>16</v>
      </c>
      <c r="B29" t="s">
        <v>3948</v>
      </c>
      <c r="C29">
        <v>4</v>
      </c>
      <c r="D29">
        <v>4</v>
      </c>
      <c r="E29" t="s">
        <v>11065</v>
      </c>
      <c r="F29" t="b">
        <v>0</v>
      </c>
      <c r="G29" t="b">
        <f>ItemAllocation[[#This Row],[MaximumWaxCellAllocation]]&gt;=ItemAllocation[[#This Row],[NumberOfWaxCells]]</f>
        <v>1</v>
      </c>
    </row>
    <row r="30" spans="1:7" x14ac:dyDescent="0.2">
      <c r="A30" t="s">
        <v>16</v>
      </c>
      <c r="B30" t="s">
        <v>1479</v>
      </c>
      <c r="C30">
        <v>3</v>
      </c>
      <c r="D30">
        <v>3</v>
      </c>
      <c r="E30" t="s">
        <v>11066</v>
      </c>
      <c r="F30" t="b">
        <v>0</v>
      </c>
      <c r="G30" t="b">
        <f>ItemAllocation[[#This Row],[MaximumWaxCellAllocation]]&gt;=ItemAllocation[[#This Row],[NumberOfWaxCells]]</f>
        <v>1</v>
      </c>
    </row>
    <row r="31" spans="1:7" x14ac:dyDescent="0.2">
      <c r="A31" t="s">
        <v>16</v>
      </c>
      <c r="B31" t="s">
        <v>1480</v>
      </c>
      <c r="C31">
        <v>2</v>
      </c>
      <c r="D31">
        <v>2</v>
      </c>
      <c r="E31" t="s">
        <v>11067</v>
      </c>
      <c r="F31" t="b">
        <v>0</v>
      </c>
      <c r="G31" t="b">
        <f>ItemAllocation[[#This Row],[MaximumWaxCellAllocation]]&gt;=ItemAllocation[[#This Row],[NumberOfWaxCells]]</f>
        <v>1</v>
      </c>
    </row>
    <row r="32" spans="1:7" x14ac:dyDescent="0.2">
      <c r="A32" t="s">
        <v>16</v>
      </c>
      <c r="B32" t="s">
        <v>5807</v>
      </c>
      <c r="C32">
        <v>3</v>
      </c>
      <c r="D32">
        <v>3</v>
      </c>
      <c r="E32" t="s">
        <v>11068</v>
      </c>
      <c r="F32" t="b">
        <v>0</v>
      </c>
      <c r="G32" t="b">
        <f>ItemAllocation[[#This Row],[MaximumWaxCellAllocation]]&gt;=ItemAllocation[[#This Row],[NumberOfWaxCells]]</f>
        <v>1</v>
      </c>
    </row>
    <row r="33" spans="1:7" x14ac:dyDescent="0.2">
      <c r="A33" t="s">
        <v>16</v>
      </c>
      <c r="B33" t="s">
        <v>5743</v>
      </c>
      <c r="C33">
        <v>5</v>
      </c>
      <c r="D33">
        <v>5</v>
      </c>
      <c r="E33" t="s">
        <v>11069</v>
      </c>
      <c r="F33" t="b">
        <v>0</v>
      </c>
      <c r="G33" t="b">
        <f>ItemAllocation[[#This Row],[MaximumWaxCellAllocation]]&gt;=ItemAllocation[[#This Row],[NumberOfWaxCells]]</f>
        <v>1</v>
      </c>
    </row>
    <row r="34" spans="1:7" x14ac:dyDescent="0.2">
      <c r="A34" t="s">
        <v>16</v>
      </c>
      <c r="B34" t="s">
        <v>1021</v>
      </c>
      <c r="C34">
        <v>4</v>
      </c>
      <c r="D34">
        <v>4</v>
      </c>
      <c r="E34" t="s">
        <v>11070</v>
      </c>
      <c r="F34" t="b">
        <v>0</v>
      </c>
      <c r="G34" t="b">
        <f>ItemAllocation[[#This Row],[MaximumWaxCellAllocation]]&gt;=ItemAllocation[[#This Row],[NumberOfWaxCells]]</f>
        <v>1</v>
      </c>
    </row>
    <row r="35" spans="1:7" x14ac:dyDescent="0.2">
      <c r="A35" t="s">
        <v>16</v>
      </c>
      <c r="B35" t="s">
        <v>292</v>
      </c>
      <c r="C35">
        <v>3</v>
      </c>
      <c r="D35">
        <v>1</v>
      </c>
      <c r="E35" t="s">
        <v>87</v>
      </c>
      <c r="F35" t="b">
        <v>0</v>
      </c>
      <c r="G35" t="b">
        <f>ItemAllocation[[#This Row],[MaximumWaxCellAllocation]]&gt;=ItemAllocation[[#This Row],[NumberOfWaxCells]]</f>
        <v>1</v>
      </c>
    </row>
    <row r="36" spans="1:7" x14ac:dyDescent="0.2">
      <c r="A36" t="s">
        <v>16</v>
      </c>
      <c r="B36" t="s">
        <v>4524</v>
      </c>
      <c r="C36">
        <v>4</v>
      </c>
      <c r="D36">
        <v>1</v>
      </c>
      <c r="E36" t="s">
        <v>94</v>
      </c>
      <c r="F36" t="b">
        <v>0</v>
      </c>
      <c r="G36" t="b">
        <f>ItemAllocation[[#This Row],[MaximumWaxCellAllocation]]&gt;=ItemAllocation[[#This Row],[NumberOfWaxCells]]</f>
        <v>1</v>
      </c>
    </row>
    <row r="37" spans="1:7" x14ac:dyDescent="0.2">
      <c r="A37" t="s">
        <v>16</v>
      </c>
      <c r="B37" t="s">
        <v>969</v>
      </c>
      <c r="C37">
        <v>4</v>
      </c>
      <c r="D37">
        <v>4</v>
      </c>
      <c r="E37" t="s">
        <v>11071</v>
      </c>
      <c r="F37" t="b">
        <v>0</v>
      </c>
      <c r="G37" t="b">
        <f>ItemAllocation[[#This Row],[MaximumWaxCellAllocation]]&gt;=ItemAllocation[[#This Row],[NumberOfWaxCells]]</f>
        <v>1</v>
      </c>
    </row>
    <row r="38" spans="1:7" x14ac:dyDescent="0.2">
      <c r="A38" t="s">
        <v>16</v>
      </c>
      <c r="B38" t="s">
        <v>4515</v>
      </c>
      <c r="C38">
        <v>2</v>
      </c>
      <c r="D38">
        <v>2</v>
      </c>
      <c r="E38" t="s">
        <v>11072</v>
      </c>
      <c r="F38" t="b">
        <v>0</v>
      </c>
      <c r="G38" t="b">
        <f>ItemAllocation[[#This Row],[MaximumWaxCellAllocation]]&gt;=ItemAllocation[[#This Row],[NumberOfWaxCells]]</f>
        <v>1</v>
      </c>
    </row>
    <row r="39" spans="1:7" x14ac:dyDescent="0.2">
      <c r="A39" t="s">
        <v>16</v>
      </c>
      <c r="B39" t="s">
        <v>4517</v>
      </c>
      <c r="C39">
        <v>1</v>
      </c>
      <c r="D39">
        <v>1</v>
      </c>
      <c r="E39" t="s">
        <v>87</v>
      </c>
      <c r="F39" t="b">
        <v>0</v>
      </c>
      <c r="G39" t="b">
        <f>ItemAllocation[[#This Row],[MaximumWaxCellAllocation]]&gt;=ItemAllocation[[#This Row],[NumberOfWaxCells]]</f>
        <v>1</v>
      </c>
    </row>
    <row r="40" spans="1:7" x14ac:dyDescent="0.2">
      <c r="A40" t="s">
        <v>16</v>
      </c>
      <c r="B40" t="s">
        <v>498</v>
      </c>
      <c r="C40">
        <v>3</v>
      </c>
      <c r="D40">
        <v>3</v>
      </c>
      <c r="E40" t="s">
        <v>11073</v>
      </c>
      <c r="F40" t="b">
        <v>0</v>
      </c>
      <c r="G40" t="b">
        <f>ItemAllocation[[#This Row],[MaximumWaxCellAllocation]]&gt;=ItemAllocation[[#This Row],[NumberOfWaxCells]]</f>
        <v>1</v>
      </c>
    </row>
    <row r="41" spans="1:7" x14ac:dyDescent="0.2">
      <c r="A41" t="s">
        <v>16</v>
      </c>
      <c r="B41" t="s">
        <v>271</v>
      </c>
      <c r="C41">
        <v>2</v>
      </c>
      <c r="D41">
        <v>2</v>
      </c>
      <c r="E41" t="s">
        <v>11049</v>
      </c>
      <c r="F41" t="b">
        <v>0</v>
      </c>
      <c r="G41" t="b">
        <f>ItemAllocation[[#This Row],[MaximumWaxCellAllocation]]&gt;=ItemAllocation[[#This Row],[NumberOfWaxCells]]</f>
        <v>1</v>
      </c>
    </row>
    <row r="42" spans="1:7" x14ac:dyDescent="0.2">
      <c r="A42" t="s">
        <v>16</v>
      </c>
      <c r="B42" t="s">
        <v>771</v>
      </c>
      <c r="C42">
        <v>2</v>
      </c>
      <c r="D42">
        <v>2</v>
      </c>
      <c r="E42" t="s">
        <v>11067</v>
      </c>
      <c r="F42" t="b">
        <v>0</v>
      </c>
      <c r="G42" t="b">
        <f>ItemAllocation[[#This Row],[MaximumWaxCellAllocation]]&gt;=ItemAllocation[[#This Row],[NumberOfWaxCells]]</f>
        <v>1</v>
      </c>
    </row>
    <row r="43" spans="1:7" x14ac:dyDescent="0.2">
      <c r="A43" t="s">
        <v>16</v>
      </c>
      <c r="B43" t="s">
        <v>937</v>
      </c>
      <c r="C43">
        <v>5</v>
      </c>
      <c r="D43">
        <v>3</v>
      </c>
      <c r="E43" t="s">
        <v>11074</v>
      </c>
      <c r="F43" t="b">
        <v>0</v>
      </c>
      <c r="G43" t="b">
        <f>ItemAllocation[[#This Row],[MaximumWaxCellAllocation]]&gt;=ItemAllocation[[#This Row],[NumberOfWaxCells]]</f>
        <v>1</v>
      </c>
    </row>
    <row r="44" spans="1:7" x14ac:dyDescent="0.2">
      <c r="A44" t="s">
        <v>16</v>
      </c>
      <c r="B44" t="s">
        <v>1024</v>
      </c>
      <c r="C44">
        <v>5</v>
      </c>
      <c r="D44">
        <v>5</v>
      </c>
      <c r="E44" t="s">
        <v>11075</v>
      </c>
      <c r="F44" t="b">
        <v>0</v>
      </c>
      <c r="G44" t="b">
        <f>ItemAllocation[[#This Row],[MaximumWaxCellAllocation]]&gt;=ItemAllocation[[#This Row],[NumberOfWaxCells]]</f>
        <v>1</v>
      </c>
    </row>
    <row r="45" spans="1:7" x14ac:dyDescent="0.2">
      <c r="A45" t="s">
        <v>16</v>
      </c>
      <c r="B45" t="s">
        <v>762</v>
      </c>
      <c r="C45">
        <v>4</v>
      </c>
      <c r="D45">
        <v>2</v>
      </c>
      <c r="E45" t="s">
        <v>11076</v>
      </c>
      <c r="F45" t="b">
        <v>0</v>
      </c>
      <c r="G45" t="b">
        <f>ItemAllocation[[#This Row],[MaximumWaxCellAllocation]]&gt;=ItemAllocation[[#This Row],[NumberOfWaxCells]]</f>
        <v>1</v>
      </c>
    </row>
    <row r="46" spans="1:7" x14ac:dyDescent="0.2">
      <c r="A46" t="s">
        <v>16</v>
      </c>
      <c r="B46" t="s">
        <v>382</v>
      </c>
      <c r="C46">
        <v>2</v>
      </c>
      <c r="D46">
        <v>2</v>
      </c>
      <c r="E46" t="s">
        <v>11077</v>
      </c>
      <c r="F46" t="b">
        <v>0</v>
      </c>
      <c r="G46" t="b">
        <f>ItemAllocation[[#This Row],[MaximumWaxCellAllocation]]&gt;=ItemAllocation[[#This Row],[NumberOfWaxCells]]</f>
        <v>1</v>
      </c>
    </row>
    <row r="47" spans="1:7" x14ac:dyDescent="0.2">
      <c r="A47" t="s">
        <v>16</v>
      </c>
      <c r="B47" t="s">
        <v>320</v>
      </c>
      <c r="C47">
        <v>5</v>
      </c>
      <c r="D47">
        <v>5</v>
      </c>
      <c r="E47" t="s">
        <v>11078</v>
      </c>
      <c r="F47" t="b">
        <v>0</v>
      </c>
      <c r="G47" t="b">
        <f>ItemAllocation[[#This Row],[MaximumWaxCellAllocation]]&gt;=ItemAllocation[[#This Row],[NumberOfWaxCells]]</f>
        <v>1</v>
      </c>
    </row>
    <row r="48" spans="1:7" x14ac:dyDescent="0.2">
      <c r="A48" t="s">
        <v>16</v>
      </c>
      <c r="B48" t="s">
        <v>933</v>
      </c>
      <c r="C48">
        <v>15</v>
      </c>
      <c r="D48">
        <v>8</v>
      </c>
      <c r="E48" t="s">
        <v>11079</v>
      </c>
      <c r="F48" t="b">
        <v>0</v>
      </c>
      <c r="G48" t="b">
        <f>ItemAllocation[[#This Row],[MaximumWaxCellAllocation]]&gt;=ItemAllocation[[#This Row],[NumberOfWaxCells]]</f>
        <v>1</v>
      </c>
    </row>
    <row r="49" spans="1:7" x14ac:dyDescent="0.2">
      <c r="A49" t="s">
        <v>16</v>
      </c>
      <c r="B49" t="s">
        <v>1493</v>
      </c>
      <c r="C49">
        <v>45</v>
      </c>
      <c r="D49">
        <v>8</v>
      </c>
      <c r="E49" t="s">
        <v>11080</v>
      </c>
      <c r="F49" t="b">
        <v>0</v>
      </c>
      <c r="G49" t="b">
        <f>ItemAllocation[[#This Row],[MaximumWaxCellAllocation]]&gt;=ItemAllocation[[#This Row],[NumberOfWaxCells]]</f>
        <v>1</v>
      </c>
    </row>
    <row r="50" spans="1:7" x14ac:dyDescent="0.2">
      <c r="A50" t="s">
        <v>16</v>
      </c>
      <c r="B50" t="s">
        <v>4701</v>
      </c>
      <c r="C50">
        <v>3</v>
      </c>
      <c r="D50">
        <v>3</v>
      </c>
      <c r="E50" t="s">
        <v>11081</v>
      </c>
      <c r="F50" t="b">
        <v>0</v>
      </c>
      <c r="G50" t="b">
        <f>ItemAllocation[[#This Row],[MaximumWaxCellAllocation]]&gt;=ItemAllocation[[#This Row],[NumberOfWaxCells]]</f>
        <v>1</v>
      </c>
    </row>
    <row r="51" spans="1:7" x14ac:dyDescent="0.2">
      <c r="A51" t="s">
        <v>16</v>
      </c>
      <c r="B51" t="s">
        <v>5138</v>
      </c>
      <c r="C51">
        <v>3</v>
      </c>
      <c r="D51">
        <v>3</v>
      </c>
      <c r="E51" t="s">
        <v>11082</v>
      </c>
      <c r="F51" t="b">
        <v>0</v>
      </c>
      <c r="G51" t="b">
        <f>ItemAllocation[[#This Row],[MaximumWaxCellAllocation]]&gt;=ItemAllocation[[#This Row],[NumberOfWaxCells]]</f>
        <v>1</v>
      </c>
    </row>
    <row r="52" spans="1:7" x14ac:dyDescent="0.2">
      <c r="A52" t="s">
        <v>16</v>
      </c>
      <c r="B52" t="s">
        <v>680</v>
      </c>
      <c r="C52">
        <v>4</v>
      </c>
      <c r="D52">
        <v>4</v>
      </c>
      <c r="E52" t="s">
        <v>11083</v>
      </c>
      <c r="F52" t="b">
        <v>0</v>
      </c>
      <c r="G52" t="b">
        <f>ItemAllocation[[#This Row],[MaximumWaxCellAllocation]]&gt;=ItemAllocation[[#This Row],[NumberOfWaxCells]]</f>
        <v>1</v>
      </c>
    </row>
    <row r="53" spans="1:7" x14ac:dyDescent="0.2">
      <c r="A53" t="s">
        <v>16</v>
      </c>
      <c r="B53" t="s">
        <v>976</v>
      </c>
      <c r="C53">
        <v>2</v>
      </c>
      <c r="D53">
        <v>2</v>
      </c>
      <c r="E53" t="s">
        <v>11084</v>
      </c>
      <c r="F53" t="b">
        <v>0</v>
      </c>
      <c r="G53" t="b">
        <f>ItemAllocation[[#This Row],[MaximumWaxCellAllocation]]&gt;=ItemAllocation[[#This Row],[NumberOfWaxCells]]</f>
        <v>1</v>
      </c>
    </row>
    <row r="54" spans="1:7" x14ac:dyDescent="0.2">
      <c r="A54" t="s">
        <v>16</v>
      </c>
      <c r="B54" t="s">
        <v>3814</v>
      </c>
      <c r="C54">
        <v>6</v>
      </c>
      <c r="D54">
        <v>6</v>
      </c>
      <c r="E54" t="s">
        <v>11085</v>
      </c>
      <c r="F54" t="b">
        <v>0</v>
      </c>
      <c r="G54" t="b">
        <f>ItemAllocation[[#This Row],[MaximumWaxCellAllocation]]&gt;=ItemAllocation[[#This Row],[NumberOfWaxCells]]</f>
        <v>1</v>
      </c>
    </row>
    <row r="55" spans="1:7" x14ac:dyDescent="0.2">
      <c r="A55" t="s">
        <v>16</v>
      </c>
      <c r="B55" t="s">
        <v>5837</v>
      </c>
      <c r="C55">
        <v>4</v>
      </c>
      <c r="D55">
        <v>4</v>
      </c>
      <c r="E55" t="s">
        <v>11086</v>
      </c>
      <c r="F55" t="b">
        <v>0</v>
      </c>
      <c r="G55" t="b">
        <f>ItemAllocation[[#This Row],[MaximumWaxCellAllocation]]&gt;=ItemAllocation[[#This Row],[NumberOfWaxCells]]</f>
        <v>1</v>
      </c>
    </row>
    <row r="56" spans="1:7" x14ac:dyDescent="0.2">
      <c r="A56" t="s">
        <v>16</v>
      </c>
      <c r="B56" t="s">
        <v>350</v>
      </c>
      <c r="C56">
        <v>3</v>
      </c>
      <c r="D56">
        <v>3</v>
      </c>
      <c r="E56" t="s">
        <v>11087</v>
      </c>
      <c r="F56" t="b">
        <v>0</v>
      </c>
      <c r="G56" t="b">
        <f>ItemAllocation[[#This Row],[MaximumWaxCellAllocation]]&gt;=ItemAllocation[[#This Row],[NumberOfWaxCells]]</f>
        <v>1</v>
      </c>
    </row>
    <row r="57" spans="1:7" x14ac:dyDescent="0.2">
      <c r="A57" t="s">
        <v>16</v>
      </c>
      <c r="B57" t="s">
        <v>2615</v>
      </c>
      <c r="C57">
        <v>6</v>
      </c>
      <c r="D57">
        <v>6</v>
      </c>
      <c r="E57" t="s">
        <v>11088</v>
      </c>
      <c r="F57" t="b">
        <v>0</v>
      </c>
      <c r="G57" t="b">
        <f>ItemAllocation[[#This Row],[MaximumWaxCellAllocation]]&gt;=ItemAllocation[[#This Row],[NumberOfWaxCells]]</f>
        <v>1</v>
      </c>
    </row>
    <row r="58" spans="1:7" x14ac:dyDescent="0.2">
      <c r="A58" t="s">
        <v>16</v>
      </c>
      <c r="B58" t="s">
        <v>4419</v>
      </c>
      <c r="C58">
        <v>4</v>
      </c>
      <c r="D58">
        <v>3</v>
      </c>
      <c r="E58" t="s">
        <v>11047</v>
      </c>
      <c r="F58" t="b">
        <v>0</v>
      </c>
      <c r="G58" t="b">
        <f>ItemAllocation[[#This Row],[MaximumWaxCellAllocation]]&gt;=ItemAllocation[[#This Row],[NumberOfWaxCells]]</f>
        <v>1</v>
      </c>
    </row>
    <row r="59" spans="1:7" x14ac:dyDescent="0.2">
      <c r="A59" t="s">
        <v>16</v>
      </c>
      <c r="B59" t="s">
        <v>979</v>
      </c>
      <c r="C59">
        <v>2</v>
      </c>
      <c r="D59">
        <v>2</v>
      </c>
      <c r="E59" t="s">
        <v>11089</v>
      </c>
      <c r="F59" t="b">
        <v>0</v>
      </c>
      <c r="G59" t="b">
        <f>ItemAllocation[[#This Row],[MaximumWaxCellAllocation]]&gt;=ItemAllocation[[#This Row],[NumberOfWaxCells]]</f>
        <v>1</v>
      </c>
    </row>
    <row r="60" spans="1:7" x14ac:dyDescent="0.2">
      <c r="A60" t="s">
        <v>16</v>
      </c>
      <c r="B60" t="s">
        <v>3504</v>
      </c>
      <c r="C60">
        <v>15</v>
      </c>
      <c r="D60">
        <v>10</v>
      </c>
      <c r="E60" t="s">
        <v>11090</v>
      </c>
      <c r="F60" t="b">
        <v>0</v>
      </c>
      <c r="G60" t="b">
        <f>ItemAllocation[[#This Row],[MaximumWaxCellAllocation]]&gt;=ItemAllocation[[#This Row],[NumberOfWaxCells]]</f>
        <v>1</v>
      </c>
    </row>
    <row r="61" spans="1:7" x14ac:dyDescent="0.2">
      <c r="A61" t="s">
        <v>16</v>
      </c>
      <c r="B61" t="s">
        <v>3879</v>
      </c>
      <c r="C61">
        <v>7</v>
      </c>
      <c r="D61">
        <v>7</v>
      </c>
      <c r="E61" t="s">
        <v>11091</v>
      </c>
      <c r="F61" t="b">
        <v>0</v>
      </c>
      <c r="G61" t="b">
        <f>ItemAllocation[[#This Row],[MaximumWaxCellAllocation]]&gt;=ItemAllocation[[#This Row],[NumberOfWaxCells]]</f>
        <v>1</v>
      </c>
    </row>
    <row r="62" spans="1:7" x14ac:dyDescent="0.2">
      <c r="A62" t="s">
        <v>16</v>
      </c>
      <c r="B62" t="s">
        <v>465</v>
      </c>
      <c r="C62">
        <v>2</v>
      </c>
      <c r="D62">
        <v>2</v>
      </c>
      <c r="E62" t="s">
        <v>11092</v>
      </c>
      <c r="F62" t="b">
        <v>0</v>
      </c>
      <c r="G62" t="b">
        <f>ItemAllocation[[#This Row],[MaximumWaxCellAllocation]]&gt;=ItemAllocation[[#This Row],[NumberOfWaxCells]]</f>
        <v>1</v>
      </c>
    </row>
    <row r="63" spans="1:7" x14ac:dyDescent="0.2">
      <c r="A63" t="s">
        <v>16</v>
      </c>
      <c r="B63" t="s">
        <v>685</v>
      </c>
      <c r="C63">
        <v>28</v>
      </c>
      <c r="D63">
        <v>2</v>
      </c>
      <c r="E63" t="s">
        <v>11053</v>
      </c>
      <c r="F63" t="b">
        <v>0</v>
      </c>
      <c r="G63" t="b">
        <f>ItemAllocation[[#This Row],[MaximumWaxCellAllocation]]&gt;=ItemAllocation[[#This Row],[NumberOfWaxCells]]</f>
        <v>1</v>
      </c>
    </row>
    <row r="64" spans="1:7" x14ac:dyDescent="0.2">
      <c r="A64" t="s">
        <v>16</v>
      </c>
      <c r="B64" t="s">
        <v>4523</v>
      </c>
      <c r="C64">
        <v>4</v>
      </c>
      <c r="D64">
        <v>1</v>
      </c>
      <c r="E64" t="s">
        <v>91</v>
      </c>
      <c r="F64" t="b">
        <v>0</v>
      </c>
      <c r="G64" t="b">
        <f>ItemAllocation[[#This Row],[MaximumWaxCellAllocation]]&gt;=ItemAllocation[[#This Row],[NumberOfWaxCells]]</f>
        <v>1</v>
      </c>
    </row>
    <row r="65" spans="1:7" x14ac:dyDescent="0.2">
      <c r="A65" t="s">
        <v>16</v>
      </c>
      <c r="B65" t="s">
        <v>704</v>
      </c>
      <c r="C65">
        <v>2</v>
      </c>
      <c r="D65">
        <v>2</v>
      </c>
      <c r="E65" t="s">
        <v>11093</v>
      </c>
      <c r="F65" t="b">
        <v>0</v>
      </c>
      <c r="G65" t="b">
        <f>ItemAllocation[[#This Row],[MaximumWaxCellAllocation]]&gt;=ItemAllocation[[#This Row],[NumberOfWaxCells]]</f>
        <v>1</v>
      </c>
    </row>
    <row r="66" spans="1:7" x14ac:dyDescent="0.2">
      <c r="A66" t="s">
        <v>16</v>
      </c>
      <c r="B66" t="s">
        <v>942</v>
      </c>
      <c r="C66">
        <v>3</v>
      </c>
      <c r="D66">
        <v>3</v>
      </c>
      <c r="E66" t="s">
        <v>11094</v>
      </c>
      <c r="F66" t="b">
        <v>0</v>
      </c>
      <c r="G66" t="b">
        <f>ItemAllocation[[#This Row],[MaximumWaxCellAllocation]]&gt;=ItemAllocation[[#This Row],[NumberOfWaxCells]]</f>
        <v>1</v>
      </c>
    </row>
    <row r="67" spans="1:7" x14ac:dyDescent="0.2">
      <c r="A67" t="s">
        <v>16</v>
      </c>
      <c r="B67" t="s">
        <v>967</v>
      </c>
      <c r="C67">
        <v>3</v>
      </c>
      <c r="D67">
        <v>3</v>
      </c>
      <c r="E67" t="s">
        <v>11095</v>
      </c>
      <c r="F67" t="b">
        <v>0</v>
      </c>
      <c r="G67" t="b">
        <f>ItemAllocation[[#This Row],[MaximumWaxCellAllocation]]&gt;=ItemAllocation[[#This Row],[NumberOfWaxCells]]</f>
        <v>1</v>
      </c>
    </row>
    <row r="68" spans="1:7" x14ac:dyDescent="0.2">
      <c r="A68" t="s">
        <v>16</v>
      </c>
      <c r="B68" t="s">
        <v>6023</v>
      </c>
      <c r="C68">
        <v>7</v>
      </c>
      <c r="D68">
        <v>2</v>
      </c>
      <c r="E68" t="s">
        <v>11096</v>
      </c>
      <c r="F68" t="b">
        <v>0</v>
      </c>
      <c r="G68" t="b">
        <f>ItemAllocation[[#This Row],[MaximumWaxCellAllocation]]&gt;=ItemAllocation[[#This Row],[NumberOfWaxCells]]</f>
        <v>1</v>
      </c>
    </row>
    <row r="69" spans="1:7" x14ac:dyDescent="0.2">
      <c r="A69" t="s">
        <v>16</v>
      </c>
      <c r="B69" t="s">
        <v>390</v>
      </c>
      <c r="C69">
        <v>2</v>
      </c>
      <c r="D69">
        <v>1</v>
      </c>
      <c r="E69" t="s">
        <v>91</v>
      </c>
      <c r="F69" t="b">
        <v>0</v>
      </c>
      <c r="G69" t="b">
        <f>ItemAllocation[[#This Row],[MaximumWaxCellAllocation]]&gt;=ItemAllocation[[#This Row],[NumberOfWaxCells]]</f>
        <v>1</v>
      </c>
    </row>
    <row r="70" spans="1:7" x14ac:dyDescent="0.2">
      <c r="A70" t="s">
        <v>16</v>
      </c>
      <c r="B70" t="s">
        <v>732</v>
      </c>
      <c r="C70">
        <v>9</v>
      </c>
      <c r="D70">
        <v>9</v>
      </c>
      <c r="E70" t="s">
        <v>11097</v>
      </c>
      <c r="F70" t="b">
        <v>0</v>
      </c>
      <c r="G70" t="b">
        <f>ItemAllocation[[#This Row],[MaximumWaxCellAllocation]]&gt;=ItemAllocation[[#This Row],[NumberOfWaxCells]]</f>
        <v>1</v>
      </c>
    </row>
    <row r="71" spans="1:7" x14ac:dyDescent="0.2">
      <c r="A71" t="s">
        <v>16</v>
      </c>
      <c r="B71" t="s">
        <v>1495</v>
      </c>
      <c r="C71">
        <v>3</v>
      </c>
      <c r="D71">
        <v>2</v>
      </c>
      <c r="E71" t="s">
        <v>11098</v>
      </c>
      <c r="F71" t="b">
        <v>0</v>
      </c>
      <c r="G71" t="b">
        <f>ItemAllocation[[#This Row],[MaximumWaxCellAllocation]]&gt;=ItemAllocation[[#This Row],[NumberOfWaxCells]]</f>
        <v>1</v>
      </c>
    </row>
    <row r="72" spans="1:7" x14ac:dyDescent="0.2">
      <c r="A72" t="s">
        <v>16</v>
      </c>
      <c r="B72" t="s">
        <v>373</v>
      </c>
      <c r="C72">
        <v>3</v>
      </c>
      <c r="D72">
        <v>3</v>
      </c>
      <c r="E72" t="s">
        <v>11099</v>
      </c>
      <c r="F72" t="b">
        <v>0</v>
      </c>
      <c r="G72" t="b">
        <f>ItemAllocation[[#This Row],[MaximumWaxCellAllocation]]&gt;=ItemAllocation[[#This Row],[NumberOfWaxCells]]</f>
        <v>1</v>
      </c>
    </row>
    <row r="73" spans="1:7" x14ac:dyDescent="0.2">
      <c r="A73" t="s">
        <v>16</v>
      </c>
      <c r="B73" t="s">
        <v>5920</v>
      </c>
      <c r="C73">
        <v>2</v>
      </c>
      <c r="D73">
        <v>2</v>
      </c>
      <c r="E73" t="s">
        <v>11067</v>
      </c>
      <c r="F73" t="b">
        <v>0</v>
      </c>
      <c r="G73" t="b">
        <f>ItemAllocation[[#This Row],[MaximumWaxCellAllocation]]&gt;=ItemAllocation[[#This Row],[NumberOfWaxCells]]</f>
        <v>1</v>
      </c>
    </row>
    <row r="74" spans="1:7" x14ac:dyDescent="0.2">
      <c r="A74" t="s">
        <v>16</v>
      </c>
      <c r="B74" t="s">
        <v>686</v>
      </c>
      <c r="C74">
        <v>17</v>
      </c>
      <c r="D74">
        <v>2</v>
      </c>
      <c r="E74" t="s">
        <v>11100</v>
      </c>
      <c r="F74" t="b">
        <v>0</v>
      </c>
      <c r="G74" t="b">
        <f>ItemAllocation[[#This Row],[MaximumWaxCellAllocation]]&gt;=ItemAllocation[[#This Row],[NumberOfWaxCells]]</f>
        <v>1</v>
      </c>
    </row>
    <row r="75" spans="1:7" x14ac:dyDescent="0.2">
      <c r="A75" t="s">
        <v>16</v>
      </c>
      <c r="B75" t="s">
        <v>688</v>
      </c>
      <c r="C75">
        <v>11</v>
      </c>
      <c r="D75">
        <v>3</v>
      </c>
      <c r="E75" t="s">
        <v>11054</v>
      </c>
      <c r="F75" t="b">
        <v>0</v>
      </c>
      <c r="G75" t="b">
        <f>ItemAllocation[[#This Row],[MaximumWaxCellAllocation]]&gt;=ItemAllocation[[#This Row],[NumberOfWaxCells]]</f>
        <v>1</v>
      </c>
    </row>
    <row r="76" spans="1:7" x14ac:dyDescent="0.2">
      <c r="A76" t="s">
        <v>16</v>
      </c>
      <c r="B76" t="s">
        <v>5209</v>
      </c>
      <c r="C76">
        <v>2</v>
      </c>
      <c r="D76">
        <v>1</v>
      </c>
      <c r="E76" t="s">
        <v>91</v>
      </c>
      <c r="F76" t="b">
        <v>0</v>
      </c>
      <c r="G76" t="b">
        <f>ItemAllocation[[#This Row],[MaximumWaxCellAllocation]]&gt;=ItemAllocation[[#This Row],[NumberOfWaxCells]]</f>
        <v>1</v>
      </c>
    </row>
    <row r="77" spans="1:7" x14ac:dyDescent="0.2">
      <c r="A77" t="s">
        <v>16</v>
      </c>
      <c r="B77" t="s">
        <v>2816</v>
      </c>
      <c r="C77">
        <v>5</v>
      </c>
      <c r="D77">
        <v>1</v>
      </c>
      <c r="E77" t="s">
        <v>105</v>
      </c>
      <c r="F77" t="b">
        <v>0</v>
      </c>
      <c r="G77" t="b">
        <f>ItemAllocation[[#This Row],[MaximumWaxCellAllocation]]&gt;=ItemAllocation[[#This Row],[NumberOfWaxCells]]</f>
        <v>1</v>
      </c>
    </row>
    <row r="78" spans="1:7" x14ac:dyDescent="0.2">
      <c r="A78" t="s">
        <v>16</v>
      </c>
      <c r="B78" t="s">
        <v>713</v>
      </c>
      <c r="C78">
        <v>2</v>
      </c>
      <c r="D78">
        <v>2</v>
      </c>
      <c r="E78" t="s">
        <v>11101</v>
      </c>
      <c r="F78" t="b">
        <v>0</v>
      </c>
      <c r="G78" t="b">
        <f>ItemAllocation[[#This Row],[MaximumWaxCellAllocation]]&gt;=ItemAllocation[[#This Row],[NumberOfWaxCells]]</f>
        <v>1</v>
      </c>
    </row>
    <row r="79" spans="1:7" x14ac:dyDescent="0.2">
      <c r="A79" t="s">
        <v>16</v>
      </c>
      <c r="B79" t="s">
        <v>767</v>
      </c>
      <c r="C79">
        <v>1</v>
      </c>
      <c r="D79">
        <v>1</v>
      </c>
      <c r="E79" t="s">
        <v>91</v>
      </c>
      <c r="F79" t="b">
        <v>0</v>
      </c>
      <c r="G79" t="b">
        <f>ItemAllocation[[#This Row],[MaximumWaxCellAllocation]]&gt;=ItemAllocation[[#This Row],[NumberOfWaxCells]]</f>
        <v>1</v>
      </c>
    </row>
    <row r="80" spans="1:7" x14ac:dyDescent="0.2">
      <c r="A80" t="s">
        <v>16</v>
      </c>
      <c r="B80" t="s">
        <v>439</v>
      </c>
      <c r="C80">
        <v>3</v>
      </c>
      <c r="D80">
        <v>3</v>
      </c>
      <c r="E80" t="s">
        <v>11102</v>
      </c>
      <c r="F80" t="b">
        <v>0</v>
      </c>
      <c r="G80" t="b">
        <f>ItemAllocation[[#This Row],[MaximumWaxCellAllocation]]&gt;=ItemAllocation[[#This Row],[NumberOfWaxCells]]</f>
        <v>1</v>
      </c>
    </row>
    <row r="81" spans="1:7" x14ac:dyDescent="0.2">
      <c r="A81" t="s">
        <v>16</v>
      </c>
      <c r="B81" t="s">
        <v>714</v>
      </c>
      <c r="C81">
        <v>9</v>
      </c>
      <c r="D81">
        <v>9</v>
      </c>
      <c r="E81" t="s">
        <v>11103</v>
      </c>
      <c r="F81" t="b">
        <v>0</v>
      </c>
      <c r="G81" t="b">
        <f>ItemAllocation[[#This Row],[MaximumWaxCellAllocation]]&gt;=ItemAllocation[[#This Row],[NumberOfWaxCells]]</f>
        <v>1</v>
      </c>
    </row>
    <row r="82" spans="1:7" x14ac:dyDescent="0.2">
      <c r="A82" t="s">
        <v>16</v>
      </c>
      <c r="B82" t="s">
        <v>1023</v>
      </c>
      <c r="C82">
        <v>9</v>
      </c>
      <c r="D82">
        <v>9</v>
      </c>
      <c r="E82" t="s">
        <v>11104</v>
      </c>
      <c r="F82" t="b">
        <v>0</v>
      </c>
      <c r="G82" t="b">
        <f>ItemAllocation[[#This Row],[MaximumWaxCellAllocation]]&gt;=ItemAllocation[[#This Row],[NumberOfWaxCells]]</f>
        <v>1</v>
      </c>
    </row>
    <row r="83" spans="1:7" x14ac:dyDescent="0.2">
      <c r="A83" t="s">
        <v>16</v>
      </c>
      <c r="B83" t="s">
        <v>707</v>
      </c>
      <c r="C83">
        <v>9</v>
      </c>
      <c r="D83">
        <v>9</v>
      </c>
      <c r="E83" t="s">
        <v>11105</v>
      </c>
      <c r="F83" t="b">
        <v>0</v>
      </c>
      <c r="G83" t="b">
        <f>ItemAllocation[[#This Row],[MaximumWaxCellAllocation]]&gt;=ItemAllocation[[#This Row],[NumberOfWaxCells]]</f>
        <v>1</v>
      </c>
    </row>
    <row r="84" spans="1:7" x14ac:dyDescent="0.2">
      <c r="A84" t="s">
        <v>16</v>
      </c>
      <c r="B84" t="s">
        <v>693</v>
      </c>
      <c r="C84">
        <v>8</v>
      </c>
      <c r="D84">
        <v>8</v>
      </c>
      <c r="E84" t="s">
        <v>11106</v>
      </c>
      <c r="F84" t="b">
        <v>0</v>
      </c>
      <c r="G84" t="b">
        <f>ItemAllocation[[#This Row],[MaximumWaxCellAllocation]]&gt;=ItemAllocation[[#This Row],[NumberOfWaxCells]]</f>
        <v>1</v>
      </c>
    </row>
    <row r="85" spans="1:7" x14ac:dyDescent="0.2">
      <c r="A85" t="s">
        <v>16</v>
      </c>
      <c r="B85" t="s">
        <v>970</v>
      </c>
      <c r="C85">
        <v>8</v>
      </c>
      <c r="D85">
        <v>8</v>
      </c>
      <c r="E85" t="s">
        <v>11107</v>
      </c>
      <c r="F85" t="b">
        <v>0</v>
      </c>
      <c r="G85" t="b">
        <f>ItemAllocation[[#This Row],[MaximumWaxCellAllocation]]&gt;=ItemAllocation[[#This Row],[NumberOfWaxCells]]</f>
        <v>1</v>
      </c>
    </row>
    <row r="86" spans="1:7" x14ac:dyDescent="0.2">
      <c r="A86" t="s">
        <v>16</v>
      </c>
      <c r="B86" t="s">
        <v>694</v>
      </c>
      <c r="C86">
        <v>8</v>
      </c>
      <c r="D86">
        <v>8</v>
      </c>
      <c r="E86" t="s">
        <v>11108</v>
      </c>
      <c r="F86" t="b">
        <v>0</v>
      </c>
      <c r="G86" t="b">
        <f>ItemAllocation[[#This Row],[MaximumWaxCellAllocation]]&gt;=ItemAllocation[[#This Row],[NumberOfWaxCells]]</f>
        <v>1</v>
      </c>
    </row>
    <row r="87" spans="1:7" x14ac:dyDescent="0.2">
      <c r="A87" t="s">
        <v>16</v>
      </c>
      <c r="B87" t="s">
        <v>754</v>
      </c>
      <c r="C87">
        <v>5</v>
      </c>
      <c r="D87">
        <v>2</v>
      </c>
      <c r="E87" t="s">
        <v>11046</v>
      </c>
      <c r="F87" t="b">
        <v>0</v>
      </c>
      <c r="G87" t="b">
        <f>ItemAllocation[[#This Row],[MaximumWaxCellAllocation]]&gt;=ItemAllocation[[#This Row],[NumberOfWaxCells]]</f>
        <v>1</v>
      </c>
    </row>
    <row r="88" spans="1:7" x14ac:dyDescent="0.2">
      <c r="A88" t="s">
        <v>16</v>
      </c>
      <c r="B88" t="s">
        <v>735</v>
      </c>
      <c r="C88">
        <v>4</v>
      </c>
      <c r="D88">
        <v>1</v>
      </c>
      <c r="E88" t="s">
        <v>100</v>
      </c>
      <c r="F88" t="b">
        <v>0</v>
      </c>
      <c r="G88" t="b">
        <f>ItemAllocation[[#This Row],[MaximumWaxCellAllocation]]&gt;=ItemAllocation[[#This Row],[NumberOfWaxCells]]</f>
        <v>1</v>
      </c>
    </row>
    <row r="89" spans="1:7" x14ac:dyDescent="0.2">
      <c r="A89" t="s">
        <v>16</v>
      </c>
      <c r="B89" t="s">
        <v>2283</v>
      </c>
      <c r="C89">
        <v>2</v>
      </c>
      <c r="D89">
        <v>2</v>
      </c>
      <c r="E89" t="s">
        <v>11109</v>
      </c>
      <c r="F89" t="b">
        <v>0</v>
      </c>
      <c r="G89" t="b">
        <f>ItemAllocation[[#This Row],[MaximumWaxCellAllocation]]&gt;=ItemAllocation[[#This Row],[NumberOfWaxCells]]</f>
        <v>1</v>
      </c>
    </row>
    <row r="90" spans="1:7" x14ac:dyDescent="0.2">
      <c r="A90" t="s">
        <v>16</v>
      </c>
      <c r="B90" t="s">
        <v>947</v>
      </c>
      <c r="C90">
        <v>3</v>
      </c>
      <c r="D90">
        <v>1</v>
      </c>
      <c r="E90" t="s">
        <v>89</v>
      </c>
      <c r="F90" t="b">
        <v>0</v>
      </c>
      <c r="G90" t="b">
        <f>ItemAllocation[[#This Row],[MaximumWaxCellAllocation]]&gt;=ItemAllocation[[#This Row],[NumberOfWaxCells]]</f>
        <v>1</v>
      </c>
    </row>
    <row r="91" spans="1:7" x14ac:dyDescent="0.2">
      <c r="A91" t="s">
        <v>16</v>
      </c>
      <c r="B91" t="s">
        <v>959</v>
      </c>
      <c r="C91">
        <v>2</v>
      </c>
      <c r="D91">
        <v>2</v>
      </c>
      <c r="E91" t="s">
        <v>11110</v>
      </c>
      <c r="F91" t="b">
        <v>0</v>
      </c>
      <c r="G91" t="b">
        <f>ItemAllocation[[#This Row],[MaximumWaxCellAllocation]]&gt;=ItemAllocation[[#This Row],[NumberOfWaxCells]]</f>
        <v>1</v>
      </c>
    </row>
    <row r="92" spans="1:7" x14ac:dyDescent="0.2">
      <c r="A92" t="s">
        <v>16</v>
      </c>
      <c r="B92" t="s">
        <v>725</v>
      </c>
      <c r="C92">
        <v>3</v>
      </c>
      <c r="D92">
        <v>1</v>
      </c>
      <c r="E92" t="s">
        <v>97</v>
      </c>
      <c r="F92" t="b">
        <v>0</v>
      </c>
      <c r="G92" t="b">
        <f>ItemAllocation[[#This Row],[MaximumWaxCellAllocation]]&gt;=ItemAllocation[[#This Row],[NumberOfWaxCells]]</f>
        <v>1</v>
      </c>
    </row>
    <row r="93" spans="1:7" x14ac:dyDescent="0.2">
      <c r="A93" t="s">
        <v>16</v>
      </c>
      <c r="B93" t="s">
        <v>5828</v>
      </c>
      <c r="C93">
        <v>9</v>
      </c>
      <c r="D93">
        <v>9</v>
      </c>
      <c r="E93" t="s">
        <v>11111</v>
      </c>
      <c r="F93" t="b">
        <v>0</v>
      </c>
      <c r="G93" t="b">
        <f>ItemAllocation[[#This Row],[MaximumWaxCellAllocation]]&gt;=ItemAllocation[[#This Row],[NumberOfWaxCells]]</f>
        <v>1</v>
      </c>
    </row>
    <row r="94" spans="1:7" x14ac:dyDescent="0.2">
      <c r="A94" t="s">
        <v>16</v>
      </c>
      <c r="B94" t="s">
        <v>5830</v>
      </c>
      <c r="C94">
        <v>7</v>
      </c>
      <c r="D94">
        <v>7</v>
      </c>
      <c r="E94" t="s">
        <v>11112</v>
      </c>
      <c r="F94" t="b">
        <v>0</v>
      </c>
      <c r="G94" t="b">
        <f>ItemAllocation[[#This Row],[MaximumWaxCellAllocation]]&gt;=ItemAllocation[[#This Row],[NumberOfWaxCells]]</f>
        <v>1</v>
      </c>
    </row>
    <row r="95" spans="1:7" x14ac:dyDescent="0.2">
      <c r="A95" t="s">
        <v>16</v>
      </c>
      <c r="B95" t="s">
        <v>775</v>
      </c>
      <c r="C95">
        <v>1</v>
      </c>
      <c r="D95">
        <v>1</v>
      </c>
      <c r="E95" t="s">
        <v>98</v>
      </c>
      <c r="F95" t="b">
        <v>0</v>
      </c>
      <c r="G95" t="b">
        <f>ItemAllocation[[#This Row],[MaximumWaxCellAllocation]]&gt;=ItemAllocation[[#This Row],[NumberOfWaxCells]]</f>
        <v>1</v>
      </c>
    </row>
    <row r="96" spans="1:7" x14ac:dyDescent="0.2">
      <c r="A96" t="s">
        <v>16</v>
      </c>
      <c r="B96" t="s">
        <v>3966</v>
      </c>
      <c r="C96">
        <v>3</v>
      </c>
      <c r="D96">
        <v>2</v>
      </c>
      <c r="E96" t="s">
        <v>11113</v>
      </c>
      <c r="F96" t="b">
        <v>0</v>
      </c>
      <c r="G96" t="b">
        <f>ItemAllocation[[#This Row],[MaximumWaxCellAllocation]]&gt;=ItemAllocation[[#This Row],[NumberOfWaxCells]]</f>
        <v>1</v>
      </c>
    </row>
    <row r="97" spans="1:7" x14ac:dyDescent="0.2">
      <c r="A97" t="s">
        <v>16</v>
      </c>
      <c r="B97" t="s">
        <v>437</v>
      </c>
      <c r="C97">
        <v>2</v>
      </c>
      <c r="D97">
        <v>2</v>
      </c>
      <c r="E97" t="s">
        <v>11064</v>
      </c>
      <c r="F97" t="b">
        <v>0</v>
      </c>
      <c r="G97" t="b">
        <f>ItemAllocation[[#This Row],[MaximumWaxCellAllocation]]&gt;=ItemAllocation[[#This Row],[NumberOfWaxCells]]</f>
        <v>1</v>
      </c>
    </row>
    <row r="98" spans="1:7" x14ac:dyDescent="0.2">
      <c r="A98" t="s">
        <v>16</v>
      </c>
      <c r="B98" t="s">
        <v>313</v>
      </c>
      <c r="C98">
        <v>24</v>
      </c>
      <c r="D98">
        <v>2</v>
      </c>
      <c r="E98" t="s">
        <v>5941</v>
      </c>
      <c r="F98" t="b">
        <v>0</v>
      </c>
      <c r="G98" t="b">
        <f>ItemAllocation[[#This Row],[MaximumWaxCellAllocation]]&gt;=ItemAllocation[[#This Row],[NumberOfWaxCells]]</f>
        <v>1</v>
      </c>
    </row>
    <row r="99" spans="1:7" x14ac:dyDescent="0.2">
      <c r="A99" t="s">
        <v>16</v>
      </c>
      <c r="B99" t="s">
        <v>508</v>
      </c>
      <c r="C99">
        <v>8</v>
      </c>
      <c r="D99">
        <v>3</v>
      </c>
      <c r="E99" t="s">
        <v>11114</v>
      </c>
      <c r="F99" t="b">
        <v>0</v>
      </c>
      <c r="G99" t="b">
        <f>ItemAllocation[[#This Row],[MaximumWaxCellAllocation]]&gt;=ItemAllocation[[#This Row],[NumberOfWaxCells]]</f>
        <v>1</v>
      </c>
    </row>
    <row r="100" spans="1:7" x14ac:dyDescent="0.2">
      <c r="A100" t="s">
        <v>16</v>
      </c>
      <c r="B100" t="s">
        <v>954</v>
      </c>
      <c r="C100">
        <v>4</v>
      </c>
      <c r="D100">
        <v>1</v>
      </c>
      <c r="E100" t="s">
        <v>96</v>
      </c>
      <c r="F100" t="b">
        <v>0</v>
      </c>
      <c r="G100" t="b">
        <f>ItemAllocation[[#This Row],[MaximumWaxCellAllocation]]&gt;=ItemAllocation[[#This Row],[NumberOfWaxCells]]</f>
        <v>1</v>
      </c>
    </row>
    <row r="101" spans="1:7" x14ac:dyDescent="0.2">
      <c r="A101" t="s">
        <v>16</v>
      </c>
      <c r="B101" t="s">
        <v>3627</v>
      </c>
      <c r="C101">
        <v>3</v>
      </c>
      <c r="D101">
        <v>3</v>
      </c>
      <c r="E101" t="s">
        <v>11115</v>
      </c>
      <c r="F101" t="b">
        <v>0</v>
      </c>
      <c r="G101" t="b">
        <f>ItemAllocation[[#This Row],[MaximumWaxCellAllocation]]&gt;=ItemAllocation[[#This Row],[NumberOfWaxCells]]</f>
        <v>1</v>
      </c>
    </row>
    <row r="102" spans="1:7" x14ac:dyDescent="0.2">
      <c r="A102" t="s">
        <v>16</v>
      </c>
      <c r="B102" t="s">
        <v>379</v>
      </c>
      <c r="C102">
        <v>4</v>
      </c>
      <c r="D102">
        <v>1</v>
      </c>
      <c r="E102" t="s">
        <v>84</v>
      </c>
      <c r="F102" t="b">
        <v>0</v>
      </c>
      <c r="G102" t="b">
        <f>ItemAllocation[[#This Row],[MaximumWaxCellAllocation]]&gt;=ItemAllocation[[#This Row],[NumberOfWaxCells]]</f>
        <v>1</v>
      </c>
    </row>
    <row r="103" spans="1:7" x14ac:dyDescent="0.2">
      <c r="A103" t="s">
        <v>16</v>
      </c>
      <c r="B103" t="s">
        <v>4667</v>
      </c>
      <c r="C103">
        <v>6</v>
      </c>
      <c r="D103">
        <v>1</v>
      </c>
      <c r="E103" t="s">
        <v>96</v>
      </c>
      <c r="F103" t="b">
        <v>0</v>
      </c>
      <c r="G103" t="b">
        <f>ItemAllocation[[#This Row],[MaximumWaxCellAllocation]]&gt;=ItemAllocation[[#This Row],[NumberOfWaxCells]]</f>
        <v>1</v>
      </c>
    </row>
    <row r="104" spans="1:7" x14ac:dyDescent="0.2">
      <c r="A104" t="s">
        <v>16</v>
      </c>
      <c r="B104" t="s">
        <v>4998</v>
      </c>
      <c r="C104">
        <v>2</v>
      </c>
      <c r="D104">
        <v>1</v>
      </c>
      <c r="E104" t="s">
        <v>104</v>
      </c>
      <c r="F104" t="b">
        <v>0</v>
      </c>
      <c r="G104" t="b">
        <f>ItemAllocation[[#This Row],[MaximumWaxCellAllocation]]&gt;=ItemAllocation[[#This Row],[NumberOfWaxCells]]</f>
        <v>1</v>
      </c>
    </row>
    <row r="105" spans="1:7" x14ac:dyDescent="0.2">
      <c r="A105" t="s">
        <v>16</v>
      </c>
      <c r="B105" t="s">
        <v>4381</v>
      </c>
      <c r="C105">
        <v>6</v>
      </c>
      <c r="D105">
        <v>4</v>
      </c>
      <c r="E105" t="s">
        <v>11116</v>
      </c>
      <c r="F105" t="b">
        <v>0</v>
      </c>
      <c r="G105" t="b">
        <f>ItemAllocation[[#This Row],[MaximumWaxCellAllocation]]&gt;=ItemAllocation[[#This Row],[NumberOfWaxCells]]</f>
        <v>1</v>
      </c>
    </row>
    <row r="106" spans="1:7" x14ac:dyDescent="0.2">
      <c r="A106" t="s">
        <v>16</v>
      </c>
      <c r="B106" t="s">
        <v>5166</v>
      </c>
      <c r="C106">
        <v>2</v>
      </c>
      <c r="D106">
        <v>1</v>
      </c>
      <c r="E106" t="s">
        <v>99</v>
      </c>
      <c r="F106" t="b">
        <v>0</v>
      </c>
      <c r="G106" t="b">
        <f>ItemAllocation[[#This Row],[MaximumWaxCellAllocation]]&gt;=ItemAllocation[[#This Row],[NumberOfWaxCells]]</f>
        <v>1</v>
      </c>
    </row>
    <row r="107" spans="1:7" x14ac:dyDescent="0.2">
      <c r="A107" t="s">
        <v>16</v>
      </c>
      <c r="B107" t="s">
        <v>270</v>
      </c>
      <c r="C107">
        <v>2</v>
      </c>
      <c r="D107">
        <v>1</v>
      </c>
      <c r="E107" t="s">
        <v>100</v>
      </c>
      <c r="F107" t="b">
        <v>0</v>
      </c>
      <c r="G107" t="b">
        <f>ItemAllocation[[#This Row],[MaximumWaxCellAllocation]]&gt;=ItemAllocation[[#This Row],[NumberOfWaxCells]]</f>
        <v>1</v>
      </c>
    </row>
    <row r="108" spans="1:7" x14ac:dyDescent="0.2">
      <c r="A108" t="s">
        <v>16</v>
      </c>
      <c r="B108" t="s">
        <v>240</v>
      </c>
      <c r="C108">
        <v>3</v>
      </c>
      <c r="D108">
        <v>3</v>
      </c>
      <c r="E108" t="s">
        <v>11117</v>
      </c>
      <c r="F108" t="b">
        <v>0</v>
      </c>
      <c r="G108" t="b">
        <f>ItemAllocation[[#This Row],[MaximumWaxCellAllocation]]&gt;=ItemAllocation[[#This Row],[NumberOfWaxCells]]</f>
        <v>1</v>
      </c>
    </row>
    <row r="109" spans="1:7" x14ac:dyDescent="0.2">
      <c r="A109" t="s">
        <v>16</v>
      </c>
      <c r="B109" t="s">
        <v>1003</v>
      </c>
      <c r="C109">
        <v>2</v>
      </c>
      <c r="D109">
        <v>2</v>
      </c>
      <c r="E109" t="s">
        <v>5940</v>
      </c>
      <c r="F109" t="b">
        <v>0</v>
      </c>
      <c r="G109" t="b">
        <f>ItemAllocation[[#This Row],[MaximumWaxCellAllocation]]&gt;=ItemAllocation[[#This Row],[NumberOfWaxCells]]</f>
        <v>1</v>
      </c>
    </row>
    <row r="110" spans="1:7" x14ac:dyDescent="0.2">
      <c r="A110" t="s">
        <v>16</v>
      </c>
      <c r="B110" t="s">
        <v>5010</v>
      </c>
      <c r="C110">
        <v>2</v>
      </c>
      <c r="D110">
        <v>1</v>
      </c>
      <c r="E110" t="s">
        <v>97</v>
      </c>
      <c r="F110" t="b">
        <v>0</v>
      </c>
      <c r="G110" t="b">
        <f>ItemAllocation[[#This Row],[MaximumWaxCellAllocation]]&gt;=ItemAllocation[[#This Row],[NumberOfWaxCells]]</f>
        <v>1</v>
      </c>
    </row>
    <row r="111" spans="1:7" x14ac:dyDescent="0.2">
      <c r="A111" t="s">
        <v>16</v>
      </c>
      <c r="B111" t="s">
        <v>5834</v>
      </c>
      <c r="C111">
        <v>3</v>
      </c>
      <c r="D111">
        <v>3</v>
      </c>
      <c r="E111" t="s">
        <v>11050</v>
      </c>
      <c r="F111" t="b">
        <v>0</v>
      </c>
      <c r="G111" t="b">
        <f>ItemAllocation[[#This Row],[MaximumWaxCellAllocation]]&gt;=ItemAllocation[[#This Row],[NumberOfWaxCells]]</f>
        <v>1</v>
      </c>
    </row>
    <row r="112" spans="1:7" x14ac:dyDescent="0.2">
      <c r="A112" t="s">
        <v>16</v>
      </c>
      <c r="B112" t="s">
        <v>1001</v>
      </c>
      <c r="C112">
        <v>4</v>
      </c>
      <c r="D112">
        <v>1</v>
      </c>
      <c r="E112" t="s">
        <v>100</v>
      </c>
      <c r="F112" t="b">
        <v>0</v>
      </c>
      <c r="G112" t="b">
        <f>ItemAllocation[[#This Row],[MaximumWaxCellAllocation]]&gt;=ItemAllocation[[#This Row],[NumberOfWaxCells]]</f>
        <v>1</v>
      </c>
    </row>
    <row r="113" spans="1:7" x14ac:dyDescent="0.2">
      <c r="A113" t="s">
        <v>16</v>
      </c>
      <c r="B113" t="s">
        <v>2500</v>
      </c>
      <c r="C113">
        <v>26</v>
      </c>
      <c r="D113">
        <v>1</v>
      </c>
      <c r="E113" t="s">
        <v>87</v>
      </c>
      <c r="F113" t="b">
        <v>0</v>
      </c>
      <c r="G113" t="b">
        <f>ItemAllocation[[#This Row],[MaximumWaxCellAllocation]]&gt;=ItemAllocation[[#This Row],[NumberOfWaxCells]]</f>
        <v>1</v>
      </c>
    </row>
    <row r="114" spans="1:7" x14ac:dyDescent="0.2">
      <c r="A114" t="s">
        <v>16</v>
      </c>
      <c r="B114" t="s">
        <v>695</v>
      </c>
      <c r="C114">
        <v>2</v>
      </c>
      <c r="D114">
        <v>1</v>
      </c>
      <c r="E114" t="s">
        <v>93</v>
      </c>
      <c r="F114" t="b">
        <v>0</v>
      </c>
      <c r="G114" t="b">
        <f>ItemAllocation[[#This Row],[MaximumWaxCellAllocation]]&gt;=ItemAllocation[[#This Row],[NumberOfWaxCells]]</f>
        <v>1</v>
      </c>
    </row>
    <row r="115" spans="1:7" x14ac:dyDescent="0.2">
      <c r="A115" t="s">
        <v>16</v>
      </c>
      <c r="B115" t="s">
        <v>4443</v>
      </c>
      <c r="C115">
        <v>2</v>
      </c>
      <c r="D115">
        <v>1</v>
      </c>
      <c r="E115" t="s">
        <v>105</v>
      </c>
      <c r="F115" t="b">
        <v>0</v>
      </c>
      <c r="G115" t="b">
        <f>ItemAllocation[[#This Row],[MaximumWaxCellAllocation]]&gt;=ItemAllocation[[#This Row],[NumberOfWaxCells]]</f>
        <v>1</v>
      </c>
    </row>
    <row r="116" spans="1:7" x14ac:dyDescent="0.2">
      <c r="A116" t="s">
        <v>16</v>
      </c>
      <c r="B116" t="s">
        <v>5923</v>
      </c>
      <c r="C116">
        <v>2</v>
      </c>
      <c r="D116">
        <v>1</v>
      </c>
      <c r="E116" t="s">
        <v>100</v>
      </c>
      <c r="F116" t="b">
        <v>0</v>
      </c>
      <c r="G116" t="b">
        <f>ItemAllocation[[#This Row],[MaximumWaxCellAllocation]]&gt;=ItemAllocation[[#This Row],[NumberOfWaxCells]]</f>
        <v>1</v>
      </c>
    </row>
    <row r="117" spans="1:7" x14ac:dyDescent="0.2">
      <c r="A117" t="s">
        <v>16</v>
      </c>
      <c r="B117" t="s">
        <v>5191</v>
      </c>
      <c r="C117">
        <v>2</v>
      </c>
      <c r="D117">
        <v>2</v>
      </c>
      <c r="E117" t="s">
        <v>11055</v>
      </c>
      <c r="F117" t="b">
        <v>0</v>
      </c>
      <c r="G117" t="b">
        <f>ItemAllocation[[#This Row],[MaximumWaxCellAllocation]]&gt;=ItemAllocation[[#This Row],[NumberOfWaxCells]]</f>
        <v>1</v>
      </c>
    </row>
    <row r="118" spans="1:7" x14ac:dyDescent="0.2">
      <c r="A118" t="s">
        <v>16</v>
      </c>
      <c r="B118" t="s">
        <v>5197</v>
      </c>
      <c r="C118">
        <v>2</v>
      </c>
      <c r="D118">
        <v>2</v>
      </c>
      <c r="E118" t="s">
        <v>11118</v>
      </c>
      <c r="F118" t="b">
        <v>0</v>
      </c>
      <c r="G118" t="b">
        <f>ItemAllocation[[#This Row],[MaximumWaxCellAllocation]]&gt;=ItemAllocation[[#This Row],[NumberOfWaxCells]]</f>
        <v>1</v>
      </c>
    </row>
    <row r="119" spans="1:7" x14ac:dyDescent="0.2">
      <c r="A119" t="s">
        <v>16</v>
      </c>
      <c r="B119" t="s">
        <v>5199</v>
      </c>
      <c r="C119">
        <v>2</v>
      </c>
      <c r="D119">
        <v>1</v>
      </c>
      <c r="E119" t="s">
        <v>90</v>
      </c>
      <c r="F119" t="b">
        <v>0</v>
      </c>
      <c r="G119" t="b">
        <f>ItemAllocation[[#This Row],[MaximumWaxCellAllocation]]&gt;=ItemAllocation[[#This Row],[NumberOfWaxCells]]</f>
        <v>1</v>
      </c>
    </row>
    <row r="120" spans="1:7" x14ac:dyDescent="0.2">
      <c r="A120" t="s">
        <v>16</v>
      </c>
      <c r="B120" t="s">
        <v>449</v>
      </c>
      <c r="C120">
        <v>13</v>
      </c>
      <c r="D120">
        <v>1</v>
      </c>
      <c r="E120" t="s">
        <v>93</v>
      </c>
      <c r="F120" t="b">
        <v>0</v>
      </c>
      <c r="G120" t="b">
        <f>ItemAllocation[[#This Row],[MaximumWaxCellAllocation]]&gt;=ItemAllocation[[#This Row],[NumberOfWaxCells]]</f>
        <v>1</v>
      </c>
    </row>
    <row r="121" spans="1:7" x14ac:dyDescent="0.2">
      <c r="A121" t="s">
        <v>16</v>
      </c>
      <c r="B121" t="s">
        <v>333</v>
      </c>
      <c r="C121">
        <v>3</v>
      </c>
      <c r="D121">
        <v>1</v>
      </c>
      <c r="E121" t="s">
        <v>84</v>
      </c>
      <c r="F121" t="b">
        <v>0</v>
      </c>
      <c r="G121" t="b">
        <f>ItemAllocation[[#This Row],[MaximumWaxCellAllocation]]&gt;=ItemAllocation[[#This Row],[NumberOfWaxCells]]</f>
        <v>1</v>
      </c>
    </row>
    <row r="122" spans="1:7" x14ac:dyDescent="0.2">
      <c r="A122" t="s">
        <v>16</v>
      </c>
      <c r="B122" t="s">
        <v>332</v>
      </c>
      <c r="C122">
        <v>3</v>
      </c>
      <c r="D122">
        <v>1</v>
      </c>
      <c r="E122" t="s">
        <v>97</v>
      </c>
      <c r="F122" t="b">
        <v>0</v>
      </c>
      <c r="G122" t="b">
        <f>ItemAllocation[[#This Row],[MaximumWaxCellAllocation]]&gt;=ItemAllocation[[#This Row],[NumberOfWaxCells]]</f>
        <v>1</v>
      </c>
    </row>
    <row r="123" spans="1:7" x14ac:dyDescent="0.2">
      <c r="A123" t="s">
        <v>16</v>
      </c>
      <c r="B123" t="s">
        <v>451</v>
      </c>
      <c r="C123">
        <v>1</v>
      </c>
      <c r="D123">
        <v>1</v>
      </c>
      <c r="E123" t="s">
        <v>91</v>
      </c>
      <c r="F123" t="b">
        <v>0</v>
      </c>
      <c r="G123" t="b">
        <f>ItemAllocation[[#This Row],[MaximumWaxCellAllocation]]&gt;=ItemAllocation[[#This Row],[NumberOfWaxCells]]</f>
        <v>1</v>
      </c>
    </row>
    <row r="124" spans="1:7" x14ac:dyDescent="0.2">
      <c r="A124" t="s">
        <v>16</v>
      </c>
      <c r="B124" t="s">
        <v>463</v>
      </c>
      <c r="C124">
        <v>2</v>
      </c>
      <c r="D124">
        <v>2</v>
      </c>
      <c r="E124" t="s">
        <v>11119</v>
      </c>
      <c r="F124" t="b">
        <v>0</v>
      </c>
      <c r="G124" t="b">
        <f>ItemAllocation[[#This Row],[MaximumWaxCellAllocation]]&gt;=ItemAllocation[[#This Row],[NumberOfWaxCells]]</f>
        <v>1</v>
      </c>
    </row>
    <row r="125" spans="1:7" x14ac:dyDescent="0.2">
      <c r="A125" t="s">
        <v>16</v>
      </c>
      <c r="B125" t="s">
        <v>4054</v>
      </c>
      <c r="C125">
        <v>3</v>
      </c>
      <c r="D125">
        <v>3</v>
      </c>
      <c r="E125" t="s">
        <v>11120</v>
      </c>
      <c r="F125" t="b">
        <v>0</v>
      </c>
      <c r="G125" t="b">
        <f>ItemAllocation[[#This Row],[MaximumWaxCellAllocation]]&gt;=ItemAllocation[[#This Row],[NumberOfWaxCells]]</f>
        <v>1</v>
      </c>
    </row>
    <row r="126" spans="1:7" x14ac:dyDescent="0.2">
      <c r="A126" t="s">
        <v>16</v>
      </c>
      <c r="B126" t="s">
        <v>939</v>
      </c>
      <c r="C126">
        <v>4</v>
      </c>
      <c r="D126">
        <v>4</v>
      </c>
      <c r="E126" t="s">
        <v>11121</v>
      </c>
      <c r="F126" t="b">
        <v>0</v>
      </c>
      <c r="G126" t="b">
        <f>ItemAllocation[[#This Row],[MaximumWaxCellAllocation]]&gt;=ItemAllocation[[#This Row],[NumberOfWaxCells]]</f>
        <v>1</v>
      </c>
    </row>
    <row r="127" spans="1:7" x14ac:dyDescent="0.2">
      <c r="A127" t="s">
        <v>16</v>
      </c>
      <c r="B127" t="s">
        <v>965</v>
      </c>
      <c r="C127">
        <v>6</v>
      </c>
      <c r="D127">
        <v>6</v>
      </c>
      <c r="E127" t="s">
        <v>11122</v>
      </c>
      <c r="F127" t="b">
        <v>0</v>
      </c>
      <c r="G127" t="b">
        <f>ItemAllocation[[#This Row],[MaximumWaxCellAllocation]]&gt;=ItemAllocation[[#This Row],[NumberOfWaxCells]]</f>
        <v>1</v>
      </c>
    </row>
    <row r="128" spans="1:7" x14ac:dyDescent="0.2">
      <c r="A128" t="s">
        <v>16</v>
      </c>
      <c r="B128" t="s">
        <v>4619</v>
      </c>
      <c r="C128">
        <v>1</v>
      </c>
      <c r="D128">
        <v>1</v>
      </c>
      <c r="E128" t="s">
        <v>90</v>
      </c>
      <c r="F128" t="b">
        <v>0</v>
      </c>
      <c r="G128" t="b">
        <f>ItemAllocation[[#This Row],[MaximumWaxCellAllocation]]&gt;=ItemAllocation[[#This Row],[NumberOfWaxCells]]</f>
        <v>1</v>
      </c>
    </row>
    <row r="129" spans="1:7" x14ac:dyDescent="0.2">
      <c r="A129" t="s">
        <v>16</v>
      </c>
      <c r="B129" t="s">
        <v>5090</v>
      </c>
      <c r="C129">
        <v>2</v>
      </c>
      <c r="D129">
        <v>1</v>
      </c>
      <c r="E129" t="s">
        <v>91</v>
      </c>
      <c r="F129" t="b">
        <v>0</v>
      </c>
      <c r="G129" t="b">
        <f>ItemAllocation[[#This Row],[MaximumWaxCellAllocation]]&gt;=ItemAllocation[[#This Row],[NumberOfWaxCells]]</f>
        <v>1</v>
      </c>
    </row>
    <row r="130" spans="1:7" x14ac:dyDescent="0.2">
      <c r="A130" t="s">
        <v>16</v>
      </c>
      <c r="B130" t="s">
        <v>6029</v>
      </c>
      <c r="C130">
        <v>6</v>
      </c>
      <c r="D130">
        <v>3</v>
      </c>
      <c r="E130" t="s">
        <v>11123</v>
      </c>
      <c r="F130" t="b">
        <v>0</v>
      </c>
      <c r="G130" t="b">
        <f>ItemAllocation[[#This Row],[MaximumWaxCellAllocation]]&gt;=ItemAllocation[[#This Row],[NumberOfWaxCells]]</f>
        <v>1</v>
      </c>
    </row>
    <row r="131" spans="1:7" x14ac:dyDescent="0.2">
      <c r="A131" t="s">
        <v>16</v>
      </c>
      <c r="B131" t="s">
        <v>6018</v>
      </c>
      <c r="C131">
        <v>8</v>
      </c>
      <c r="D131">
        <v>3</v>
      </c>
      <c r="E131" t="s">
        <v>11124</v>
      </c>
      <c r="F131" t="b">
        <v>0</v>
      </c>
      <c r="G131" t="b">
        <f>ItemAllocation[[#This Row],[MaximumWaxCellAllocation]]&gt;=ItemAllocation[[#This Row],[NumberOfWaxCells]]</f>
        <v>1</v>
      </c>
    </row>
    <row r="132" spans="1:7" x14ac:dyDescent="0.2">
      <c r="A132" t="s">
        <v>16</v>
      </c>
      <c r="B132" t="s">
        <v>287</v>
      </c>
      <c r="C132">
        <v>6</v>
      </c>
      <c r="D132">
        <v>2</v>
      </c>
      <c r="E132" t="s">
        <v>11125</v>
      </c>
      <c r="F132" t="b">
        <v>0</v>
      </c>
      <c r="G132" t="b">
        <f>ItemAllocation[[#This Row],[MaximumWaxCellAllocation]]&gt;=ItemAllocation[[#This Row],[NumberOfWaxCells]]</f>
        <v>1</v>
      </c>
    </row>
    <row r="133" spans="1:7" x14ac:dyDescent="0.2">
      <c r="A133" t="s">
        <v>16</v>
      </c>
      <c r="B133" t="s">
        <v>414</v>
      </c>
      <c r="C133">
        <v>8</v>
      </c>
      <c r="D133">
        <v>2</v>
      </c>
      <c r="E133" t="s">
        <v>11126</v>
      </c>
      <c r="F133" t="b">
        <v>0</v>
      </c>
      <c r="G133" t="b">
        <f>ItemAllocation[[#This Row],[MaximumWaxCellAllocation]]&gt;=ItemAllocation[[#This Row],[NumberOfWaxCells]]</f>
        <v>1</v>
      </c>
    </row>
    <row r="134" spans="1:7" x14ac:dyDescent="0.2">
      <c r="A134" t="s">
        <v>16</v>
      </c>
      <c r="B134" t="s">
        <v>218</v>
      </c>
      <c r="C134">
        <v>7</v>
      </c>
      <c r="D134">
        <v>2</v>
      </c>
      <c r="E134" t="s">
        <v>11127</v>
      </c>
      <c r="F134" t="b">
        <v>0</v>
      </c>
      <c r="G134" t="b">
        <f>ItemAllocation[[#This Row],[MaximumWaxCellAllocation]]&gt;=ItemAllocation[[#This Row],[NumberOfWaxCells]]</f>
        <v>1</v>
      </c>
    </row>
    <row r="135" spans="1:7" x14ac:dyDescent="0.2">
      <c r="A135" t="s">
        <v>16</v>
      </c>
      <c r="B135" t="s">
        <v>303</v>
      </c>
      <c r="C135">
        <v>2</v>
      </c>
      <c r="D135">
        <v>1</v>
      </c>
      <c r="E135" t="s">
        <v>91</v>
      </c>
      <c r="F135" t="b">
        <v>0</v>
      </c>
      <c r="G135" t="b">
        <f>ItemAllocation[[#This Row],[MaximumWaxCellAllocation]]&gt;=ItemAllocation[[#This Row],[NumberOfWaxCells]]</f>
        <v>1</v>
      </c>
    </row>
    <row r="136" spans="1:7" x14ac:dyDescent="0.2">
      <c r="A136" t="s">
        <v>16</v>
      </c>
      <c r="B136" t="s">
        <v>522</v>
      </c>
      <c r="C136">
        <v>4</v>
      </c>
      <c r="D136">
        <v>3</v>
      </c>
      <c r="E136" t="s">
        <v>11128</v>
      </c>
      <c r="F136" t="b">
        <v>0</v>
      </c>
      <c r="G136" t="b">
        <f>ItemAllocation[[#This Row],[MaximumWaxCellAllocation]]&gt;=ItemAllocation[[#This Row],[NumberOfWaxCells]]</f>
        <v>1</v>
      </c>
    </row>
    <row r="137" spans="1:7" x14ac:dyDescent="0.2">
      <c r="A137" t="s">
        <v>16</v>
      </c>
      <c r="B137" t="s">
        <v>520</v>
      </c>
      <c r="C137">
        <v>4</v>
      </c>
      <c r="D137">
        <v>4</v>
      </c>
      <c r="E137" t="s">
        <v>11129</v>
      </c>
      <c r="F137" t="b">
        <v>0</v>
      </c>
      <c r="G137" t="b">
        <f>ItemAllocation[[#This Row],[MaximumWaxCellAllocation]]&gt;=ItemAllocation[[#This Row],[NumberOfWaxCells]]</f>
        <v>1</v>
      </c>
    </row>
    <row r="138" spans="1:7" x14ac:dyDescent="0.2">
      <c r="A138" t="s">
        <v>16</v>
      </c>
      <c r="B138" t="s">
        <v>5170</v>
      </c>
      <c r="C138">
        <v>1</v>
      </c>
      <c r="D138">
        <v>1</v>
      </c>
      <c r="E138" t="s">
        <v>97</v>
      </c>
      <c r="F138" t="b">
        <v>0</v>
      </c>
      <c r="G138" t="b">
        <f>ItemAllocation[[#This Row],[MaximumWaxCellAllocation]]&gt;=ItemAllocation[[#This Row],[NumberOfWaxCells]]</f>
        <v>1</v>
      </c>
    </row>
    <row r="139" spans="1:7" x14ac:dyDescent="0.2">
      <c r="A139" t="s">
        <v>16</v>
      </c>
      <c r="B139" t="s">
        <v>5172</v>
      </c>
      <c r="C139">
        <v>1</v>
      </c>
      <c r="D139">
        <v>1</v>
      </c>
      <c r="E139" t="s">
        <v>96</v>
      </c>
      <c r="F139" t="b">
        <v>0</v>
      </c>
      <c r="G139" t="b">
        <f>ItemAllocation[[#This Row],[MaximumWaxCellAllocation]]&gt;=ItemAllocation[[#This Row],[NumberOfWaxCells]]</f>
        <v>1</v>
      </c>
    </row>
    <row r="140" spans="1:7" x14ac:dyDescent="0.2">
      <c r="A140" t="s">
        <v>16</v>
      </c>
      <c r="B140" t="s">
        <v>2501</v>
      </c>
      <c r="C140">
        <v>18</v>
      </c>
      <c r="D140">
        <v>1</v>
      </c>
      <c r="E140" t="s">
        <v>95</v>
      </c>
      <c r="F140" t="b">
        <v>0</v>
      </c>
      <c r="G140" t="b">
        <f>ItemAllocation[[#This Row],[MaximumWaxCellAllocation]]&gt;=ItemAllocation[[#This Row],[NumberOfWaxCells]]</f>
        <v>1</v>
      </c>
    </row>
    <row r="141" spans="1:7" x14ac:dyDescent="0.2">
      <c r="A141" t="s">
        <v>16</v>
      </c>
      <c r="B141" t="s">
        <v>238</v>
      </c>
      <c r="C141">
        <v>1</v>
      </c>
      <c r="D141">
        <v>1</v>
      </c>
      <c r="E141" t="s">
        <v>97</v>
      </c>
      <c r="F141" t="b">
        <v>0</v>
      </c>
      <c r="G141" t="b">
        <f>ItemAllocation[[#This Row],[MaximumWaxCellAllocation]]&gt;=ItemAllocation[[#This Row],[NumberOfWaxCells]]</f>
        <v>1</v>
      </c>
    </row>
    <row r="142" spans="1:7" x14ac:dyDescent="0.2">
      <c r="A142" t="s">
        <v>16</v>
      </c>
      <c r="B142" t="s">
        <v>243</v>
      </c>
      <c r="C142">
        <v>2</v>
      </c>
      <c r="D142">
        <v>2</v>
      </c>
      <c r="E142" t="s">
        <v>11048</v>
      </c>
      <c r="F142" t="b">
        <v>0</v>
      </c>
      <c r="G142" t="b">
        <f>ItemAllocation[[#This Row],[MaximumWaxCellAllocation]]&gt;=ItemAllocation[[#This Row],[NumberOfWaxCells]]</f>
        <v>1</v>
      </c>
    </row>
    <row r="143" spans="1:7" x14ac:dyDescent="0.2">
      <c r="A143" t="s">
        <v>16</v>
      </c>
      <c r="B143" t="s">
        <v>253</v>
      </c>
      <c r="C143">
        <v>2</v>
      </c>
      <c r="D143">
        <v>2</v>
      </c>
      <c r="E143" t="s">
        <v>11130</v>
      </c>
      <c r="F143" t="b">
        <v>0</v>
      </c>
      <c r="G143" t="b">
        <f>ItemAllocation[[#This Row],[MaximumWaxCellAllocation]]&gt;=ItemAllocation[[#This Row],[NumberOfWaxCells]]</f>
        <v>1</v>
      </c>
    </row>
    <row r="144" spans="1:7" x14ac:dyDescent="0.2">
      <c r="A144" t="s">
        <v>16</v>
      </c>
      <c r="B144" t="s">
        <v>523</v>
      </c>
      <c r="C144">
        <v>2</v>
      </c>
      <c r="D144">
        <v>2</v>
      </c>
      <c r="E144" t="s">
        <v>11131</v>
      </c>
      <c r="F144" t="b">
        <v>0</v>
      </c>
      <c r="G144" t="b">
        <f>ItemAllocation[[#This Row],[MaximumWaxCellAllocation]]&gt;=ItemAllocation[[#This Row],[NumberOfWaxCells]]</f>
        <v>1</v>
      </c>
    </row>
    <row r="145" spans="1:7" x14ac:dyDescent="0.2">
      <c r="A145" t="s">
        <v>16</v>
      </c>
      <c r="B145" t="s">
        <v>5054</v>
      </c>
      <c r="C145">
        <v>2</v>
      </c>
      <c r="D145">
        <v>1</v>
      </c>
      <c r="E145" t="s">
        <v>99</v>
      </c>
      <c r="F145" t="b">
        <v>0</v>
      </c>
      <c r="G145" t="b">
        <f>ItemAllocation[[#This Row],[MaximumWaxCellAllocation]]&gt;=ItemAllocation[[#This Row],[NumberOfWaxCells]]</f>
        <v>1</v>
      </c>
    </row>
    <row r="146" spans="1:7" x14ac:dyDescent="0.2">
      <c r="A146" t="s">
        <v>16</v>
      </c>
      <c r="B146" t="s">
        <v>5195</v>
      </c>
      <c r="C146">
        <v>2</v>
      </c>
      <c r="D146">
        <v>1</v>
      </c>
      <c r="E146" t="s">
        <v>96</v>
      </c>
      <c r="F146" t="b">
        <v>0</v>
      </c>
      <c r="G146" t="b">
        <f>ItemAllocation[[#This Row],[MaximumWaxCellAllocation]]&gt;=ItemAllocation[[#This Row],[NumberOfWaxCells]]</f>
        <v>1</v>
      </c>
    </row>
    <row r="147" spans="1:7" x14ac:dyDescent="0.2">
      <c r="A147" t="s">
        <v>16</v>
      </c>
      <c r="B147" t="s">
        <v>296</v>
      </c>
      <c r="C147">
        <v>3</v>
      </c>
      <c r="D147">
        <v>1</v>
      </c>
      <c r="E147" t="s">
        <v>99</v>
      </c>
      <c r="F147" t="b">
        <v>0</v>
      </c>
      <c r="G147" t="b">
        <f>ItemAllocation[[#This Row],[MaximumWaxCellAllocation]]&gt;=ItemAllocation[[#This Row],[NumberOfWaxCells]]</f>
        <v>1</v>
      </c>
    </row>
    <row r="148" spans="1:7" x14ac:dyDescent="0.2">
      <c r="A148" t="s">
        <v>16</v>
      </c>
      <c r="B148" t="s">
        <v>5127</v>
      </c>
      <c r="C148">
        <v>4</v>
      </c>
      <c r="D148">
        <v>1</v>
      </c>
      <c r="E148" t="s">
        <v>104</v>
      </c>
      <c r="F148" t="b">
        <v>0</v>
      </c>
      <c r="G148" t="b">
        <f>ItemAllocation[[#This Row],[MaximumWaxCellAllocation]]&gt;=ItemAllocation[[#This Row],[NumberOfWaxCells]]</f>
        <v>1</v>
      </c>
    </row>
    <row r="149" spans="1:7" x14ac:dyDescent="0.2">
      <c r="A149" t="s">
        <v>16</v>
      </c>
      <c r="B149" t="s">
        <v>6013</v>
      </c>
      <c r="C149">
        <v>9</v>
      </c>
      <c r="D149">
        <v>2</v>
      </c>
      <c r="E149" t="s">
        <v>11132</v>
      </c>
      <c r="F149" t="b">
        <v>0</v>
      </c>
      <c r="G149" t="b">
        <f>ItemAllocation[[#This Row],[MaximumWaxCellAllocation]]&gt;=ItemAllocation[[#This Row],[NumberOfWaxCells]]</f>
        <v>1</v>
      </c>
    </row>
    <row r="150" spans="1:7" x14ac:dyDescent="0.2">
      <c r="A150" t="s">
        <v>16</v>
      </c>
      <c r="B150" t="s">
        <v>269</v>
      </c>
      <c r="C150">
        <v>2</v>
      </c>
      <c r="D150">
        <v>2</v>
      </c>
      <c r="E150" t="s">
        <v>11133</v>
      </c>
      <c r="F150" t="b">
        <v>0</v>
      </c>
      <c r="G150" t="b">
        <f>ItemAllocation[[#This Row],[MaximumWaxCellAllocation]]&gt;=ItemAllocation[[#This Row],[NumberOfWaxCells]]</f>
        <v>1</v>
      </c>
    </row>
    <row r="151" spans="1:7" x14ac:dyDescent="0.2">
      <c r="A151" t="s">
        <v>16</v>
      </c>
      <c r="B151" t="s">
        <v>500</v>
      </c>
      <c r="C151">
        <v>4</v>
      </c>
      <c r="D151">
        <v>1</v>
      </c>
      <c r="E151" t="s">
        <v>99</v>
      </c>
      <c r="F151" t="b">
        <v>0</v>
      </c>
      <c r="G151" t="b">
        <f>ItemAllocation[[#This Row],[MaximumWaxCellAllocation]]&gt;=ItemAllocation[[#This Row],[NumberOfWaxCells]]</f>
        <v>1</v>
      </c>
    </row>
    <row r="152" spans="1:7" x14ac:dyDescent="0.2">
      <c r="A152" t="s">
        <v>16</v>
      </c>
      <c r="B152" t="s">
        <v>746</v>
      </c>
      <c r="C152">
        <v>3</v>
      </c>
      <c r="D152">
        <v>1</v>
      </c>
      <c r="E152" t="s">
        <v>90</v>
      </c>
      <c r="F152" t="b">
        <v>0</v>
      </c>
      <c r="G152" t="b">
        <f>ItemAllocation[[#This Row],[MaximumWaxCellAllocation]]&gt;=ItemAllocation[[#This Row],[NumberOfWaxCells]]</f>
        <v>1</v>
      </c>
    </row>
    <row r="153" spans="1:7" x14ac:dyDescent="0.2">
      <c r="A153" t="s">
        <v>16</v>
      </c>
      <c r="B153" t="s">
        <v>502</v>
      </c>
      <c r="C153">
        <v>3</v>
      </c>
      <c r="D153">
        <v>1</v>
      </c>
      <c r="E153" t="s">
        <v>104</v>
      </c>
      <c r="F153" t="b">
        <v>0</v>
      </c>
      <c r="G153" t="b">
        <f>ItemAllocation[[#This Row],[MaximumWaxCellAllocation]]&gt;=ItemAllocation[[#This Row],[NumberOfWaxCells]]</f>
        <v>1</v>
      </c>
    </row>
    <row r="154" spans="1:7" x14ac:dyDescent="0.2">
      <c r="A154" t="s">
        <v>16</v>
      </c>
      <c r="B154" t="s">
        <v>3762</v>
      </c>
      <c r="C154">
        <v>3</v>
      </c>
      <c r="D154">
        <v>1</v>
      </c>
      <c r="E154" t="s">
        <v>99</v>
      </c>
      <c r="F154" t="b">
        <v>0</v>
      </c>
      <c r="G154" t="b">
        <f>ItemAllocation[[#This Row],[MaximumWaxCellAllocation]]&gt;=ItemAllocation[[#This Row],[NumberOfWaxCells]]</f>
        <v>1</v>
      </c>
    </row>
    <row r="155" spans="1:7" x14ac:dyDescent="0.2">
      <c r="A155" t="s">
        <v>16</v>
      </c>
      <c r="B155" t="s">
        <v>461</v>
      </c>
      <c r="C155">
        <v>7</v>
      </c>
      <c r="D155">
        <v>1</v>
      </c>
      <c r="E155" t="s">
        <v>90</v>
      </c>
      <c r="F155" t="b">
        <v>0</v>
      </c>
      <c r="G155" t="b">
        <f>ItemAllocation[[#This Row],[MaximumWaxCellAllocation]]&gt;=ItemAllocation[[#This Row],[NumberOfWaxCells]]</f>
        <v>1</v>
      </c>
    </row>
    <row r="156" spans="1:7" x14ac:dyDescent="0.2">
      <c r="A156" t="s">
        <v>16</v>
      </c>
      <c r="B156" t="s">
        <v>5995</v>
      </c>
      <c r="C156">
        <v>26</v>
      </c>
      <c r="D156">
        <v>1</v>
      </c>
      <c r="E156" t="s">
        <v>104</v>
      </c>
      <c r="F156" t="b">
        <v>0</v>
      </c>
      <c r="G156" t="b">
        <f>ItemAllocation[[#This Row],[MaximumWaxCellAllocation]]&gt;=ItemAllocation[[#This Row],[NumberOfWaxCells]]</f>
        <v>1</v>
      </c>
    </row>
    <row r="157" spans="1:7" x14ac:dyDescent="0.2">
      <c r="A157" t="s">
        <v>16</v>
      </c>
      <c r="B157" t="s">
        <v>6004</v>
      </c>
      <c r="C157">
        <v>11</v>
      </c>
      <c r="D157">
        <v>6</v>
      </c>
      <c r="E157" t="s">
        <v>11134</v>
      </c>
      <c r="F157" t="b">
        <v>0</v>
      </c>
      <c r="G157" t="b">
        <f>ItemAllocation[[#This Row],[MaximumWaxCellAllocation]]&gt;=ItemAllocation[[#This Row],[NumberOfWaxCells]]</f>
        <v>1</v>
      </c>
    </row>
    <row r="158" spans="1:7" x14ac:dyDescent="0.2">
      <c r="A158" t="s">
        <v>16</v>
      </c>
      <c r="B158" t="s">
        <v>246</v>
      </c>
      <c r="C158">
        <v>3</v>
      </c>
      <c r="D158">
        <v>3</v>
      </c>
      <c r="E158" t="s">
        <v>11135</v>
      </c>
      <c r="F158" t="b">
        <v>0</v>
      </c>
      <c r="G158" t="b">
        <f>ItemAllocation[[#This Row],[MaximumWaxCellAllocation]]&gt;=ItemAllocation[[#This Row],[NumberOfWaxCells]]</f>
        <v>1</v>
      </c>
    </row>
    <row r="159" spans="1:7" x14ac:dyDescent="0.2">
      <c r="A159" t="s">
        <v>16</v>
      </c>
      <c r="B159" t="s">
        <v>511</v>
      </c>
      <c r="C159">
        <v>2</v>
      </c>
      <c r="D159">
        <v>2</v>
      </c>
      <c r="E159" t="s">
        <v>11136</v>
      </c>
      <c r="F159" t="b">
        <v>0</v>
      </c>
      <c r="G159" t="b">
        <f>ItemAllocation[[#This Row],[MaximumWaxCellAllocation]]&gt;=ItemAllocation[[#This Row],[NumberOfWaxCells]]</f>
        <v>1</v>
      </c>
    </row>
    <row r="160" spans="1:7" x14ac:dyDescent="0.2">
      <c r="A160" t="s">
        <v>16</v>
      </c>
      <c r="B160" t="s">
        <v>6000</v>
      </c>
      <c r="C160">
        <v>17</v>
      </c>
      <c r="D160">
        <v>7</v>
      </c>
      <c r="E160" t="s">
        <v>11137</v>
      </c>
      <c r="F160" t="b">
        <v>0</v>
      </c>
      <c r="G160" t="b">
        <f>ItemAllocation[[#This Row],[MaximumWaxCellAllocation]]&gt;=ItemAllocation[[#This Row],[NumberOfWaxCells]]</f>
        <v>1</v>
      </c>
    </row>
    <row r="161" spans="1:7" x14ac:dyDescent="0.2">
      <c r="A161" t="s">
        <v>16</v>
      </c>
      <c r="B161" t="s">
        <v>224</v>
      </c>
      <c r="C161">
        <v>3</v>
      </c>
      <c r="D161">
        <v>2</v>
      </c>
      <c r="E161" t="s">
        <v>11138</v>
      </c>
      <c r="F161" t="b">
        <v>0</v>
      </c>
      <c r="G161" t="b">
        <f>ItemAllocation[[#This Row],[MaximumWaxCellAllocation]]&gt;=ItemAllocation[[#This Row],[NumberOfWaxCells]]</f>
        <v>1</v>
      </c>
    </row>
    <row r="162" spans="1:7" x14ac:dyDescent="0.2">
      <c r="A162" t="s">
        <v>16</v>
      </c>
      <c r="B162" t="s">
        <v>4929</v>
      </c>
      <c r="C162">
        <v>3</v>
      </c>
      <c r="D162">
        <v>1</v>
      </c>
      <c r="E162" t="s">
        <v>96</v>
      </c>
      <c r="F162" t="b">
        <v>0</v>
      </c>
      <c r="G162" t="b">
        <f>ItemAllocation[[#This Row],[MaximumWaxCellAllocation]]&gt;=ItemAllocation[[#This Row],[NumberOfWaxCells]]</f>
        <v>1</v>
      </c>
    </row>
    <row r="163" spans="1:7" x14ac:dyDescent="0.2">
      <c r="A163" t="s">
        <v>16</v>
      </c>
      <c r="B163" t="s">
        <v>1893</v>
      </c>
      <c r="C163">
        <v>3</v>
      </c>
      <c r="D163">
        <v>3</v>
      </c>
      <c r="E163" t="s">
        <v>11139</v>
      </c>
      <c r="F163" t="b">
        <v>0</v>
      </c>
      <c r="G163" t="b">
        <f>ItemAllocation[[#This Row],[MaximumWaxCellAllocation]]&gt;=ItemAllocation[[#This Row],[NumberOfWaxCells]]</f>
        <v>1</v>
      </c>
    </row>
    <row r="164" spans="1:7" x14ac:dyDescent="0.2">
      <c r="A164" t="s">
        <v>16</v>
      </c>
      <c r="B164" t="s">
        <v>1894</v>
      </c>
      <c r="C164">
        <v>8</v>
      </c>
      <c r="D164">
        <v>8</v>
      </c>
      <c r="E164" t="s">
        <v>11140</v>
      </c>
      <c r="F164" t="b">
        <v>0</v>
      </c>
      <c r="G164" t="b">
        <f>ItemAllocation[[#This Row],[MaximumWaxCellAllocation]]&gt;=ItemAllocation[[#This Row],[NumberOfWaxCells]]</f>
        <v>1</v>
      </c>
    </row>
    <row r="165" spans="1:7" x14ac:dyDescent="0.2">
      <c r="A165" t="s">
        <v>16</v>
      </c>
      <c r="B165" t="s">
        <v>482</v>
      </c>
      <c r="C165">
        <v>6</v>
      </c>
      <c r="D165">
        <v>6</v>
      </c>
      <c r="E165" t="s">
        <v>11141</v>
      </c>
      <c r="F165" t="b">
        <v>0</v>
      </c>
      <c r="G165" t="b">
        <f>ItemAllocation[[#This Row],[MaximumWaxCellAllocation]]&gt;=ItemAllocation[[#This Row],[NumberOfWaxCells]]</f>
        <v>1</v>
      </c>
    </row>
    <row r="166" spans="1:7" x14ac:dyDescent="0.2">
      <c r="A166" t="s">
        <v>16</v>
      </c>
      <c r="B166" t="s">
        <v>752</v>
      </c>
      <c r="C166">
        <v>6</v>
      </c>
      <c r="D166">
        <v>2</v>
      </c>
      <c r="E166" t="s">
        <v>11130</v>
      </c>
      <c r="F166" t="b">
        <v>0</v>
      </c>
      <c r="G166" t="b">
        <f>ItemAllocation[[#This Row],[MaximumWaxCellAllocation]]&gt;=ItemAllocation[[#This Row],[NumberOfWaxCells]]</f>
        <v>1</v>
      </c>
    </row>
    <row r="167" spans="1:7" x14ac:dyDescent="0.2">
      <c r="A167" t="s">
        <v>16</v>
      </c>
      <c r="B167" t="s">
        <v>697</v>
      </c>
      <c r="C167">
        <v>6</v>
      </c>
      <c r="D167">
        <v>2</v>
      </c>
      <c r="E167" t="s">
        <v>11142</v>
      </c>
      <c r="F167" t="b">
        <v>0</v>
      </c>
      <c r="G167" t="b">
        <f>ItemAllocation[[#This Row],[MaximumWaxCellAllocation]]&gt;=ItemAllocation[[#This Row],[NumberOfWaxCells]]</f>
        <v>1</v>
      </c>
    </row>
    <row r="168" spans="1:7" x14ac:dyDescent="0.2">
      <c r="A168" t="s">
        <v>16</v>
      </c>
      <c r="B168" t="s">
        <v>5014</v>
      </c>
      <c r="C168">
        <v>1</v>
      </c>
      <c r="D168">
        <v>1</v>
      </c>
      <c r="E168" t="s">
        <v>98</v>
      </c>
      <c r="F168" t="b">
        <v>0</v>
      </c>
      <c r="G168" t="b">
        <f>ItemAllocation[[#This Row],[MaximumWaxCellAllocation]]&gt;=ItemAllocation[[#This Row],[NumberOfWaxCells]]</f>
        <v>1</v>
      </c>
    </row>
    <row r="169" spans="1:7" x14ac:dyDescent="0.2">
      <c r="A169" t="s">
        <v>16</v>
      </c>
      <c r="B169" t="s">
        <v>5020</v>
      </c>
      <c r="C169">
        <v>2</v>
      </c>
      <c r="D169">
        <v>1</v>
      </c>
      <c r="E169" t="s">
        <v>104</v>
      </c>
      <c r="F169" t="b">
        <v>0</v>
      </c>
      <c r="G169" t="b">
        <f>ItemAllocation[[#This Row],[MaximumWaxCellAllocation]]&gt;=ItemAllocation[[#This Row],[NumberOfWaxCells]]</f>
        <v>1</v>
      </c>
    </row>
    <row r="170" spans="1:7" x14ac:dyDescent="0.2">
      <c r="A170" t="s">
        <v>16</v>
      </c>
      <c r="B170" t="s">
        <v>4923</v>
      </c>
      <c r="C170">
        <v>4</v>
      </c>
      <c r="D170">
        <v>1</v>
      </c>
      <c r="E170" t="s">
        <v>99</v>
      </c>
      <c r="F170" t="b">
        <v>0</v>
      </c>
      <c r="G170" t="b">
        <f>ItemAllocation[[#This Row],[MaximumWaxCellAllocation]]&gt;=ItemAllocation[[#This Row],[NumberOfWaxCells]]</f>
        <v>1</v>
      </c>
    </row>
    <row r="171" spans="1:7" x14ac:dyDescent="0.2">
      <c r="A171" t="s">
        <v>16</v>
      </c>
      <c r="B171" t="s">
        <v>5658</v>
      </c>
      <c r="C171">
        <v>13</v>
      </c>
      <c r="D171">
        <v>7</v>
      </c>
      <c r="E171" t="s">
        <v>11143</v>
      </c>
      <c r="F171" t="b">
        <v>0</v>
      </c>
      <c r="G171" t="b">
        <f>ItemAllocation[[#This Row],[MaximumWaxCellAllocation]]&gt;=ItemAllocation[[#This Row],[NumberOfWaxCells]]</f>
        <v>1</v>
      </c>
    </row>
    <row r="172" spans="1:7" x14ac:dyDescent="0.2">
      <c r="A172" t="s">
        <v>16</v>
      </c>
      <c r="B172" t="s">
        <v>6025</v>
      </c>
      <c r="C172">
        <v>7</v>
      </c>
      <c r="D172">
        <v>4</v>
      </c>
      <c r="E172" t="s">
        <v>11144</v>
      </c>
      <c r="F172" t="b">
        <v>0</v>
      </c>
      <c r="G172" t="b">
        <f>ItemAllocation[[#This Row],[MaximumWaxCellAllocation]]&gt;=ItemAllocation[[#This Row],[NumberOfWaxCells]]</f>
        <v>1</v>
      </c>
    </row>
    <row r="173" spans="1:7" x14ac:dyDescent="0.2">
      <c r="A173" t="s">
        <v>16</v>
      </c>
      <c r="B173" t="s">
        <v>972</v>
      </c>
      <c r="C173">
        <v>6</v>
      </c>
      <c r="D173">
        <v>1</v>
      </c>
      <c r="E173" t="s">
        <v>97</v>
      </c>
      <c r="F173" t="b">
        <v>0</v>
      </c>
      <c r="G173" t="b">
        <f>ItemAllocation[[#This Row],[MaximumWaxCellAllocation]]&gt;=ItemAllocation[[#This Row],[NumberOfWaxCells]]</f>
        <v>1</v>
      </c>
    </row>
    <row r="174" spans="1:7" x14ac:dyDescent="0.2">
      <c r="A174" t="s">
        <v>16</v>
      </c>
      <c r="B174" t="s">
        <v>4513</v>
      </c>
      <c r="C174">
        <v>7</v>
      </c>
      <c r="D174">
        <v>1</v>
      </c>
      <c r="E174" t="s">
        <v>95</v>
      </c>
      <c r="F174" t="b">
        <v>0</v>
      </c>
      <c r="G174" t="b">
        <f>ItemAllocation[[#This Row],[MaximumWaxCellAllocation]]&gt;=ItemAllocation[[#This Row],[NumberOfWaxCells]]</f>
        <v>1</v>
      </c>
    </row>
    <row r="175" spans="1:7" x14ac:dyDescent="0.2">
      <c r="A175" t="s">
        <v>16</v>
      </c>
      <c r="B175" t="s">
        <v>5193</v>
      </c>
      <c r="C175">
        <v>2</v>
      </c>
      <c r="D175">
        <v>1</v>
      </c>
      <c r="E175" t="s">
        <v>84</v>
      </c>
      <c r="F175" t="b">
        <v>0</v>
      </c>
      <c r="G175" t="b">
        <f>ItemAllocation[[#This Row],[MaximumWaxCellAllocation]]&gt;=ItemAllocation[[#This Row],[NumberOfWaxCells]]</f>
        <v>1</v>
      </c>
    </row>
    <row r="176" spans="1:7" x14ac:dyDescent="0.2">
      <c r="A176" t="s">
        <v>16</v>
      </c>
      <c r="B176" t="s">
        <v>3803</v>
      </c>
      <c r="C176">
        <v>2</v>
      </c>
      <c r="D176">
        <v>1</v>
      </c>
      <c r="E176" t="s">
        <v>98</v>
      </c>
      <c r="F176" t="b">
        <v>0</v>
      </c>
      <c r="G176" t="b">
        <f>ItemAllocation[[#This Row],[MaximumWaxCellAllocation]]&gt;=ItemAllocation[[#This Row],[NumberOfWaxCells]]</f>
        <v>1</v>
      </c>
    </row>
    <row r="177" spans="1:7" x14ac:dyDescent="0.2">
      <c r="A177" t="s">
        <v>16</v>
      </c>
      <c r="B177" t="s">
        <v>4579</v>
      </c>
      <c r="C177">
        <v>11</v>
      </c>
      <c r="D177">
        <v>1</v>
      </c>
      <c r="E177" t="s">
        <v>104</v>
      </c>
      <c r="F177" t="b">
        <v>0</v>
      </c>
      <c r="G177" t="b">
        <f>ItemAllocation[[#This Row],[MaximumWaxCellAllocation]]&gt;=ItemAllocation[[#This Row],[NumberOfWaxCells]]</f>
        <v>1</v>
      </c>
    </row>
    <row r="178" spans="1:7" x14ac:dyDescent="0.2">
      <c r="A178" t="s">
        <v>16</v>
      </c>
      <c r="B178" t="s">
        <v>5715</v>
      </c>
      <c r="C178">
        <v>2</v>
      </c>
      <c r="D178">
        <v>1</v>
      </c>
      <c r="E178" t="s">
        <v>101</v>
      </c>
      <c r="F178" t="b">
        <v>0</v>
      </c>
      <c r="G178" t="b">
        <f>ItemAllocation[[#This Row],[MaximumWaxCellAllocation]]&gt;=ItemAllocation[[#This Row],[NumberOfWaxCells]]</f>
        <v>1</v>
      </c>
    </row>
    <row r="179" spans="1:7" x14ac:dyDescent="0.2">
      <c r="A179" t="s">
        <v>16</v>
      </c>
      <c r="B179" t="s">
        <v>5721</v>
      </c>
      <c r="C179">
        <v>2</v>
      </c>
      <c r="D179">
        <v>1</v>
      </c>
      <c r="E179" t="s">
        <v>93</v>
      </c>
      <c r="F179" t="b">
        <v>0</v>
      </c>
      <c r="G179" t="b">
        <f>ItemAllocation[[#This Row],[MaximumWaxCellAllocation]]&gt;=ItemAllocation[[#This Row],[NumberOfWaxCells]]</f>
        <v>1</v>
      </c>
    </row>
    <row r="180" spans="1:7" x14ac:dyDescent="0.2">
      <c r="A180" t="s">
        <v>16</v>
      </c>
      <c r="B180" t="s">
        <v>6009</v>
      </c>
      <c r="C180">
        <v>9</v>
      </c>
      <c r="D180">
        <v>8</v>
      </c>
      <c r="E180" t="s">
        <v>11145</v>
      </c>
      <c r="F180" t="b">
        <v>0</v>
      </c>
      <c r="G180" t="b">
        <f>ItemAllocation[[#This Row],[MaximumWaxCellAllocation]]&gt;=ItemAllocation[[#This Row],[NumberOfWaxCells]]</f>
        <v>1</v>
      </c>
    </row>
    <row r="181" spans="1:7" x14ac:dyDescent="0.2">
      <c r="A181" t="s">
        <v>16</v>
      </c>
      <c r="B181" t="s">
        <v>945</v>
      </c>
      <c r="C181">
        <v>3</v>
      </c>
      <c r="D181">
        <v>1</v>
      </c>
      <c r="E181" t="s">
        <v>92</v>
      </c>
      <c r="F181" t="b">
        <v>0</v>
      </c>
      <c r="G181" t="b">
        <f>ItemAllocation[[#This Row],[MaximumWaxCellAllocation]]&gt;=ItemAllocation[[#This Row],[NumberOfWaxCells]]</f>
        <v>1</v>
      </c>
    </row>
    <row r="182" spans="1:7" x14ac:dyDescent="0.2">
      <c r="A182" t="s">
        <v>16</v>
      </c>
      <c r="B182" t="s">
        <v>679</v>
      </c>
      <c r="C182">
        <v>3</v>
      </c>
      <c r="D182">
        <v>3</v>
      </c>
      <c r="E182" t="s">
        <v>11146</v>
      </c>
      <c r="F182" t="b">
        <v>0</v>
      </c>
      <c r="G182" t="b">
        <f>ItemAllocation[[#This Row],[MaximumWaxCellAllocation]]&gt;=ItemAllocation[[#This Row],[NumberOfWaxCells]]</f>
        <v>1</v>
      </c>
    </row>
    <row r="183" spans="1:7" x14ac:dyDescent="0.2">
      <c r="A183" t="s">
        <v>16</v>
      </c>
      <c r="B183" t="s">
        <v>957</v>
      </c>
      <c r="C183">
        <v>3</v>
      </c>
      <c r="D183">
        <v>2</v>
      </c>
      <c r="E183" t="s">
        <v>11147</v>
      </c>
      <c r="F183" t="b">
        <v>0</v>
      </c>
      <c r="G183" t="b">
        <f>ItemAllocation[[#This Row],[MaximumWaxCellAllocation]]&gt;=ItemAllocation[[#This Row],[NumberOfWaxCells]]</f>
        <v>1</v>
      </c>
    </row>
    <row r="184" spans="1:7" x14ac:dyDescent="0.2">
      <c r="A184" t="s">
        <v>16</v>
      </c>
      <c r="B184" t="s">
        <v>963</v>
      </c>
      <c r="C184">
        <v>2</v>
      </c>
      <c r="D184">
        <v>2</v>
      </c>
      <c r="E184" t="s">
        <v>11064</v>
      </c>
      <c r="F184" t="b">
        <v>0</v>
      </c>
      <c r="G184" t="b">
        <f>ItemAllocation[[#This Row],[MaximumWaxCellAllocation]]&gt;=ItemAllocation[[#This Row],[NumberOfWaxCells]]</f>
        <v>1</v>
      </c>
    </row>
    <row r="185" spans="1:7" x14ac:dyDescent="0.2">
      <c r="A185" t="s">
        <v>16</v>
      </c>
      <c r="B185" t="s">
        <v>1015</v>
      </c>
      <c r="C185">
        <v>3</v>
      </c>
      <c r="D185">
        <v>3</v>
      </c>
      <c r="E185" t="s">
        <v>11148</v>
      </c>
      <c r="F185" t="b">
        <v>0</v>
      </c>
      <c r="G185" t="b">
        <f>ItemAllocation[[#This Row],[MaximumWaxCellAllocation]]&gt;=ItemAllocation[[#This Row],[NumberOfWaxCells]]</f>
        <v>1</v>
      </c>
    </row>
    <row r="186" spans="1:7" x14ac:dyDescent="0.2">
      <c r="A186" t="s">
        <v>16</v>
      </c>
      <c r="B186" t="s">
        <v>388</v>
      </c>
      <c r="C186">
        <v>2</v>
      </c>
      <c r="D186">
        <v>2</v>
      </c>
      <c r="E186" t="s">
        <v>11149</v>
      </c>
      <c r="F186" t="b">
        <v>0</v>
      </c>
      <c r="G186" t="b">
        <f>ItemAllocation[[#This Row],[MaximumWaxCellAllocation]]&gt;=ItemAllocation[[#This Row],[NumberOfWaxCells]]</f>
        <v>1</v>
      </c>
    </row>
    <row r="187" spans="1:7" x14ac:dyDescent="0.2">
      <c r="A187" t="s">
        <v>16</v>
      </c>
      <c r="B187" t="s">
        <v>386</v>
      </c>
      <c r="C187">
        <v>2</v>
      </c>
      <c r="D187">
        <v>2</v>
      </c>
      <c r="E187" t="s">
        <v>11101</v>
      </c>
      <c r="F187" t="b">
        <v>0</v>
      </c>
      <c r="G187" t="b">
        <f>ItemAllocation[[#This Row],[MaximumWaxCellAllocation]]&gt;=ItemAllocation[[#This Row],[NumberOfWaxCells]]</f>
        <v>1</v>
      </c>
    </row>
    <row r="188" spans="1:7" x14ac:dyDescent="0.2">
      <c r="A188" t="s">
        <v>16</v>
      </c>
      <c r="B188" t="s">
        <v>285</v>
      </c>
      <c r="C188">
        <v>26</v>
      </c>
      <c r="D188">
        <v>4</v>
      </c>
      <c r="E188" t="s">
        <v>11150</v>
      </c>
      <c r="F188" t="b">
        <v>0</v>
      </c>
      <c r="G188" t="b">
        <f>ItemAllocation[[#This Row],[MaximumWaxCellAllocation]]&gt;=ItemAllocation[[#This Row],[NumberOfWaxCells]]</f>
        <v>1</v>
      </c>
    </row>
    <row r="189" spans="1:7" x14ac:dyDescent="0.2">
      <c r="A189" t="s">
        <v>16</v>
      </c>
      <c r="B189" t="s">
        <v>4166</v>
      </c>
      <c r="C189">
        <v>10</v>
      </c>
      <c r="D189">
        <v>10</v>
      </c>
      <c r="E189" t="s">
        <v>11151</v>
      </c>
      <c r="F189" t="b">
        <v>0</v>
      </c>
      <c r="G189" t="b">
        <f>ItemAllocation[[#This Row],[MaximumWaxCellAllocation]]&gt;=ItemAllocation[[#This Row],[NumberOfWaxCells]]</f>
        <v>1</v>
      </c>
    </row>
    <row r="190" spans="1:7" x14ac:dyDescent="0.2">
      <c r="A190" t="s">
        <v>16</v>
      </c>
      <c r="B190" t="s">
        <v>723</v>
      </c>
      <c r="C190">
        <v>2</v>
      </c>
      <c r="D190">
        <v>2</v>
      </c>
      <c r="E190" t="s">
        <v>11152</v>
      </c>
      <c r="F190" t="b">
        <v>0</v>
      </c>
      <c r="G190" t="b">
        <f>ItemAllocation[[#This Row],[MaximumWaxCellAllocation]]&gt;=ItemAllocation[[#This Row],[NumberOfWaxCells]]</f>
        <v>1</v>
      </c>
    </row>
    <row r="191" spans="1:7" x14ac:dyDescent="0.2">
      <c r="A191" t="s">
        <v>16</v>
      </c>
      <c r="B191" t="s">
        <v>338</v>
      </c>
      <c r="C191">
        <v>4</v>
      </c>
      <c r="D191">
        <v>4</v>
      </c>
      <c r="E191" t="s">
        <v>11153</v>
      </c>
      <c r="F191" t="b">
        <v>0</v>
      </c>
      <c r="G191" t="b">
        <f>ItemAllocation[[#This Row],[MaximumWaxCellAllocation]]&gt;=ItemAllocation[[#This Row],[NumberOfWaxCells]]</f>
        <v>1</v>
      </c>
    </row>
    <row r="192" spans="1:7" x14ac:dyDescent="0.2">
      <c r="A192" t="s">
        <v>16</v>
      </c>
      <c r="B192" t="s">
        <v>683</v>
      </c>
      <c r="C192">
        <v>4</v>
      </c>
      <c r="D192">
        <v>2</v>
      </c>
      <c r="E192" t="s">
        <v>11154</v>
      </c>
      <c r="F192" t="b">
        <v>0</v>
      </c>
      <c r="G192" t="b">
        <f>ItemAllocation[[#This Row],[MaximumWaxCellAllocation]]&gt;=ItemAllocation[[#This Row],[NumberOfWaxCells]]</f>
        <v>1</v>
      </c>
    </row>
    <row r="193" spans="1:7" x14ac:dyDescent="0.2">
      <c r="A193" t="s">
        <v>16</v>
      </c>
      <c r="B193" t="s">
        <v>682</v>
      </c>
      <c r="C193">
        <v>4</v>
      </c>
      <c r="D193">
        <v>3</v>
      </c>
      <c r="E193" t="s">
        <v>11155</v>
      </c>
      <c r="F193" t="b">
        <v>0</v>
      </c>
      <c r="G193" t="b">
        <f>ItemAllocation[[#This Row],[MaximumWaxCellAllocation]]&gt;=ItemAllocation[[#This Row],[NumberOfWaxCells]]</f>
        <v>1</v>
      </c>
    </row>
    <row r="194" spans="1:7" x14ac:dyDescent="0.2">
      <c r="A194" t="s">
        <v>16</v>
      </c>
      <c r="B194" t="s">
        <v>337</v>
      </c>
      <c r="C194">
        <v>4</v>
      </c>
      <c r="D194">
        <v>4</v>
      </c>
      <c r="E194" t="s">
        <v>11156</v>
      </c>
      <c r="F194" t="b">
        <v>0</v>
      </c>
      <c r="G194" t="b">
        <f>ItemAllocation[[#This Row],[MaximumWaxCellAllocation]]&gt;=ItemAllocation[[#This Row],[NumberOfWaxCells]]</f>
        <v>1</v>
      </c>
    </row>
    <row r="195" spans="1:7" x14ac:dyDescent="0.2">
      <c r="A195" t="s">
        <v>16</v>
      </c>
      <c r="B195" t="s">
        <v>479</v>
      </c>
      <c r="C195">
        <v>4</v>
      </c>
      <c r="D195">
        <v>4</v>
      </c>
      <c r="E195" t="s">
        <v>11157</v>
      </c>
      <c r="F195" t="b">
        <v>0</v>
      </c>
      <c r="G195" t="b">
        <f>ItemAllocation[[#This Row],[MaximumWaxCellAllocation]]&gt;=ItemAllocation[[#This Row],[NumberOfWaxCells]]</f>
        <v>1</v>
      </c>
    </row>
    <row r="196" spans="1:7" x14ac:dyDescent="0.2">
      <c r="A196" t="s">
        <v>16</v>
      </c>
      <c r="B196" t="s">
        <v>5838</v>
      </c>
      <c r="C196">
        <v>3</v>
      </c>
      <c r="D196">
        <v>3</v>
      </c>
      <c r="E196" t="s">
        <v>11158</v>
      </c>
      <c r="F196" t="b">
        <v>0</v>
      </c>
      <c r="G196" t="b">
        <f>ItemAllocation[[#This Row],[MaximumWaxCellAllocation]]&gt;=ItemAllocation[[#This Row],[NumberOfWaxCells]]</f>
        <v>1</v>
      </c>
    </row>
    <row r="197" spans="1:7" x14ac:dyDescent="0.2">
      <c r="A197" t="s">
        <v>16</v>
      </c>
      <c r="B197" t="s">
        <v>986</v>
      </c>
      <c r="C197">
        <v>3</v>
      </c>
      <c r="D197">
        <v>1</v>
      </c>
      <c r="E197" t="s">
        <v>89</v>
      </c>
      <c r="F197" t="b">
        <v>0</v>
      </c>
      <c r="G197" t="b">
        <f>ItemAllocation[[#This Row],[MaximumWaxCellAllocation]]&gt;=ItemAllocation[[#This Row],[NumberOfWaxCells]]</f>
        <v>1</v>
      </c>
    </row>
    <row r="198" spans="1:7" x14ac:dyDescent="0.2">
      <c r="A198" t="s">
        <v>16</v>
      </c>
      <c r="B198" t="s">
        <v>3802</v>
      </c>
      <c r="C198">
        <v>5</v>
      </c>
      <c r="D198">
        <v>1</v>
      </c>
      <c r="E198" t="s">
        <v>91</v>
      </c>
      <c r="F198" t="b">
        <v>0</v>
      </c>
      <c r="G198" t="b">
        <f>ItemAllocation[[#This Row],[MaximumWaxCellAllocation]]&gt;=ItemAllocation[[#This Row],[NumberOfWaxCells]]</f>
        <v>1</v>
      </c>
    </row>
    <row r="199" spans="1:7" x14ac:dyDescent="0.2">
      <c r="A199" t="s">
        <v>16</v>
      </c>
      <c r="B199" t="s">
        <v>315</v>
      </c>
      <c r="C199">
        <v>2</v>
      </c>
      <c r="D199">
        <v>1</v>
      </c>
      <c r="E199" t="s">
        <v>89</v>
      </c>
      <c r="F199" t="b">
        <v>0</v>
      </c>
      <c r="G199" t="b">
        <f>ItemAllocation[[#This Row],[MaximumWaxCellAllocation]]&gt;=ItemAllocation[[#This Row],[NumberOfWaxCells]]</f>
        <v>1</v>
      </c>
    </row>
    <row r="200" spans="1:7" x14ac:dyDescent="0.2">
      <c r="A200" t="s">
        <v>16</v>
      </c>
      <c r="B200" t="s">
        <v>3804</v>
      </c>
      <c r="C200">
        <v>5</v>
      </c>
      <c r="D200">
        <v>1</v>
      </c>
      <c r="E200" t="s">
        <v>105</v>
      </c>
      <c r="F200" t="b">
        <v>0</v>
      </c>
      <c r="G200" t="b">
        <f>ItemAllocation[[#This Row],[MaximumWaxCellAllocation]]&gt;=ItemAllocation[[#This Row],[NumberOfWaxCells]]</f>
        <v>1</v>
      </c>
    </row>
    <row r="201" spans="1:7" x14ac:dyDescent="0.2">
      <c r="A201" t="s">
        <v>16</v>
      </c>
      <c r="B201" t="s">
        <v>3806</v>
      </c>
      <c r="C201">
        <v>2</v>
      </c>
      <c r="D201">
        <v>1</v>
      </c>
      <c r="E201" t="s">
        <v>84</v>
      </c>
      <c r="F201" t="b">
        <v>0</v>
      </c>
      <c r="G201" t="b">
        <f>ItemAllocation[[#This Row],[MaximumWaxCellAllocation]]&gt;=ItemAllocation[[#This Row],[NumberOfWaxCells]]</f>
        <v>1</v>
      </c>
    </row>
    <row r="202" spans="1:7" x14ac:dyDescent="0.2">
      <c r="A202" t="s">
        <v>16</v>
      </c>
      <c r="B202" t="s">
        <v>995</v>
      </c>
      <c r="C202">
        <v>4</v>
      </c>
      <c r="D202">
        <v>1</v>
      </c>
      <c r="E202" t="s">
        <v>98</v>
      </c>
      <c r="F202" t="b">
        <v>0</v>
      </c>
      <c r="G202" t="b">
        <f>ItemAllocation[[#This Row],[MaximumWaxCellAllocation]]&gt;=ItemAllocation[[#This Row],[NumberOfWaxCells]]</f>
        <v>1</v>
      </c>
    </row>
    <row r="203" spans="1:7" x14ac:dyDescent="0.2">
      <c r="A203" t="s">
        <v>16</v>
      </c>
      <c r="B203" t="s">
        <v>991</v>
      </c>
      <c r="C203">
        <v>4</v>
      </c>
      <c r="D203">
        <v>1</v>
      </c>
      <c r="E203" t="s">
        <v>87</v>
      </c>
      <c r="F203" t="b">
        <v>0</v>
      </c>
      <c r="G203" t="b">
        <f>ItemAllocation[[#This Row],[MaximumWaxCellAllocation]]&gt;=ItemAllocation[[#This Row],[NumberOfWaxCells]]</f>
        <v>1</v>
      </c>
    </row>
    <row r="204" spans="1:7" x14ac:dyDescent="0.2">
      <c r="A204" t="s">
        <v>16</v>
      </c>
      <c r="B204" t="s">
        <v>5717</v>
      </c>
      <c r="C204">
        <v>3</v>
      </c>
      <c r="D204">
        <v>2</v>
      </c>
      <c r="E204" t="s">
        <v>11045</v>
      </c>
      <c r="F204" t="b">
        <v>0</v>
      </c>
      <c r="G204" t="b">
        <f>ItemAllocation[[#This Row],[MaximumWaxCellAllocation]]&gt;=ItemAllocation[[#This Row],[NumberOfWaxCells]]</f>
        <v>1</v>
      </c>
    </row>
    <row r="205" spans="1:7" x14ac:dyDescent="0.2">
      <c r="A205" t="s">
        <v>16</v>
      </c>
      <c r="B205" t="s">
        <v>5723</v>
      </c>
      <c r="C205">
        <v>3</v>
      </c>
      <c r="D205">
        <v>2</v>
      </c>
      <c r="E205" t="s">
        <v>11159</v>
      </c>
      <c r="F205" t="b">
        <v>0</v>
      </c>
      <c r="G205" t="b">
        <f>ItemAllocation[[#This Row],[MaximumWaxCellAllocation]]&gt;=ItemAllocation[[#This Row],[NumberOfWaxCells]]</f>
        <v>1</v>
      </c>
    </row>
    <row r="206" spans="1:7" x14ac:dyDescent="0.2">
      <c r="A206" t="s">
        <v>16</v>
      </c>
      <c r="B206" t="s">
        <v>5719</v>
      </c>
      <c r="C206">
        <v>2</v>
      </c>
      <c r="D206">
        <v>1</v>
      </c>
      <c r="E206" t="s">
        <v>92</v>
      </c>
      <c r="F206" t="b">
        <v>0</v>
      </c>
      <c r="G206" t="b">
        <f>ItemAllocation[[#This Row],[MaximumWaxCellAllocation]]&gt;=ItemAllocation[[#This Row],[NumberOfWaxCells]]</f>
        <v>1</v>
      </c>
    </row>
    <row r="207" spans="1:7" x14ac:dyDescent="0.2">
      <c r="A207" t="s">
        <v>16</v>
      </c>
      <c r="B207" t="s">
        <v>678</v>
      </c>
      <c r="C207">
        <v>7</v>
      </c>
      <c r="D207">
        <v>5</v>
      </c>
      <c r="E207" t="s">
        <v>11160</v>
      </c>
      <c r="F207" t="b">
        <v>0</v>
      </c>
      <c r="G207" t="b">
        <f>ItemAllocation[[#This Row],[MaximumWaxCellAllocation]]&gt;=ItemAllocation[[#This Row],[NumberOfWaxCells]]</f>
        <v>1</v>
      </c>
    </row>
    <row r="208" spans="1:7" x14ac:dyDescent="0.2">
      <c r="A208" t="s">
        <v>16</v>
      </c>
      <c r="B208" t="s">
        <v>5858</v>
      </c>
      <c r="C208">
        <v>5</v>
      </c>
      <c r="D208">
        <v>1</v>
      </c>
      <c r="E208" t="s">
        <v>99</v>
      </c>
      <c r="F208" t="b">
        <v>0</v>
      </c>
      <c r="G208" t="b">
        <f>ItemAllocation[[#This Row],[MaximumWaxCellAllocation]]&gt;=ItemAllocation[[#This Row],[NumberOfWaxCells]]</f>
        <v>1</v>
      </c>
    </row>
    <row r="209" spans="1:7" x14ac:dyDescent="0.2">
      <c r="A209" t="s">
        <v>16</v>
      </c>
      <c r="B209" t="s">
        <v>4826</v>
      </c>
      <c r="C209">
        <v>4</v>
      </c>
      <c r="D209">
        <v>4</v>
      </c>
      <c r="E209" t="s">
        <v>11161</v>
      </c>
      <c r="F209" t="b">
        <v>0</v>
      </c>
      <c r="G209" t="b">
        <f>ItemAllocation[[#This Row],[MaximumWaxCellAllocation]]&gt;=ItemAllocation[[#This Row],[NumberOfWaxCells]]</f>
        <v>1</v>
      </c>
    </row>
    <row r="210" spans="1:7" x14ac:dyDescent="0.2">
      <c r="A210" t="s">
        <v>16</v>
      </c>
      <c r="B210" t="s">
        <v>710</v>
      </c>
      <c r="C210">
        <v>6</v>
      </c>
      <c r="D210">
        <v>6</v>
      </c>
      <c r="E210" t="s">
        <v>11162</v>
      </c>
      <c r="F210" t="b">
        <v>0</v>
      </c>
      <c r="G210" t="b">
        <f>ItemAllocation[[#This Row],[MaximumWaxCellAllocation]]&gt;=ItemAllocation[[#This Row],[NumberOfWaxCells]]</f>
        <v>1</v>
      </c>
    </row>
    <row r="211" spans="1:7" x14ac:dyDescent="0.2">
      <c r="A211" t="s">
        <v>16</v>
      </c>
      <c r="B211" t="s">
        <v>931</v>
      </c>
      <c r="C211">
        <v>20</v>
      </c>
      <c r="D211">
        <v>3</v>
      </c>
      <c r="E211" t="s">
        <v>11163</v>
      </c>
      <c r="F211" t="b">
        <v>0</v>
      </c>
      <c r="G211" t="b">
        <f>ItemAllocation[[#This Row],[MaximumWaxCellAllocation]]&gt;=ItemAllocation[[#This Row],[NumberOfWaxCells]]</f>
        <v>1</v>
      </c>
    </row>
    <row r="212" spans="1:7" x14ac:dyDescent="0.2">
      <c r="A212" t="s">
        <v>16</v>
      </c>
      <c r="B212" t="s">
        <v>302</v>
      </c>
      <c r="C212">
        <v>3</v>
      </c>
      <c r="D212">
        <v>2</v>
      </c>
      <c r="E212" t="s">
        <v>11076</v>
      </c>
      <c r="F212" t="b">
        <v>0</v>
      </c>
      <c r="G212" t="b">
        <f>ItemAllocation[[#This Row],[MaximumWaxCellAllocation]]&gt;=ItemAllocation[[#This Row],[NumberOfWaxCells]]</f>
        <v>1</v>
      </c>
    </row>
    <row r="213" spans="1:7" x14ac:dyDescent="0.2">
      <c r="A213" t="s">
        <v>16</v>
      </c>
      <c r="B213" t="s">
        <v>4577</v>
      </c>
      <c r="C213">
        <v>10</v>
      </c>
      <c r="D213">
        <v>1</v>
      </c>
      <c r="E213" t="s">
        <v>91</v>
      </c>
      <c r="F213" t="b">
        <v>0</v>
      </c>
      <c r="G213" t="b">
        <f>ItemAllocation[[#This Row],[MaximumWaxCellAllocation]]&gt;=ItemAllocation[[#This Row],[NumberOfWaxCells]]</f>
        <v>1</v>
      </c>
    </row>
    <row r="214" spans="1:7" x14ac:dyDescent="0.2">
      <c r="A214" t="s">
        <v>16</v>
      </c>
      <c r="B214" t="s">
        <v>528</v>
      </c>
      <c r="C214">
        <v>4</v>
      </c>
      <c r="D214">
        <v>1</v>
      </c>
      <c r="E214" t="s">
        <v>89</v>
      </c>
      <c r="F214" t="b">
        <v>0</v>
      </c>
      <c r="G214" t="b">
        <f>ItemAllocation[[#This Row],[MaximumWaxCellAllocation]]&gt;=ItemAllocation[[#This Row],[NumberOfWaxCells]]</f>
        <v>1</v>
      </c>
    </row>
    <row r="215" spans="1:7" x14ac:dyDescent="0.2">
      <c r="A215" t="s">
        <v>16</v>
      </c>
      <c r="B215" t="s">
        <v>5092</v>
      </c>
      <c r="C215">
        <v>2</v>
      </c>
      <c r="D215">
        <v>1</v>
      </c>
      <c r="E215" t="s">
        <v>101</v>
      </c>
      <c r="F215" t="b">
        <v>0</v>
      </c>
      <c r="G215" t="b">
        <f>ItemAllocation[[#This Row],[MaximumWaxCellAllocation]]&gt;=ItemAllocation[[#This Row],[NumberOfWaxCells]]</f>
        <v>1</v>
      </c>
    </row>
    <row r="216" spans="1:7" x14ac:dyDescent="0.2">
      <c r="A216" t="s">
        <v>16</v>
      </c>
      <c r="B216" t="s">
        <v>6020</v>
      </c>
      <c r="C216">
        <v>8</v>
      </c>
      <c r="D216">
        <v>1</v>
      </c>
      <c r="E216" t="s">
        <v>87</v>
      </c>
      <c r="F216" t="b">
        <v>0</v>
      </c>
      <c r="G216" t="b">
        <f>ItemAllocation[[#This Row],[MaximumWaxCellAllocation]]&gt;=ItemAllocation[[#This Row],[NumberOfWaxCells]]</f>
        <v>1</v>
      </c>
    </row>
    <row r="217" spans="1:7" x14ac:dyDescent="0.2">
      <c r="A217" t="s">
        <v>16</v>
      </c>
      <c r="B217" t="s">
        <v>1091</v>
      </c>
      <c r="C217">
        <v>15</v>
      </c>
      <c r="D217">
        <v>1</v>
      </c>
      <c r="E217" t="s">
        <v>91</v>
      </c>
      <c r="F217" t="b">
        <v>0</v>
      </c>
      <c r="G217" t="b">
        <f>ItemAllocation[[#This Row],[MaximumWaxCellAllocation]]&gt;=ItemAllocation[[#This Row],[NumberOfWaxCells]]</f>
        <v>1</v>
      </c>
    </row>
    <row r="218" spans="1:7" x14ac:dyDescent="0.2">
      <c r="A218" t="s">
        <v>16</v>
      </c>
      <c r="B218" t="s">
        <v>1092</v>
      </c>
      <c r="C218">
        <v>10</v>
      </c>
      <c r="D218">
        <v>1</v>
      </c>
      <c r="E218" t="s">
        <v>91</v>
      </c>
      <c r="F218" t="b">
        <v>0</v>
      </c>
      <c r="G218" t="b">
        <f>ItemAllocation[[#This Row],[MaximumWaxCellAllocation]]&gt;=ItemAllocation[[#This Row],[NumberOfWaxCells]]</f>
        <v>1</v>
      </c>
    </row>
    <row r="219" spans="1:7" x14ac:dyDescent="0.2">
      <c r="A219" t="s">
        <v>16</v>
      </c>
      <c r="B219" t="s">
        <v>425</v>
      </c>
      <c r="C219">
        <v>7</v>
      </c>
      <c r="D219">
        <v>1</v>
      </c>
      <c r="E219" t="s">
        <v>84</v>
      </c>
      <c r="F219" t="b">
        <v>0</v>
      </c>
      <c r="G219" t="b">
        <f>ItemAllocation[[#This Row],[MaximumWaxCellAllocation]]&gt;=ItemAllocation[[#This Row],[NumberOfWaxCells]]</f>
        <v>1</v>
      </c>
    </row>
    <row r="220" spans="1:7" x14ac:dyDescent="0.2">
      <c r="A220" t="s">
        <v>16</v>
      </c>
      <c r="B220" t="s">
        <v>430</v>
      </c>
      <c r="C220">
        <v>5</v>
      </c>
      <c r="D220">
        <v>1</v>
      </c>
      <c r="E220" t="s">
        <v>91</v>
      </c>
      <c r="F220" t="b">
        <v>0</v>
      </c>
      <c r="G220" t="b">
        <f>ItemAllocation[[#This Row],[MaximumWaxCellAllocation]]&gt;=ItemAllocation[[#This Row],[NumberOfWaxCells]]</f>
        <v>1</v>
      </c>
    </row>
    <row r="221" spans="1:7" x14ac:dyDescent="0.2">
      <c r="A221" t="s">
        <v>16</v>
      </c>
      <c r="B221" t="s">
        <v>426</v>
      </c>
      <c r="C221">
        <v>11</v>
      </c>
      <c r="D221">
        <v>2</v>
      </c>
      <c r="E221" t="s">
        <v>11164</v>
      </c>
      <c r="F221" t="b">
        <v>0</v>
      </c>
      <c r="G221" t="b">
        <f>ItemAllocation[[#This Row],[MaximumWaxCellAllocation]]&gt;=ItemAllocation[[#This Row],[NumberOfWaxCells]]</f>
        <v>1</v>
      </c>
    </row>
    <row r="222" spans="1:7" x14ac:dyDescent="0.2">
      <c r="A222" t="s">
        <v>16</v>
      </c>
      <c r="B222" t="s">
        <v>431</v>
      </c>
      <c r="C222">
        <v>3</v>
      </c>
      <c r="D222">
        <v>2</v>
      </c>
      <c r="E222" t="s">
        <v>11164</v>
      </c>
      <c r="F222" t="b">
        <v>0</v>
      </c>
      <c r="G222" t="b">
        <f>ItemAllocation[[#This Row],[MaximumWaxCellAllocation]]&gt;=ItemAllocation[[#This Row],[NumberOfWaxCells]]</f>
        <v>1</v>
      </c>
    </row>
    <row r="223" spans="1:7" x14ac:dyDescent="0.2">
      <c r="A223" t="s">
        <v>16</v>
      </c>
      <c r="B223" t="s">
        <v>599</v>
      </c>
      <c r="C223">
        <v>5</v>
      </c>
      <c r="D223">
        <v>5</v>
      </c>
      <c r="E223" t="s">
        <v>11478</v>
      </c>
      <c r="F223" t="b">
        <v>0</v>
      </c>
      <c r="G223" t="b">
        <f>ItemAllocation[[#This Row],[MaximumWaxCellAllocation]]&gt;=ItemAllocation[[#This Row],[NumberOfWaxCells]]</f>
        <v>1</v>
      </c>
    </row>
    <row r="224" spans="1:7" x14ac:dyDescent="0.2">
      <c r="A224" t="s">
        <v>16</v>
      </c>
      <c r="B224" t="s">
        <v>603</v>
      </c>
      <c r="C224">
        <v>5</v>
      </c>
      <c r="D224">
        <v>5</v>
      </c>
      <c r="E224" t="s">
        <v>11479</v>
      </c>
      <c r="F224" t="b">
        <v>0</v>
      </c>
      <c r="G224" t="b">
        <f>ItemAllocation[[#This Row],[MaximumWaxCellAllocation]]&gt;=ItemAllocation[[#This Row],[NumberOfWaxCells]]</f>
        <v>1</v>
      </c>
    </row>
    <row r="225" spans="1:7" x14ac:dyDescent="0.2">
      <c r="A225" t="s">
        <v>16</v>
      </c>
      <c r="B225" t="s">
        <v>1228</v>
      </c>
      <c r="C225">
        <v>9</v>
      </c>
      <c r="D225">
        <v>3</v>
      </c>
      <c r="E225" t="s">
        <v>11480</v>
      </c>
      <c r="F225" t="b">
        <v>0</v>
      </c>
      <c r="G225" t="b">
        <f>ItemAllocation[[#This Row],[MaximumWaxCellAllocation]]&gt;=ItemAllocation[[#This Row],[NumberOfWaxCells]]</f>
        <v>1</v>
      </c>
    </row>
    <row r="226" spans="1:7" x14ac:dyDescent="0.2">
      <c r="A226" t="s">
        <v>16</v>
      </c>
      <c r="B226" t="s">
        <v>1229</v>
      </c>
      <c r="C226">
        <v>9</v>
      </c>
      <c r="D226">
        <v>4</v>
      </c>
      <c r="E226" t="s">
        <v>11481</v>
      </c>
      <c r="F226" t="b">
        <v>0</v>
      </c>
      <c r="G226" t="b">
        <f>ItemAllocation[[#This Row],[MaximumWaxCellAllocation]]&gt;=ItemAllocation[[#This Row],[NumberOfWaxCells]]</f>
        <v>1</v>
      </c>
    </row>
    <row r="227" spans="1:7" x14ac:dyDescent="0.2">
      <c r="A227" t="s">
        <v>16</v>
      </c>
      <c r="B227" t="s">
        <v>602</v>
      </c>
      <c r="C227">
        <v>5</v>
      </c>
      <c r="D227">
        <v>5</v>
      </c>
      <c r="E227" t="s">
        <v>11482</v>
      </c>
      <c r="F227" t="b">
        <v>0</v>
      </c>
      <c r="G227" t="b">
        <f>ItemAllocation[[#This Row],[MaximumWaxCellAllocation]]&gt;=ItemAllocation[[#This Row],[NumberOfWaxCells]]</f>
        <v>1</v>
      </c>
    </row>
    <row r="228" spans="1:7" x14ac:dyDescent="0.2">
      <c r="A228" t="s">
        <v>16</v>
      </c>
      <c r="B228" t="s">
        <v>591</v>
      </c>
      <c r="C228">
        <v>5</v>
      </c>
      <c r="D228">
        <v>5</v>
      </c>
      <c r="E228" t="s">
        <v>11483</v>
      </c>
      <c r="F228" t="b">
        <v>0</v>
      </c>
      <c r="G228" t="b">
        <f>ItemAllocation[[#This Row],[MaximumWaxCellAllocation]]&gt;=ItemAllocation[[#This Row],[NumberOfWaxCells]]</f>
        <v>1</v>
      </c>
    </row>
    <row r="229" spans="1:7" x14ac:dyDescent="0.2">
      <c r="A229" t="s">
        <v>16</v>
      </c>
      <c r="B229" t="s">
        <v>838</v>
      </c>
      <c r="C229">
        <v>2</v>
      </c>
      <c r="D229">
        <v>2</v>
      </c>
      <c r="E229" t="s">
        <v>11072</v>
      </c>
      <c r="F229" t="b">
        <v>0</v>
      </c>
      <c r="G229" t="b">
        <f>ItemAllocation[[#This Row],[MaximumWaxCellAllocation]]&gt;=ItemAllocation[[#This Row],[NumberOfWaxCells]]</f>
        <v>1</v>
      </c>
    </row>
    <row r="230" spans="1:7" x14ac:dyDescent="0.2">
      <c r="A230" t="s">
        <v>16</v>
      </c>
      <c r="B230" t="s">
        <v>917</v>
      </c>
      <c r="C230">
        <v>3</v>
      </c>
      <c r="D230">
        <v>1</v>
      </c>
      <c r="E230" t="s">
        <v>97</v>
      </c>
      <c r="F230" t="b">
        <v>0</v>
      </c>
      <c r="G230" t="b">
        <f>ItemAllocation[[#This Row],[MaximumWaxCellAllocation]]&gt;=ItemAllocation[[#This Row],[NumberOfWaxCells]]</f>
        <v>1</v>
      </c>
    </row>
    <row r="231" spans="1:7" x14ac:dyDescent="0.2">
      <c r="A231" t="s">
        <v>16</v>
      </c>
      <c r="B231" t="s">
        <v>308</v>
      </c>
      <c r="C231">
        <v>3</v>
      </c>
      <c r="D231">
        <v>3</v>
      </c>
      <c r="E231" t="s">
        <v>11484</v>
      </c>
      <c r="F231" t="b">
        <v>0</v>
      </c>
      <c r="G231" t="b">
        <f>ItemAllocation[[#This Row],[MaximumWaxCellAllocation]]&gt;=ItemAllocation[[#This Row],[NumberOfWaxCells]]</f>
        <v>1</v>
      </c>
    </row>
    <row r="232" spans="1:7" x14ac:dyDescent="0.2">
      <c r="A232" t="s">
        <v>16</v>
      </c>
      <c r="B232" t="s">
        <v>457</v>
      </c>
      <c r="C232">
        <v>4</v>
      </c>
      <c r="D232">
        <v>4</v>
      </c>
      <c r="E232" t="s">
        <v>11485</v>
      </c>
      <c r="F232" t="b">
        <v>0</v>
      </c>
      <c r="G232" t="b">
        <f>ItemAllocation[[#This Row],[MaximumWaxCellAllocation]]&gt;=ItemAllocation[[#This Row],[NumberOfWaxCells]]</f>
        <v>1</v>
      </c>
    </row>
    <row r="233" spans="1:7" x14ac:dyDescent="0.2">
      <c r="A233" t="s">
        <v>16</v>
      </c>
      <c r="B233" t="s">
        <v>405</v>
      </c>
      <c r="C233">
        <v>4</v>
      </c>
      <c r="D233">
        <v>4</v>
      </c>
      <c r="E233" t="s">
        <v>11486</v>
      </c>
      <c r="F233" t="b">
        <v>0</v>
      </c>
      <c r="G233" t="b">
        <f>ItemAllocation[[#This Row],[MaximumWaxCellAllocation]]&gt;=ItemAllocation[[#This Row],[NumberOfWaxCells]]</f>
        <v>1</v>
      </c>
    </row>
    <row r="234" spans="1:7" x14ac:dyDescent="0.2">
      <c r="A234" t="s">
        <v>16</v>
      </c>
      <c r="B234" t="s">
        <v>268</v>
      </c>
      <c r="C234">
        <v>13</v>
      </c>
      <c r="D234">
        <v>3</v>
      </c>
      <c r="E234" t="s">
        <v>11487</v>
      </c>
      <c r="F234" t="b">
        <v>0</v>
      </c>
      <c r="G234" t="b">
        <f>ItemAllocation[[#This Row],[MaximumWaxCellAllocation]]&gt;=ItemAllocation[[#This Row],[NumberOfWaxCells]]</f>
        <v>1</v>
      </c>
    </row>
    <row r="235" spans="1:7" x14ac:dyDescent="0.2">
      <c r="A235" t="s">
        <v>16</v>
      </c>
      <c r="B235" t="s">
        <v>596</v>
      </c>
      <c r="C235">
        <v>14</v>
      </c>
      <c r="D235">
        <v>4</v>
      </c>
      <c r="E235" t="s">
        <v>11488</v>
      </c>
      <c r="F235" t="b">
        <v>0</v>
      </c>
      <c r="G235" t="b">
        <f>ItemAllocation[[#This Row],[MaximumWaxCellAllocation]]&gt;=ItemAllocation[[#This Row],[NumberOfWaxCells]]</f>
        <v>1</v>
      </c>
    </row>
    <row r="236" spans="1:7" x14ac:dyDescent="0.2">
      <c r="A236" t="s">
        <v>16</v>
      </c>
      <c r="B236" t="s">
        <v>641</v>
      </c>
      <c r="C236">
        <v>6</v>
      </c>
      <c r="D236">
        <v>3</v>
      </c>
      <c r="E236" t="s">
        <v>11166</v>
      </c>
      <c r="F236" t="b">
        <v>0</v>
      </c>
      <c r="G236" t="b">
        <f>ItemAllocation[[#This Row],[MaximumWaxCellAllocation]]&gt;=ItemAllocation[[#This Row],[NumberOfWaxCells]]</f>
        <v>1</v>
      </c>
    </row>
    <row r="237" spans="1:7" x14ac:dyDescent="0.2">
      <c r="A237" t="s">
        <v>16</v>
      </c>
      <c r="B237" t="s">
        <v>1494</v>
      </c>
      <c r="C237">
        <v>5</v>
      </c>
      <c r="D237">
        <v>4</v>
      </c>
      <c r="E237" t="s">
        <v>11489</v>
      </c>
      <c r="F237" t="b">
        <v>0</v>
      </c>
      <c r="G237" t="b">
        <f>ItemAllocation[[#This Row],[MaximumWaxCellAllocation]]&gt;=ItemAllocation[[#This Row],[NumberOfWaxCells]]</f>
        <v>1</v>
      </c>
    </row>
    <row r="238" spans="1:7" x14ac:dyDescent="0.2">
      <c r="A238" t="s">
        <v>16</v>
      </c>
      <c r="B238" t="s">
        <v>1600</v>
      </c>
      <c r="C238">
        <v>24</v>
      </c>
      <c r="D238">
        <v>5</v>
      </c>
      <c r="E238" t="s">
        <v>11490</v>
      </c>
      <c r="F238" t="b">
        <v>0</v>
      </c>
      <c r="G238" t="b">
        <f>ItemAllocation[[#This Row],[MaximumWaxCellAllocation]]&gt;=ItemAllocation[[#This Row],[NumberOfWaxCells]]</f>
        <v>1</v>
      </c>
    </row>
    <row r="239" spans="1:7" x14ac:dyDescent="0.2">
      <c r="A239" t="s">
        <v>16</v>
      </c>
      <c r="B239" t="s">
        <v>408</v>
      </c>
      <c r="C239">
        <v>3</v>
      </c>
      <c r="D239">
        <v>2</v>
      </c>
      <c r="E239" t="s">
        <v>11491</v>
      </c>
      <c r="F239" t="b">
        <v>0</v>
      </c>
      <c r="G239" t="b">
        <f>ItemAllocation[[#This Row],[MaximumWaxCellAllocation]]&gt;=ItemAllocation[[#This Row],[NumberOfWaxCells]]</f>
        <v>1</v>
      </c>
    </row>
    <row r="240" spans="1:7" x14ac:dyDescent="0.2">
      <c r="A240" t="s">
        <v>16</v>
      </c>
      <c r="B240" t="s">
        <v>630</v>
      </c>
      <c r="C240">
        <v>2</v>
      </c>
      <c r="D240">
        <v>2</v>
      </c>
      <c r="E240" t="s">
        <v>11492</v>
      </c>
      <c r="F240" t="b">
        <v>0</v>
      </c>
      <c r="G240" t="b">
        <f>ItemAllocation[[#This Row],[MaximumWaxCellAllocation]]&gt;=ItemAllocation[[#This Row],[NumberOfWaxCells]]</f>
        <v>1</v>
      </c>
    </row>
    <row r="241" spans="1:7" x14ac:dyDescent="0.2">
      <c r="A241" t="s">
        <v>16</v>
      </c>
      <c r="B241" t="s">
        <v>801</v>
      </c>
      <c r="C241">
        <v>8</v>
      </c>
      <c r="D241">
        <v>5</v>
      </c>
      <c r="E241" t="s">
        <v>11493</v>
      </c>
      <c r="F241" t="b">
        <v>0</v>
      </c>
      <c r="G241" t="b">
        <f>ItemAllocation[[#This Row],[MaximumWaxCellAllocation]]&gt;=ItemAllocation[[#This Row],[NumberOfWaxCells]]</f>
        <v>1</v>
      </c>
    </row>
    <row r="242" spans="1:7" x14ac:dyDescent="0.2">
      <c r="A242" t="s">
        <v>16</v>
      </c>
      <c r="B242" t="s">
        <v>900</v>
      </c>
      <c r="C242">
        <v>5</v>
      </c>
      <c r="D242">
        <v>5</v>
      </c>
      <c r="E242" t="s">
        <v>11494</v>
      </c>
      <c r="F242" t="b">
        <v>0</v>
      </c>
      <c r="G242" t="b">
        <f>ItemAllocation[[#This Row],[MaximumWaxCellAllocation]]&gt;=ItemAllocation[[#This Row],[NumberOfWaxCells]]</f>
        <v>1</v>
      </c>
    </row>
    <row r="243" spans="1:7" x14ac:dyDescent="0.2">
      <c r="A243" t="s">
        <v>16</v>
      </c>
      <c r="B243" t="s">
        <v>1695</v>
      </c>
      <c r="C243">
        <v>5</v>
      </c>
      <c r="D243">
        <v>1</v>
      </c>
      <c r="E243" t="s">
        <v>92</v>
      </c>
      <c r="F243" t="b">
        <v>0</v>
      </c>
      <c r="G243" t="b">
        <f>ItemAllocation[[#This Row],[MaximumWaxCellAllocation]]&gt;=ItemAllocation[[#This Row],[NumberOfWaxCells]]</f>
        <v>1</v>
      </c>
    </row>
    <row r="244" spans="1:7" x14ac:dyDescent="0.2">
      <c r="A244" t="s">
        <v>16</v>
      </c>
      <c r="B244" t="s">
        <v>844</v>
      </c>
      <c r="C244">
        <v>6</v>
      </c>
      <c r="D244">
        <v>2</v>
      </c>
      <c r="E244" t="s">
        <v>11495</v>
      </c>
      <c r="F244" t="b">
        <v>0</v>
      </c>
      <c r="G244" t="b">
        <f>ItemAllocation[[#This Row],[MaximumWaxCellAllocation]]&gt;=ItemAllocation[[#This Row],[NumberOfWaxCells]]</f>
        <v>1</v>
      </c>
    </row>
    <row r="245" spans="1:7" x14ac:dyDescent="0.2">
      <c r="A245" t="s">
        <v>16</v>
      </c>
      <c r="B245" t="s">
        <v>824</v>
      </c>
      <c r="C245">
        <v>5</v>
      </c>
      <c r="D245">
        <v>5</v>
      </c>
      <c r="E245" t="s">
        <v>11496</v>
      </c>
      <c r="F245" t="b">
        <v>0</v>
      </c>
      <c r="G245" t="b">
        <f>ItemAllocation[[#This Row],[MaximumWaxCellAllocation]]&gt;=ItemAllocation[[#This Row],[NumberOfWaxCells]]</f>
        <v>1</v>
      </c>
    </row>
    <row r="246" spans="1:7" x14ac:dyDescent="0.2">
      <c r="A246" t="s">
        <v>16</v>
      </c>
      <c r="B246" t="s">
        <v>1723</v>
      </c>
      <c r="C246">
        <v>7</v>
      </c>
      <c r="D246">
        <v>1</v>
      </c>
      <c r="E246" t="s">
        <v>103</v>
      </c>
      <c r="F246" t="b">
        <v>0</v>
      </c>
      <c r="G246" t="b">
        <f>ItemAllocation[[#This Row],[MaximumWaxCellAllocation]]&gt;=ItemAllocation[[#This Row],[NumberOfWaxCells]]</f>
        <v>1</v>
      </c>
    </row>
    <row r="247" spans="1:7" x14ac:dyDescent="0.2">
      <c r="A247" t="s">
        <v>16</v>
      </c>
      <c r="B247" t="s">
        <v>821</v>
      </c>
      <c r="C247">
        <v>3</v>
      </c>
      <c r="D247">
        <v>3</v>
      </c>
      <c r="E247" t="s">
        <v>11497</v>
      </c>
      <c r="F247" t="b">
        <v>0</v>
      </c>
      <c r="G247" t="b">
        <f>ItemAllocation[[#This Row],[MaximumWaxCellAllocation]]&gt;=ItemAllocation[[#This Row],[NumberOfWaxCells]]</f>
        <v>1</v>
      </c>
    </row>
    <row r="248" spans="1:7" x14ac:dyDescent="0.2">
      <c r="A248" t="s">
        <v>16</v>
      </c>
      <c r="B248" t="s">
        <v>904</v>
      </c>
      <c r="C248">
        <v>4</v>
      </c>
      <c r="D248">
        <v>4</v>
      </c>
      <c r="E248" t="s">
        <v>11498</v>
      </c>
      <c r="F248" t="b">
        <v>0</v>
      </c>
      <c r="G248" t="b">
        <f>ItemAllocation[[#This Row],[MaximumWaxCellAllocation]]&gt;=ItemAllocation[[#This Row],[NumberOfWaxCells]]</f>
        <v>1</v>
      </c>
    </row>
    <row r="249" spans="1:7" x14ac:dyDescent="0.2">
      <c r="A249" t="s">
        <v>16</v>
      </c>
      <c r="B249" t="s">
        <v>906</v>
      </c>
      <c r="C249">
        <v>6</v>
      </c>
      <c r="D249">
        <v>5</v>
      </c>
      <c r="E249" t="s">
        <v>11499</v>
      </c>
      <c r="F249" t="b">
        <v>0</v>
      </c>
      <c r="G249" t="b">
        <f>ItemAllocation[[#This Row],[MaximumWaxCellAllocation]]&gt;=ItemAllocation[[#This Row],[NumberOfWaxCells]]</f>
        <v>1</v>
      </c>
    </row>
    <row r="250" spans="1:7" x14ac:dyDescent="0.2">
      <c r="A250" t="s">
        <v>16</v>
      </c>
      <c r="B250" t="s">
        <v>663</v>
      </c>
      <c r="C250">
        <v>3</v>
      </c>
      <c r="D250">
        <v>1</v>
      </c>
      <c r="E250" t="s">
        <v>95</v>
      </c>
      <c r="F250" t="b">
        <v>0</v>
      </c>
      <c r="G250" t="b">
        <f>ItemAllocation[[#This Row],[MaximumWaxCellAllocation]]&gt;=ItemAllocation[[#This Row],[NumberOfWaxCells]]</f>
        <v>1</v>
      </c>
    </row>
    <row r="251" spans="1:7" x14ac:dyDescent="0.2">
      <c r="A251" t="s">
        <v>16</v>
      </c>
      <c r="B251" t="s">
        <v>267</v>
      </c>
      <c r="C251">
        <v>5</v>
      </c>
      <c r="D251">
        <v>5</v>
      </c>
      <c r="E251" t="s">
        <v>11500</v>
      </c>
      <c r="F251" t="b">
        <v>0</v>
      </c>
      <c r="G251" t="b">
        <f>ItemAllocation[[#This Row],[MaximumWaxCellAllocation]]&gt;=ItemAllocation[[#This Row],[NumberOfWaxCells]]</f>
        <v>1</v>
      </c>
    </row>
    <row r="252" spans="1:7" x14ac:dyDescent="0.2">
      <c r="A252" t="s">
        <v>16</v>
      </c>
      <c r="B252" t="s">
        <v>893</v>
      </c>
      <c r="C252">
        <v>3</v>
      </c>
      <c r="D252">
        <v>3</v>
      </c>
      <c r="E252" t="s">
        <v>11501</v>
      </c>
      <c r="F252" t="b">
        <v>0</v>
      </c>
      <c r="G252" t="b">
        <f>ItemAllocation[[#This Row],[MaximumWaxCellAllocation]]&gt;=ItemAllocation[[#This Row],[NumberOfWaxCells]]</f>
        <v>1</v>
      </c>
    </row>
    <row r="253" spans="1:7" x14ac:dyDescent="0.2">
      <c r="A253" t="s">
        <v>16</v>
      </c>
      <c r="B253" t="s">
        <v>2026</v>
      </c>
      <c r="C253">
        <v>3</v>
      </c>
      <c r="D253">
        <v>3</v>
      </c>
      <c r="E253" t="s">
        <v>11502</v>
      </c>
      <c r="F253" t="b">
        <v>0</v>
      </c>
      <c r="G253" t="b">
        <f>ItemAllocation[[#This Row],[MaximumWaxCellAllocation]]&gt;=ItemAllocation[[#This Row],[NumberOfWaxCells]]</f>
        <v>1</v>
      </c>
    </row>
    <row r="254" spans="1:7" x14ac:dyDescent="0.2">
      <c r="A254" t="s">
        <v>16</v>
      </c>
      <c r="B254" t="s">
        <v>919</v>
      </c>
      <c r="C254">
        <v>3</v>
      </c>
      <c r="D254">
        <v>3</v>
      </c>
      <c r="E254" t="s">
        <v>11503</v>
      </c>
      <c r="F254" t="b">
        <v>0</v>
      </c>
      <c r="G254" t="b">
        <f>ItemAllocation[[#This Row],[MaximumWaxCellAllocation]]&gt;=ItemAllocation[[#This Row],[NumberOfWaxCells]]</f>
        <v>1</v>
      </c>
    </row>
    <row r="255" spans="1:7" x14ac:dyDescent="0.2">
      <c r="A255" t="s">
        <v>16</v>
      </c>
      <c r="B255" t="s">
        <v>862</v>
      </c>
      <c r="C255">
        <v>3</v>
      </c>
      <c r="D255">
        <v>3</v>
      </c>
      <c r="E255" t="s">
        <v>11504</v>
      </c>
      <c r="F255" t="b">
        <v>0</v>
      </c>
      <c r="G255" t="b">
        <f>ItemAllocation[[#This Row],[MaximumWaxCellAllocation]]&gt;=ItemAllocation[[#This Row],[NumberOfWaxCells]]</f>
        <v>1</v>
      </c>
    </row>
    <row r="256" spans="1:7" x14ac:dyDescent="0.2">
      <c r="A256" t="s">
        <v>16</v>
      </c>
      <c r="B256" t="s">
        <v>841</v>
      </c>
      <c r="C256">
        <v>4</v>
      </c>
      <c r="D256">
        <v>2</v>
      </c>
      <c r="E256" t="s">
        <v>11505</v>
      </c>
      <c r="F256" t="b">
        <v>0</v>
      </c>
      <c r="G256" t="b">
        <f>ItemAllocation[[#This Row],[MaximumWaxCellAllocation]]&gt;=ItemAllocation[[#This Row],[NumberOfWaxCells]]</f>
        <v>1</v>
      </c>
    </row>
    <row r="257" spans="1:7" x14ac:dyDescent="0.2">
      <c r="A257" t="s">
        <v>16</v>
      </c>
      <c r="B257" t="s">
        <v>2028</v>
      </c>
      <c r="C257">
        <v>5</v>
      </c>
      <c r="D257">
        <v>2</v>
      </c>
      <c r="E257" t="s">
        <v>11506</v>
      </c>
      <c r="F257" t="b">
        <v>0</v>
      </c>
      <c r="G257" t="b">
        <f>ItemAllocation[[#This Row],[MaximumWaxCellAllocation]]&gt;=ItemAllocation[[#This Row],[NumberOfWaxCells]]</f>
        <v>1</v>
      </c>
    </row>
    <row r="258" spans="1:7" x14ac:dyDescent="0.2">
      <c r="A258" t="s">
        <v>16</v>
      </c>
      <c r="B258" t="s">
        <v>921</v>
      </c>
      <c r="C258">
        <v>2</v>
      </c>
      <c r="D258">
        <v>2</v>
      </c>
      <c r="E258" t="s">
        <v>11046</v>
      </c>
      <c r="F258" t="b">
        <v>0</v>
      </c>
      <c r="G258" t="b">
        <f>ItemAllocation[[#This Row],[MaximumWaxCellAllocation]]&gt;=ItemAllocation[[#This Row],[NumberOfWaxCells]]</f>
        <v>1</v>
      </c>
    </row>
    <row r="259" spans="1:7" x14ac:dyDescent="0.2">
      <c r="A259" t="s">
        <v>16</v>
      </c>
      <c r="B259" t="s">
        <v>626</v>
      </c>
      <c r="C259">
        <v>4</v>
      </c>
      <c r="D259">
        <v>1</v>
      </c>
      <c r="E259" t="s">
        <v>103</v>
      </c>
      <c r="F259" t="b">
        <v>0</v>
      </c>
      <c r="G259" t="b">
        <f>ItemAllocation[[#This Row],[MaximumWaxCellAllocation]]&gt;=ItemAllocation[[#This Row],[NumberOfWaxCells]]</f>
        <v>1</v>
      </c>
    </row>
    <row r="260" spans="1:7" x14ac:dyDescent="0.2">
      <c r="A260" t="s">
        <v>16</v>
      </c>
      <c r="B260" t="s">
        <v>657</v>
      </c>
      <c r="C260">
        <v>2</v>
      </c>
      <c r="D260">
        <v>2</v>
      </c>
      <c r="E260" t="s">
        <v>11507</v>
      </c>
      <c r="F260" t="b">
        <v>0</v>
      </c>
      <c r="G260" t="b">
        <f>ItemAllocation[[#This Row],[MaximumWaxCellAllocation]]&gt;=ItemAllocation[[#This Row],[NumberOfWaxCells]]</f>
        <v>1</v>
      </c>
    </row>
    <row r="261" spans="1:7" x14ac:dyDescent="0.2">
      <c r="A261" t="s">
        <v>16</v>
      </c>
      <c r="B261" t="s">
        <v>2030</v>
      </c>
      <c r="C261">
        <v>3</v>
      </c>
      <c r="D261">
        <v>3</v>
      </c>
      <c r="E261" t="s">
        <v>11508</v>
      </c>
      <c r="F261" t="b">
        <v>0</v>
      </c>
      <c r="G261" t="b">
        <f>ItemAllocation[[#This Row],[MaximumWaxCellAllocation]]&gt;=ItemAllocation[[#This Row],[NumberOfWaxCells]]</f>
        <v>1</v>
      </c>
    </row>
    <row r="262" spans="1:7" x14ac:dyDescent="0.2">
      <c r="A262" t="s">
        <v>16</v>
      </c>
      <c r="B262" t="s">
        <v>2032</v>
      </c>
      <c r="C262">
        <v>4</v>
      </c>
      <c r="D262">
        <v>4</v>
      </c>
      <c r="E262" t="s">
        <v>11509</v>
      </c>
      <c r="F262" t="b">
        <v>0</v>
      </c>
      <c r="G262" t="b">
        <f>ItemAllocation[[#This Row],[MaximumWaxCellAllocation]]&gt;=ItemAllocation[[#This Row],[NumberOfWaxCells]]</f>
        <v>1</v>
      </c>
    </row>
    <row r="263" spans="1:7" x14ac:dyDescent="0.2">
      <c r="A263" t="s">
        <v>16</v>
      </c>
      <c r="B263" t="s">
        <v>861</v>
      </c>
      <c r="C263">
        <v>3</v>
      </c>
      <c r="D263">
        <v>1</v>
      </c>
      <c r="E263" t="s">
        <v>98</v>
      </c>
      <c r="F263" t="b">
        <v>0</v>
      </c>
      <c r="G263" t="b">
        <f>ItemAllocation[[#This Row],[MaximumWaxCellAllocation]]&gt;=ItemAllocation[[#This Row],[NumberOfWaxCells]]</f>
        <v>1</v>
      </c>
    </row>
    <row r="264" spans="1:7" x14ac:dyDescent="0.2">
      <c r="A264" t="s">
        <v>16</v>
      </c>
      <c r="B264" t="s">
        <v>2035</v>
      </c>
      <c r="C264">
        <v>3</v>
      </c>
      <c r="D264">
        <v>3</v>
      </c>
      <c r="E264" t="s">
        <v>11510</v>
      </c>
      <c r="F264" t="b">
        <v>0</v>
      </c>
      <c r="G264" t="b">
        <f>ItemAllocation[[#This Row],[MaximumWaxCellAllocation]]&gt;=ItemAllocation[[#This Row],[NumberOfWaxCells]]</f>
        <v>1</v>
      </c>
    </row>
    <row r="265" spans="1:7" x14ac:dyDescent="0.2">
      <c r="A265" t="s">
        <v>16</v>
      </c>
      <c r="B265" t="s">
        <v>2036</v>
      </c>
      <c r="C265">
        <v>3</v>
      </c>
      <c r="D265">
        <v>2</v>
      </c>
      <c r="E265" t="s">
        <v>11511</v>
      </c>
      <c r="F265" t="b">
        <v>0</v>
      </c>
      <c r="G265" t="b">
        <f>ItemAllocation[[#This Row],[MaximumWaxCellAllocation]]&gt;=ItemAllocation[[#This Row],[NumberOfWaxCells]]</f>
        <v>1</v>
      </c>
    </row>
    <row r="266" spans="1:7" x14ac:dyDescent="0.2">
      <c r="A266" t="s">
        <v>16</v>
      </c>
      <c r="B266" t="s">
        <v>840</v>
      </c>
      <c r="C266">
        <v>3</v>
      </c>
      <c r="D266">
        <v>1</v>
      </c>
      <c r="E266" t="s">
        <v>84</v>
      </c>
      <c r="F266" t="b">
        <v>0</v>
      </c>
      <c r="G266" t="b">
        <f>ItemAllocation[[#This Row],[MaximumWaxCellAllocation]]&gt;=ItemAllocation[[#This Row],[NumberOfWaxCells]]</f>
        <v>1</v>
      </c>
    </row>
    <row r="267" spans="1:7" x14ac:dyDescent="0.2">
      <c r="A267" t="s">
        <v>16</v>
      </c>
      <c r="B267" t="s">
        <v>221</v>
      </c>
      <c r="C267">
        <v>3</v>
      </c>
      <c r="D267">
        <v>2</v>
      </c>
      <c r="E267" t="s">
        <v>11089</v>
      </c>
      <c r="F267" t="b">
        <v>0</v>
      </c>
      <c r="G267" t="b">
        <f>ItemAllocation[[#This Row],[MaximumWaxCellAllocation]]&gt;=ItemAllocation[[#This Row],[NumberOfWaxCells]]</f>
        <v>1</v>
      </c>
    </row>
    <row r="268" spans="1:7" x14ac:dyDescent="0.2">
      <c r="A268" t="s">
        <v>16</v>
      </c>
      <c r="B268" t="s">
        <v>2038</v>
      </c>
      <c r="C268">
        <v>3</v>
      </c>
      <c r="D268">
        <v>3</v>
      </c>
      <c r="E268" t="s">
        <v>11512</v>
      </c>
      <c r="F268" t="b">
        <v>0</v>
      </c>
      <c r="G268" t="b">
        <f>ItemAllocation[[#This Row],[MaximumWaxCellAllocation]]&gt;=ItemAllocation[[#This Row],[NumberOfWaxCells]]</f>
        <v>1</v>
      </c>
    </row>
    <row r="269" spans="1:7" x14ac:dyDescent="0.2">
      <c r="A269" t="s">
        <v>16</v>
      </c>
      <c r="B269" t="s">
        <v>867</v>
      </c>
      <c r="C269">
        <v>3</v>
      </c>
      <c r="D269">
        <v>3</v>
      </c>
      <c r="E269" t="s">
        <v>11513</v>
      </c>
      <c r="F269" t="b">
        <v>0</v>
      </c>
      <c r="G269" t="b">
        <f>ItemAllocation[[#This Row],[MaximumWaxCellAllocation]]&gt;=ItemAllocation[[#This Row],[NumberOfWaxCells]]</f>
        <v>1</v>
      </c>
    </row>
    <row r="270" spans="1:7" x14ac:dyDescent="0.2">
      <c r="A270" t="s">
        <v>16</v>
      </c>
      <c r="B270" t="s">
        <v>908</v>
      </c>
      <c r="C270">
        <v>3</v>
      </c>
      <c r="D270">
        <v>1</v>
      </c>
      <c r="E270" t="s">
        <v>98</v>
      </c>
      <c r="F270" t="b">
        <v>0</v>
      </c>
      <c r="G270" t="b">
        <f>ItemAllocation[[#This Row],[MaximumWaxCellAllocation]]&gt;=ItemAllocation[[#This Row],[NumberOfWaxCells]]</f>
        <v>1</v>
      </c>
    </row>
    <row r="271" spans="1:7" x14ac:dyDescent="0.2">
      <c r="A271" t="s">
        <v>16</v>
      </c>
      <c r="B271" t="s">
        <v>843</v>
      </c>
      <c r="C271">
        <v>4</v>
      </c>
      <c r="D271">
        <v>1</v>
      </c>
      <c r="E271" t="s">
        <v>84</v>
      </c>
      <c r="F271" t="b">
        <v>0</v>
      </c>
      <c r="G271" t="b">
        <f>ItemAllocation[[#This Row],[MaximumWaxCellAllocation]]&gt;=ItemAllocation[[#This Row],[NumberOfWaxCells]]</f>
        <v>1</v>
      </c>
    </row>
    <row r="272" spans="1:7" x14ac:dyDescent="0.2">
      <c r="A272" t="s">
        <v>16</v>
      </c>
      <c r="B272" t="s">
        <v>470</v>
      </c>
      <c r="C272">
        <v>5</v>
      </c>
      <c r="D272">
        <v>5</v>
      </c>
      <c r="E272" t="s">
        <v>11514</v>
      </c>
      <c r="F272" t="b">
        <v>0</v>
      </c>
      <c r="G272" t="b">
        <f>ItemAllocation[[#This Row],[MaximumWaxCellAllocation]]&gt;=ItemAllocation[[#This Row],[NumberOfWaxCells]]</f>
        <v>1</v>
      </c>
    </row>
    <row r="273" spans="1:7" x14ac:dyDescent="0.2">
      <c r="A273" t="s">
        <v>16</v>
      </c>
      <c r="B273" t="s">
        <v>2069</v>
      </c>
      <c r="C273">
        <v>3</v>
      </c>
      <c r="D273">
        <v>3</v>
      </c>
      <c r="E273" t="s">
        <v>11515</v>
      </c>
      <c r="F273" t="b">
        <v>0</v>
      </c>
      <c r="G273" t="b">
        <f>ItemAllocation[[#This Row],[MaximumWaxCellAllocation]]&gt;=ItemAllocation[[#This Row],[NumberOfWaxCells]]</f>
        <v>1</v>
      </c>
    </row>
    <row r="274" spans="1:7" x14ac:dyDescent="0.2">
      <c r="A274" t="s">
        <v>16</v>
      </c>
      <c r="B274" t="s">
        <v>2071</v>
      </c>
      <c r="C274">
        <v>2</v>
      </c>
      <c r="D274">
        <v>2</v>
      </c>
      <c r="E274" t="s">
        <v>11168</v>
      </c>
      <c r="F274" t="b">
        <v>0</v>
      </c>
      <c r="G274" t="b">
        <f>ItemAllocation[[#This Row],[MaximumWaxCellAllocation]]&gt;=ItemAllocation[[#This Row],[NumberOfWaxCells]]</f>
        <v>1</v>
      </c>
    </row>
    <row r="275" spans="1:7" x14ac:dyDescent="0.2">
      <c r="A275" t="s">
        <v>16</v>
      </c>
      <c r="B275" t="s">
        <v>2073</v>
      </c>
      <c r="C275">
        <v>3</v>
      </c>
      <c r="D275">
        <v>3</v>
      </c>
      <c r="E275" t="s">
        <v>11516</v>
      </c>
      <c r="F275" t="b">
        <v>0</v>
      </c>
      <c r="G275" t="b">
        <f>ItemAllocation[[#This Row],[MaximumWaxCellAllocation]]&gt;=ItemAllocation[[#This Row],[NumberOfWaxCells]]</f>
        <v>1</v>
      </c>
    </row>
    <row r="276" spans="1:7" x14ac:dyDescent="0.2">
      <c r="A276" t="s">
        <v>16</v>
      </c>
      <c r="B276" t="s">
        <v>615</v>
      </c>
      <c r="C276">
        <v>4</v>
      </c>
      <c r="D276">
        <v>4</v>
      </c>
      <c r="E276" t="s">
        <v>11517</v>
      </c>
      <c r="F276" t="b">
        <v>0</v>
      </c>
      <c r="G276" t="b">
        <f>ItemAllocation[[#This Row],[MaximumWaxCellAllocation]]&gt;=ItemAllocation[[#This Row],[NumberOfWaxCells]]</f>
        <v>1</v>
      </c>
    </row>
    <row r="277" spans="1:7" x14ac:dyDescent="0.2">
      <c r="A277" t="s">
        <v>16</v>
      </c>
      <c r="B277" t="s">
        <v>664</v>
      </c>
      <c r="C277">
        <v>2</v>
      </c>
      <c r="D277">
        <v>2</v>
      </c>
      <c r="E277" t="s">
        <v>11518</v>
      </c>
      <c r="F277" t="b">
        <v>0</v>
      </c>
      <c r="G277" t="b">
        <f>ItemAllocation[[#This Row],[MaximumWaxCellAllocation]]&gt;=ItemAllocation[[#This Row],[NumberOfWaxCells]]</f>
        <v>1</v>
      </c>
    </row>
    <row r="278" spans="1:7" x14ac:dyDescent="0.2">
      <c r="A278" t="s">
        <v>16</v>
      </c>
      <c r="B278" t="s">
        <v>659</v>
      </c>
      <c r="C278">
        <v>3</v>
      </c>
      <c r="D278">
        <v>3</v>
      </c>
      <c r="E278" t="s">
        <v>11519</v>
      </c>
      <c r="F278" t="b">
        <v>0</v>
      </c>
      <c r="G278" t="b">
        <f>ItemAllocation[[#This Row],[MaximumWaxCellAllocation]]&gt;=ItemAllocation[[#This Row],[NumberOfWaxCells]]</f>
        <v>1</v>
      </c>
    </row>
    <row r="279" spans="1:7" x14ac:dyDescent="0.2">
      <c r="A279" t="s">
        <v>16</v>
      </c>
      <c r="B279" t="s">
        <v>668</v>
      </c>
      <c r="C279">
        <v>5</v>
      </c>
      <c r="D279">
        <v>2</v>
      </c>
      <c r="E279" t="s">
        <v>11520</v>
      </c>
      <c r="F279" t="b">
        <v>0</v>
      </c>
      <c r="G279" t="b">
        <f>ItemAllocation[[#This Row],[MaximumWaxCellAllocation]]&gt;=ItemAllocation[[#This Row],[NumberOfWaxCells]]</f>
        <v>1</v>
      </c>
    </row>
    <row r="280" spans="1:7" x14ac:dyDescent="0.2">
      <c r="A280" t="s">
        <v>16</v>
      </c>
      <c r="B280" t="s">
        <v>2473</v>
      </c>
      <c r="C280">
        <v>8</v>
      </c>
      <c r="D280">
        <v>8</v>
      </c>
      <c r="E280" t="s">
        <v>11521</v>
      </c>
      <c r="F280" t="b">
        <v>0</v>
      </c>
      <c r="G280" t="b">
        <f>ItemAllocation[[#This Row],[MaximumWaxCellAllocation]]&gt;=ItemAllocation[[#This Row],[NumberOfWaxCells]]</f>
        <v>1</v>
      </c>
    </row>
    <row r="281" spans="1:7" x14ac:dyDescent="0.2">
      <c r="A281" t="s">
        <v>16</v>
      </c>
      <c r="B281" t="s">
        <v>2502</v>
      </c>
      <c r="C281">
        <v>3</v>
      </c>
      <c r="D281">
        <v>1</v>
      </c>
      <c r="E281" t="s">
        <v>104</v>
      </c>
      <c r="F281" t="b">
        <v>0</v>
      </c>
      <c r="G281" t="b">
        <f>ItemAllocation[[#This Row],[MaximumWaxCellAllocation]]&gt;=ItemAllocation[[#This Row],[NumberOfWaxCells]]</f>
        <v>1</v>
      </c>
    </row>
    <row r="282" spans="1:7" x14ac:dyDescent="0.2">
      <c r="A282" t="s">
        <v>16</v>
      </c>
      <c r="B282" t="s">
        <v>2537</v>
      </c>
      <c r="C282">
        <v>9</v>
      </c>
      <c r="D282">
        <v>1</v>
      </c>
      <c r="E282" t="s">
        <v>101</v>
      </c>
      <c r="F282" t="b">
        <v>0</v>
      </c>
      <c r="G282" t="b">
        <f>ItemAllocation[[#This Row],[MaximumWaxCellAllocation]]&gt;=ItemAllocation[[#This Row],[NumberOfWaxCells]]</f>
        <v>1</v>
      </c>
    </row>
    <row r="283" spans="1:7" x14ac:dyDescent="0.2">
      <c r="A283" t="s">
        <v>16</v>
      </c>
      <c r="B283" t="s">
        <v>2571</v>
      </c>
      <c r="C283">
        <v>1</v>
      </c>
      <c r="D283">
        <v>1</v>
      </c>
      <c r="E283" t="s">
        <v>95</v>
      </c>
      <c r="F283" t="b">
        <v>0</v>
      </c>
      <c r="G283" t="b">
        <f>ItemAllocation[[#This Row],[MaximumWaxCellAllocation]]&gt;=ItemAllocation[[#This Row],[NumberOfWaxCells]]</f>
        <v>1</v>
      </c>
    </row>
    <row r="284" spans="1:7" x14ac:dyDescent="0.2">
      <c r="A284" t="s">
        <v>16</v>
      </c>
      <c r="B284" t="s">
        <v>2623</v>
      </c>
      <c r="C284">
        <v>5</v>
      </c>
      <c r="D284">
        <v>5</v>
      </c>
      <c r="E284" t="s">
        <v>11522</v>
      </c>
      <c r="F284" t="b">
        <v>0</v>
      </c>
      <c r="G284" t="b">
        <f>ItemAllocation[[#This Row],[MaximumWaxCellAllocation]]&gt;=ItemAllocation[[#This Row],[NumberOfWaxCells]]</f>
        <v>1</v>
      </c>
    </row>
    <row r="285" spans="1:7" x14ac:dyDescent="0.2">
      <c r="A285" t="s">
        <v>16</v>
      </c>
      <c r="B285" t="s">
        <v>2726</v>
      </c>
      <c r="C285">
        <v>28</v>
      </c>
      <c r="D285">
        <v>3</v>
      </c>
      <c r="E285" t="s">
        <v>11523</v>
      </c>
      <c r="F285" t="b">
        <v>0</v>
      </c>
      <c r="G285" t="b">
        <f>ItemAllocation[[#This Row],[MaximumWaxCellAllocation]]&gt;=ItemAllocation[[#This Row],[NumberOfWaxCells]]</f>
        <v>1</v>
      </c>
    </row>
    <row r="286" spans="1:7" x14ac:dyDescent="0.2">
      <c r="A286" t="s">
        <v>16</v>
      </c>
      <c r="B286" t="s">
        <v>2727</v>
      </c>
      <c r="C286">
        <v>25</v>
      </c>
      <c r="D286">
        <v>3</v>
      </c>
      <c r="E286" t="s">
        <v>11524</v>
      </c>
      <c r="F286" t="b">
        <v>0</v>
      </c>
      <c r="G286" t="b">
        <f>ItemAllocation[[#This Row],[MaximumWaxCellAllocation]]&gt;=ItemAllocation[[#This Row],[NumberOfWaxCells]]</f>
        <v>1</v>
      </c>
    </row>
    <row r="287" spans="1:7" x14ac:dyDescent="0.2">
      <c r="A287" t="s">
        <v>16</v>
      </c>
      <c r="B287" t="s">
        <v>889</v>
      </c>
      <c r="C287">
        <v>3</v>
      </c>
      <c r="D287">
        <v>1</v>
      </c>
      <c r="E287" t="s">
        <v>93</v>
      </c>
      <c r="F287" t="b">
        <v>0</v>
      </c>
      <c r="G287" t="b">
        <f>ItemAllocation[[#This Row],[MaximumWaxCellAllocation]]&gt;=ItemAllocation[[#This Row],[NumberOfWaxCells]]</f>
        <v>1</v>
      </c>
    </row>
    <row r="288" spans="1:7" x14ac:dyDescent="0.2">
      <c r="A288" t="s">
        <v>16</v>
      </c>
      <c r="B288" t="s">
        <v>890</v>
      </c>
      <c r="C288">
        <v>2</v>
      </c>
      <c r="D288">
        <v>1</v>
      </c>
      <c r="E288" t="s">
        <v>88</v>
      </c>
      <c r="F288" t="b">
        <v>0</v>
      </c>
      <c r="G288" t="b">
        <f>ItemAllocation[[#This Row],[MaximumWaxCellAllocation]]&gt;=ItemAllocation[[#This Row],[NumberOfWaxCells]]</f>
        <v>1</v>
      </c>
    </row>
    <row r="289" spans="1:7" x14ac:dyDescent="0.2">
      <c r="A289" t="s">
        <v>16</v>
      </c>
      <c r="B289" t="s">
        <v>666</v>
      </c>
      <c r="C289">
        <v>5</v>
      </c>
      <c r="D289">
        <v>5</v>
      </c>
      <c r="E289" t="s">
        <v>11525</v>
      </c>
      <c r="F289" t="b">
        <v>0</v>
      </c>
      <c r="G289" t="b">
        <f>ItemAllocation[[#This Row],[MaximumWaxCellAllocation]]&gt;=ItemAllocation[[#This Row],[NumberOfWaxCells]]</f>
        <v>1</v>
      </c>
    </row>
    <row r="290" spans="1:7" x14ac:dyDescent="0.2">
      <c r="A290" t="s">
        <v>16</v>
      </c>
      <c r="B290" t="s">
        <v>779</v>
      </c>
      <c r="C290">
        <v>34</v>
      </c>
      <c r="D290">
        <v>17</v>
      </c>
      <c r="E290" t="s">
        <v>11526</v>
      </c>
      <c r="F290" t="b">
        <v>0</v>
      </c>
      <c r="G290" t="b">
        <f>ItemAllocation[[#This Row],[MaximumWaxCellAllocation]]&gt;=ItemAllocation[[#This Row],[NumberOfWaxCells]]</f>
        <v>1</v>
      </c>
    </row>
    <row r="291" spans="1:7" x14ac:dyDescent="0.2">
      <c r="A291" t="s">
        <v>16</v>
      </c>
      <c r="B291" t="s">
        <v>797</v>
      </c>
      <c r="C291">
        <v>5</v>
      </c>
      <c r="D291">
        <v>5</v>
      </c>
      <c r="E291" t="s">
        <v>11527</v>
      </c>
      <c r="F291" t="b">
        <v>0</v>
      </c>
      <c r="G291" t="b">
        <f>ItemAllocation[[#This Row],[MaximumWaxCellAllocation]]&gt;=ItemAllocation[[#This Row],[NumberOfWaxCells]]</f>
        <v>1</v>
      </c>
    </row>
    <row r="292" spans="1:7" x14ac:dyDescent="0.2">
      <c r="A292" t="s">
        <v>16</v>
      </c>
      <c r="B292" t="s">
        <v>830</v>
      </c>
      <c r="C292">
        <v>3</v>
      </c>
      <c r="D292">
        <v>3</v>
      </c>
      <c r="E292" t="s">
        <v>11528</v>
      </c>
      <c r="F292" t="b">
        <v>0</v>
      </c>
      <c r="G292" t="b">
        <f>ItemAllocation[[#This Row],[MaximumWaxCellAllocation]]&gt;=ItemAllocation[[#This Row],[NumberOfWaxCells]]</f>
        <v>1</v>
      </c>
    </row>
    <row r="293" spans="1:7" x14ac:dyDescent="0.2">
      <c r="A293" t="s">
        <v>16</v>
      </c>
      <c r="B293" t="s">
        <v>868</v>
      </c>
      <c r="C293">
        <v>1</v>
      </c>
      <c r="D293">
        <v>1</v>
      </c>
      <c r="E293" t="s">
        <v>91</v>
      </c>
      <c r="F293" t="b">
        <v>0</v>
      </c>
      <c r="G293" t="b">
        <f>ItemAllocation[[#This Row],[MaximumWaxCellAllocation]]&gt;=ItemAllocation[[#This Row],[NumberOfWaxCells]]</f>
        <v>1</v>
      </c>
    </row>
    <row r="294" spans="1:7" x14ac:dyDescent="0.2">
      <c r="A294" t="s">
        <v>16</v>
      </c>
      <c r="B294" t="s">
        <v>818</v>
      </c>
      <c r="C294">
        <v>7</v>
      </c>
      <c r="D294">
        <v>5</v>
      </c>
      <c r="E294" t="s">
        <v>11529</v>
      </c>
      <c r="F294" t="b">
        <v>0</v>
      </c>
      <c r="G294" t="b">
        <f>ItemAllocation[[#This Row],[MaximumWaxCellAllocation]]&gt;=ItemAllocation[[#This Row],[NumberOfWaxCells]]</f>
        <v>1</v>
      </c>
    </row>
    <row r="295" spans="1:7" x14ac:dyDescent="0.2">
      <c r="A295" t="s">
        <v>16</v>
      </c>
      <c r="B295" t="s">
        <v>644</v>
      </c>
      <c r="C295">
        <v>3</v>
      </c>
      <c r="D295">
        <v>3</v>
      </c>
      <c r="E295" t="s">
        <v>11530</v>
      </c>
      <c r="F295" t="b">
        <v>0</v>
      </c>
      <c r="G295" t="b">
        <f>ItemAllocation[[#This Row],[MaximumWaxCellAllocation]]&gt;=ItemAllocation[[#This Row],[NumberOfWaxCells]]</f>
        <v>1</v>
      </c>
    </row>
    <row r="296" spans="1:7" x14ac:dyDescent="0.2">
      <c r="A296" t="s">
        <v>16</v>
      </c>
      <c r="B296" t="s">
        <v>853</v>
      </c>
      <c r="C296">
        <v>3</v>
      </c>
      <c r="D296">
        <v>3</v>
      </c>
      <c r="E296" t="s">
        <v>11531</v>
      </c>
      <c r="F296" t="b">
        <v>0</v>
      </c>
      <c r="G296" t="b">
        <f>ItemAllocation[[#This Row],[MaximumWaxCellAllocation]]&gt;=ItemAllocation[[#This Row],[NumberOfWaxCells]]</f>
        <v>1</v>
      </c>
    </row>
    <row r="297" spans="1:7" x14ac:dyDescent="0.2">
      <c r="A297" t="s">
        <v>16</v>
      </c>
      <c r="B297" t="s">
        <v>2905</v>
      </c>
      <c r="C297">
        <v>7</v>
      </c>
      <c r="D297">
        <v>2</v>
      </c>
      <c r="E297" t="s">
        <v>11532</v>
      </c>
      <c r="F297" t="b">
        <v>0</v>
      </c>
      <c r="G297" t="b">
        <f>ItemAllocation[[#This Row],[MaximumWaxCellAllocation]]&gt;=ItemAllocation[[#This Row],[NumberOfWaxCells]]</f>
        <v>1</v>
      </c>
    </row>
    <row r="298" spans="1:7" x14ac:dyDescent="0.2">
      <c r="A298" t="s">
        <v>16</v>
      </c>
      <c r="B298" t="s">
        <v>2907</v>
      </c>
      <c r="C298">
        <v>7</v>
      </c>
      <c r="D298">
        <v>3</v>
      </c>
      <c r="E298" t="s">
        <v>11533</v>
      </c>
      <c r="F298" t="b">
        <v>0</v>
      </c>
      <c r="G298" t="b">
        <f>ItemAllocation[[#This Row],[MaximumWaxCellAllocation]]&gt;=ItemAllocation[[#This Row],[NumberOfWaxCells]]</f>
        <v>1</v>
      </c>
    </row>
    <row r="299" spans="1:7" x14ac:dyDescent="0.2">
      <c r="A299" t="s">
        <v>16</v>
      </c>
      <c r="B299" t="s">
        <v>2909</v>
      </c>
      <c r="C299">
        <v>5</v>
      </c>
      <c r="D299">
        <v>2</v>
      </c>
      <c r="E299" t="s">
        <v>11067</v>
      </c>
      <c r="F299" t="b">
        <v>0</v>
      </c>
      <c r="G299" t="b">
        <f>ItemAllocation[[#This Row],[MaximumWaxCellAllocation]]&gt;=ItemAllocation[[#This Row],[NumberOfWaxCells]]</f>
        <v>1</v>
      </c>
    </row>
    <row r="300" spans="1:7" x14ac:dyDescent="0.2">
      <c r="A300" t="s">
        <v>16</v>
      </c>
      <c r="B300" t="s">
        <v>3281</v>
      </c>
      <c r="C300">
        <v>4</v>
      </c>
      <c r="D300">
        <v>4</v>
      </c>
      <c r="E300" t="s">
        <v>11534</v>
      </c>
      <c r="F300" t="b">
        <v>0</v>
      </c>
      <c r="G300" t="b">
        <f>ItemAllocation[[#This Row],[MaximumWaxCellAllocation]]&gt;=ItemAllocation[[#This Row],[NumberOfWaxCells]]</f>
        <v>1</v>
      </c>
    </row>
    <row r="301" spans="1:7" x14ac:dyDescent="0.2">
      <c r="A301" t="s">
        <v>16</v>
      </c>
      <c r="B301" t="s">
        <v>3361</v>
      </c>
      <c r="C301">
        <v>3</v>
      </c>
      <c r="D301">
        <v>1</v>
      </c>
      <c r="E301" t="s">
        <v>89</v>
      </c>
      <c r="F301" t="b">
        <v>0</v>
      </c>
      <c r="G301" t="b">
        <f>ItemAllocation[[#This Row],[MaximumWaxCellAllocation]]&gt;=ItemAllocation[[#This Row],[NumberOfWaxCells]]</f>
        <v>1</v>
      </c>
    </row>
    <row r="302" spans="1:7" x14ac:dyDescent="0.2">
      <c r="A302" t="s">
        <v>16</v>
      </c>
      <c r="B302" t="s">
        <v>3417</v>
      </c>
      <c r="C302">
        <v>8</v>
      </c>
      <c r="D302">
        <v>8</v>
      </c>
      <c r="E302" t="s">
        <v>11535</v>
      </c>
      <c r="F302" t="b">
        <v>0</v>
      </c>
      <c r="G302" t="b">
        <f>ItemAllocation[[#This Row],[MaximumWaxCellAllocation]]&gt;=ItemAllocation[[#This Row],[NumberOfWaxCells]]</f>
        <v>1</v>
      </c>
    </row>
    <row r="303" spans="1:7" x14ac:dyDescent="0.2">
      <c r="A303" t="s">
        <v>16</v>
      </c>
      <c r="B303" t="s">
        <v>3423</v>
      </c>
      <c r="C303">
        <v>3</v>
      </c>
      <c r="D303">
        <v>3</v>
      </c>
      <c r="E303" t="s">
        <v>11536</v>
      </c>
      <c r="F303" t="b">
        <v>0</v>
      </c>
      <c r="G303" t="b">
        <f>ItemAllocation[[#This Row],[MaximumWaxCellAllocation]]&gt;=ItemAllocation[[#This Row],[NumberOfWaxCells]]</f>
        <v>1</v>
      </c>
    </row>
    <row r="304" spans="1:7" x14ac:dyDescent="0.2">
      <c r="A304" t="s">
        <v>16</v>
      </c>
      <c r="B304" t="s">
        <v>3424</v>
      </c>
      <c r="C304">
        <v>4</v>
      </c>
      <c r="D304">
        <v>4</v>
      </c>
      <c r="E304" t="s">
        <v>11537</v>
      </c>
      <c r="F304" t="b">
        <v>0</v>
      </c>
      <c r="G304" t="b">
        <f>ItemAllocation[[#This Row],[MaximumWaxCellAllocation]]&gt;=ItemAllocation[[#This Row],[NumberOfWaxCells]]</f>
        <v>1</v>
      </c>
    </row>
    <row r="305" spans="1:7" x14ac:dyDescent="0.2">
      <c r="A305" t="s">
        <v>16</v>
      </c>
      <c r="B305" t="s">
        <v>858</v>
      </c>
      <c r="C305">
        <v>3</v>
      </c>
      <c r="D305">
        <v>3</v>
      </c>
      <c r="E305" t="s">
        <v>11538</v>
      </c>
      <c r="F305" t="b">
        <v>0</v>
      </c>
      <c r="G305" t="b">
        <f>ItemAllocation[[#This Row],[MaximumWaxCellAllocation]]&gt;=ItemAllocation[[#This Row],[NumberOfWaxCells]]</f>
        <v>1</v>
      </c>
    </row>
    <row r="306" spans="1:7" x14ac:dyDescent="0.2">
      <c r="A306" t="s">
        <v>16</v>
      </c>
      <c r="B306" t="s">
        <v>3429</v>
      </c>
      <c r="C306">
        <v>3</v>
      </c>
      <c r="D306">
        <v>3</v>
      </c>
      <c r="E306" t="s">
        <v>11539</v>
      </c>
      <c r="F306" t="b">
        <v>0</v>
      </c>
      <c r="G306" t="b">
        <f>ItemAllocation[[#This Row],[MaximumWaxCellAllocation]]&gt;=ItemAllocation[[#This Row],[NumberOfWaxCells]]</f>
        <v>1</v>
      </c>
    </row>
    <row r="307" spans="1:7" x14ac:dyDescent="0.2">
      <c r="A307" t="s">
        <v>16</v>
      </c>
      <c r="B307" t="s">
        <v>812</v>
      </c>
      <c r="C307">
        <v>7</v>
      </c>
      <c r="D307">
        <v>4</v>
      </c>
      <c r="E307" t="s">
        <v>11540</v>
      </c>
      <c r="F307" t="b">
        <v>0</v>
      </c>
      <c r="G307" t="b">
        <f>ItemAllocation[[#This Row],[MaximumWaxCellAllocation]]&gt;=ItemAllocation[[#This Row],[NumberOfWaxCells]]</f>
        <v>1</v>
      </c>
    </row>
    <row r="308" spans="1:7" x14ac:dyDescent="0.2">
      <c r="A308" t="s">
        <v>16</v>
      </c>
      <c r="B308" t="s">
        <v>800</v>
      </c>
      <c r="C308">
        <v>8</v>
      </c>
      <c r="D308">
        <v>2</v>
      </c>
      <c r="E308" t="s">
        <v>10378</v>
      </c>
      <c r="F308" t="b">
        <v>0</v>
      </c>
      <c r="G308" t="b">
        <f>ItemAllocation[[#This Row],[MaximumWaxCellAllocation]]&gt;=ItemAllocation[[#This Row],[NumberOfWaxCells]]</f>
        <v>1</v>
      </c>
    </row>
    <row r="309" spans="1:7" x14ac:dyDescent="0.2">
      <c r="A309" t="s">
        <v>16</v>
      </c>
      <c r="B309" t="s">
        <v>3506</v>
      </c>
      <c r="C309">
        <v>12</v>
      </c>
      <c r="D309">
        <v>5</v>
      </c>
      <c r="E309" t="s">
        <v>11541</v>
      </c>
      <c r="F309" t="b">
        <v>0</v>
      </c>
      <c r="G309" t="b">
        <f>ItemAllocation[[#This Row],[MaximumWaxCellAllocation]]&gt;=ItemAllocation[[#This Row],[NumberOfWaxCells]]</f>
        <v>1</v>
      </c>
    </row>
    <row r="310" spans="1:7" x14ac:dyDescent="0.2">
      <c r="A310" t="s">
        <v>16</v>
      </c>
      <c r="B310" t="s">
        <v>3508</v>
      </c>
      <c r="C310">
        <v>4</v>
      </c>
      <c r="D310">
        <v>4</v>
      </c>
      <c r="E310" t="s">
        <v>11542</v>
      </c>
      <c r="F310" t="b">
        <v>0</v>
      </c>
      <c r="G310" t="b">
        <f>ItemAllocation[[#This Row],[MaximumWaxCellAllocation]]&gt;=ItemAllocation[[#This Row],[NumberOfWaxCells]]</f>
        <v>1</v>
      </c>
    </row>
    <row r="311" spans="1:7" x14ac:dyDescent="0.2">
      <c r="A311" t="s">
        <v>16</v>
      </c>
      <c r="B311" t="s">
        <v>3514</v>
      </c>
      <c r="C311">
        <v>7</v>
      </c>
      <c r="D311">
        <v>7</v>
      </c>
      <c r="E311" t="s">
        <v>11543</v>
      </c>
      <c r="F311" t="b">
        <v>0</v>
      </c>
      <c r="G311" t="b">
        <f>ItemAllocation[[#This Row],[MaximumWaxCellAllocation]]&gt;=ItemAllocation[[#This Row],[NumberOfWaxCells]]</f>
        <v>1</v>
      </c>
    </row>
    <row r="312" spans="1:7" x14ac:dyDescent="0.2">
      <c r="A312" t="s">
        <v>16</v>
      </c>
      <c r="B312" t="s">
        <v>458</v>
      </c>
      <c r="C312">
        <v>6</v>
      </c>
      <c r="D312">
        <v>3</v>
      </c>
      <c r="E312" t="s">
        <v>11544</v>
      </c>
      <c r="F312" t="b">
        <v>0</v>
      </c>
      <c r="G312" t="b">
        <f>ItemAllocation[[#This Row],[MaximumWaxCellAllocation]]&gt;=ItemAllocation[[#This Row],[NumberOfWaxCells]]</f>
        <v>1</v>
      </c>
    </row>
    <row r="313" spans="1:7" x14ac:dyDescent="0.2">
      <c r="A313" t="s">
        <v>16</v>
      </c>
      <c r="B313" t="s">
        <v>888</v>
      </c>
      <c r="C313">
        <v>1</v>
      </c>
      <c r="D313">
        <v>1</v>
      </c>
      <c r="E313" t="s">
        <v>95</v>
      </c>
      <c r="F313" t="b">
        <v>0</v>
      </c>
      <c r="G313" t="b">
        <f>ItemAllocation[[#This Row],[MaximumWaxCellAllocation]]&gt;=ItemAllocation[[#This Row],[NumberOfWaxCells]]</f>
        <v>1</v>
      </c>
    </row>
    <row r="314" spans="1:7" x14ac:dyDescent="0.2">
      <c r="A314" t="s">
        <v>16</v>
      </c>
      <c r="B314" t="s">
        <v>882</v>
      </c>
      <c r="C314">
        <v>2</v>
      </c>
      <c r="D314">
        <v>2</v>
      </c>
      <c r="E314" t="s">
        <v>11545</v>
      </c>
      <c r="F314" t="b">
        <v>0</v>
      </c>
      <c r="G314" t="b">
        <f>ItemAllocation[[#This Row],[MaximumWaxCellAllocation]]&gt;=ItemAllocation[[#This Row],[NumberOfWaxCells]]</f>
        <v>1</v>
      </c>
    </row>
    <row r="315" spans="1:7" x14ac:dyDescent="0.2">
      <c r="A315" t="s">
        <v>16</v>
      </c>
      <c r="B315" t="s">
        <v>811</v>
      </c>
      <c r="C315">
        <v>2</v>
      </c>
      <c r="D315">
        <v>2</v>
      </c>
      <c r="E315" t="s">
        <v>11165</v>
      </c>
      <c r="F315" t="b">
        <v>0</v>
      </c>
      <c r="G315" t="b">
        <f>ItemAllocation[[#This Row],[MaximumWaxCellAllocation]]&gt;=ItemAllocation[[#This Row],[NumberOfWaxCells]]</f>
        <v>1</v>
      </c>
    </row>
    <row r="316" spans="1:7" x14ac:dyDescent="0.2">
      <c r="A316" t="s">
        <v>16</v>
      </c>
      <c r="B316" t="s">
        <v>3667</v>
      </c>
      <c r="C316">
        <v>5</v>
      </c>
      <c r="D316">
        <v>4</v>
      </c>
      <c r="E316" t="s">
        <v>11546</v>
      </c>
      <c r="F316" t="b">
        <v>0</v>
      </c>
      <c r="G316" t="b">
        <f>ItemAllocation[[#This Row],[MaximumWaxCellAllocation]]&gt;=ItemAllocation[[#This Row],[NumberOfWaxCells]]</f>
        <v>1</v>
      </c>
    </row>
    <row r="317" spans="1:7" x14ac:dyDescent="0.2">
      <c r="A317" t="s">
        <v>16</v>
      </c>
      <c r="B317" t="s">
        <v>3881</v>
      </c>
      <c r="C317">
        <v>5</v>
      </c>
      <c r="D317">
        <v>5</v>
      </c>
      <c r="E317" t="s">
        <v>11547</v>
      </c>
      <c r="F317" t="b">
        <v>0</v>
      </c>
      <c r="G317" t="b">
        <f>ItemAllocation[[#This Row],[MaximumWaxCellAllocation]]&gt;=ItemAllocation[[#This Row],[NumberOfWaxCells]]</f>
        <v>1</v>
      </c>
    </row>
    <row r="318" spans="1:7" x14ac:dyDescent="0.2">
      <c r="A318" t="s">
        <v>16</v>
      </c>
      <c r="B318" t="s">
        <v>877</v>
      </c>
      <c r="C318">
        <v>8</v>
      </c>
      <c r="D318">
        <v>8</v>
      </c>
      <c r="E318" t="s">
        <v>11548</v>
      </c>
      <c r="F318" t="b">
        <v>0</v>
      </c>
      <c r="G318" t="b">
        <f>ItemAllocation[[#This Row],[MaximumWaxCellAllocation]]&gt;=ItemAllocation[[#This Row],[NumberOfWaxCells]]</f>
        <v>1</v>
      </c>
    </row>
    <row r="319" spans="1:7" x14ac:dyDescent="0.2">
      <c r="A319" t="s">
        <v>16</v>
      </c>
      <c r="B319" t="s">
        <v>477</v>
      </c>
      <c r="C319">
        <v>12</v>
      </c>
      <c r="D319">
        <v>8</v>
      </c>
      <c r="E319" t="s">
        <v>11549</v>
      </c>
      <c r="F319" t="b">
        <v>0</v>
      </c>
      <c r="G319" t="b">
        <f>ItemAllocation[[#This Row],[MaximumWaxCellAllocation]]&gt;=ItemAllocation[[#This Row],[NumberOfWaxCells]]</f>
        <v>1</v>
      </c>
    </row>
    <row r="320" spans="1:7" x14ac:dyDescent="0.2">
      <c r="A320" t="s">
        <v>16</v>
      </c>
      <c r="B320" t="s">
        <v>790</v>
      </c>
      <c r="C320">
        <v>13</v>
      </c>
      <c r="D320">
        <v>13</v>
      </c>
      <c r="E320" t="s">
        <v>11550</v>
      </c>
      <c r="F320" t="b">
        <v>0</v>
      </c>
      <c r="G320" t="b">
        <f>ItemAllocation[[#This Row],[MaximumWaxCellAllocation]]&gt;=ItemAllocation[[#This Row],[NumberOfWaxCells]]</f>
        <v>1</v>
      </c>
    </row>
    <row r="321" spans="1:7" x14ac:dyDescent="0.2">
      <c r="A321" t="s">
        <v>16</v>
      </c>
      <c r="B321" t="s">
        <v>4842</v>
      </c>
      <c r="C321">
        <v>7</v>
      </c>
      <c r="D321">
        <v>7</v>
      </c>
      <c r="E321" t="s">
        <v>11551</v>
      </c>
      <c r="F321" t="b">
        <v>0</v>
      </c>
      <c r="G321" t="b">
        <f>ItemAllocation[[#This Row],[MaximumWaxCellAllocation]]&gt;=ItemAllocation[[#This Row],[NumberOfWaxCells]]</f>
        <v>1</v>
      </c>
    </row>
    <row r="322" spans="1:7" x14ac:dyDescent="0.2">
      <c r="A322" t="s">
        <v>16</v>
      </c>
      <c r="B322" t="s">
        <v>4070</v>
      </c>
      <c r="C322">
        <v>5</v>
      </c>
      <c r="D322">
        <v>5</v>
      </c>
      <c r="E322" t="s">
        <v>11552</v>
      </c>
      <c r="F322" t="b">
        <v>0</v>
      </c>
      <c r="G322" t="b">
        <f>ItemAllocation[[#This Row],[MaximumWaxCellAllocation]]&gt;=ItemAllocation[[#This Row],[NumberOfWaxCells]]</f>
        <v>1</v>
      </c>
    </row>
    <row r="323" spans="1:7" x14ac:dyDescent="0.2">
      <c r="A323" t="s">
        <v>16</v>
      </c>
      <c r="B323" t="s">
        <v>784</v>
      </c>
      <c r="C323">
        <v>15</v>
      </c>
      <c r="D323">
        <v>4</v>
      </c>
      <c r="E323" t="s">
        <v>11553</v>
      </c>
      <c r="F323" t="b">
        <v>0</v>
      </c>
      <c r="G323" t="b">
        <f>ItemAllocation[[#This Row],[MaximumWaxCellAllocation]]&gt;=ItemAllocation[[#This Row],[NumberOfWaxCells]]</f>
        <v>1</v>
      </c>
    </row>
    <row r="324" spans="1:7" x14ac:dyDescent="0.2">
      <c r="A324" t="s">
        <v>16</v>
      </c>
      <c r="B324" t="s">
        <v>577</v>
      </c>
      <c r="C324">
        <v>30</v>
      </c>
      <c r="D324">
        <v>4</v>
      </c>
      <c r="E324" t="s">
        <v>11554</v>
      </c>
      <c r="F324" t="b">
        <v>0</v>
      </c>
      <c r="G324" t="b">
        <f>ItemAllocation[[#This Row],[MaximumWaxCellAllocation]]&gt;=ItemAllocation[[#This Row],[NumberOfWaxCells]]</f>
        <v>1</v>
      </c>
    </row>
    <row r="325" spans="1:7" x14ac:dyDescent="0.2">
      <c r="A325" t="s">
        <v>16</v>
      </c>
      <c r="B325" t="s">
        <v>782</v>
      </c>
      <c r="C325">
        <v>21</v>
      </c>
      <c r="D325">
        <v>7</v>
      </c>
      <c r="E325" t="s">
        <v>11555</v>
      </c>
      <c r="F325" t="b">
        <v>0</v>
      </c>
      <c r="G325" t="b">
        <f>ItemAllocation[[#This Row],[MaximumWaxCellAllocation]]&gt;=ItemAllocation[[#This Row],[NumberOfWaxCells]]</f>
        <v>1</v>
      </c>
    </row>
    <row r="326" spans="1:7" x14ac:dyDescent="0.2">
      <c r="A326" t="s">
        <v>16</v>
      </c>
      <c r="B326" t="s">
        <v>780</v>
      </c>
      <c r="C326">
        <v>23</v>
      </c>
      <c r="D326">
        <v>8</v>
      </c>
      <c r="E326" t="s">
        <v>11556</v>
      </c>
      <c r="F326" t="b">
        <v>0</v>
      </c>
      <c r="G326" t="b">
        <f>ItemAllocation[[#This Row],[MaximumWaxCellAllocation]]&gt;=ItemAllocation[[#This Row],[NumberOfWaxCells]]</f>
        <v>1</v>
      </c>
    </row>
    <row r="327" spans="1:7" x14ac:dyDescent="0.2">
      <c r="A327" t="s">
        <v>16</v>
      </c>
      <c r="B327" t="s">
        <v>592</v>
      </c>
      <c r="C327">
        <v>3</v>
      </c>
      <c r="D327">
        <v>3</v>
      </c>
      <c r="E327" t="s">
        <v>11082</v>
      </c>
      <c r="F327" t="b">
        <v>0</v>
      </c>
      <c r="G327" t="b">
        <f>ItemAllocation[[#This Row],[MaximumWaxCellAllocation]]&gt;=ItemAllocation[[#This Row],[NumberOfWaxCells]]</f>
        <v>1</v>
      </c>
    </row>
    <row r="328" spans="1:7" x14ac:dyDescent="0.2">
      <c r="A328" t="s">
        <v>16</v>
      </c>
      <c r="B328" t="s">
        <v>594</v>
      </c>
      <c r="C328">
        <v>7</v>
      </c>
      <c r="D328">
        <v>5</v>
      </c>
      <c r="E328" t="s">
        <v>11557</v>
      </c>
      <c r="F328" t="b">
        <v>0</v>
      </c>
      <c r="G328" t="b">
        <f>ItemAllocation[[#This Row],[MaximumWaxCellAllocation]]&gt;=ItemAllocation[[#This Row],[NumberOfWaxCells]]</f>
        <v>1</v>
      </c>
    </row>
    <row r="329" spans="1:7" x14ac:dyDescent="0.2">
      <c r="A329" t="s">
        <v>16</v>
      </c>
      <c r="B329" t="s">
        <v>635</v>
      </c>
      <c r="C329">
        <v>3</v>
      </c>
      <c r="D329">
        <v>3</v>
      </c>
      <c r="E329" t="s">
        <v>11558</v>
      </c>
      <c r="F329" t="b">
        <v>0</v>
      </c>
      <c r="G329" t="b">
        <f>ItemAllocation[[#This Row],[MaximumWaxCellAllocation]]&gt;=ItemAllocation[[#This Row],[NumberOfWaxCells]]</f>
        <v>1</v>
      </c>
    </row>
    <row r="330" spans="1:7" x14ac:dyDescent="0.2">
      <c r="A330" t="s">
        <v>16</v>
      </c>
      <c r="B330" t="s">
        <v>276</v>
      </c>
      <c r="C330">
        <v>10</v>
      </c>
      <c r="D330">
        <v>2</v>
      </c>
      <c r="E330" t="s">
        <v>11559</v>
      </c>
      <c r="F330" t="b">
        <v>0</v>
      </c>
      <c r="G330" t="b">
        <f>ItemAllocation[[#This Row],[MaximumWaxCellAllocation]]&gt;=ItemAllocation[[#This Row],[NumberOfWaxCells]]</f>
        <v>1</v>
      </c>
    </row>
    <row r="331" spans="1:7" x14ac:dyDescent="0.2">
      <c r="A331" t="s">
        <v>16</v>
      </c>
      <c r="B331" t="s">
        <v>583</v>
      </c>
      <c r="C331">
        <v>20</v>
      </c>
      <c r="D331">
        <v>7</v>
      </c>
      <c r="E331" t="s">
        <v>11560</v>
      </c>
      <c r="F331" t="b">
        <v>0</v>
      </c>
      <c r="G331" t="b">
        <f>ItemAllocation[[#This Row],[MaximumWaxCellAllocation]]&gt;=ItemAllocation[[#This Row],[NumberOfWaxCells]]</f>
        <v>1</v>
      </c>
    </row>
    <row r="332" spans="1:7" x14ac:dyDescent="0.2">
      <c r="A332" t="s">
        <v>16</v>
      </c>
      <c r="B332" t="s">
        <v>4259</v>
      </c>
      <c r="C332">
        <v>2</v>
      </c>
      <c r="D332">
        <v>1</v>
      </c>
      <c r="E332" t="s">
        <v>84</v>
      </c>
      <c r="F332" t="b">
        <v>0</v>
      </c>
      <c r="G332" t="b">
        <f>ItemAllocation[[#This Row],[MaximumWaxCellAllocation]]&gt;=ItemAllocation[[#This Row],[NumberOfWaxCells]]</f>
        <v>1</v>
      </c>
    </row>
    <row r="333" spans="1:7" x14ac:dyDescent="0.2">
      <c r="A333" t="s">
        <v>16</v>
      </c>
      <c r="B333" t="s">
        <v>357</v>
      </c>
      <c r="C333">
        <v>5</v>
      </c>
      <c r="D333">
        <v>5</v>
      </c>
      <c r="E333" t="s">
        <v>11561</v>
      </c>
      <c r="F333" t="b">
        <v>0</v>
      </c>
      <c r="G333" t="b">
        <f>ItemAllocation[[#This Row],[MaximumWaxCellAllocation]]&gt;=ItemAllocation[[#This Row],[NumberOfWaxCells]]</f>
        <v>1</v>
      </c>
    </row>
    <row r="334" spans="1:7" x14ac:dyDescent="0.2">
      <c r="A334" t="s">
        <v>16</v>
      </c>
      <c r="B334" t="s">
        <v>362</v>
      </c>
      <c r="C334">
        <v>4</v>
      </c>
      <c r="D334">
        <v>4</v>
      </c>
      <c r="E334" t="s">
        <v>11562</v>
      </c>
      <c r="F334" t="b">
        <v>0</v>
      </c>
      <c r="G334" t="b">
        <f>ItemAllocation[[#This Row],[MaximumWaxCellAllocation]]&gt;=ItemAllocation[[#This Row],[NumberOfWaxCells]]</f>
        <v>1</v>
      </c>
    </row>
    <row r="335" spans="1:7" x14ac:dyDescent="0.2">
      <c r="A335" t="s">
        <v>16</v>
      </c>
      <c r="B335" t="s">
        <v>216</v>
      </c>
      <c r="C335">
        <v>2</v>
      </c>
      <c r="D335">
        <v>2</v>
      </c>
      <c r="E335" t="s">
        <v>11563</v>
      </c>
      <c r="F335" t="b">
        <v>0</v>
      </c>
      <c r="G335" t="b">
        <f>ItemAllocation[[#This Row],[MaximumWaxCellAllocation]]&gt;=ItemAllocation[[#This Row],[NumberOfWaxCells]]</f>
        <v>1</v>
      </c>
    </row>
    <row r="336" spans="1:7" x14ac:dyDescent="0.2">
      <c r="A336" t="s">
        <v>16</v>
      </c>
      <c r="B336" t="s">
        <v>212</v>
      </c>
      <c r="C336">
        <v>5</v>
      </c>
      <c r="D336">
        <v>2</v>
      </c>
      <c r="E336" t="s">
        <v>10378</v>
      </c>
      <c r="F336" t="b">
        <v>0</v>
      </c>
      <c r="G336" t="b">
        <f>ItemAllocation[[#This Row],[MaximumWaxCellAllocation]]&gt;=ItemAllocation[[#This Row],[NumberOfWaxCells]]</f>
        <v>1</v>
      </c>
    </row>
    <row r="337" spans="1:7" x14ac:dyDescent="0.2">
      <c r="A337" t="s">
        <v>16</v>
      </c>
      <c r="B337" t="s">
        <v>214</v>
      </c>
      <c r="C337">
        <v>4</v>
      </c>
      <c r="D337">
        <v>3</v>
      </c>
      <c r="E337" t="s">
        <v>11564</v>
      </c>
      <c r="F337" t="b">
        <v>0</v>
      </c>
      <c r="G337" t="b">
        <f>ItemAllocation[[#This Row],[MaximumWaxCellAllocation]]&gt;=ItemAllocation[[#This Row],[NumberOfWaxCells]]</f>
        <v>1</v>
      </c>
    </row>
    <row r="338" spans="1:7" x14ac:dyDescent="0.2">
      <c r="A338" t="s">
        <v>16</v>
      </c>
      <c r="B338" t="s">
        <v>4312</v>
      </c>
      <c r="C338">
        <v>18</v>
      </c>
      <c r="D338">
        <v>3</v>
      </c>
      <c r="E338" t="s">
        <v>11565</v>
      </c>
      <c r="F338" t="b">
        <v>0</v>
      </c>
      <c r="G338" t="b">
        <f>ItemAllocation[[#This Row],[MaximumWaxCellAllocation]]&gt;=ItemAllocation[[#This Row],[NumberOfWaxCells]]</f>
        <v>1</v>
      </c>
    </row>
    <row r="339" spans="1:7" x14ac:dyDescent="0.2">
      <c r="A339" t="s">
        <v>16</v>
      </c>
      <c r="B339" t="s">
        <v>4318</v>
      </c>
      <c r="C339">
        <v>5</v>
      </c>
      <c r="D339">
        <v>1</v>
      </c>
      <c r="E339" t="s">
        <v>84</v>
      </c>
      <c r="F339" t="b">
        <v>0</v>
      </c>
      <c r="G339" t="b">
        <f>ItemAllocation[[#This Row],[MaximumWaxCellAllocation]]&gt;=ItemAllocation[[#This Row],[NumberOfWaxCells]]</f>
        <v>1</v>
      </c>
    </row>
    <row r="340" spans="1:7" x14ac:dyDescent="0.2">
      <c r="A340" t="s">
        <v>16</v>
      </c>
      <c r="B340" t="s">
        <v>4319</v>
      </c>
      <c r="C340">
        <v>5</v>
      </c>
      <c r="D340">
        <v>1</v>
      </c>
      <c r="E340" t="s">
        <v>92</v>
      </c>
      <c r="F340" t="b">
        <v>0</v>
      </c>
      <c r="G340" t="b">
        <f>ItemAllocation[[#This Row],[MaximumWaxCellAllocation]]&gt;=ItemAllocation[[#This Row],[NumberOfWaxCells]]</f>
        <v>1</v>
      </c>
    </row>
    <row r="341" spans="1:7" x14ac:dyDescent="0.2">
      <c r="A341" t="s">
        <v>16</v>
      </c>
      <c r="B341" t="s">
        <v>872</v>
      </c>
      <c r="C341">
        <v>3</v>
      </c>
      <c r="D341">
        <v>3</v>
      </c>
      <c r="E341" t="s">
        <v>11566</v>
      </c>
      <c r="F341" t="b">
        <v>0</v>
      </c>
      <c r="G341" t="b">
        <f>ItemAllocation[[#This Row],[MaximumWaxCellAllocation]]&gt;=ItemAllocation[[#This Row],[NumberOfWaxCells]]</f>
        <v>1</v>
      </c>
    </row>
    <row r="342" spans="1:7" x14ac:dyDescent="0.2">
      <c r="A342" t="s">
        <v>16</v>
      </c>
      <c r="B342" t="s">
        <v>4335</v>
      </c>
      <c r="C342">
        <v>6</v>
      </c>
      <c r="D342">
        <v>6</v>
      </c>
      <c r="E342" t="s">
        <v>11567</v>
      </c>
      <c r="F342" t="b">
        <v>0</v>
      </c>
      <c r="G342" t="b">
        <f>ItemAllocation[[#This Row],[MaximumWaxCellAllocation]]&gt;=ItemAllocation[[#This Row],[NumberOfWaxCells]]</f>
        <v>1</v>
      </c>
    </row>
    <row r="343" spans="1:7" x14ac:dyDescent="0.2">
      <c r="A343" t="s">
        <v>16</v>
      </c>
      <c r="B343" t="s">
        <v>360</v>
      </c>
      <c r="C343">
        <v>2</v>
      </c>
      <c r="D343">
        <v>2</v>
      </c>
      <c r="E343" t="s">
        <v>11568</v>
      </c>
      <c r="F343" t="b">
        <v>0</v>
      </c>
      <c r="G343" t="b">
        <f>ItemAllocation[[#This Row],[MaximumWaxCellAllocation]]&gt;=ItemAllocation[[#This Row],[NumberOfWaxCells]]</f>
        <v>1</v>
      </c>
    </row>
    <row r="344" spans="1:7" x14ac:dyDescent="0.2">
      <c r="A344" t="s">
        <v>16</v>
      </c>
      <c r="B344" t="s">
        <v>633</v>
      </c>
      <c r="C344">
        <v>3</v>
      </c>
      <c r="D344">
        <v>1</v>
      </c>
      <c r="E344" t="s">
        <v>91</v>
      </c>
      <c r="F344" t="b">
        <v>0</v>
      </c>
      <c r="G344" t="b">
        <f>ItemAllocation[[#This Row],[MaximumWaxCellAllocation]]&gt;=ItemAllocation[[#This Row],[NumberOfWaxCells]]</f>
        <v>1</v>
      </c>
    </row>
    <row r="345" spans="1:7" x14ac:dyDescent="0.2">
      <c r="A345" t="s">
        <v>16</v>
      </c>
      <c r="B345" t="s">
        <v>456</v>
      </c>
      <c r="C345">
        <v>2</v>
      </c>
      <c r="D345">
        <v>2</v>
      </c>
      <c r="E345" t="s">
        <v>11569</v>
      </c>
      <c r="F345" t="b">
        <v>0</v>
      </c>
      <c r="G345" t="b">
        <f>ItemAllocation[[#This Row],[MaximumWaxCellAllocation]]&gt;=ItemAllocation[[#This Row],[NumberOfWaxCells]]</f>
        <v>1</v>
      </c>
    </row>
    <row r="346" spans="1:7" x14ac:dyDescent="0.2">
      <c r="A346" t="s">
        <v>16</v>
      </c>
      <c r="B346" t="s">
        <v>473</v>
      </c>
      <c r="C346">
        <v>4</v>
      </c>
      <c r="D346">
        <v>4</v>
      </c>
      <c r="E346" t="s">
        <v>11570</v>
      </c>
      <c r="F346" t="b">
        <v>0</v>
      </c>
      <c r="G346" t="b">
        <f>ItemAllocation[[#This Row],[MaximumWaxCellAllocation]]&gt;=ItemAllocation[[#This Row],[NumberOfWaxCells]]</f>
        <v>1</v>
      </c>
    </row>
    <row r="347" spans="1:7" x14ac:dyDescent="0.2">
      <c r="A347" t="s">
        <v>16</v>
      </c>
      <c r="B347" t="s">
        <v>4379</v>
      </c>
      <c r="C347">
        <v>4</v>
      </c>
      <c r="D347">
        <v>4</v>
      </c>
      <c r="E347" t="s">
        <v>11571</v>
      </c>
      <c r="F347" t="b">
        <v>0</v>
      </c>
      <c r="G347" t="b">
        <f>ItemAllocation[[#This Row],[MaximumWaxCellAllocation]]&gt;=ItemAllocation[[#This Row],[NumberOfWaxCells]]</f>
        <v>1</v>
      </c>
    </row>
    <row r="348" spans="1:7" x14ac:dyDescent="0.2">
      <c r="A348" t="s">
        <v>16</v>
      </c>
      <c r="B348" t="s">
        <v>876</v>
      </c>
      <c r="C348">
        <v>5</v>
      </c>
      <c r="D348">
        <v>1</v>
      </c>
      <c r="E348" t="s">
        <v>97</v>
      </c>
      <c r="F348" t="b">
        <v>0</v>
      </c>
      <c r="G348" t="b">
        <f>ItemAllocation[[#This Row],[MaximumWaxCellAllocation]]&gt;=ItemAllocation[[#This Row],[NumberOfWaxCells]]</f>
        <v>1</v>
      </c>
    </row>
    <row r="349" spans="1:7" x14ac:dyDescent="0.2">
      <c r="A349" t="s">
        <v>16</v>
      </c>
      <c r="B349" t="s">
        <v>4391</v>
      </c>
      <c r="C349">
        <v>14</v>
      </c>
      <c r="D349">
        <v>14</v>
      </c>
      <c r="E349" t="s">
        <v>11572</v>
      </c>
      <c r="F349" t="b">
        <v>0</v>
      </c>
      <c r="G349" t="b">
        <f>ItemAllocation[[#This Row],[MaximumWaxCellAllocation]]&gt;=ItemAllocation[[#This Row],[NumberOfWaxCells]]</f>
        <v>1</v>
      </c>
    </row>
    <row r="350" spans="1:7" x14ac:dyDescent="0.2">
      <c r="A350" t="s">
        <v>16</v>
      </c>
      <c r="B350" t="s">
        <v>4392</v>
      </c>
      <c r="C350">
        <v>14</v>
      </c>
      <c r="D350">
        <v>14</v>
      </c>
      <c r="E350" t="s">
        <v>11573</v>
      </c>
      <c r="F350" t="b">
        <v>0</v>
      </c>
      <c r="G350" t="b">
        <f>ItemAllocation[[#This Row],[MaximumWaxCellAllocation]]&gt;=ItemAllocation[[#This Row],[NumberOfWaxCells]]</f>
        <v>1</v>
      </c>
    </row>
    <row r="351" spans="1:7" x14ac:dyDescent="0.2">
      <c r="A351" t="s">
        <v>16</v>
      </c>
      <c r="B351" t="s">
        <v>403</v>
      </c>
      <c r="C351">
        <v>4</v>
      </c>
      <c r="D351">
        <v>1</v>
      </c>
      <c r="E351" t="s">
        <v>92</v>
      </c>
      <c r="F351" t="b">
        <v>0</v>
      </c>
      <c r="G351" t="b">
        <f>ItemAllocation[[#This Row],[MaximumWaxCellAllocation]]&gt;=ItemAllocation[[#This Row],[NumberOfWaxCells]]</f>
        <v>1</v>
      </c>
    </row>
    <row r="352" spans="1:7" x14ac:dyDescent="0.2">
      <c r="A352" t="s">
        <v>16</v>
      </c>
      <c r="B352" t="s">
        <v>913</v>
      </c>
      <c r="C352">
        <v>4</v>
      </c>
      <c r="D352">
        <v>1</v>
      </c>
      <c r="E352" t="s">
        <v>93</v>
      </c>
      <c r="F352" t="b">
        <v>0</v>
      </c>
      <c r="G352" t="b">
        <f>ItemAllocation[[#This Row],[MaximumWaxCellAllocation]]&gt;=ItemAllocation[[#This Row],[NumberOfWaxCells]]</f>
        <v>1</v>
      </c>
    </row>
    <row r="353" spans="1:7" x14ac:dyDescent="0.2">
      <c r="A353" t="s">
        <v>16</v>
      </c>
      <c r="B353" t="s">
        <v>358</v>
      </c>
      <c r="C353">
        <v>2</v>
      </c>
      <c r="D353">
        <v>2</v>
      </c>
      <c r="E353" t="s">
        <v>11092</v>
      </c>
      <c r="F353" t="b">
        <v>0</v>
      </c>
      <c r="G353" t="b">
        <f>ItemAllocation[[#This Row],[MaximumWaxCellAllocation]]&gt;=ItemAllocation[[#This Row],[NumberOfWaxCells]]</f>
        <v>1</v>
      </c>
    </row>
    <row r="354" spans="1:7" x14ac:dyDescent="0.2">
      <c r="A354" t="s">
        <v>16</v>
      </c>
      <c r="B354" t="s">
        <v>614</v>
      </c>
      <c r="C354">
        <v>7</v>
      </c>
      <c r="D354">
        <v>1</v>
      </c>
      <c r="E354" t="s">
        <v>99</v>
      </c>
      <c r="F354" t="b">
        <v>0</v>
      </c>
      <c r="G354" t="b">
        <f>ItemAllocation[[#This Row],[MaximumWaxCellAllocation]]&gt;=ItemAllocation[[#This Row],[NumberOfWaxCells]]</f>
        <v>1</v>
      </c>
    </row>
    <row r="355" spans="1:7" x14ac:dyDescent="0.2">
      <c r="A355" t="s">
        <v>16</v>
      </c>
      <c r="B355" t="s">
        <v>4947</v>
      </c>
      <c r="C355">
        <v>1</v>
      </c>
      <c r="D355">
        <v>1</v>
      </c>
      <c r="E355" t="s">
        <v>101</v>
      </c>
      <c r="F355" t="b">
        <v>0</v>
      </c>
      <c r="G355" t="b">
        <f>ItemAllocation[[#This Row],[MaximumWaxCellAllocation]]&gt;=ItemAllocation[[#This Row],[NumberOfWaxCells]]</f>
        <v>1</v>
      </c>
    </row>
    <row r="356" spans="1:7" x14ac:dyDescent="0.2">
      <c r="A356" t="s">
        <v>16</v>
      </c>
      <c r="B356" t="s">
        <v>4431</v>
      </c>
      <c r="C356">
        <v>3</v>
      </c>
      <c r="D356">
        <v>1</v>
      </c>
      <c r="E356" t="s">
        <v>100</v>
      </c>
      <c r="F356" t="b">
        <v>0</v>
      </c>
      <c r="G356" t="b">
        <f>ItemAllocation[[#This Row],[MaximumWaxCellAllocation]]&gt;=ItemAllocation[[#This Row],[NumberOfWaxCells]]</f>
        <v>1</v>
      </c>
    </row>
    <row r="357" spans="1:7" x14ac:dyDescent="0.2">
      <c r="A357" t="s">
        <v>16</v>
      </c>
      <c r="B357" t="s">
        <v>4433</v>
      </c>
      <c r="C357">
        <v>3</v>
      </c>
      <c r="D357">
        <v>1</v>
      </c>
      <c r="E357" t="s">
        <v>97</v>
      </c>
      <c r="F357" t="b">
        <v>0</v>
      </c>
      <c r="G357" t="b">
        <f>ItemAllocation[[#This Row],[MaximumWaxCellAllocation]]&gt;=ItemAllocation[[#This Row],[NumberOfWaxCells]]</f>
        <v>1</v>
      </c>
    </row>
    <row r="358" spans="1:7" x14ac:dyDescent="0.2">
      <c r="A358" t="s">
        <v>16</v>
      </c>
      <c r="B358" t="s">
        <v>810</v>
      </c>
      <c r="C358">
        <v>3</v>
      </c>
      <c r="D358">
        <v>3</v>
      </c>
      <c r="E358" t="s">
        <v>11574</v>
      </c>
      <c r="F358" t="b">
        <v>0</v>
      </c>
      <c r="G358" t="b">
        <f>ItemAllocation[[#This Row],[MaximumWaxCellAllocation]]&gt;=ItemAllocation[[#This Row],[NumberOfWaxCells]]</f>
        <v>1</v>
      </c>
    </row>
    <row r="359" spans="1:7" x14ac:dyDescent="0.2">
      <c r="A359" t="s">
        <v>16</v>
      </c>
      <c r="B359" t="s">
        <v>795</v>
      </c>
      <c r="C359">
        <v>11</v>
      </c>
      <c r="D359">
        <v>4</v>
      </c>
      <c r="E359" t="s">
        <v>11575</v>
      </c>
      <c r="F359" t="b">
        <v>0</v>
      </c>
      <c r="G359" t="b">
        <f>ItemAllocation[[#This Row],[MaximumWaxCellAllocation]]&gt;=ItemAllocation[[#This Row],[NumberOfWaxCells]]</f>
        <v>1</v>
      </c>
    </row>
    <row r="360" spans="1:7" x14ac:dyDescent="0.2">
      <c r="A360" t="s">
        <v>16</v>
      </c>
      <c r="B360" t="s">
        <v>796</v>
      </c>
      <c r="C360">
        <v>10</v>
      </c>
      <c r="D360">
        <v>2</v>
      </c>
      <c r="E360" t="s">
        <v>11576</v>
      </c>
      <c r="F360" t="b">
        <v>0</v>
      </c>
      <c r="G360" t="b">
        <f>ItemAllocation[[#This Row],[MaximumWaxCellAllocation]]&gt;=ItemAllocation[[#This Row],[NumberOfWaxCells]]</f>
        <v>1</v>
      </c>
    </row>
    <row r="361" spans="1:7" x14ac:dyDescent="0.2">
      <c r="A361" t="s">
        <v>16</v>
      </c>
      <c r="B361" t="s">
        <v>4435</v>
      </c>
      <c r="C361">
        <v>2</v>
      </c>
      <c r="D361">
        <v>2</v>
      </c>
      <c r="E361" t="s">
        <v>11577</v>
      </c>
      <c r="F361" t="b">
        <v>0</v>
      </c>
      <c r="G361" t="b">
        <f>ItemAllocation[[#This Row],[MaximumWaxCellAllocation]]&gt;=ItemAllocation[[#This Row],[NumberOfWaxCells]]</f>
        <v>1</v>
      </c>
    </row>
    <row r="362" spans="1:7" x14ac:dyDescent="0.2">
      <c r="A362" t="s">
        <v>16</v>
      </c>
      <c r="B362" t="s">
        <v>4436</v>
      </c>
      <c r="C362">
        <v>4</v>
      </c>
      <c r="D362">
        <v>4</v>
      </c>
      <c r="E362" t="s">
        <v>11578</v>
      </c>
      <c r="F362" t="b">
        <v>0</v>
      </c>
      <c r="G362" t="b">
        <f>ItemAllocation[[#This Row],[MaximumWaxCellAllocation]]&gt;=ItemAllocation[[#This Row],[NumberOfWaxCells]]</f>
        <v>1</v>
      </c>
    </row>
    <row r="363" spans="1:7" x14ac:dyDescent="0.2">
      <c r="A363" t="s">
        <v>16</v>
      </c>
      <c r="B363" t="s">
        <v>280</v>
      </c>
      <c r="C363">
        <v>4</v>
      </c>
      <c r="D363">
        <v>3</v>
      </c>
      <c r="E363" t="s">
        <v>11579</v>
      </c>
      <c r="F363" t="b">
        <v>0</v>
      </c>
      <c r="G363" t="b">
        <f>ItemAllocation[[#This Row],[MaximumWaxCellAllocation]]&gt;=ItemAllocation[[#This Row],[NumberOfWaxCells]]</f>
        <v>1</v>
      </c>
    </row>
    <row r="364" spans="1:7" x14ac:dyDescent="0.2">
      <c r="A364" t="s">
        <v>16</v>
      </c>
      <c r="B364" t="s">
        <v>234</v>
      </c>
      <c r="C364">
        <v>2</v>
      </c>
      <c r="D364">
        <v>2</v>
      </c>
      <c r="E364" t="s">
        <v>5879</v>
      </c>
      <c r="F364" t="b">
        <v>0</v>
      </c>
      <c r="G364" t="b">
        <f>ItemAllocation[[#This Row],[MaximumWaxCellAllocation]]&gt;=ItemAllocation[[#This Row],[NumberOfWaxCells]]</f>
        <v>1</v>
      </c>
    </row>
    <row r="365" spans="1:7" x14ac:dyDescent="0.2">
      <c r="A365" t="s">
        <v>16</v>
      </c>
      <c r="B365" t="s">
        <v>273</v>
      </c>
      <c r="C365">
        <v>3</v>
      </c>
      <c r="D365">
        <v>3</v>
      </c>
      <c r="E365" t="s">
        <v>11580</v>
      </c>
      <c r="F365" t="b">
        <v>0</v>
      </c>
      <c r="G365" t="b">
        <f>ItemAllocation[[#This Row],[MaximumWaxCellAllocation]]&gt;=ItemAllocation[[#This Row],[NumberOfWaxCells]]</f>
        <v>1</v>
      </c>
    </row>
    <row r="366" spans="1:7" x14ac:dyDescent="0.2">
      <c r="A366" t="s">
        <v>16</v>
      </c>
      <c r="B366" t="s">
        <v>4485</v>
      </c>
      <c r="C366">
        <v>4</v>
      </c>
      <c r="D366">
        <v>4</v>
      </c>
      <c r="E366" t="s">
        <v>11581</v>
      </c>
      <c r="F366" t="b">
        <v>0</v>
      </c>
      <c r="G366" t="b">
        <f>ItemAllocation[[#This Row],[MaximumWaxCellAllocation]]&gt;=ItemAllocation[[#This Row],[NumberOfWaxCells]]</f>
        <v>1</v>
      </c>
    </row>
    <row r="367" spans="1:7" x14ac:dyDescent="0.2">
      <c r="A367" t="s">
        <v>16</v>
      </c>
      <c r="B367" t="s">
        <v>4486</v>
      </c>
      <c r="C367">
        <v>5</v>
      </c>
      <c r="D367">
        <v>5</v>
      </c>
      <c r="E367" t="s">
        <v>11582</v>
      </c>
      <c r="F367" t="b">
        <v>0</v>
      </c>
      <c r="G367" t="b">
        <f>ItemAllocation[[#This Row],[MaximumWaxCellAllocation]]&gt;=ItemAllocation[[#This Row],[NumberOfWaxCells]]</f>
        <v>1</v>
      </c>
    </row>
    <row r="368" spans="1:7" x14ac:dyDescent="0.2">
      <c r="A368" t="s">
        <v>16</v>
      </c>
      <c r="B368" t="s">
        <v>4531</v>
      </c>
      <c r="C368">
        <v>6</v>
      </c>
      <c r="D368">
        <v>1</v>
      </c>
      <c r="E368" t="s">
        <v>93</v>
      </c>
      <c r="F368" t="b">
        <v>0</v>
      </c>
      <c r="G368" t="b">
        <f>ItemAllocation[[#This Row],[MaximumWaxCellAllocation]]&gt;=ItemAllocation[[#This Row],[NumberOfWaxCells]]</f>
        <v>1</v>
      </c>
    </row>
    <row r="369" spans="1:7" x14ac:dyDescent="0.2">
      <c r="A369" t="s">
        <v>16</v>
      </c>
      <c r="B369" t="s">
        <v>655</v>
      </c>
      <c r="C369">
        <v>3</v>
      </c>
      <c r="D369">
        <v>1</v>
      </c>
      <c r="E369" t="s">
        <v>95</v>
      </c>
      <c r="F369" t="b">
        <v>0</v>
      </c>
      <c r="G369" t="b">
        <f>ItemAllocation[[#This Row],[MaximumWaxCellAllocation]]&gt;=ItemAllocation[[#This Row],[NumberOfWaxCells]]</f>
        <v>1</v>
      </c>
    </row>
    <row r="370" spans="1:7" x14ac:dyDescent="0.2">
      <c r="A370" t="s">
        <v>16</v>
      </c>
      <c r="B370" t="s">
        <v>4563</v>
      </c>
      <c r="C370">
        <v>6</v>
      </c>
      <c r="D370">
        <v>1</v>
      </c>
      <c r="E370" t="s">
        <v>95</v>
      </c>
      <c r="F370" t="b">
        <v>0</v>
      </c>
      <c r="G370" t="b">
        <f>ItemAllocation[[#This Row],[MaximumWaxCellAllocation]]&gt;=ItemAllocation[[#This Row],[NumberOfWaxCells]]</f>
        <v>1</v>
      </c>
    </row>
    <row r="371" spans="1:7" x14ac:dyDescent="0.2">
      <c r="A371" t="s">
        <v>16</v>
      </c>
      <c r="B371" t="s">
        <v>660</v>
      </c>
      <c r="C371">
        <v>6</v>
      </c>
      <c r="D371">
        <v>1</v>
      </c>
      <c r="E371" t="s">
        <v>93</v>
      </c>
      <c r="F371" t="b">
        <v>0</v>
      </c>
      <c r="G371" t="b">
        <f>ItemAllocation[[#This Row],[MaximumWaxCellAllocation]]&gt;=ItemAllocation[[#This Row],[NumberOfWaxCells]]</f>
        <v>1</v>
      </c>
    </row>
    <row r="372" spans="1:7" x14ac:dyDescent="0.2">
      <c r="A372" t="s">
        <v>16</v>
      </c>
      <c r="B372" t="s">
        <v>604</v>
      </c>
      <c r="C372">
        <v>6</v>
      </c>
      <c r="D372">
        <v>1</v>
      </c>
      <c r="E372" t="s">
        <v>103</v>
      </c>
      <c r="F372" t="b">
        <v>0</v>
      </c>
      <c r="G372" t="b">
        <f>ItemAllocation[[#This Row],[MaximumWaxCellAllocation]]&gt;=ItemAllocation[[#This Row],[NumberOfWaxCells]]</f>
        <v>1</v>
      </c>
    </row>
    <row r="373" spans="1:7" x14ac:dyDescent="0.2">
      <c r="A373" t="s">
        <v>16</v>
      </c>
      <c r="B373" t="s">
        <v>4565</v>
      </c>
      <c r="C373">
        <v>8</v>
      </c>
      <c r="D373">
        <v>1</v>
      </c>
      <c r="E373" t="s">
        <v>101</v>
      </c>
      <c r="F373" t="b">
        <v>0</v>
      </c>
      <c r="G373" t="b">
        <f>ItemAllocation[[#This Row],[MaximumWaxCellAllocation]]&gt;=ItemAllocation[[#This Row],[NumberOfWaxCells]]</f>
        <v>1</v>
      </c>
    </row>
    <row r="374" spans="1:7" x14ac:dyDescent="0.2">
      <c r="A374" t="s">
        <v>16</v>
      </c>
      <c r="B374" t="s">
        <v>617</v>
      </c>
      <c r="C374">
        <v>1</v>
      </c>
      <c r="D374">
        <v>1</v>
      </c>
      <c r="E374" t="s">
        <v>90</v>
      </c>
      <c r="F374" t="b">
        <v>0</v>
      </c>
      <c r="G374" t="b">
        <f>ItemAllocation[[#This Row],[MaximumWaxCellAllocation]]&gt;=ItemAllocation[[#This Row],[NumberOfWaxCells]]</f>
        <v>1</v>
      </c>
    </row>
    <row r="375" spans="1:7" x14ac:dyDescent="0.2">
      <c r="A375" t="s">
        <v>16</v>
      </c>
      <c r="B375" t="s">
        <v>4583</v>
      </c>
      <c r="C375">
        <v>2</v>
      </c>
      <c r="D375">
        <v>1</v>
      </c>
      <c r="E375" t="s">
        <v>95</v>
      </c>
      <c r="F375" t="b">
        <v>0</v>
      </c>
      <c r="G375" t="b">
        <f>ItemAllocation[[#This Row],[MaximumWaxCellAllocation]]&gt;=ItemAllocation[[#This Row],[NumberOfWaxCells]]</f>
        <v>1</v>
      </c>
    </row>
    <row r="376" spans="1:7" x14ac:dyDescent="0.2">
      <c r="A376" t="s">
        <v>16</v>
      </c>
      <c r="B376" t="s">
        <v>4589</v>
      </c>
      <c r="C376">
        <v>2</v>
      </c>
      <c r="D376">
        <v>1</v>
      </c>
      <c r="E376" t="s">
        <v>93</v>
      </c>
      <c r="F376" t="b">
        <v>0</v>
      </c>
      <c r="G376" t="b">
        <f>ItemAllocation[[#This Row],[MaximumWaxCellAllocation]]&gt;=ItemAllocation[[#This Row],[NumberOfWaxCells]]</f>
        <v>1</v>
      </c>
    </row>
    <row r="377" spans="1:7" x14ac:dyDescent="0.2">
      <c r="A377" t="s">
        <v>16</v>
      </c>
      <c r="B377" t="s">
        <v>225</v>
      </c>
      <c r="C377">
        <v>5</v>
      </c>
      <c r="D377">
        <v>5</v>
      </c>
      <c r="E377" t="s">
        <v>11583</v>
      </c>
      <c r="F377" t="b">
        <v>0</v>
      </c>
      <c r="G377" t="b">
        <f>ItemAllocation[[#This Row],[MaximumWaxCellAllocation]]&gt;=ItemAllocation[[#This Row],[NumberOfWaxCells]]</f>
        <v>1</v>
      </c>
    </row>
    <row r="378" spans="1:7" x14ac:dyDescent="0.2">
      <c r="A378" t="s">
        <v>16</v>
      </c>
      <c r="B378" t="s">
        <v>226</v>
      </c>
      <c r="C378">
        <v>11</v>
      </c>
      <c r="D378">
        <v>3</v>
      </c>
      <c r="E378" t="s">
        <v>11584</v>
      </c>
      <c r="F378" t="b">
        <v>0</v>
      </c>
      <c r="G378" t="b">
        <f>ItemAllocation[[#This Row],[MaximumWaxCellAllocation]]&gt;=ItemAllocation[[#This Row],[NumberOfWaxCells]]</f>
        <v>1</v>
      </c>
    </row>
    <row r="379" spans="1:7" x14ac:dyDescent="0.2">
      <c r="A379" t="s">
        <v>16</v>
      </c>
      <c r="B379" t="s">
        <v>4607</v>
      </c>
      <c r="C379">
        <v>8</v>
      </c>
      <c r="D379">
        <v>1</v>
      </c>
      <c r="E379" t="s">
        <v>101</v>
      </c>
      <c r="F379" t="b">
        <v>0</v>
      </c>
      <c r="G379" t="b">
        <f>ItemAllocation[[#This Row],[MaximumWaxCellAllocation]]&gt;=ItemAllocation[[#This Row],[NumberOfWaxCells]]</f>
        <v>1</v>
      </c>
    </row>
    <row r="380" spans="1:7" x14ac:dyDescent="0.2">
      <c r="A380" t="s">
        <v>16</v>
      </c>
      <c r="B380" t="s">
        <v>326</v>
      </c>
      <c r="C380">
        <v>8</v>
      </c>
      <c r="D380">
        <v>8</v>
      </c>
      <c r="E380" t="s">
        <v>11585</v>
      </c>
      <c r="F380" t="b">
        <v>0</v>
      </c>
      <c r="G380" t="b">
        <f>ItemAllocation[[#This Row],[MaximumWaxCellAllocation]]&gt;=ItemAllocation[[#This Row],[NumberOfWaxCells]]</f>
        <v>1</v>
      </c>
    </row>
    <row r="381" spans="1:7" x14ac:dyDescent="0.2">
      <c r="A381" t="s">
        <v>16</v>
      </c>
      <c r="B381" t="s">
        <v>365</v>
      </c>
      <c r="C381">
        <v>4</v>
      </c>
      <c r="D381">
        <v>2</v>
      </c>
      <c r="E381" t="s">
        <v>11586</v>
      </c>
      <c r="F381" t="b">
        <v>0</v>
      </c>
      <c r="G381" t="b">
        <f>ItemAllocation[[#This Row],[MaximumWaxCellAllocation]]&gt;=ItemAllocation[[#This Row],[NumberOfWaxCells]]</f>
        <v>1</v>
      </c>
    </row>
    <row r="382" spans="1:7" x14ac:dyDescent="0.2">
      <c r="A382" t="s">
        <v>16</v>
      </c>
      <c r="B382" t="s">
        <v>299</v>
      </c>
      <c r="C382">
        <v>2</v>
      </c>
      <c r="D382">
        <v>2</v>
      </c>
      <c r="E382" t="s">
        <v>11098</v>
      </c>
      <c r="F382" t="b">
        <v>0</v>
      </c>
      <c r="G382" t="b">
        <f>ItemAllocation[[#This Row],[MaximumWaxCellAllocation]]&gt;=ItemAllocation[[#This Row],[NumberOfWaxCells]]</f>
        <v>1</v>
      </c>
    </row>
    <row r="383" spans="1:7" x14ac:dyDescent="0.2">
      <c r="A383" t="s">
        <v>16</v>
      </c>
      <c r="B383" t="s">
        <v>304</v>
      </c>
      <c r="C383">
        <v>22</v>
      </c>
      <c r="D383">
        <v>8</v>
      </c>
      <c r="E383" t="s">
        <v>11587</v>
      </c>
      <c r="F383" t="b">
        <v>0</v>
      </c>
      <c r="G383" t="b">
        <f>ItemAllocation[[#This Row],[MaximumWaxCellAllocation]]&gt;=ItemAllocation[[#This Row],[NumberOfWaxCells]]</f>
        <v>1</v>
      </c>
    </row>
    <row r="384" spans="1:7" x14ac:dyDescent="0.2">
      <c r="A384" t="s">
        <v>16</v>
      </c>
      <c r="B384" t="s">
        <v>819</v>
      </c>
      <c r="C384">
        <v>3</v>
      </c>
      <c r="D384">
        <v>2</v>
      </c>
      <c r="E384" t="s">
        <v>11096</v>
      </c>
      <c r="F384" t="b">
        <v>0</v>
      </c>
      <c r="G384" t="b">
        <f>ItemAllocation[[#This Row],[MaximumWaxCellAllocation]]&gt;=ItemAllocation[[#This Row],[NumberOfWaxCells]]</f>
        <v>1</v>
      </c>
    </row>
    <row r="385" spans="1:7" x14ac:dyDescent="0.2">
      <c r="A385" t="s">
        <v>16</v>
      </c>
      <c r="B385" t="s">
        <v>820</v>
      </c>
      <c r="C385">
        <v>8</v>
      </c>
      <c r="D385">
        <v>2</v>
      </c>
      <c r="E385" t="s">
        <v>11588</v>
      </c>
      <c r="F385" t="b">
        <v>0</v>
      </c>
      <c r="G385" t="b">
        <f>ItemAllocation[[#This Row],[MaximumWaxCellAllocation]]&gt;=ItemAllocation[[#This Row],[NumberOfWaxCells]]</f>
        <v>1</v>
      </c>
    </row>
    <row r="386" spans="1:7" x14ac:dyDescent="0.2">
      <c r="A386" t="s">
        <v>16</v>
      </c>
      <c r="B386" t="s">
        <v>4652</v>
      </c>
      <c r="C386">
        <v>3</v>
      </c>
      <c r="D386">
        <v>1</v>
      </c>
      <c r="E386" t="s">
        <v>92</v>
      </c>
      <c r="F386" t="b">
        <v>0</v>
      </c>
      <c r="G386" t="b">
        <f>ItemAllocation[[#This Row],[MaximumWaxCellAllocation]]&gt;=ItemAllocation[[#This Row],[NumberOfWaxCells]]</f>
        <v>1</v>
      </c>
    </row>
    <row r="387" spans="1:7" x14ac:dyDescent="0.2">
      <c r="A387" t="s">
        <v>16</v>
      </c>
      <c r="B387" t="s">
        <v>231</v>
      </c>
      <c r="C387">
        <v>4</v>
      </c>
      <c r="D387">
        <v>1</v>
      </c>
      <c r="E387" t="s">
        <v>105</v>
      </c>
      <c r="F387" t="b">
        <v>0</v>
      </c>
      <c r="G387" t="b">
        <f>ItemAllocation[[#This Row],[MaximumWaxCellAllocation]]&gt;=ItemAllocation[[#This Row],[NumberOfWaxCells]]</f>
        <v>1</v>
      </c>
    </row>
    <row r="388" spans="1:7" x14ac:dyDescent="0.2">
      <c r="A388" t="s">
        <v>16</v>
      </c>
      <c r="B388" t="s">
        <v>466</v>
      </c>
      <c r="C388">
        <v>11</v>
      </c>
      <c r="D388">
        <v>3</v>
      </c>
      <c r="E388" t="s">
        <v>11589</v>
      </c>
      <c r="F388" t="b">
        <v>0</v>
      </c>
      <c r="G388" t="b">
        <f>ItemAllocation[[#This Row],[MaximumWaxCellAllocation]]&gt;=ItemAllocation[[#This Row],[NumberOfWaxCells]]</f>
        <v>1</v>
      </c>
    </row>
    <row r="389" spans="1:7" x14ac:dyDescent="0.2">
      <c r="A389" t="s">
        <v>16</v>
      </c>
      <c r="B389" t="s">
        <v>468</v>
      </c>
      <c r="C389">
        <v>5</v>
      </c>
      <c r="D389">
        <v>2</v>
      </c>
      <c r="E389" t="s">
        <v>11590</v>
      </c>
      <c r="F389" t="b">
        <v>0</v>
      </c>
      <c r="G389" t="b">
        <f>ItemAllocation[[#This Row],[MaximumWaxCellAllocation]]&gt;=ItemAllocation[[#This Row],[NumberOfWaxCells]]</f>
        <v>1</v>
      </c>
    </row>
    <row r="390" spans="1:7" x14ac:dyDescent="0.2">
      <c r="A390" t="s">
        <v>16</v>
      </c>
      <c r="B390" t="s">
        <v>232</v>
      </c>
      <c r="C390">
        <v>4</v>
      </c>
      <c r="D390">
        <v>3</v>
      </c>
      <c r="E390" t="s">
        <v>11591</v>
      </c>
      <c r="F390" t="b">
        <v>0</v>
      </c>
      <c r="G390" t="b">
        <f>ItemAllocation[[#This Row],[MaximumWaxCellAllocation]]&gt;=ItemAllocation[[#This Row],[NumberOfWaxCells]]</f>
        <v>1</v>
      </c>
    </row>
    <row r="391" spans="1:7" x14ac:dyDescent="0.2">
      <c r="A391" t="s">
        <v>16</v>
      </c>
      <c r="B391" t="s">
        <v>236</v>
      </c>
      <c r="C391">
        <v>3</v>
      </c>
      <c r="D391">
        <v>3</v>
      </c>
      <c r="E391" t="s">
        <v>11592</v>
      </c>
      <c r="F391" t="b">
        <v>0</v>
      </c>
      <c r="G391" t="b">
        <f>ItemAllocation[[#This Row],[MaximumWaxCellAllocation]]&gt;=ItemAllocation[[#This Row],[NumberOfWaxCells]]</f>
        <v>1</v>
      </c>
    </row>
    <row r="392" spans="1:7" x14ac:dyDescent="0.2">
      <c r="A392" t="s">
        <v>16</v>
      </c>
      <c r="B392" t="s">
        <v>4684</v>
      </c>
      <c r="C392">
        <v>6</v>
      </c>
      <c r="D392">
        <v>6</v>
      </c>
      <c r="E392" t="s">
        <v>11593</v>
      </c>
      <c r="F392" t="b">
        <v>0</v>
      </c>
      <c r="G392" t="b">
        <f>ItemAllocation[[#This Row],[MaximumWaxCellAllocation]]&gt;=ItemAllocation[[#This Row],[NumberOfWaxCells]]</f>
        <v>1</v>
      </c>
    </row>
    <row r="393" spans="1:7" x14ac:dyDescent="0.2">
      <c r="A393" t="s">
        <v>16</v>
      </c>
      <c r="B393" t="s">
        <v>787</v>
      </c>
      <c r="C393">
        <v>3</v>
      </c>
      <c r="D393">
        <v>3</v>
      </c>
      <c r="E393" t="s">
        <v>11594</v>
      </c>
      <c r="F393" t="b">
        <v>0</v>
      </c>
      <c r="G393" t="b">
        <f>ItemAllocation[[#This Row],[MaximumWaxCellAllocation]]&gt;=ItemAllocation[[#This Row],[NumberOfWaxCells]]</f>
        <v>1</v>
      </c>
    </row>
    <row r="394" spans="1:7" x14ac:dyDescent="0.2">
      <c r="A394" t="s">
        <v>16</v>
      </c>
      <c r="B394" t="s">
        <v>364</v>
      </c>
      <c r="C394">
        <v>5</v>
      </c>
      <c r="D394">
        <v>5</v>
      </c>
      <c r="E394" t="s">
        <v>11595</v>
      </c>
      <c r="F394" t="b">
        <v>0</v>
      </c>
      <c r="G394" t="b">
        <f>ItemAllocation[[#This Row],[MaximumWaxCellAllocation]]&gt;=ItemAllocation[[#This Row],[NumberOfWaxCells]]</f>
        <v>1</v>
      </c>
    </row>
    <row r="395" spans="1:7" x14ac:dyDescent="0.2">
      <c r="A395" t="s">
        <v>16</v>
      </c>
      <c r="B395" t="s">
        <v>542</v>
      </c>
      <c r="C395">
        <v>30</v>
      </c>
      <c r="D395">
        <v>12</v>
      </c>
      <c r="E395" t="s">
        <v>11596</v>
      </c>
      <c r="F395" t="b">
        <v>0</v>
      </c>
      <c r="G395" t="b">
        <f>ItemAllocation[[#This Row],[MaximumWaxCellAllocation]]&gt;=ItemAllocation[[#This Row],[NumberOfWaxCells]]</f>
        <v>1</v>
      </c>
    </row>
    <row r="396" spans="1:7" x14ac:dyDescent="0.2">
      <c r="A396" t="s">
        <v>16</v>
      </c>
      <c r="B396" t="s">
        <v>544</v>
      </c>
      <c r="C396">
        <v>1</v>
      </c>
      <c r="D396">
        <v>1</v>
      </c>
      <c r="E396" t="s">
        <v>97</v>
      </c>
      <c r="F396" t="b">
        <v>0</v>
      </c>
      <c r="G396" t="b">
        <f>ItemAllocation[[#This Row],[MaximumWaxCellAllocation]]&gt;=ItemAllocation[[#This Row],[NumberOfWaxCells]]</f>
        <v>1</v>
      </c>
    </row>
    <row r="397" spans="1:7" x14ac:dyDescent="0.2">
      <c r="A397" t="s">
        <v>16</v>
      </c>
      <c r="B397" t="s">
        <v>554</v>
      </c>
      <c r="C397">
        <v>2</v>
      </c>
      <c r="D397">
        <v>2</v>
      </c>
      <c r="E397" t="s">
        <v>11597</v>
      </c>
      <c r="F397" t="b">
        <v>0</v>
      </c>
      <c r="G397" t="b">
        <f>ItemAllocation[[#This Row],[MaximumWaxCellAllocation]]&gt;=ItemAllocation[[#This Row],[NumberOfWaxCells]]</f>
        <v>1</v>
      </c>
    </row>
    <row r="398" spans="1:7" x14ac:dyDescent="0.2">
      <c r="A398" t="s">
        <v>16</v>
      </c>
      <c r="B398" t="s">
        <v>4675</v>
      </c>
      <c r="C398">
        <v>2</v>
      </c>
      <c r="D398">
        <v>2</v>
      </c>
      <c r="E398" t="s">
        <v>5940</v>
      </c>
      <c r="F398" t="b">
        <v>0</v>
      </c>
      <c r="G398" t="b">
        <f>ItemAllocation[[#This Row],[MaximumWaxCellAllocation]]&gt;=ItemAllocation[[#This Row],[NumberOfWaxCells]]</f>
        <v>1</v>
      </c>
    </row>
    <row r="399" spans="1:7" x14ac:dyDescent="0.2">
      <c r="A399" t="s">
        <v>16</v>
      </c>
      <c r="B399" t="s">
        <v>540</v>
      </c>
      <c r="C399">
        <v>9</v>
      </c>
      <c r="D399">
        <v>9</v>
      </c>
      <c r="E399" t="s">
        <v>11598</v>
      </c>
      <c r="F399" t="b">
        <v>0</v>
      </c>
      <c r="G399" t="b">
        <f>ItemAllocation[[#This Row],[MaximumWaxCellAllocation]]&gt;=ItemAllocation[[#This Row],[NumberOfWaxCells]]</f>
        <v>1</v>
      </c>
    </row>
    <row r="400" spans="1:7" x14ac:dyDescent="0.2">
      <c r="A400" t="s">
        <v>16</v>
      </c>
      <c r="B400" t="s">
        <v>589</v>
      </c>
      <c r="C400">
        <v>5</v>
      </c>
      <c r="D400">
        <v>5</v>
      </c>
      <c r="E400" t="s">
        <v>11599</v>
      </c>
      <c r="F400" t="b">
        <v>0</v>
      </c>
      <c r="G400" t="b">
        <f>ItemAllocation[[#This Row],[MaximumWaxCellAllocation]]&gt;=ItemAllocation[[#This Row],[NumberOfWaxCells]]</f>
        <v>1</v>
      </c>
    </row>
    <row r="401" spans="1:7" x14ac:dyDescent="0.2">
      <c r="A401" t="s">
        <v>16</v>
      </c>
      <c r="B401" t="s">
        <v>587</v>
      </c>
      <c r="C401">
        <v>10</v>
      </c>
      <c r="D401">
        <v>9</v>
      </c>
      <c r="E401" t="s">
        <v>11600</v>
      </c>
      <c r="F401" t="b">
        <v>0</v>
      </c>
      <c r="G401" t="b">
        <f>ItemAllocation[[#This Row],[MaximumWaxCellAllocation]]&gt;=ItemAllocation[[#This Row],[NumberOfWaxCells]]</f>
        <v>1</v>
      </c>
    </row>
    <row r="402" spans="1:7" x14ac:dyDescent="0.2">
      <c r="A402" t="s">
        <v>16</v>
      </c>
      <c r="B402" t="s">
        <v>639</v>
      </c>
      <c r="C402">
        <v>4</v>
      </c>
      <c r="D402">
        <v>3</v>
      </c>
      <c r="E402" t="s">
        <v>11601</v>
      </c>
      <c r="F402" t="b">
        <v>0</v>
      </c>
      <c r="G402" t="b">
        <f>ItemAllocation[[#This Row],[MaximumWaxCellAllocation]]&gt;=ItemAllocation[[#This Row],[NumberOfWaxCells]]</f>
        <v>1</v>
      </c>
    </row>
    <row r="403" spans="1:7" x14ac:dyDescent="0.2">
      <c r="A403" t="s">
        <v>16</v>
      </c>
      <c r="B403" t="s">
        <v>624</v>
      </c>
      <c r="C403">
        <v>2</v>
      </c>
      <c r="D403">
        <v>2</v>
      </c>
      <c r="E403" t="s">
        <v>11052</v>
      </c>
      <c r="F403" t="b">
        <v>0</v>
      </c>
      <c r="G403" t="b">
        <f>ItemAllocation[[#This Row],[MaximumWaxCellAllocation]]&gt;=ItemAllocation[[#This Row],[NumberOfWaxCells]]</f>
        <v>1</v>
      </c>
    </row>
    <row r="404" spans="1:7" x14ac:dyDescent="0.2">
      <c r="A404" t="s">
        <v>16</v>
      </c>
      <c r="B404" t="s">
        <v>4950</v>
      </c>
      <c r="C404">
        <v>1</v>
      </c>
      <c r="D404">
        <v>1</v>
      </c>
      <c r="E404" t="s">
        <v>100</v>
      </c>
      <c r="F404" t="b">
        <v>0</v>
      </c>
      <c r="G404" t="b">
        <f>ItemAllocation[[#This Row],[MaximumWaxCellAllocation]]&gt;=ItemAllocation[[#This Row],[NumberOfWaxCells]]</f>
        <v>1</v>
      </c>
    </row>
    <row r="405" spans="1:7" x14ac:dyDescent="0.2">
      <c r="A405" t="s">
        <v>16</v>
      </c>
      <c r="B405" t="s">
        <v>832</v>
      </c>
      <c r="C405">
        <v>6</v>
      </c>
      <c r="D405">
        <v>1</v>
      </c>
      <c r="E405" t="s">
        <v>101</v>
      </c>
      <c r="F405" t="b">
        <v>0</v>
      </c>
      <c r="G405" t="b">
        <f>ItemAllocation[[#This Row],[MaximumWaxCellAllocation]]&gt;=ItemAllocation[[#This Row],[NumberOfWaxCells]]</f>
        <v>1</v>
      </c>
    </row>
    <row r="406" spans="1:7" x14ac:dyDescent="0.2">
      <c r="A406" t="s">
        <v>16</v>
      </c>
      <c r="B406" t="s">
        <v>628</v>
      </c>
      <c r="C406">
        <v>3</v>
      </c>
      <c r="D406">
        <v>3</v>
      </c>
      <c r="E406" t="s">
        <v>11602</v>
      </c>
      <c r="F406" t="b">
        <v>0</v>
      </c>
      <c r="G406" t="b">
        <f>ItemAllocation[[#This Row],[MaximumWaxCellAllocation]]&gt;=ItemAllocation[[#This Row],[NumberOfWaxCells]]</f>
        <v>1</v>
      </c>
    </row>
    <row r="407" spans="1:7" x14ac:dyDescent="0.2">
      <c r="A407" t="s">
        <v>16</v>
      </c>
      <c r="B407" t="s">
        <v>609</v>
      </c>
      <c r="C407">
        <v>9</v>
      </c>
      <c r="D407">
        <v>2</v>
      </c>
      <c r="E407" t="s">
        <v>11051</v>
      </c>
      <c r="F407" t="b">
        <v>0</v>
      </c>
      <c r="G407" t="b">
        <f>ItemAllocation[[#This Row],[MaximumWaxCellAllocation]]&gt;=ItemAllocation[[#This Row],[NumberOfWaxCells]]</f>
        <v>1</v>
      </c>
    </row>
    <row r="408" spans="1:7" x14ac:dyDescent="0.2">
      <c r="A408" t="s">
        <v>16</v>
      </c>
      <c r="B408" t="s">
        <v>814</v>
      </c>
      <c r="C408">
        <v>10</v>
      </c>
      <c r="D408">
        <v>2</v>
      </c>
      <c r="E408" t="s">
        <v>11603</v>
      </c>
      <c r="F408" t="b">
        <v>0</v>
      </c>
      <c r="G408" t="b">
        <f>ItemAllocation[[#This Row],[MaximumWaxCellAllocation]]&gt;=ItemAllocation[[#This Row],[NumberOfWaxCells]]</f>
        <v>1</v>
      </c>
    </row>
    <row r="409" spans="1:7" x14ac:dyDescent="0.2">
      <c r="A409" t="s">
        <v>16</v>
      </c>
      <c r="B409" t="s">
        <v>808</v>
      </c>
      <c r="C409">
        <v>10</v>
      </c>
      <c r="D409">
        <v>2</v>
      </c>
      <c r="E409" t="s">
        <v>11604</v>
      </c>
      <c r="F409" t="b">
        <v>0</v>
      </c>
      <c r="G409" t="b">
        <f>ItemAllocation[[#This Row],[MaximumWaxCellAllocation]]&gt;=ItemAllocation[[#This Row],[NumberOfWaxCells]]</f>
        <v>1</v>
      </c>
    </row>
    <row r="410" spans="1:7" x14ac:dyDescent="0.2">
      <c r="A410" t="s">
        <v>16</v>
      </c>
      <c r="B410" t="s">
        <v>621</v>
      </c>
      <c r="C410">
        <v>3</v>
      </c>
      <c r="D410">
        <v>2</v>
      </c>
      <c r="E410" t="s">
        <v>11605</v>
      </c>
      <c r="F410" t="b">
        <v>0</v>
      </c>
      <c r="G410" t="b">
        <f>ItemAllocation[[#This Row],[MaximumWaxCellAllocation]]&gt;=ItemAllocation[[#This Row],[NumberOfWaxCells]]</f>
        <v>1</v>
      </c>
    </row>
    <row r="411" spans="1:7" x14ac:dyDescent="0.2">
      <c r="A411" t="s">
        <v>16</v>
      </c>
      <c r="B411" t="s">
        <v>600</v>
      </c>
      <c r="C411">
        <v>4</v>
      </c>
      <c r="D411">
        <v>1</v>
      </c>
      <c r="E411" t="s">
        <v>84</v>
      </c>
      <c r="F411" t="b">
        <v>0</v>
      </c>
      <c r="G411" t="b">
        <f>ItemAllocation[[#This Row],[MaximumWaxCellAllocation]]&gt;=ItemAllocation[[#This Row],[NumberOfWaxCells]]</f>
        <v>1</v>
      </c>
    </row>
    <row r="412" spans="1:7" x14ac:dyDescent="0.2">
      <c r="A412" t="s">
        <v>16</v>
      </c>
      <c r="B412" t="s">
        <v>864</v>
      </c>
      <c r="C412">
        <v>5</v>
      </c>
      <c r="D412">
        <v>1</v>
      </c>
      <c r="E412" t="s">
        <v>95</v>
      </c>
      <c r="F412" t="b">
        <v>0</v>
      </c>
      <c r="G412" t="b">
        <f>ItemAllocation[[#This Row],[MaximumWaxCellAllocation]]&gt;=ItemAllocation[[#This Row],[NumberOfWaxCells]]</f>
        <v>1</v>
      </c>
    </row>
    <row r="413" spans="1:7" x14ac:dyDescent="0.2">
      <c r="A413" t="s">
        <v>16</v>
      </c>
      <c r="B413" t="s">
        <v>886</v>
      </c>
      <c r="C413">
        <v>3</v>
      </c>
      <c r="D413">
        <v>1</v>
      </c>
      <c r="E413" t="s">
        <v>92</v>
      </c>
      <c r="F413" t="b">
        <v>0</v>
      </c>
      <c r="G413" t="b">
        <f>ItemAllocation[[#This Row],[MaximumWaxCellAllocation]]&gt;=ItemAllocation[[#This Row],[NumberOfWaxCells]]</f>
        <v>1</v>
      </c>
    </row>
    <row r="414" spans="1:7" x14ac:dyDescent="0.2">
      <c r="A414" t="s">
        <v>16</v>
      </c>
      <c r="B414" t="s">
        <v>816</v>
      </c>
      <c r="C414">
        <v>5</v>
      </c>
      <c r="D414">
        <v>1</v>
      </c>
      <c r="E414" t="s">
        <v>101</v>
      </c>
      <c r="F414" t="b">
        <v>0</v>
      </c>
      <c r="G414" t="b">
        <f>ItemAllocation[[#This Row],[MaximumWaxCellAllocation]]&gt;=ItemAllocation[[#This Row],[NumberOfWaxCells]]</f>
        <v>1</v>
      </c>
    </row>
    <row r="415" spans="1:7" x14ac:dyDescent="0.2">
      <c r="A415" t="s">
        <v>16</v>
      </c>
      <c r="B415" t="s">
        <v>371</v>
      </c>
      <c r="C415">
        <v>4</v>
      </c>
      <c r="D415">
        <v>2</v>
      </c>
      <c r="E415" t="s">
        <v>11492</v>
      </c>
      <c r="F415" t="b">
        <v>0</v>
      </c>
      <c r="G415" t="b">
        <f>ItemAllocation[[#This Row],[MaximumWaxCellAllocation]]&gt;=ItemAllocation[[#This Row],[NumberOfWaxCells]]</f>
        <v>1</v>
      </c>
    </row>
    <row r="416" spans="1:7" x14ac:dyDescent="0.2">
      <c r="A416" t="s">
        <v>16</v>
      </c>
      <c r="B416" t="s">
        <v>645</v>
      </c>
      <c r="C416">
        <v>5</v>
      </c>
      <c r="D416">
        <v>1</v>
      </c>
      <c r="E416" t="s">
        <v>96</v>
      </c>
      <c r="F416" t="b">
        <v>0</v>
      </c>
      <c r="G416" t="b">
        <f>ItemAllocation[[#This Row],[MaximumWaxCellAllocation]]&gt;=ItemAllocation[[#This Row],[NumberOfWaxCells]]</f>
        <v>1</v>
      </c>
    </row>
    <row r="417" spans="1:7" x14ac:dyDescent="0.2">
      <c r="A417" t="s">
        <v>16</v>
      </c>
      <c r="B417" t="s">
        <v>529</v>
      </c>
      <c r="C417">
        <v>8</v>
      </c>
      <c r="D417">
        <v>6</v>
      </c>
      <c r="E417" t="s">
        <v>11606</v>
      </c>
      <c r="F417" t="b">
        <v>0</v>
      </c>
      <c r="G417" t="b">
        <f>ItemAllocation[[#This Row],[MaximumWaxCellAllocation]]&gt;=ItemAllocation[[#This Row],[NumberOfWaxCells]]</f>
        <v>1</v>
      </c>
    </row>
    <row r="418" spans="1:7" x14ac:dyDescent="0.2">
      <c r="A418" t="s">
        <v>16</v>
      </c>
      <c r="B418" t="s">
        <v>516</v>
      </c>
      <c r="C418">
        <v>5</v>
      </c>
      <c r="D418">
        <v>2</v>
      </c>
      <c r="E418" t="s">
        <v>11063</v>
      </c>
      <c r="F418" t="b">
        <v>0</v>
      </c>
      <c r="G418" t="b">
        <f>ItemAllocation[[#This Row],[MaximumWaxCellAllocation]]&gt;=ItemAllocation[[#This Row],[NumberOfWaxCells]]</f>
        <v>1</v>
      </c>
    </row>
    <row r="419" spans="1:7" x14ac:dyDescent="0.2">
      <c r="A419" t="s">
        <v>16</v>
      </c>
      <c r="B419" t="s">
        <v>850</v>
      </c>
      <c r="C419">
        <v>5</v>
      </c>
      <c r="D419">
        <v>5</v>
      </c>
      <c r="E419" t="s">
        <v>11607</v>
      </c>
      <c r="F419" t="b">
        <v>0</v>
      </c>
      <c r="G419" t="b">
        <f>ItemAllocation[[#This Row],[MaximumWaxCellAllocation]]&gt;=ItemAllocation[[#This Row],[NumberOfWaxCells]]</f>
        <v>1</v>
      </c>
    </row>
    <row r="420" spans="1:7" x14ac:dyDescent="0.2">
      <c r="A420" t="s">
        <v>16</v>
      </c>
      <c r="B420" t="s">
        <v>898</v>
      </c>
      <c r="C420">
        <v>6</v>
      </c>
      <c r="D420">
        <v>6</v>
      </c>
      <c r="E420" t="s">
        <v>11608</v>
      </c>
      <c r="F420" t="b">
        <v>0</v>
      </c>
      <c r="G420" t="b">
        <f>ItemAllocation[[#This Row],[MaximumWaxCellAllocation]]&gt;=ItemAllocation[[#This Row],[NumberOfWaxCells]]</f>
        <v>1</v>
      </c>
    </row>
    <row r="421" spans="1:7" x14ac:dyDescent="0.2">
      <c r="A421" t="s">
        <v>16</v>
      </c>
      <c r="B421" t="s">
        <v>401</v>
      </c>
      <c r="C421">
        <v>4</v>
      </c>
      <c r="D421">
        <v>4</v>
      </c>
      <c r="E421" t="s">
        <v>11609</v>
      </c>
      <c r="F421" t="b">
        <v>0</v>
      </c>
      <c r="G421" t="b">
        <f>ItemAllocation[[#This Row],[MaximumWaxCellAllocation]]&gt;=ItemAllocation[[#This Row],[NumberOfWaxCells]]</f>
        <v>1</v>
      </c>
    </row>
    <row r="422" spans="1:7" x14ac:dyDescent="0.2">
      <c r="A422" t="s">
        <v>16</v>
      </c>
      <c r="B422" t="s">
        <v>399</v>
      </c>
      <c r="C422">
        <v>2</v>
      </c>
      <c r="D422">
        <v>2</v>
      </c>
      <c r="E422" t="s">
        <v>11610</v>
      </c>
      <c r="F422" t="b">
        <v>0</v>
      </c>
      <c r="G422" t="b">
        <f>ItemAllocation[[#This Row],[MaximumWaxCellAllocation]]&gt;=ItemAllocation[[#This Row],[NumberOfWaxCells]]</f>
        <v>1</v>
      </c>
    </row>
    <row r="423" spans="1:7" x14ac:dyDescent="0.2">
      <c r="A423" t="s">
        <v>16</v>
      </c>
      <c r="B423" t="s">
        <v>524</v>
      </c>
      <c r="C423">
        <v>4</v>
      </c>
      <c r="D423">
        <v>3</v>
      </c>
      <c r="E423" t="s">
        <v>11611</v>
      </c>
      <c r="F423" t="b">
        <v>0</v>
      </c>
      <c r="G423" t="b">
        <f>ItemAllocation[[#This Row],[MaximumWaxCellAllocation]]&gt;=ItemAllocation[[#This Row],[NumberOfWaxCells]]</f>
        <v>1</v>
      </c>
    </row>
    <row r="424" spans="1:7" x14ac:dyDescent="0.2">
      <c r="A424" t="s">
        <v>16</v>
      </c>
      <c r="B424" t="s">
        <v>519</v>
      </c>
      <c r="C424">
        <v>2</v>
      </c>
      <c r="D424">
        <v>2</v>
      </c>
      <c r="E424" t="s">
        <v>11577</v>
      </c>
      <c r="F424" t="b">
        <v>0</v>
      </c>
      <c r="G424" t="b">
        <f>ItemAllocation[[#This Row],[MaximumWaxCellAllocation]]&gt;=ItemAllocation[[#This Row],[NumberOfWaxCells]]</f>
        <v>1</v>
      </c>
    </row>
    <row r="425" spans="1:7" x14ac:dyDescent="0.2">
      <c r="A425" t="s">
        <v>16</v>
      </c>
      <c r="B425" t="s">
        <v>515</v>
      </c>
      <c r="C425">
        <v>3</v>
      </c>
      <c r="D425">
        <v>3</v>
      </c>
      <c r="E425" t="s">
        <v>11612</v>
      </c>
      <c r="F425" t="b">
        <v>0</v>
      </c>
      <c r="G425" t="b">
        <f>ItemAllocation[[#This Row],[MaximumWaxCellAllocation]]&gt;=ItemAllocation[[#This Row],[NumberOfWaxCells]]</f>
        <v>1</v>
      </c>
    </row>
    <row r="426" spans="1:7" x14ac:dyDescent="0.2">
      <c r="A426" t="s">
        <v>16</v>
      </c>
      <c r="B426" t="s">
        <v>826</v>
      </c>
      <c r="C426">
        <v>5</v>
      </c>
      <c r="D426">
        <v>1</v>
      </c>
      <c r="E426" t="s">
        <v>91</v>
      </c>
      <c r="F426" t="b">
        <v>0</v>
      </c>
      <c r="G426" t="b">
        <f>ItemAllocation[[#This Row],[MaximumWaxCellAllocation]]&gt;=ItemAllocation[[#This Row],[NumberOfWaxCells]]</f>
        <v>1</v>
      </c>
    </row>
    <row r="427" spans="1:7" x14ac:dyDescent="0.2">
      <c r="A427" t="s">
        <v>16</v>
      </c>
      <c r="B427" t="s">
        <v>576</v>
      </c>
      <c r="C427">
        <v>3</v>
      </c>
      <c r="D427">
        <v>1</v>
      </c>
      <c r="E427" t="s">
        <v>93</v>
      </c>
      <c r="F427" t="b">
        <v>0</v>
      </c>
      <c r="G427" t="b">
        <f>ItemAllocation[[#This Row],[MaximumWaxCellAllocation]]&gt;=ItemAllocation[[#This Row],[NumberOfWaxCells]]</f>
        <v>1</v>
      </c>
    </row>
    <row r="428" spans="1:7" x14ac:dyDescent="0.2">
      <c r="A428" t="s">
        <v>16</v>
      </c>
      <c r="B428" t="s">
        <v>5008</v>
      </c>
      <c r="C428">
        <v>3</v>
      </c>
      <c r="D428">
        <v>3</v>
      </c>
      <c r="E428" t="s">
        <v>11613</v>
      </c>
      <c r="F428" t="b">
        <v>0</v>
      </c>
      <c r="G428" t="b">
        <f>ItemAllocation[[#This Row],[MaximumWaxCellAllocation]]&gt;=ItemAllocation[[#This Row],[NumberOfWaxCells]]</f>
        <v>1</v>
      </c>
    </row>
    <row r="429" spans="1:7" x14ac:dyDescent="0.2">
      <c r="A429" t="s">
        <v>16</v>
      </c>
      <c r="B429" t="s">
        <v>5028</v>
      </c>
      <c r="C429">
        <v>6</v>
      </c>
      <c r="D429">
        <v>1</v>
      </c>
      <c r="E429" t="s">
        <v>91</v>
      </c>
      <c r="F429" t="b">
        <v>0</v>
      </c>
      <c r="G429" t="b">
        <f>ItemAllocation[[#This Row],[MaximumWaxCellAllocation]]&gt;=ItemAllocation[[#This Row],[NumberOfWaxCells]]</f>
        <v>1</v>
      </c>
    </row>
    <row r="430" spans="1:7" x14ac:dyDescent="0.2">
      <c r="A430" t="s">
        <v>16</v>
      </c>
      <c r="B430" t="s">
        <v>5040</v>
      </c>
      <c r="C430">
        <v>23</v>
      </c>
      <c r="D430">
        <v>5</v>
      </c>
      <c r="E430" t="s">
        <v>11614</v>
      </c>
      <c r="F430" t="b">
        <v>0</v>
      </c>
      <c r="G430" t="b">
        <f>ItemAllocation[[#This Row],[MaximumWaxCellAllocation]]&gt;=ItemAllocation[[#This Row],[NumberOfWaxCells]]</f>
        <v>1</v>
      </c>
    </row>
    <row r="431" spans="1:7" x14ac:dyDescent="0.2">
      <c r="A431" t="s">
        <v>16</v>
      </c>
      <c r="B431" t="s">
        <v>5042</v>
      </c>
      <c r="C431">
        <v>21</v>
      </c>
      <c r="D431">
        <v>3</v>
      </c>
      <c r="E431" t="s">
        <v>11615</v>
      </c>
      <c r="F431" t="b">
        <v>0</v>
      </c>
      <c r="G431" t="b">
        <f>ItemAllocation[[#This Row],[MaximumWaxCellAllocation]]&gt;=ItemAllocation[[#This Row],[NumberOfWaxCells]]</f>
        <v>1</v>
      </c>
    </row>
    <row r="432" spans="1:7" x14ac:dyDescent="0.2">
      <c r="A432" t="s">
        <v>16</v>
      </c>
      <c r="B432" t="s">
        <v>5117</v>
      </c>
      <c r="C432">
        <v>23</v>
      </c>
      <c r="D432">
        <v>10</v>
      </c>
      <c r="E432" t="s">
        <v>11616</v>
      </c>
      <c r="F432" t="b">
        <v>0</v>
      </c>
      <c r="G432" t="b">
        <f>ItemAllocation[[#This Row],[MaximumWaxCellAllocation]]&gt;=ItemAllocation[[#This Row],[NumberOfWaxCells]]</f>
        <v>1</v>
      </c>
    </row>
    <row r="433" spans="1:7" x14ac:dyDescent="0.2">
      <c r="A433" t="s">
        <v>16</v>
      </c>
      <c r="B433" t="s">
        <v>5119</v>
      </c>
      <c r="C433">
        <v>6</v>
      </c>
      <c r="D433">
        <v>6</v>
      </c>
      <c r="E433" t="s">
        <v>11617</v>
      </c>
      <c r="F433" t="b">
        <v>0</v>
      </c>
      <c r="G433" t="b">
        <f>ItemAllocation[[#This Row],[MaximumWaxCellAllocation]]&gt;=ItemAllocation[[#This Row],[NumberOfWaxCells]]</f>
        <v>1</v>
      </c>
    </row>
    <row r="434" spans="1:7" x14ac:dyDescent="0.2">
      <c r="A434" t="s">
        <v>16</v>
      </c>
      <c r="B434" t="s">
        <v>5129</v>
      </c>
      <c r="C434">
        <v>6</v>
      </c>
      <c r="D434">
        <v>2</v>
      </c>
      <c r="E434" t="s">
        <v>11618</v>
      </c>
      <c r="F434" t="b">
        <v>0</v>
      </c>
      <c r="G434" t="b">
        <f>ItemAllocation[[#This Row],[MaximumWaxCellAllocation]]&gt;=ItemAllocation[[#This Row],[NumberOfWaxCells]]</f>
        <v>1</v>
      </c>
    </row>
    <row r="435" spans="1:7" x14ac:dyDescent="0.2">
      <c r="A435" t="s">
        <v>16</v>
      </c>
      <c r="B435" t="s">
        <v>5131</v>
      </c>
      <c r="C435">
        <v>10</v>
      </c>
      <c r="D435">
        <v>10</v>
      </c>
      <c r="E435" t="s">
        <v>11619</v>
      </c>
      <c r="F435" t="b">
        <v>0</v>
      </c>
      <c r="G435" t="b">
        <f>ItemAllocation[[#This Row],[MaximumWaxCellAllocation]]&gt;=ItemAllocation[[#This Row],[NumberOfWaxCells]]</f>
        <v>1</v>
      </c>
    </row>
    <row r="436" spans="1:7" x14ac:dyDescent="0.2">
      <c r="A436" t="s">
        <v>16</v>
      </c>
      <c r="B436" t="s">
        <v>5160</v>
      </c>
      <c r="C436">
        <v>4</v>
      </c>
      <c r="D436">
        <v>4</v>
      </c>
      <c r="E436" t="s">
        <v>11620</v>
      </c>
      <c r="F436" t="b">
        <v>0</v>
      </c>
      <c r="G436" t="b">
        <f>ItemAllocation[[#This Row],[MaximumWaxCellAllocation]]&gt;=ItemAllocation[[#This Row],[NumberOfWaxCells]]</f>
        <v>1</v>
      </c>
    </row>
    <row r="437" spans="1:7" x14ac:dyDescent="0.2">
      <c r="A437" t="s">
        <v>16</v>
      </c>
      <c r="B437" t="s">
        <v>5176</v>
      </c>
      <c r="C437">
        <v>9</v>
      </c>
      <c r="D437">
        <v>1</v>
      </c>
      <c r="E437" t="s">
        <v>89</v>
      </c>
      <c r="F437" t="b">
        <v>0</v>
      </c>
      <c r="G437" t="b">
        <f>ItemAllocation[[#This Row],[MaximumWaxCellAllocation]]&gt;=ItemAllocation[[#This Row],[NumberOfWaxCells]]</f>
        <v>1</v>
      </c>
    </row>
    <row r="438" spans="1:7" x14ac:dyDescent="0.2">
      <c r="A438" t="s">
        <v>16</v>
      </c>
      <c r="B438" t="s">
        <v>5178</v>
      </c>
      <c r="C438">
        <v>7</v>
      </c>
      <c r="D438">
        <v>1</v>
      </c>
      <c r="E438" t="s">
        <v>105</v>
      </c>
      <c r="F438" t="b">
        <v>0</v>
      </c>
      <c r="G438" t="b">
        <f>ItemAllocation[[#This Row],[MaximumWaxCellAllocation]]&gt;=ItemAllocation[[#This Row],[NumberOfWaxCells]]</f>
        <v>1</v>
      </c>
    </row>
    <row r="439" spans="1:7" x14ac:dyDescent="0.2">
      <c r="A439" t="s">
        <v>16</v>
      </c>
      <c r="B439" t="s">
        <v>5181</v>
      </c>
      <c r="C439">
        <v>12</v>
      </c>
      <c r="D439">
        <v>11</v>
      </c>
      <c r="E439" t="s">
        <v>11621</v>
      </c>
      <c r="F439" t="b">
        <v>0</v>
      </c>
      <c r="G439" t="b">
        <f>ItemAllocation[[#This Row],[MaximumWaxCellAllocation]]&gt;=ItemAllocation[[#This Row],[NumberOfWaxCells]]</f>
        <v>1</v>
      </c>
    </row>
    <row r="440" spans="1:7" x14ac:dyDescent="0.2">
      <c r="A440" t="s">
        <v>16</v>
      </c>
      <c r="B440" t="s">
        <v>5962</v>
      </c>
      <c r="C440">
        <v>10</v>
      </c>
      <c r="D440">
        <v>3</v>
      </c>
      <c r="E440" t="s">
        <v>11622</v>
      </c>
      <c r="F440" t="b">
        <v>0</v>
      </c>
      <c r="G440" t="b">
        <f>ItemAllocation[[#This Row],[MaximumWaxCellAllocation]]&gt;=ItemAllocation[[#This Row],[NumberOfWaxCells]]</f>
        <v>1</v>
      </c>
    </row>
    <row r="441" spans="1:7" x14ac:dyDescent="0.2">
      <c r="A441" t="s">
        <v>16</v>
      </c>
      <c r="B441" t="s">
        <v>5981</v>
      </c>
      <c r="C441">
        <v>3</v>
      </c>
      <c r="D441">
        <v>3</v>
      </c>
      <c r="E441" t="s">
        <v>11623</v>
      </c>
      <c r="F441" t="b">
        <v>0</v>
      </c>
      <c r="G441" t="b">
        <f>ItemAllocation[[#This Row],[MaximumWaxCellAllocation]]&gt;=ItemAllocation[[#This Row],[NumberOfWaxCells]]</f>
        <v>1</v>
      </c>
    </row>
    <row r="442" spans="1:7" x14ac:dyDescent="0.2">
      <c r="A442" t="s">
        <v>16</v>
      </c>
      <c r="B442" t="s">
        <v>5680</v>
      </c>
      <c r="C442">
        <v>2</v>
      </c>
      <c r="D442">
        <v>2</v>
      </c>
      <c r="E442" t="s">
        <v>11624</v>
      </c>
      <c r="F442" t="b">
        <v>0</v>
      </c>
      <c r="G442" t="b">
        <f>ItemAllocation[[#This Row],[MaximumWaxCellAllocation]]&gt;=ItemAllocation[[#This Row],[NumberOfWaxCells]]</f>
        <v>1</v>
      </c>
    </row>
    <row r="443" spans="1:7" x14ac:dyDescent="0.2">
      <c r="A443" t="s">
        <v>16</v>
      </c>
      <c r="B443" t="s">
        <v>5909</v>
      </c>
      <c r="C443">
        <v>4</v>
      </c>
      <c r="D443">
        <v>4</v>
      </c>
      <c r="E443" t="s">
        <v>11625</v>
      </c>
      <c r="F443" t="b">
        <v>0</v>
      </c>
      <c r="G443" t="b">
        <f>ItemAllocation[[#This Row],[MaximumWaxCellAllocation]]&gt;=ItemAllocation[[#This Row],[NumberOfWaxCells]]</f>
        <v>1</v>
      </c>
    </row>
    <row r="444" spans="1:7" x14ac:dyDescent="0.2">
      <c r="A444" t="s">
        <v>16</v>
      </c>
      <c r="B444" t="s">
        <v>5895</v>
      </c>
      <c r="C444">
        <v>7</v>
      </c>
      <c r="D444">
        <v>7</v>
      </c>
      <c r="E444" t="s">
        <v>11626</v>
      </c>
      <c r="F444" t="b">
        <v>0</v>
      </c>
      <c r="G444" t="b">
        <f>ItemAllocation[[#This Row],[MaximumWaxCellAllocation]]&gt;=ItemAllocation[[#This Row],[NumberOfWaxCells]]</f>
        <v>1</v>
      </c>
    </row>
    <row r="445" spans="1:7" x14ac:dyDescent="0.2">
      <c r="A445" t="s">
        <v>16</v>
      </c>
      <c r="B445" t="s">
        <v>5849</v>
      </c>
      <c r="C445">
        <v>4</v>
      </c>
      <c r="D445">
        <v>4</v>
      </c>
      <c r="E445" t="s">
        <v>11627</v>
      </c>
      <c r="F445" t="b">
        <v>0</v>
      </c>
      <c r="G445" t="b">
        <f>ItemAllocation[[#This Row],[MaximumWaxCellAllocation]]&gt;=ItemAllocation[[#This Row],[NumberOfWaxCells]]</f>
        <v>1</v>
      </c>
    </row>
    <row r="446" spans="1:7" x14ac:dyDescent="0.2">
      <c r="A446" t="s">
        <v>16</v>
      </c>
      <c r="B446" t="s">
        <v>5815</v>
      </c>
      <c r="C446">
        <v>8</v>
      </c>
      <c r="D446">
        <v>1</v>
      </c>
      <c r="E446" t="s">
        <v>93</v>
      </c>
      <c r="F446" t="b">
        <v>0</v>
      </c>
      <c r="G446" t="b">
        <f>ItemAllocation[[#This Row],[MaximumWaxCellAllocation]]&gt;=ItemAllocation[[#This Row],[NumberOfWaxCells]]</f>
        <v>1</v>
      </c>
    </row>
    <row r="447" spans="1:7" x14ac:dyDescent="0.2">
      <c r="A447" t="s">
        <v>16</v>
      </c>
      <c r="B447" t="s">
        <v>5812</v>
      </c>
      <c r="C447">
        <v>9</v>
      </c>
      <c r="D447">
        <v>2</v>
      </c>
      <c r="E447" t="s">
        <v>11628</v>
      </c>
      <c r="F447" t="b">
        <v>0</v>
      </c>
      <c r="G447" t="b">
        <f>ItemAllocation[[#This Row],[MaximumWaxCellAllocation]]&gt;=ItemAllocation[[#This Row],[NumberOfWaxCells]]</f>
        <v>1</v>
      </c>
    </row>
    <row r="448" spans="1:7" x14ac:dyDescent="0.2">
      <c r="A448" t="s">
        <v>16</v>
      </c>
      <c r="B448" t="s">
        <v>5779</v>
      </c>
      <c r="C448">
        <v>2</v>
      </c>
      <c r="D448">
        <v>2</v>
      </c>
      <c r="E448" t="s">
        <v>5941</v>
      </c>
      <c r="F448" t="b">
        <v>0</v>
      </c>
      <c r="G448" t="b">
        <f>ItemAllocation[[#This Row],[MaximumWaxCellAllocation]]&gt;=ItemAllocation[[#This Row],[NumberOfWaxCells]]</f>
        <v>1</v>
      </c>
    </row>
    <row r="449" spans="1:7" x14ac:dyDescent="0.2">
      <c r="A449" t="s">
        <v>16</v>
      </c>
      <c r="B449" t="s">
        <v>5898</v>
      </c>
      <c r="C449">
        <v>6</v>
      </c>
      <c r="D449">
        <v>5</v>
      </c>
      <c r="E449" t="s">
        <v>11629</v>
      </c>
      <c r="F449" t="b">
        <v>0</v>
      </c>
      <c r="G449" t="b">
        <f>ItemAllocation[[#This Row],[MaximumWaxCellAllocation]]&gt;=ItemAllocation[[#This Row],[NumberOfWaxCells]]</f>
        <v>1</v>
      </c>
    </row>
    <row r="450" spans="1:7" x14ac:dyDescent="0.2">
      <c r="A450" t="s">
        <v>16</v>
      </c>
      <c r="B450" t="s">
        <v>5890</v>
      </c>
      <c r="C450">
        <v>8</v>
      </c>
      <c r="D450">
        <v>1</v>
      </c>
      <c r="E450" t="s">
        <v>87</v>
      </c>
      <c r="F450" t="b">
        <v>0</v>
      </c>
      <c r="G450" t="b">
        <f>ItemAllocation[[#This Row],[MaximumWaxCellAllocation]]&gt;=ItemAllocation[[#This Row],[NumberOfWaxCells]]</f>
        <v>1</v>
      </c>
    </row>
    <row r="451" spans="1:7" x14ac:dyDescent="0.2">
      <c r="A451" t="s">
        <v>16</v>
      </c>
      <c r="B451" t="s">
        <v>5795</v>
      </c>
      <c r="C451">
        <v>5</v>
      </c>
      <c r="D451">
        <v>1</v>
      </c>
      <c r="E451" t="s">
        <v>104</v>
      </c>
      <c r="F451" t="b">
        <v>0</v>
      </c>
      <c r="G451" t="b">
        <f>ItemAllocation[[#This Row],[MaximumWaxCellAllocation]]&gt;=ItemAllocation[[#This Row],[NumberOfWaxCells]]</f>
        <v>1</v>
      </c>
    </row>
    <row r="452" spans="1:7" x14ac:dyDescent="0.2">
      <c r="A452" t="s">
        <v>16</v>
      </c>
      <c r="B452" t="s">
        <v>5965</v>
      </c>
      <c r="C452">
        <v>9</v>
      </c>
      <c r="D452">
        <v>4</v>
      </c>
      <c r="E452" t="s">
        <v>11630</v>
      </c>
      <c r="F452" t="b">
        <v>0</v>
      </c>
      <c r="G452" t="b">
        <f>ItemAllocation[[#This Row],[MaximumWaxCellAllocation]]&gt;=ItemAllocation[[#This Row],[NumberOfWaxCells]]</f>
        <v>1</v>
      </c>
    </row>
    <row r="453" spans="1:7" x14ac:dyDescent="0.2">
      <c r="A453" t="s">
        <v>16</v>
      </c>
      <c r="B453" t="s">
        <v>5958</v>
      </c>
      <c r="C453">
        <v>10</v>
      </c>
      <c r="D453">
        <v>4</v>
      </c>
      <c r="E453" t="s">
        <v>11631</v>
      </c>
      <c r="F453" t="b">
        <v>0</v>
      </c>
      <c r="G453" t="b">
        <f>ItemAllocation[[#This Row],[MaximumWaxCellAllocation]]&gt;=ItemAllocation[[#This Row],[NumberOfWaxCells]]</f>
        <v>1</v>
      </c>
    </row>
    <row r="454" spans="1:7" x14ac:dyDescent="0.2">
      <c r="A454" t="s">
        <v>16</v>
      </c>
      <c r="B454" t="s">
        <v>5839</v>
      </c>
      <c r="C454">
        <v>4</v>
      </c>
      <c r="D454">
        <v>4</v>
      </c>
      <c r="E454" t="s">
        <v>11632</v>
      </c>
      <c r="F454" t="b">
        <v>0</v>
      </c>
      <c r="G454" t="b">
        <f>ItemAllocation[[#This Row],[MaximumWaxCellAllocation]]&gt;=ItemAllocation[[#This Row],[NumberOfWaxCells]]</f>
        <v>1</v>
      </c>
    </row>
    <row r="455" spans="1:7" x14ac:dyDescent="0.2">
      <c r="A455" t="s">
        <v>16</v>
      </c>
      <c r="B455" t="s">
        <v>5840</v>
      </c>
      <c r="C455">
        <v>4</v>
      </c>
      <c r="D455">
        <v>4</v>
      </c>
      <c r="E455" t="s">
        <v>11633</v>
      </c>
      <c r="F455" t="b">
        <v>0</v>
      </c>
      <c r="G455" t="b">
        <f>ItemAllocation[[#This Row],[MaximumWaxCellAllocation]]&gt;=ItemAllocation[[#This Row],[NumberOfWaxCells]]</f>
        <v>1</v>
      </c>
    </row>
    <row r="456" spans="1:7" x14ac:dyDescent="0.2">
      <c r="A456" t="s">
        <v>16</v>
      </c>
      <c r="B456" t="s">
        <v>5772</v>
      </c>
      <c r="C456">
        <v>5</v>
      </c>
      <c r="D456">
        <v>5</v>
      </c>
      <c r="E456" t="s">
        <v>11634</v>
      </c>
      <c r="F456" t="b">
        <v>0</v>
      </c>
      <c r="G456" t="b">
        <f>ItemAllocation[[#This Row],[MaximumWaxCellAllocation]]&gt;=ItemAllocation[[#This Row],[NumberOfWaxCells]]</f>
        <v>1</v>
      </c>
    </row>
    <row r="457" spans="1:7" x14ac:dyDescent="0.2">
      <c r="A457" t="s">
        <v>16</v>
      </c>
      <c r="B457" t="s">
        <v>5771</v>
      </c>
      <c r="C457">
        <v>5</v>
      </c>
      <c r="D457">
        <v>5</v>
      </c>
      <c r="E457" t="s">
        <v>11635</v>
      </c>
      <c r="F457" t="b">
        <v>0</v>
      </c>
      <c r="G457" t="b">
        <f>ItemAllocation[[#This Row],[MaximumWaxCellAllocation]]&gt;=ItemAllocation[[#This Row],[NumberOfWaxCells]]</f>
        <v>1</v>
      </c>
    </row>
    <row r="458" spans="1:7" x14ac:dyDescent="0.2">
      <c r="A458" t="s">
        <v>16</v>
      </c>
      <c r="B458" t="s">
        <v>2351</v>
      </c>
      <c r="C458">
        <v>3</v>
      </c>
      <c r="D458">
        <v>1</v>
      </c>
      <c r="E458" t="s">
        <v>105</v>
      </c>
      <c r="F458" t="b">
        <v>0</v>
      </c>
      <c r="G458" t="b">
        <f>ItemAllocation[[#This Row],[MaximumWaxCellAllocation]]&gt;=ItemAllocation[[#This Row],[NumberOfWaxCells]]</f>
        <v>1</v>
      </c>
    </row>
    <row r="459" spans="1:7" x14ac:dyDescent="0.2">
      <c r="A459" t="s">
        <v>16</v>
      </c>
      <c r="B459" t="s">
        <v>2352</v>
      </c>
      <c r="C459">
        <v>3</v>
      </c>
      <c r="D459">
        <v>1</v>
      </c>
      <c r="E459" t="s">
        <v>87</v>
      </c>
      <c r="F459" t="b">
        <v>0</v>
      </c>
      <c r="G459" t="b">
        <f>ItemAllocation[[#This Row],[MaximumWaxCellAllocation]]&gt;=ItemAllocation[[#This Row],[NumberOfWaxCells]]</f>
        <v>1</v>
      </c>
    </row>
    <row r="460" spans="1:7" x14ac:dyDescent="0.2">
      <c r="A460" t="s">
        <v>16</v>
      </c>
      <c r="B460" t="s">
        <v>676</v>
      </c>
      <c r="C460">
        <v>2</v>
      </c>
      <c r="D460">
        <v>1</v>
      </c>
      <c r="E460" t="s">
        <v>94</v>
      </c>
      <c r="F460" t="b">
        <v>0</v>
      </c>
      <c r="G460" t="b">
        <f>ItemAllocation[[#This Row],[MaximumWaxCellAllocation]]&gt;=ItemAllocation[[#This Row],[NumberOfWaxCells]]</f>
        <v>1</v>
      </c>
    </row>
    <row r="461" spans="1:7" x14ac:dyDescent="0.2">
      <c r="A461" t="s">
        <v>16</v>
      </c>
      <c r="B461" t="s">
        <v>929</v>
      </c>
      <c r="C461">
        <v>2</v>
      </c>
      <c r="D461">
        <v>1</v>
      </c>
      <c r="E461" t="s">
        <v>89</v>
      </c>
      <c r="F461" t="b">
        <v>0</v>
      </c>
      <c r="G461" t="b">
        <f>ItemAllocation[[#This Row],[MaximumWaxCellAllocation]]&gt;=ItemAllocation[[#This Row],[NumberOfWaxCells]]</f>
        <v>1</v>
      </c>
    </row>
  </sheetData>
  <pageMargins left="0.7" right="0.7" top="0.75" bottom="0.75" header="0.3" footer="0.3"/>
  <pageSetup paperSize="9" orientation="portrait" horizontalDpi="1200" verticalDpi="1200" r:id="rId1"/>
  <headerFooter>
    <oddFooter>&amp;C&amp;1#&amp;"Calibri"&amp;12&amp;K000000Classification: Pandora Internal</oddFooter>
  </headerFooter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2D3658-C91F-48C6-AB54-2FF25471C769}">
  <sheetPr codeName="Sheet9"/>
  <dimension ref="A1:T42"/>
  <sheetViews>
    <sheetView showGridLines="0" workbookViewId="0">
      <selection activeCell="C6" sqref="C6"/>
    </sheetView>
  </sheetViews>
  <sheetFormatPr defaultRowHeight="14.25" x14ac:dyDescent="0.2"/>
  <cols>
    <col min="1" max="1" width="25" bestFit="1" customWidth="1"/>
    <col min="2" max="2" width="15" bestFit="1" customWidth="1"/>
    <col min="3" max="3" width="13.5" bestFit="1" customWidth="1"/>
    <col min="4" max="4" width="24.125" bestFit="1" customWidth="1"/>
    <col min="5" max="5" width="12.125" bestFit="1" customWidth="1"/>
    <col min="6" max="6" width="10.875" bestFit="1" customWidth="1"/>
    <col min="7" max="7" width="15" bestFit="1" customWidth="1"/>
    <col min="8" max="8" width="11.375" bestFit="1" customWidth="1"/>
    <col min="9" max="9" width="9.5" bestFit="1" customWidth="1"/>
    <col min="10" max="10" width="11.625" bestFit="1" customWidth="1"/>
    <col min="11" max="11" width="17.875" bestFit="1" customWidth="1"/>
    <col min="12" max="12" width="17.625" bestFit="1" customWidth="1"/>
    <col min="13" max="13" width="9.5" bestFit="1" customWidth="1"/>
    <col min="14" max="14" width="38.75" bestFit="1" customWidth="1"/>
    <col min="15" max="15" width="17.25" bestFit="1" customWidth="1"/>
    <col min="16" max="16" width="20.375" bestFit="1" customWidth="1"/>
    <col min="17" max="17" width="14.625" bestFit="1" customWidth="1"/>
    <col min="18" max="18" width="29.625" customWidth="1"/>
    <col min="19" max="20" width="11.25" bestFit="1" customWidth="1"/>
  </cols>
  <sheetData>
    <row r="1" spans="1:20" ht="30" x14ac:dyDescent="0.4">
      <c r="A1" s="1" t="s">
        <v>126</v>
      </c>
    </row>
    <row r="6" spans="1:20" x14ac:dyDescent="0.2">
      <c r="A6" t="s">
        <v>27</v>
      </c>
      <c r="B6" t="s">
        <v>26</v>
      </c>
      <c r="C6" t="s">
        <v>28</v>
      </c>
      <c r="D6" t="s">
        <v>62</v>
      </c>
      <c r="E6" t="s">
        <v>63</v>
      </c>
      <c r="F6" t="s">
        <v>64</v>
      </c>
      <c r="G6" t="s">
        <v>11035</v>
      </c>
      <c r="H6" t="s">
        <v>11169</v>
      </c>
      <c r="I6" t="s">
        <v>11036</v>
      </c>
      <c r="J6" t="s">
        <v>47</v>
      </c>
      <c r="K6" t="s">
        <v>48</v>
      </c>
      <c r="L6" t="s">
        <v>61</v>
      </c>
      <c r="M6" t="s">
        <v>65</v>
      </c>
      <c r="N6" t="s">
        <v>422</v>
      </c>
      <c r="O6" t="s">
        <v>393</v>
      </c>
      <c r="P6" t="s">
        <v>423</v>
      </c>
      <c r="Q6" t="s">
        <v>66</v>
      </c>
      <c r="R6" t="s">
        <v>67</v>
      </c>
      <c r="S6" t="s">
        <v>206</v>
      </c>
      <c r="T6" t="s">
        <v>207</v>
      </c>
    </row>
    <row r="7" spans="1:20" x14ac:dyDescent="0.2">
      <c r="A7" t="s">
        <v>126</v>
      </c>
      <c r="B7" t="s">
        <v>16</v>
      </c>
      <c r="C7" t="s">
        <v>5671</v>
      </c>
      <c r="D7" t="s">
        <v>68</v>
      </c>
      <c r="E7">
        <v>9000</v>
      </c>
      <c r="J7" t="s">
        <v>167</v>
      </c>
      <c r="O7">
        <v>0</v>
      </c>
      <c r="P7">
        <v>40</v>
      </c>
      <c r="Q7">
        <v>0</v>
      </c>
      <c r="R7">
        <v>1</v>
      </c>
      <c r="S7">
        <v>0</v>
      </c>
      <c r="T7" t="b">
        <f>ProductionOrdersByItem_Plastic[[#This Row],[Column1]]=ProductionOrdersByItem_Plastic[[#This Row],[QtySched]]</f>
        <v>0</v>
      </c>
    </row>
    <row r="8" spans="1:20" x14ac:dyDescent="0.2">
      <c r="A8" t="s">
        <v>126</v>
      </c>
      <c r="B8" t="s">
        <v>16</v>
      </c>
      <c r="C8" t="s">
        <v>5861</v>
      </c>
      <c r="D8" t="s">
        <v>68</v>
      </c>
      <c r="E8">
        <v>6700</v>
      </c>
      <c r="J8" t="s">
        <v>167</v>
      </c>
      <c r="L8" t="s">
        <v>5862</v>
      </c>
      <c r="N8" t="s">
        <v>5863</v>
      </c>
      <c r="O8">
        <v>0</v>
      </c>
      <c r="P8">
        <v>40</v>
      </c>
      <c r="Q8">
        <v>0</v>
      </c>
      <c r="R8">
        <v>1</v>
      </c>
      <c r="S8">
        <v>0</v>
      </c>
      <c r="T8" t="b">
        <f>ProductionOrdersByItem_Plastic[[#This Row],[Column1]]=ProductionOrdersByItem_Plastic[[#This Row],[QtySched]]</f>
        <v>0</v>
      </c>
    </row>
    <row r="9" spans="1:20" x14ac:dyDescent="0.2">
      <c r="A9" t="s">
        <v>126</v>
      </c>
      <c r="B9" t="s">
        <v>16</v>
      </c>
      <c r="C9" t="s">
        <v>5611</v>
      </c>
      <c r="D9" t="s">
        <v>68</v>
      </c>
      <c r="E9">
        <v>2700</v>
      </c>
      <c r="J9" t="s">
        <v>167</v>
      </c>
      <c r="L9" t="s">
        <v>5612</v>
      </c>
      <c r="N9" t="s">
        <v>5613</v>
      </c>
      <c r="O9">
        <v>0</v>
      </c>
      <c r="P9">
        <v>40</v>
      </c>
      <c r="Q9">
        <v>0</v>
      </c>
      <c r="R9">
        <v>1</v>
      </c>
      <c r="S9">
        <v>0</v>
      </c>
      <c r="T9" t="b">
        <f>ProductionOrdersByItem_Plastic[[#This Row],[Column1]]=ProductionOrdersByItem_Plastic[[#This Row],[QtySched]]</f>
        <v>0</v>
      </c>
    </row>
    <row r="10" spans="1:20" x14ac:dyDescent="0.2">
      <c r="A10" t="s">
        <v>126</v>
      </c>
      <c r="B10" t="s">
        <v>16</v>
      </c>
      <c r="C10" t="s">
        <v>5686</v>
      </c>
      <c r="D10" t="s">
        <v>68</v>
      </c>
      <c r="E10">
        <v>7370</v>
      </c>
      <c r="J10" t="s">
        <v>167</v>
      </c>
      <c r="L10" t="s">
        <v>5687</v>
      </c>
      <c r="N10" t="s">
        <v>5688</v>
      </c>
      <c r="O10">
        <v>0</v>
      </c>
      <c r="P10">
        <v>40</v>
      </c>
      <c r="Q10">
        <v>0</v>
      </c>
      <c r="R10">
        <v>1</v>
      </c>
      <c r="S10">
        <v>0</v>
      </c>
      <c r="T10" t="b">
        <f>ProductionOrdersByItem_Plastic[[#This Row],[Column1]]=ProductionOrdersByItem_Plastic[[#This Row],[QtySched]]</f>
        <v>0</v>
      </c>
    </row>
    <row r="11" spans="1:20" x14ac:dyDescent="0.2">
      <c r="A11" t="s">
        <v>126</v>
      </c>
      <c r="B11" t="s">
        <v>16</v>
      </c>
      <c r="C11" t="s">
        <v>5864</v>
      </c>
      <c r="D11" t="s">
        <v>68</v>
      </c>
      <c r="E11">
        <v>7680</v>
      </c>
      <c r="J11" t="s">
        <v>167</v>
      </c>
      <c r="O11">
        <v>0</v>
      </c>
      <c r="P11">
        <v>40</v>
      </c>
      <c r="Q11">
        <v>0</v>
      </c>
      <c r="R11">
        <v>1</v>
      </c>
      <c r="S11">
        <v>0</v>
      </c>
      <c r="T11" t="b">
        <f>ProductionOrdersByItem_Plastic[[#This Row],[Column1]]=ProductionOrdersByItem_Plastic[[#This Row],[QtySched]]</f>
        <v>0</v>
      </c>
    </row>
    <row r="12" spans="1:20" x14ac:dyDescent="0.2">
      <c r="A12" t="s">
        <v>126</v>
      </c>
      <c r="B12" t="s">
        <v>16</v>
      </c>
      <c r="C12" t="s">
        <v>5689</v>
      </c>
      <c r="D12" t="s">
        <v>68</v>
      </c>
      <c r="E12">
        <v>6510</v>
      </c>
      <c r="J12" t="s">
        <v>167</v>
      </c>
      <c r="L12" t="s">
        <v>5690</v>
      </c>
      <c r="N12" t="s">
        <v>5691</v>
      </c>
      <c r="O12">
        <v>0</v>
      </c>
      <c r="P12">
        <v>40</v>
      </c>
      <c r="Q12">
        <v>0</v>
      </c>
      <c r="R12">
        <v>1</v>
      </c>
      <c r="S12">
        <v>0</v>
      </c>
      <c r="T12" t="b">
        <f>ProductionOrdersByItem_Plastic[[#This Row],[Column1]]=ProductionOrdersByItem_Plastic[[#This Row],[QtySched]]</f>
        <v>0</v>
      </c>
    </row>
    <row r="13" spans="1:20" x14ac:dyDescent="0.2">
      <c r="A13" t="s">
        <v>126</v>
      </c>
      <c r="B13" t="s">
        <v>16</v>
      </c>
      <c r="C13" t="s">
        <v>5620</v>
      </c>
      <c r="D13" t="s">
        <v>68</v>
      </c>
      <c r="E13">
        <v>19250</v>
      </c>
      <c r="J13" t="s">
        <v>167</v>
      </c>
      <c r="O13">
        <v>0</v>
      </c>
      <c r="P13">
        <v>40</v>
      </c>
      <c r="Q13">
        <v>0</v>
      </c>
      <c r="R13">
        <v>1</v>
      </c>
      <c r="S13">
        <v>0</v>
      </c>
      <c r="T13" t="b">
        <f>ProductionOrdersByItem_Plastic[[#This Row],[Column1]]=ProductionOrdersByItem_Plastic[[#This Row],[QtySched]]</f>
        <v>0</v>
      </c>
    </row>
    <row r="14" spans="1:20" x14ac:dyDescent="0.2">
      <c r="A14" t="s">
        <v>126</v>
      </c>
      <c r="B14" t="s">
        <v>16</v>
      </c>
      <c r="C14" t="s">
        <v>5619</v>
      </c>
      <c r="D14" t="s">
        <v>68</v>
      </c>
      <c r="E14">
        <v>21600</v>
      </c>
      <c r="J14" t="s">
        <v>167</v>
      </c>
      <c r="O14">
        <v>0</v>
      </c>
      <c r="P14">
        <v>40</v>
      </c>
      <c r="Q14">
        <v>0</v>
      </c>
      <c r="R14">
        <v>1</v>
      </c>
      <c r="S14">
        <v>0</v>
      </c>
      <c r="T14" t="b">
        <f>ProductionOrdersByItem_Plastic[[#This Row],[Column1]]=ProductionOrdersByItem_Plastic[[#This Row],[QtySched]]</f>
        <v>0</v>
      </c>
    </row>
    <row r="15" spans="1:20" x14ac:dyDescent="0.2">
      <c r="A15" t="s">
        <v>126</v>
      </c>
      <c r="B15" t="s">
        <v>16</v>
      </c>
      <c r="C15" t="s">
        <v>5765</v>
      </c>
      <c r="D15" t="s">
        <v>68</v>
      </c>
      <c r="E15">
        <v>16400</v>
      </c>
      <c r="J15" t="s">
        <v>167</v>
      </c>
      <c r="L15" t="s">
        <v>5766</v>
      </c>
      <c r="N15" t="s">
        <v>5767</v>
      </c>
      <c r="O15">
        <v>0</v>
      </c>
      <c r="P15">
        <v>40</v>
      </c>
      <c r="Q15">
        <v>0</v>
      </c>
      <c r="R15">
        <v>1</v>
      </c>
      <c r="S15">
        <v>0</v>
      </c>
      <c r="T15" t="b">
        <f>ProductionOrdersByItem_Plastic[[#This Row],[Column1]]=ProductionOrdersByItem_Plastic[[#This Row],[QtySched]]</f>
        <v>0</v>
      </c>
    </row>
    <row r="16" spans="1:20" x14ac:dyDescent="0.2">
      <c r="A16" t="s">
        <v>126</v>
      </c>
      <c r="B16" t="s">
        <v>16</v>
      </c>
      <c r="C16" t="s">
        <v>5762</v>
      </c>
      <c r="D16" t="s">
        <v>68</v>
      </c>
      <c r="E16">
        <v>8375</v>
      </c>
      <c r="J16" t="s">
        <v>167</v>
      </c>
      <c r="L16" t="s">
        <v>5763</v>
      </c>
      <c r="N16" t="s">
        <v>5764</v>
      </c>
      <c r="O16">
        <v>0</v>
      </c>
      <c r="P16">
        <v>40</v>
      </c>
      <c r="Q16">
        <v>0</v>
      </c>
      <c r="R16">
        <v>1</v>
      </c>
      <c r="S16">
        <v>0</v>
      </c>
      <c r="T16" t="b">
        <f>ProductionOrdersByItem_Plastic[[#This Row],[Column1]]=ProductionOrdersByItem_Plastic[[#This Row],[QtySched]]</f>
        <v>0</v>
      </c>
    </row>
    <row r="17" spans="1:20" x14ac:dyDescent="0.2">
      <c r="A17" t="s">
        <v>126</v>
      </c>
      <c r="B17" t="s">
        <v>16</v>
      </c>
      <c r="C17" t="s">
        <v>5699</v>
      </c>
      <c r="D17" t="s">
        <v>68</v>
      </c>
      <c r="E17">
        <v>5940</v>
      </c>
      <c r="J17" t="s">
        <v>164</v>
      </c>
      <c r="O17">
        <v>0</v>
      </c>
      <c r="P17">
        <v>40</v>
      </c>
      <c r="Q17">
        <v>0</v>
      </c>
      <c r="R17">
        <v>1</v>
      </c>
      <c r="S17">
        <v>0</v>
      </c>
      <c r="T17" t="b">
        <f>ProductionOrdersByItem_Plastic[[#This Row],[Column1]]=ProductionOrdersByItem_Plastic[[#This Row],[QtySched]]</f>
        <v>0</v>
      </c>
    </row>
    <row r="18" spans="1:20" x14ac:dyDescent="0.2">
      <c r="A18" t="s">
        <v>126</v>
      </c>
      <c r="B18" t="s">
        <v>16</v>
      </c>
      <c r="C18" t="s">
        <v>10377</v>
      </c>
      <c r="D18" t="s">
        <v>68</v>
      </c>
      <c r="E18">
        <v>690</v>
      </c>
      <c r="J18" t="s">
        <v>164</v>
      </c>
      <c r="O18">
        <v>0</v>
      </c>
      <c r="P18">
        <v>40</v>
      </c>
      <c r="Q18">
        <v>0</v>
      </c>
      <c r="R18">
        <v>1</v>
      </c>
      <c r="S18">
        <v>0</v>
      </c>
      <c r="T18" t="b">
        <f>ProductionOrdersByItem_Plastic[[#This Row],[Column1]]=ProductionOrdersByItem_Plastic[[#This Row],[QtySched]]</f>
        <v>0</v>
      </c>
    </row>
    <row r="19" spans="1:20" x14ac:dyDescent="0.2">
      <c r="A19" t="s">
        <v>126</v>
      </c>
      <c r="B19" t="s">
        <v>16</v>
      </c>
      <c r="C19" t="s">
        <v>5931</v>
      </c>
      <c r="D19" t="s">
        <v>68</v>
      </c>
      <c r="E19">
        <v>330</v>
      </c>
      <c r="J19" t="s">
        <v>164</v>
      </c>
      <c r="L19" t="s">
        <v>5932</v>
      </c>
      <c r="M19">
        <v>30</v>
      </c>
      <c r="N19" t="s">
        <v>5933</v>
      </c>
      <c r="O19">
        <v>0</v>
      </c>
      <c r="P19">
        <v>40</v>
      </c>
      <c r="Q19">
        <v>0</v>
      </c>
      <c r="R19">
        <v>1</v>
      </c>
      <c r="S19">
        <v>0</v>
      </c>
      <c r="T19" t="b">
        <f>ProductionOrdersByItem_Plastic[[#This Row],[Column1]]=ProductionOrdersByItem_Plastic[[#This Row],[QtySched]]</f>
        <v>0</v>
      </c>
    </row>
    <row r="20" spans="1:20" x14ac:dyDescent="0.2">
      <c r="A20" t="s">
        <v>126</v>
      </c>
      <c r="B20" t="s">
        <v>16</v>
      </c>
      <c r="C20" t="s">
        <v>5001</v>
      </c>
      <c r="D20" t="s">
        <v>68</v>
      </c>
      <c r="E20">
        <v>2970</v>
      </c>
      <c r="J20" t="s">
        <v>164</v>
      </c>
      <c r="O20">
        <v>0</v>
      </c>
      <c r="P20">
        <v>40</v>
      </c>
      <c r="Q20">
        <v>0</v>
      </c>
      <c r="R20">
        <v>1</v>
      </c>
      <c r="S20">
        <v>0</v>
      </c>
      <c r="T20" t="b">
        <f>ProductionOrdersByItem_Plastic[[#This Row],[Column1]]=ProductionOrdersByItem_Plastic[[#This Row],[QtySched]]</f>
        <v>0</v>
      </c>
    </row>
    <row r="21" spans="1:20" x14ac:dyDescent="0.2">
      <c r="A21" t="s">
        <v>126</v>
      </c>
      <c r="B21" t="s">
        <v>16</v>
      </c>
      <c r="C21" t="s">
        <v>5768</v>
      </c>
      <c r="D21" t="s">
        <v>68</v>
      </c>
      <c r="E21">
        <v>5880</v>
      </c>
      <c r="J21" t="s">
        <v>164</v>
      </c>
      <c r="L21" t="s">
        <v>5769</v>
      </c>
      <c r="N21" t="s">
        <v>5770</v>
      </c>
      <c r="O21">
        <v>0</v>
      </c>
      <c r="P21">
        <v>40</v>
      </c>
      <c r="Q21">
        <v>0</v>
      </c>
      <c r="R21">
        <v>1</v>
      </c>
      <c r="S21">
        <v>0</v>
      </c>
      <c r="T21" t="b">
        <f>ProductionOrdersByItem_Plastic[[#This Row],[Column1]]=ProductionOrdersByItem_Plastic[[#This Row],[QtySched]]</f>
        <v>0</v>
      </c>
    </row>
    <row r="22" spans="1:20" x14ac:dyDescent="0.2">
      <c r="A22" t="s">
        <v>126</v>
      </c>
      <c r="B22" t="s">
        <v>16</v>
      </c>
      <c r="C22" t="s">
        <v>5672</v>
      </c>
      <c r="D22" t="s">
        <v>68</v>
      </c>
      <c r="E22">
        <v>1200</v>
      </c>
      <c r="J22" t="s">
        <v>164</v>
      </c>
      <c r="L22" t="s">
        <v>5673</v>
      </c>
      <c r="N22" t="s">
        <v>5674</v>
      </c>
      <c r="O22">
        <v>0</v>
      </c>
      <c r="P22">
        <v>40</v>
      </c>
      <c r="Q22">
        <v>0</v>
      </c>
      <c r="R22">
        <v>1</v>
      </c>
      <c r="S22">
        <v>0</v>
      </c>
      <c r="T22" t="b">
        <f>ProductionOrdersByItem_Plastic[[#This Row],[Column1]]=ProductionOrdersByItem_Plastic[[#This Row],[QtySched]]</f>
        <v>0</v>
      </c>
    </row>
    <row r="23" spans="1:20" x14ac:dyDescent="0.2">
      <c r="A23" t="s">
        <v>126</v>
      </c>
      <c r="B23" t="s">
        <v>16</v>
      </c>
      <c r="C23" t="s">
        <v>579</v>
      </c>
      <c r="D23" t="s">
        <v>68</v>
      </c>
      <c r="E23">
        <v>1000</v>
      </c>
      <c r="J23" t="s">
        <v>164</v>
      </c>
      <c r="L23" t="s">
        <v>580</v>
      </c>
      <c r="M23">
        <v>767</v>
      </c>
      <c r="N23" t="s">
        <v>5875</v>
      </c>
      <c r="O23">
        <v>40</v>
      </c>
      <c r="P23">
        <v>40</v>
      </c>
      <c r="Q23">
        <v>0</v>
      </c>
      <c r="R23">
        <v>1</v>
      </c>
      <c r="S23">
        <v>0</v>
      </c>
      <c r="T23" t="b">
        <f>ProductionOrdersByItem_Plastic[[#This Row],[Column1]]=ProductionOrdersByItem_Plastic[[#This Row],[QtySched]]</f>
        <v>0</v>
      </c>
    </row>
    <row r="24" spans="1:20" x14ac:dyDescent="0.2">
      <c r="A24" t="s">
        <v>126</v>
      </c>
      <c r="B24" t="s">
        <v>16</v>
      </c>
      <c r="C24" t="s">
        <v>5934</v>
      </c>
      <c r="D24" t="s">
        <v>68</v>
      </c>
      <c r="E24">
        <v>1000</v>
      </c>
      <c r="J24" t="s">
        <v>164</v>
      </c>
      <c r="O24">
        <v>0</v>
      </c>
      <c r="P24">
        <v>40</v>
      </c>
      <c r="Q24">
        <v>0</v>
      </c>
      <c r="R24">
        <v>1</v>
      </c>
      <c r="S24">
        <v>0</v>
      </c>
      <c r="T24" t="b">
        <f>ProductionOrdersByItem_Plastic[[#This Row],[Column1]]=ProductionOrdersByItem_Plastic[[#This Row],[QtySched]]</f>
        <v>0</v>
      </c>
    </row>
    <row r="25" spans="1:20" x14ac:dyDescent="0.2">
      <c r="A25" t="s">
        <v>126</v>
      </c>
      <c r="B25" t="s">
        <v>16</v>
      </c>
      <c r="C25" t="s">
        <v>5725</v>
      </c>
      <c r="D25" t="s">
        <v>68</v>
      </c>
      <c r="E25">
        <v>5600</v>
      </c>
      <c r="J25" t="s">
        <v>164</v>
      </c>
      <c r="L25" t="s">
        <v>5726</v>
      </c>
      <c r="N25" t="s">
        <v>5727</v>
      </c>
      <c r="O25">
        <v>0</v>
      </c>
      <c r="P25">
        <v>40</v>
      </c>
      <c r="Q25">
        <v>0</v>
      </c>
      <c r="R25">
        <v>1</v>
      </c>
      <c r="S25">
        <v>0</v>
      </c>
      <c r="T25" t="b">
        <f>ProductionOrdersByItem_Plastic[[#This Row],[Column1]]=ProductionOrdersByItem_Plastic[[#This Row],[QtySched]]</f>
        <v>0</v>
      </c>
    </row>
    <row r="26" spans="1:20" x14ac:dyDescent="0.2">
      <c r="A26" t="s">
        <v>126</v>
      </c>
      <c r="B26" t="s">
        <v>16</v>
      </c>
      <c r="C26" t="s">
        <v>5667</v>
      </c>
      <c r="D26" t="s">
        <v>68</v>
      </c>
      <c r="E26">
        <v>3600</v>
      </c>
      <c r="J26" t="s">
        <v>164</v>
      </c>
      <c r="O26">
        <v>0</v>
      </c>
      <c r="P26">
        <v>40</v>
      </c>
      <c r="Q26">
        <v>0</v>
      </c>
      <c r="R26">
        <v>1</v>
      </c>
      <c r="S26">
        <v>0</v>
      </c>
      <c r="T26" t="b">
        <f>ProductionOrdersByItem_Plastic[[#This Row],[Column1]]=ProductionOrdersByItem_Plastic[[#This Row],[QtySched]]</f>
        <v>0</v>
      </c>
    </row>
    <row r="27" spans="1:20" x14ac:dyDescent="0.2">
      <c r="A27" t="s">
        <v>126</v>
      </c>
      <c r="B27" t="s">
        <v>16</v>
      </c>
      <c r="C27" t="s">
        <v>597</v>
      </c>
      <c r="D27" t="s">
        <v>68</v>
      </c>
      <c r="E27">
        <v>3500</v>
      </c>
      <c r="J27" t="s">
        <v>164</v>
      </c>
      <c r="L27" t="s">
        <v>598</v>
      </c>
      <c r="M27">
        <v>117</v>
      </c>
      <c r="N27" t="s">
        <v>5728</v>
      </c>
      <c r="O27">
        <v>40</v>
      </c>
      <c r="P27">
        <v>40</v>
      </c>
      <c r="Q27">
        <v>0</v>
      </c>
      <c r="R27">
        <v>1</v>
      </c>
      <c r="S27">
        <v>0</v>
      </c>
      <c r="T27" t="b">
        <f>ProductionOrdersByItem_Plastic[[#This Row],[Column1]]=ProductionOrdersByItem_Plastic[[#This Row],[QtySched]]</f>
        <v>0</v>
      </c>
    </row>
    <row r="28" spans="1:20" x14ac:dyDescent="0.2">
      <c r="A28" t="s">
        <v>126</v>
      </c>
      <c r="B28" t="s">
        <v>16</v>
      </c>
      <c r="C28" t="s">
        <v>5618</v>
      </c>
      <c r="D28" t="s">
        <v>68</v>
      </c>
      <c r="E28">
        <v>7000</v>
      </c>
      <c r="J28" t="s">
        <v>164</v>
      </c>
      <c r="O28">
        <v>0</v>
      </c>
      <c r="P28">
        <v>40</v>
      </c>
      <c r="Q28">
        <v>0</v>
      </c>
      <c r="R28">
        <v>1</v>
      </c>
      <c r="S28">
        <v>0</v>
      </c>
      <c r="T28" t="b">
        <f>ProductionOrdersByItem_Plastic[[#This Row],[Column1]]=ProductionOrdersByItem_Plastic[[#This Row],[QtySched]]</f>
        <v>0</v>
      </c>
    </row>
    <row r="29" spans="1:20" x14ac:dyDescent="0.2">
      <c r="A29" t="s">
        <v>126</v>
      </c>
      <c r="B29" t="s">
        <v>16</v>
      </c>
      <c r="C29" t="s">
        <v>5928</v>
      </c>
      <c r="D29" t="s">
        <v>68</v>
      </c>
      <c r="E29">
        <v>13120</v>
      </c>
      <c r="J29" t="s">
        <v>164</v>
      </c>
      <c r="L29" t="s">
        <v>5929</v>
      </c>
      <c r="N29" t="s">
        <v>5930</v>
      </c>
      <c r="O29">
        <v>0</v>
      </c>
      <c r="P29">
        <v>40</v>
      </c>
      <c r="Q29">
        <v>0</v>
      </c>
      <c r="R29">
        <v>1</v>
      </c>
      <c r="S29">
        <v>0</v>
      </c>
      <c r="T29" t="b">
        <f>ProductionOrdersByItem_Plastic[[#This Row],[Column1]]=ProductionOrdersByItem_Plastic[[#This Row],[QtySched]]</f>
        <v>0</v>
      </c>
    </row>
    <row r="30" spans="1:20" x14ac:dyDescent="0.2">
      <c r="A30" t="s">
        <v>126</v>
      </c>
      <c r="B30" t="s">
        <v>16</v>
      </c>
      <c r="C30" t="s">
        <v>5700</v>
      </c>
      <c r="D30" t="s">
        <v>68</v>
      </c>
      <c r="E30">
        <v>12960</v>
      </c>
      <c r="J30" t="s">
        <v>164</v>
      </c>
      <c r="O30">
        <v>0</v>
      </c>
      <c r="P30">
        <v>40</v>
      </c>
      <c r="Q30">
        <v>0</v>
      </c>
      <c r="R30">
        <v>1</v>
      </c>
      <c r="S30">
        <v>0</v>
      </c>
      <c r="T30" t="b">
        <f>ProductionOrdersByItem_Plastic[[#This Row],[Column1]]=ProductionOrdersByItem_Plastic[[#This Row],[QtySched]]</f>
        <v>0</v>
      </c>
    </row>
    <row r="31" spans="1:20" x14ac:dyDescent="0.2">
      <c r="A31" t="s">
        <v>126</v>
      </c>
      <c r="B31" t="s">
        <v>16</v>
      </c>
      <c r="C31" t="s">
        <v>5865</v>
      </c>
      <c r="D31" t="s">
        <v>68</v>
      </c>
      <c r="E31">
        <v>12750</v>
      </c>
      <c r="J31" t="s">
        <v>164</v>
      </c>
      <c r="O31">
        <v>0</v>
      </c>
      <c r="P31">
        <v>40</v>
      </c>
      <c r="Q31">
        <v>0</v>
      </c>
      <c r="R31">
        <v>1</v>
      </c>
      <c r="S31">
        <v>0</v>
      </c>
      <c r="T31" t="b">
        <f>ProductionOrdersByItem_Plastic[[#This Row],[Column1]]=ProductionOrdersByItem_Plastic[[#This Row],[QtySched]]</f>
        <v>0</v>
      </c>
    </row>
    <row r="32" spans="1:20" x14ac:dyDescent="0.2">
      <c r="A32" t="s">
        <v>126</v>
      </c>
      <c r="B32" t="s">
        <v>16</v>
      </c>
      <c r="C32" t="s">
        <v>5935</v>
      </c>
      <c r="D32" t="s">
        <v>68</v>
      </c>
      <c r="E32">
        <v>13230</v>
      </c>
      <c r="J32" t="s">
        <v>164</v>
      </c>
      <c r="L32" t="s">
        <v>5936</v>
      </c>
      <c r="N32" t="s">
        <v>5937</v>
      </c>
      <c r="O32">
        <v>0</v>
      </c>
      <c r="P32">
        <v>40</v>
      </c>
      <c r="Q32">
        <v>0</v>
      </c>
      <c r="R32">
        <v>1</v>
      </c>
      <c r="S32">
        <v>0</v>
      </c>
      <c r="T32" t="b">
        <f>ProductionOrdersByItem_Plastic[[#This Row],[Column1]]=ProductionOrdersByItem_Plastic[[#This Row],[QtySched]]</f>
        <v>0</v>
      </c>
    </row>
    <row r="33" spans="1:20" x14ac:dyDescent="0.2">
      <c r="A33" t="s">
        <v>126</v>
      </c>
      <c r="B33" t="s">
        <v>16</v>
      </c>
      <c r="C33" t="s">
        <v>5617</v>
      </c>
      <c r="D33" t="s">
        <v>68</v>
      </c>
      <c r="E33">
        <v>106195</v>
      </c>
      <c r="J33" t="s">
        <v>164</v>
      </c>
      <c r="O33">
        <v>0</v>
      </c>
      <c r="P33">
        <v>40</v>
      </c>
      <c r="Q33">
        <v>0</v>
      </c>
      <c r="R33">
        <v>1</v>
      </c>
      <c r="S33">
        <v>0</v>
      </c>
      <c r="T33" t="b">
        <f>ProductionOrdersByItem_Plastic[[#This Row],[Column1]]=ProductionOrdersByItem_Plastic[[#This Row],[QtySched]]</f>
        <v>0</v>
      </c>
    </row>
    <row r="34" spans="1:20" x14ac:dyDescent="0.2">
      <c r="A34" t="s">
        <v>126</v>
      </c>
      <c r="B34" t="s">
        <v>16</v>
      </c>
      <c r="C34" t="s">
        <v>5869</v>
      </c>
      <c r="D34" t="s">
        <v>68</v>
      </c>
      <c r="E34">
        <v>27240</v>
      </c>
      <c r="J34" t="s">
        <v>164</v>
      </c>
      <c r="O34">
        <v>0</v>
      </c>
      <c r="P34">
        <v>40</v>
      </c>
      <c r="Q34">
        <v>0</v>
      </c>
      <c r="R34">
        <v>1</v>
      </c>
      <c r="S34">
        <v>0</v>
      </c>
      <c r="T34" t="b">
        <f>ProductionOrdersByItem_Plastic[[#This Row],[Column1]]=ProductionOrdersByItem_Plastic[[#This Row],[QtySched]]</f>
        <v>0</v>
      </c>
    </row>
    <row r="35" spans="1:20" x14ac:dyDescent="0.2">
      <c r="A35" t="s">
        <v>126</v>
      </c>
      <c r="B35" t="s">
        <v>16</v>
      </c>
      <c r="C35" t="s">
        <v>5675</v>
      </c>
      <c r="D35" t="s">
        <v>68</v>
      </c>
      <c r="E35">
        <v>16000</v>
      </c>
      <c r="J35" t="s">
        <v>164</v>
      </c>
      <c r="O35">
        <v>0</v>
      </c>
      <c r="P35">
        <v>40</v>
      </c>
      <c r="Q35">
        <v>0</v>
      </c>
      <c r="R35">
        <v>1</v>
      </c>
      <c r="S35">
        <v>0</v>
      </c>
      <c r="T35" t="b">
        <f>ProductionOrdersByItem_Plastic[[#This Row],[Column1]]=ProductionOrdersByItem_Plastic[[#This Row],[QtySched]]</f>
        <v>0</v>
      </c>
    </row>
    <row r="36" spans="1:20" x14ac:dyDescent="0.2">
      <c r="A36" t="s">
        <v>126</v>
      </c>
      <c r="B36" t="s">
        <v>16</v>
      </c>
      <c r="C36" t="s">
        <v>5624</v>
      </c>
      <c r="D36" t="s">
        <v>68</v>
      </c>
      <c r="E36">
        <v>9324</v>
      </c>
      <c r="J36" t="s">
        <v>164</v>
      </c>
      <c r="O36">
        <v>0</v>
      </c>
      <c r="P36">
        <v>40</v>
      </c>
      <c r="Q36">
        <v>0</v>
      </c>
      <c r="R36">
        <v>1</v>
      </c>
      <c r="S36">
        <v>0</v>
      </c>
      <c r="T36" t="b">
        <f>ProductionOrdersByItem_Plastic[[#This Row],[Column1]]=ProductionOrdersByItem_Plastic[[#This Row],[QtySched]]</f>
        <v>0</v>
      </c>
    </row>
    <row r="37" spans="1:20" x14ac:dyDescent="0.2">
      <c r="A37" t="s">
        <v>126</v>
      </c>
      <c r="B37" t="s">
        <v>16</v>
      </c>
      <c r="C37" t="s">
        <v>5616</v>
      </c>
      <c r="D37" t="s">
        <v>68</v>
      </c>
      <c r="E37">
        <v>107570</v>
      </c>
      <c r="J37" t="s">
        <v>164</v>
      </c>
      <c r="O37">
        <v>0</v>
      </c>
      <c r="P37">
        <v>40</v>
      </c>
      <c r="Q37">
        <v>0</v>
      </c>
      <c r="R37">
        <v>1</v>
      </c>
      <c r="S37">
        <v>0</v>
      </c>
      <c r="T37" t="b">
        <f>ProductionOrdersByItem_Plastic[[#This Row],[Column1]]=ProductionOrdersByItem_Plastic[[#This Row],[QtySched]]</f>
        <v>0</v>
      </c>
    </row>
    <row r="38" spans="1:20" x14ac:dyDescent="0.2">
      <c r="A38" t="s">
        <v>126</v>
      </c>
      <c r="B38" t="s">
        <v>16</v>
      </c>
      <c r="C38" t="s">
        <v>5622</v>
      </c>
      <c r="D38" t="s">
        <v>68</v>
      </c>
      <c r="E38">
        <v>7320</v>
      </c>
      <c r="J38" t="s">
        <v>164</v>
      </c>
      <c r="O38">
        <v>0</v>
      </c>
      <c r="P38">
        <v>40</v>
      </c>
      <c r="Q38">
        <v>0</v>
      </c>
      <c r="R38">
        <v>1</v>
      </c>
      <c r="S38">
        <v>0</v>
      </c>
      <c r="T38" t="b">
        <f>ProductionOrdersByItem_Plastic[[#This Row],[Column1]]=ProductionOrdersByItem_Plastic[[#This Row],[QtySched]]</f>
        <v>0</v>
      </c>
    </row>
    <row r="39" spans="1:20" x14ac:dyDescent="0.2">
      <c r="A39" t="s">
        <v>126</v>
      </c>
      <c r="B39" t="s">
        <v>16</v>
      </c>
      <c r="C39" t="s">
        <v>5623</v>
      </c>
      <c r="D39" t="s">
        <v>68</v>
      </c>
      <c r="E39">
        <v>9576</v>
      </c>
      <c r="J39" t="s">
        <v>164</v>
      </c>
      <c r="O39">
        <v>0</v>
      </c>
      <c r="P39">
        <v>40</v>
      </c>
      <c r="Q39">
        <v>0</v>
      </c>
      <c r="R39">
        <v>1</v>
      </c>
      <c r="S39">
        <v>0</v>
      </c>
      <c r="T39" t="b">
        <f>ProductionOrdersByItem_Plastic[[#This Row],[Column1]]=ProductionOrdersByItem_Plastic[[#This Row],[QtySched]]</f>
        <v>0</v>
      </c>
    </row>
    <row r="40" spans="1:20" x14ac:dyDescent="0.2">
      <c r="A40" t="s">
        <v>126</v>
      </c>
      <c r="B40" t="s">
        <v>16</v>
      </c>
      <c r="C40" t="s">
        <v>575</v>
      </c>
      <c r="D40" t="s">
        <v>68</v>
      </c>
      <c r="E40">
        <v>12540</v>
      </c>
      <c r="J40" t="s">
        <v>164</v>
      </c>
      <c r="O40">
        <v>0</v>
      </c>
      <c r="P40">
        <v>40</v>
      </c>
      <c r="Q40">
        <v>0</v>
      </c>
      <c r="R40">
        <v>1</v>
      </c>
      <c r="S40">
        <v>0</v>
      </c>
      <c r="T40" t="b">
        <f>ProductionOrdersByItem_Plastic[[#This Row],[Column1]]=ProductionOrdersByItem_Plastic[[#This Row],[QtySched]]</f>
        <v>0</v>
      </c>
    </row>
    <row r="41" spans="1:20" x14ac:dyDescent="0.2">
      <c r="A41" t="s">
        <v>126</v>
      </c>
      <c r="B41" t="s">
        <v>16</v>
      </c>
      <c r="C41" t="s">
        <v>5866</v>
      </c>
      <c r="D41" t="s">
        <v>68</v>
      </c>
      <c r="E41">
        <v>10000</v>
      </c>
      <c r="J41" t="s">
        <v>164</v>
      </c>
      <c r="L41" t="s">
        <v>5867</v>
      </c>
      <c r="N41" t="s">
        <v>5868</v>
      </c>
      <c r="O41">
        <v>0</v>
      </c>
      <c r="P41">
        <v>40</v>
      </c>
      <c r="Q41">
        <v>0</v>
      </c>
      <c r="R41">
        <v>1</v>
      </c>
      <c r="S41">
        <v>0</v>
      </c>
      <c r="T41" t="b">
        <f>ProductionOrdersByItem_Plastic[[#This Row],[Column1]]=ProductionOrdersByItem_Plastic[[#This Row],[QtySched]]</f>
        <v>0</v>
      </c>
    </row>
    <row r="42" spans="1:20" x14ac:dyDescent="0.2">
      <c r="A42" t="s">
        <v>126</v>
      </c>
      <c r="B42" t="s">
        <v>16</v>
      </c>
      <c r="C42" t="s">
        <v>5870</v>
      </c>
      <c r="D42" t="s">
        <v>68</v>
      </c>
      <c r="E42">
        <v>9800</v>
      </c>
      <c r="J42" t="s">
        <v>164</v>
      </c>
      <c r="O42">
        <v>0</v>
      </c>
      <c r="P42">
        <v>40</v>
      </c>
      <c r="Q42">
        <v>0</v>
      </c>
      <c r="R42">
        <v>1</v>
      </c>
      <c r="S42">
        <v>0</v>
      </c>
      <c r="T42" t="b">
        <f>ProductionOrdersByItem_Plastic[[#This Row],[Column1]]=ProductionOrdersByItem_Plastic[[#This Row],[QtySched]]</f>
        <v>0</v>
      </c>
    </row>
  </sheetData>
  <phoneticPr fontId="6" type="noConversion"/>
  <pageMargins left="0.7" right="0.7" top="0.75" bottom="0.75" header="0.3" footer="0.3"/>
  <pageSetup paperSize="9" orientation="portrait" horizontalDpi="1200" verticalDpi="1200" r:id="rId1"/>
  <headerFooter>
    <oddFooter>&amp;C&amp;1#&amp;"Calibri"&amp;12&amp;K000000Classification: Pandora Internal</oddFooter>
  </headerFooter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0D64A-004B-466C-8B1B-7BE9E8F07E92}">
  <sheetPr codeName="Sheet7"/>
  <dimension ref="A4:C5"/>
  <sheetViews>
    <sheetView workbookViewId="0">
      <selection activeCell="E8" sqref="E8"/>
    </sheetView>
  </sheetViews>
  <sheetFormatPr defaultRowHeight="14.25" x14ac:dyDescent="0.2"/>
  <cols>
    <col min="1" max="1" width="25.125" customWidth="1"/>
    <col min="2" max="2" width="30.125" customWidth="1"/>
  </cols>
  <sheetData>
    <row r="4" spans="1:3" x14ac:dyDescent="0.2">
      <c r="A4" t="s">
        <v>135</v>
      </c>
      <c r="B4">
        <v>1</v>
      </c>
      <c r="C4">
        <v>0</v>
      </c>
    </row>
    <row r="5" spans="1:3" x14ac:dyDescent="0.2">
      <c r="B5">
        <v>1</v>
      </c>
      <c r="C5">
        <v>1</v>
      </c>
    </row>
  </sheetData>
  <pageMargins left="0.7" right="0.7" top="0.75" bottom="0.75" header="0.3" footer="0.3"/>
  <pageSetup paperSize="9" orientation="portrait" horizontalDpi="1200" verticalDpi="1200" r:id="rId1"/>
  <headerFooter>
    <oddFooter>&amp;C&amp;1#&amp;"Calibri"&amp;12&amp;K000000Classification: Pandora Internal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3DC187-13CA-484A-801A-B2DDC56AEE77}">
  <sheetPr codeName="Sheet15"/>
  <dimension ref="A1:J5"/>
  <sheetViews>
    <sheetView workbookViewId="0">
      <selection activeCell="I22" sqref="I22"/>
    </sheetView>
  </sheetViews>
  <sheetFormatPr defaultRowHeight="14.25" x14ac:dyDescent="0.2"/>
  <cols>
    <col min="1" max="1" width="12.875" bestFit="1" customWidth="1"/>
    <col min="2" max="2" width="12.125" bestFit="1" customWidth="1"/>
    <col min="3" max="4" width="12.25" bestFit="1" customWidth="1"/>
    <col min="5" max="5" width="12.75" bestFit="1" customWidth="1"/>
    <col min="6" max="6" width="9.875" bestFit="1" customWidth="1"/>
    <col min="7" max="7" width="20.375" bestFit="1" customWidth="1"/>
    <col min="8" max="8" width="11" bestFit="1" customWidth="1"/>
    <col min="9" max="9" width="10.75" bestFit="1" customWidth="1"/>
    <col min="10" max="10" width="13.25" bestFit="1" customWidth="1"/>
  </cols>
  <sheetData>
    <row r="1" spans="1:10" x14ac:dyDescent="0.2">
      <c r="A1" t="s">
        <v>192</v>
      </c>
      <c r="B1" t="s">
        <v>193</v>
      </c>
      <c r="C1" t="s">
        <v>194</v>
      </c>
      <c r="D1" t="s">
        <v>195</v>
      </c>
      <c r="E1" t="s">
        <v>196</v>
      </c>
      <c r="F1" t="s">
        <v>197</v>
      </c>
      <c r="G1" t="s">
        <v>198</v>
      </c>
      <c r="H1" t="s">
        <v>199</v>
      </c>
      <c r="I1" t="s">
        <v>200</v>
      </c>
      <c r="J1" t="s">
        <v>201</v>
      </c>
    </row>
    <row r="2" spans="1:10" x14ac:dyDescent="0.2">
      <c r="A2" t="s">
        <v>5661</v>
      </c>
      <c r="B2" s="50">
        <v>44918</v>
      </c>
      <c r="C2">
        <v>100</v>
      </c>
      <c r="D2" s="51">
        <v>0.33333333333333331</v>
      </c>
      <c r="F2" s="51">
        <v>0.52083333333333337</v>
      </c>
      <c r="G2" s="52">
        <v>44918.333333333336</v>
      </c>
      <c r="H2" s="53">
        <v>0.1875</v>
      </c>
      <c r="I2" s="50">
        <v>44918</v>
      </c>
      <c r="J2">
        <v>4.5</v>
      </c>
    </row>
    <row r="3" spans="1:10" x14ac:dyDescent="0.2">
      <c r="A3" t="s">
        <v>5661</v>
      </c>
      <c r="B3" s="50">
        <v>44918</v>
      </c>
      <c r="C3">
        <v>100</v>
      </c>
      <c r="D3" s="51">
        <v>0.5625</v>
      </c>
      <c r="F3" s="51">
        <v>0.73958333333333337</v>
      </c>
      <c r="G3" s="52">
        <v>44918.5625</v>
      </c>
      <c r="H3" s="53">
        <v>0.17708333333333334</v>
      </c>
      <c r="I3" s="50">
        <v>44918</v>
      </c>
      <c r="J3">
        <v>4.25</v>
      </c>
    </row>
    <row r="4" spans="1:10" x14ac:dyDescent="0.2">
      <c r="A4" t="s">
        <v>5661</v>
      </c>
      <c r="B4" s="50">
        <v>44918</v>
      </c>
      <c r="C4">
        <v>100</v>
      </c>
      <c r="D4" s="51">
        <v>0.76041666666666663</v>
      </c>
      <c r="F4" s="51">
        <v>0.875</v>
      </c>
      <c r="G4" s="52">
        <v>44918.760416666664</v>
      </c>
      <c r="H4" s="53">
        <v>0.11458333333333333</v>
      </c>
      <c r="I4" s="50">
        <v>44918</v>
      </c>
      <c r="J4">
        <v>2.75</v>
      </c>
    </row>
    <row r="5" spans="1:10" x14ac:dyDescent="0.2">
      <c r="A5" t="s">
        <v>5661</v>
      </c>
      <c r="B5" s="50">
        <v>44918</v>
      </c>
      <c r="C5">
        <v>100</v>
      </c>
      <c r="D5" s="51">
        <v>0.89583333333333337</v>
      </c>
      <c r="F5" s="51">
        <v>0.99930555555555556</v>
      </c>
      <c r="G5" s="52">
        <v>44918.895833333336</v>
      </c>
      <c r="H5" s="53">
        <v>0.10347222222222222</v>
      </c>
      <c r="I5" s="50">
        <v>44918</v>
      </c>
      <c r="J5">
        <v>2.4833333333333334</v>
      </c>
    </row>
  </sheetData>
  <pageMargins left="0.7" right="0.7" top="0.75" bottom="0.75" header="0.3" footer="0.3"/>
  <pageSetup paperSize="9" orientation="portrait" horizontalDpi="1200" verticalDpi="1200" r:id="rId1"/>
  <headerFooter>
    <oddFooter>&amp;C&amp;1#&amp;"Calibri"&amp;12&amp;K000000Classification: Pandora Internal</oddFooter>
  </headerFooter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E827D0-ADB8-4210-8DA5-58D67223664D}">
  <sheetPr codeName="Sheet12"/>
  <dimension ref="A1:D461"/>
  <sheetViews>
    <sheetView showGridLines="0" workbookViewId="0">
      <selection activeCell="A14" sqref="A14"/>
    </sheetView>
  </sheetViews>
  <sheetFormatPr defaultRowHeight="14.25" x14ac:dyDescent="0.2"/>
  <cols>
    <col min="1" max="3" width="17.75" customWidth="1"/>
    <col min="4" max="4" width="34.875" customWidth="1"/>
  </cols>
  <sheetData>
    <row r="1" spans="1:4" x14ac:dyDescent="0.2">
      <c r="A1" t="s">
        <v>28</v>
      </c>
      <c r="B1" t="s">
        <v>47</v>
      </c>
      <c r="C1" t="s">
        <v>187</v>
      </c>
      <c r="D1" t="s">
        <v>72</v>
      </c>
    </row>
    <row r="2" spans="1:4" x14ac:dyDescent="0.2">
      <c r="A2" t="s">
        <v>774</v>
      </c>
      <c r="B2" t="s">
        <v>773</v>
      </c>
      <c r="C2">
        <v>6</v>
      </c>
      <c r="D2" t="s">
        <v>11033</v>
      </c>
    </row>
    <row r="3" spans="1:4" x14ac:dyDescent="0.2">
      <c r="A3" t="s">
        <v>772</v>
      </c>
      <c r="B3" t="s">
        <v>773</v>
      </c>
      <c r="C3">
        <v>1</v>
      </c>
      <c r="D3" t="s">
        <v>92</v>
      </c>
    </row>
    <row r="4" spans="1:4" x14ac:dyDescent="0.2">
      <c r="A4" t="s">
        <v>671</v>
      </c>
      <c r="B4" t="s">
        <v>166</v>
      </c>
      <c r="C4">
        <v>5</v>
      </c>
      <c r="D4" t="s">
        <v>11170</v>
      </c>
    </row>
    <row r="5" spans="1:4" x14ac:dyDescent="0.2">
      <c r="A5" t="s">
        <v>347</v>
      </c>
      <c r="B5" t="s">
        <v>166</v>
      </c>
      <c r="C5">
        <v>7</v>
      </c>
      <c r="D5" t="s">
        <v>11171</v>
      </c>
    </row>
    <row r="6" spans="1:4" x14ac:dyDescent="0.2">
      <c r="A6" t="s">
        <v>355</v>
      </c>
      <c r="B6" t="s">
        <v>166</v>
      </c>
      <c r="C6">
        <v>9</v>
      </c>
      <c r="D6" t="s">
        <v>11172</v>
      </c>
    </row>
    <row r="7" spans="1:4" x14ac:dyDescent="0.2">
      <c r="A7" t="s">
        <v>2730</v>
      </c>
      <c r="B7" t="s">
        <v>166</v>
      </c>
      <c r="C7">
        <v>4</v>
      </c>
      <c r="D7" t="s">
        <v>11173</v>
      </c>
    </row>
    <row r="8" spans="1:4" x14ac:dyDescent="0.2">
      <c r="A8" t="s">
        <v>255</v>
      </c>
      <c r="B8" t="s">
        <v>166</v>
      </c>
      <c r="C8">
        <v>13</v>
      </c>
      <c r="D8" t="s">
        <v>11174</v>
      </c>
    </row>
    <row r="9" spans="1:4" x14ac:dyDescent="0.2">
      <c r="A9" t="s">
        <v>256</v>
      </c>
      <c r="B9" t="s">
        <v>166</v>
      </c>
      <c r="C9">
        <v>14</v>
      </c>
      <c r="D9" t="s">
        <v>11175</v>
      </c>
    </row>
    <row r="10" spans="1:4" x14ac:dyDescent="0.2">
      <c r="A10" t="s">
        <v>670</v>
      </c>
      <c r="B10" t="s">
        <v>166</v>
      </c>
      <c r="C10">
        <v>2</v>
      </c>
      <c r="D10" t="s">
        <v>5880</v>
      </c>
    </row>
    <row r="11" spans="1:4" x14ac:dyDescent="0.2">
      <c r="A11" t="s">
        <v>928</v>
      </c>
      <c r="B11" t="s">
        <v>166</v>
      </c>
      <c r="C11">
        <v>3</v>
      </c>
      <c r="D11" t="s">
        <v>11176</v>
      </c>
    </row>
    <row r="12" spans="1:4" x14ac:dyDescent="0.2">
      <c r="A12" t="s">
        <v>927</v>
      </c>
      <c r="B12" t="s">
        <v>166</v>
      </c>
      <c r="C12">
        <v>1</v>
      </c>
      <c r="D12" t="s">
        <v>104</v>
      </c>
    </row>
    <row r="13" spans="1:4" x14ac:dyDescent="0.2">
      <c r="A13" t="s">
        <v>410</v>
      </c>
      <c r="B13" t="s">
        <v>166</v>
      </c>
      <c r="C13">
        <v>15</v>
      </c>
      <c r="D13" t="s">
        <v>11177</v>
      </c>
    </row>
    <row r="14" spans="1:4" x14ac:dyDescent="0.2">
      <c r="A14" t="s">
        <v>411</v>
      </c>
      <c r="B14" t="s">
        <v>166</v>
      </c>
      <c r="C14">
        <v>7</v>
      </c>
      <c r="D14" t="s">
        <v>11178</v>
      </c>
    </row>
    <row r="15" spans="1:4" x14ac:dyDescent="0.2">
      <c r="A15" t="s">
        <v>259</v>
      </c>
      <c r="B15" t="s">
        <v>166</v>
      </c>
      <c r="C15">
        <v>4</v>
      </c>
      <c r="D15" t="s">
        <v>11179</v>
      </c>
    </row>
    <row r="16" spans="1:4" x14ac:dyDescent="0.2">
      <c r="A16" t="s">
        <v>674</v>
      </c>
      <c r="B16" t="s">
        <v>166</v>
      </c>
      <c r="C16">
        <v>2</v>
      </c>
      <c r="D16" t="s">
        <v>11180</v>
      </c>
    </row>
    <row r="17" spans="1:4" x14ac:dyDescent="0.2">
      <c r="A17" t="s">
        <v>672</v>
      </c>
      <c r="B17" t="s">
        <v>166</v>
      </c>
      <c r="C17">
        <v>2</v>
      </c>
      <c r="D17" t="s">
        <v>11181</v>
      </c>
    </row>
    <row r="18" spans="1:4" x14ac:dyDescent="0.2">
      <c r="A18" t="s">
        <v>5990</v>
      </c>
      <c r="B18" t="s">
        <v>166</v>
      </c>
      <c r="C18">
        <v>1</v>
      </c>
      <c r="D18" t="s">
        <v>104</v>
      </c>
    </row>
    <row r="19" spans="1:4" x14ac:dyDescent="0.2">
      <c r="A19" t="s">
        <v>5615</v>
      </c>
      <c r="B19" t="s">
        <v>49</v>
      </c>
      <c r="C19">
        <v>19</v>
      </c>
      <c r="D19" t="s">
        <v>11182</v>
      </c>
    </row>
    <row r="20" spans="1:4" x14ac:dyDescent="0.2">
      <c r="A20" t="s">
        <v>416</v>
      </c>
      <c r="B20" t="s">
        <v>50</v>
      </c>
      <c r="C20">
        <v>3</v>
      </c>
      <c r="D20" t="s">
        <v>11183</v>
      </c>
    </row>
    <row r="21" spans="1:4" x14ac:dyDescent="0.2">
      <c r="A21" t="s">
        <v>300</v>
      </c>
      <c r="B21" t="s">
        <v>50</v>
      </c>
      <c r="C21">
        <v>8</v>
      </c>
      <c r="D21" t="s">
        <v>11184</v>
      </c>
    </row>
    <row r="22" spans="1:4" x14ac:dyDescent="0.2">
      <c r="A22" t="s">
        <v>1729</v>
      </c>
      <c r="B22" t="s">
        <v>50</v>
      </c>
      <c r="C22">
        <v>7</v>
      </c>
      <c r="D22" t="s">
        <v>11185</v>
      </c>
    </row>
    <row r="23" spans="1:4" x14ac:dyDescent="0.2">
      <c r="A23" t="s">
        <v>2622</v>
      </c>
      <c r="B23" t="s">
        <v>50</v>
      </c>
      <c r="C23">
        <v>7</v>
      </c>
      <c r="D23" t="s">
        <v>11186</v>
      </c>
    </row>
    <row r="24" spans="1:4" x14ac:dyDescent="0.2">
      <c r="A24" t="s">
        <v>2836</v>
      </c>
      <c r="B24" t="s">
        <v>50</v>
      </c>
      <c r="C24">
        <v>2</v>
      </c>
      <c r="D24" t="s">
        <v>5881</v>
      </c>
    </row>
    <row r="25" spans="1:4" x14ac:dyDescent="0.2">
      <c r="A25" t="s">
        <v>770</v>
      </c>
      <c r="B25" t="s">
        <v>50</v>
      </c>
      <c r="C25">
        <v>2</v>
      </c>
      <c r="D25" t="s">
        <v>5942</v>
      </c>
    </row>
    <row r="26" spans="1:4" x14ac:dyDescent="0.2">
      <c r="A26" t="s">
        <v>757</v>
      </c>
      <c r="B26" t="s">
        <v>50</v>
      </c>
      <c r="C26">
        <v>1</v>
      </c>
      <c r="D26" t="s">
        <v>89</v>
      </c>
    </row>
    <row r="27" spans="1:4" x14ac:dyDescent="0.2">
      <c r="A27" t="s">
        <v>294</v>
      </c>
      <c r="B27" t="s">
        <v>50</v>
      </c>
      <c r="C27">
        <v>2</v>
      </c>
      <c r="D27" t="s">
        <v>11187</v>
      </c>
    </row>
    <row r="28" spans="1:4" x14ac:dyDescent="0.2">
      <c r="A28" t="s">
        <v>368</v>
      </c>
      <c r="B28" t="s">
        <v>50</v>
      </c>
      <c r="C28">
        <v>2</v>
      </c>
      <c r="D28" t="s">
        <v>11188</v>
      </c>
    </row>
    <row r="29" spans="1:4" x14ac:dyDescent="0.2">
      <c r="A29" t="s">
        <v>3948</v>
      </c>
      <c r="B29" t="s">
        <v>50</v>
      </c>
      <c r="C29">
        <v>4</v>
      </c>
      <c r="D29" t="s">
        <v>11189</v>
      </c>
    </row>
    <row r="30" spans="1:4" x14ac:dyDescent="0.2">
      <c r="A30" t="s">
        <v>1479</v>
      </c>
      <c r="B30" t="s">
        <v>50</v>
      </c>
      <c r="C30">
        <v>3</v>
      </c>
      <c r="D30" t="s">
        <v>11190</v>
      </c>
    </row>
    <row r="31" spans="1:4" x14ac:dyDescent="0.2">
      <c r="A31" t="s">
        <v>1480</v>
      </c>
      <c r="B31" t="s">
        <v>50</v>
      </c>
      <c r="C31">
        <v>2</v>
      </c>
      <c r="D31" t="s">
        <v>11191</v>
      </c>
    </row>
    <row r="32" spans="1:4" x14ac:dyDescent="0.2">
      <c r="A32" t="s">
        <v>5807</v>
      </c>
      <c r="B32" t="s">
        <v>50</v>
      </c>
      <c r="C32">
        <v>3</v>
      </c>
      <c r="D32" t="s">
        <v>11192</v>
      </c>
    </row>
    <row r="33" spans="1:4" x14ac:dyDescent="0.2">
      <c r="A33" t="s">
        <v>5743</v>
      </c>
      <c r="B33" t="s">
        <v>50</v>
      </c>
      <c r="C33">
        <v>5</v>
      </c>
      <c r="D33" t="s">
        <v>11193</v>
      </c>
    </row>
    <row r="34" spans="1:4" x14ac:dyDescent="0.2">
      <c r="A34" t="s">
        <v>1021</v>
      </c>
      <c r="B34" t="s">
        <v>50</v>
      </c>
      <c r="C34">
        <v>4</v>
      </c>
      <c r="D34" t="s">
        <v>11194</v>
      </c>
    </row>
    <row r="35" spans="1:4" x14ac:dyDescent="0.2">
      <c r="A35" t="s">
        <v>292</v>
      </c>
      <c r="B35" t="s">
        <v>50</v>
      </c>
      <c r="C35">
        <v>1</v>
      </c>
      <c r="D35" t="s">
        <v>87</v>
      </c>
    </row>
    <row r="36" spans="1:4" x14ac:dyDescent="0.2">
      <c r="A36" t="s">
        <v>4524</v>
      </c>
      <c r="B36" t="s">
        <v>50</v>
      </c>
      <c r="C36">
        <v>1</v>
      </c>
      <c r="D36" t="s">
        <v>94</v>
      </c>
    </row>
    <row r="37" spans="1:4" x14ac:dyDescent="0.2">
      <c r="A37" t="s">
        <v>969</v>
      </c>
      <c r="B37" t="s">
        <v>50</v>
      </c>
      <c r="C37">
        <v>4</v>
      </c>
      <c r="D37" t="s">
        <v>11195</v>
      </c>
    </row>
    <row r="38" spans="1:4" x14ac:dyDescent="0.2">
      <c r="A38" t="s">
        <v>4515</v>
      </c>
      <c r="B38" t="s">
        <v>50</v>
      </c>
      <c r="C38">
        <v>2</v>
      </c>
      <c r="D38" t="s">
        <v>11196</v>
      </c>
    </row>
    <row r="39" spans="1:4" x14ac:dyDescent="0.2">
      <c r="A39" t="s">
        <v>4517</v>
      </c>
      <c r="B39" t="s">
        <v>50</v>
      </c>
      <c r="C39">
        <v>1</v>
      </c>
      <c r="D39" t="s">
        <v>87</v>
      </c>
    </row>
    <row r="40" spans="1:4" x14ac:dyDescent="0.2">
      <c r="A40" t="s">
        <v>498</v>
      </c>
      <c r="B40" t="s">
        <v>50</v>
      </c>
      <c r="C40">
        <v>3</v>
      </c>
      <c r="D40" t="s">
        <v>11197</v>
      </c>
    </row>
    <row r="41" spans="1:4" x14ac:dyDescent="0.2">
      <c r="A41" t="s">
        <v>271</v>
      </c>
      <c r="B41" t="s">
        <v>50</v>
      </c>
      <c r="C41">
        <v>2</v>
      </c>
      <c r="D41" t="s">
        <v>11198</v>
      </c>
    </row>
    <row r="42" spans="1:4" x14ac:dyDescent="0.2">
      <c r="A42" t="s">
        <v>771</v>
      </c>
      <c r="B42" t="s">
        <v>50</v>
      </c>
      <c r="C42">
        <v>2</v>
      </c>
      <c r="D42" t="s">
        <v>11191</v>
      </c>
    </row>
    <row r="43" spans="1:4" x14ac:dyDescent="0.2">
      <c r="A43" t="s">
        <v>937</v>
      </c>
      <c r="B43" t="s">
        <v>50</v>
      </c>
      <c r="C43">
        <v>3</v>
      </c>
      <c r="D43" t="s">
        <v>11199</v>
      </c>
    </row>
    <row r="44" spans="1:4" x14ac:dyDescent="0.2">
      <c r="A44" t="s">
        <v>1024</v>
      </c>
      <c r="B44" t="s">
        <v>50</v>
      </c>
      <c r="C44">
        <v>5</v>
      </c>
      <c r="D44" t="s">
        <v>11200</v>
      </c>
    </row>
    <row r="45" spans="1:4" x14ac:dyDescent="0.2">
      <c r="A45" t="s">
        <v>762</v>
      </c>
      <c r="B45" t="s">
        <v>50</v>
      </c>
      <c r="C45">
        <v>2</v>
      </c>
      <c r="D45" t="s">
        <v>11201</v>
      </c>
    </row>
    <row r="46" spans="1:4" x14ac:dyDescent="0.2">
      <c r="A46" t="s">
        <v>382</v>
      </c>
      <c r="B46" t="s">
        <v>50</v>
      </c>
      <c r="C46">
        <v>2</v>
      </c>
      <c r="D46" t="s">
        <v>11202</v>
      </c>
    </row>
    <row r="47" spans="1:4" x14ac:dyDescent="0.2">
      <c r="A47" t="s">
        <v>320</v>
      </c>
      <c r="B47" t="s">
        <v>50</v>
      </c>
      <c r="C47">
        <v>5</v>
      </c>
      <c r="D47" t="s">
        <v>11203</v>
      </c>
    </row>
    <row r="48" spans="1:4" x14ac:dyDescent="0.2">
      <c r="A48" t="s">
        <v>933</v>
      </c>
      <c r="B48" t="s">
        <v>50</v>
      </c>
      <c r="C48">
        <v>8</v>
      </c>
      <c r="D48" t="s">
        <v>11204</v>
      </c>
    </row>
    <row r="49" spans="1:4" x14ac:dyDescent="0.2">
      <c r="A49" t="s">
        <v>1493</v>
      </c>
      <c r="B49" t="s">
        <v>50</v>
      </c>
      <c r="C49">
        <v>8</v>
      </c>
      <c r="D49" t="s">
        <v>11205</v>
      </c>
    </row>
    <row r="50" spans="1:4" x14ac:dyDescent="0.2">
      <c r="A50" t="s">
        <v>4701</v>
      </c>
      <c r="B50" t="s">
        <v>50</v>
      </c>
      <c r="C50">
        <v>3</v>
      </c>
      <c r="D50" t="s">
        <v>11206</v>
      </c>
    </row>
    <row r="51" spans="1:4" x14ac:dyDescent="0.2">
      <c r="A51" t="s">
        <v>5138</v>
      </c>
      <c r="B51" t="s">
        <v>50</v>
      </c>
      <c r="C51">
        <v>3</v>
      </c>
      <c r="D51" t="s">
        <v>11207</v>
      </c>
    </row>
    <row r="52" spans="1:4" x14ac:dyDescent="0.2">
      <c r="A52" t="s">
        <v>680</v>
      </c>
      <c r="B52" t="s">
        <v>50</v>
      </c>
      <c r="C52">
        <v>4</v>
      </c>
      <c r="D52" t="s">
        <v>11208</v>
      </c>
    </row>
    <row r="53" spans="1:4" x14ac:dyDescent="0.2">
      <c r="A53" t="s">
        <v>976</v>
      </c>
      <c r="B53" t="s">
        <v>50</v>
      </c>
      <c r="C53">
        <v>2</v>
      </c>
      <c r="D53" t="s">
        <v>11209</v>
      </c>
    </row>
    <row r="54" spans="1:4" x14ac:dyDescent="0.2">
      <c r="A54" t="s">
        <v>3814</v>
      </c>
      <c r="B54" t="s">
        <v>50</v>
      </c>
      <c r="C54">
        <v>6</v>
      </c>
      <c r="D54" t="s">
        <v>11210</v>
      </c>
    </row>
    <row r="55" spans="1:4" x14ac:dyDescent="0.2">
      <c r="A55" t="s">
        <v>5837</v>
      </c>
      <c r="B55" t="s">
        <v>50</v>
      </c>
      <c r="C55">
        <v>4</v>
      </c>
      <c r="D55" t="s">
        <v>11211</v>
      </c>
    </row>
    <row r="56" spans="1:4" x14ac:dyDescent="0.2">
      <c r="A56" t="s">
        <v>350</v>
      </c>
      <c r="B56" t="s">
        <v>50</v>
      </c>
      <c r="C56">
        <v>3</v>
      </c>
      <c r="D56" t="s">
        <v>11212</v>
      </c>
    </row>
    <row r="57" spans="1:4" x14ac:dyDescent="0.2">
      <c r="A57" t="s">
        <v>2615</v>
      </c>
      <c r="B57" t="s">
        <v>50</v>
      </c>
      <c r="C57">
        <v>6</v>
      </c>
      <c r="D57" t="s">
        <v>11213</v>
      </c>
    </row>
    <row r="58" spans="1:4" x14ac:dyDescent="0.2">
      <c r="A58" t="s">
        <v>4419</v>
      </c>
      <c r="B58" t="s">
        <v>50</v>
      </c>
      <c r="C58">
        <v>3</v>
      </c>
      <c r="D58" t="s">
        <v>11214</v>
      </c>
    </row>
    <row r="59" spans="1:4" x14ac:dyDescent="0.2">
      <c r="A59" t="s">
        <v>979</v>
      </c>
      <c r="B59" t="s">
        <v>50</v>
      </c>
      <c r="C59">
        <v>2</v>
      </c>
      <c r="D59" t="s">
        <v>11215</v>
      </c>
    </row>
    <row r="60" spans="1:4" x14ac:dyDescent="0.2">
      <c r="A60" t="s">
        <v>3504</v>
      </c>
      <c r="B60" t="s">
        <v>50</v>
      </c>
      <c r="C60">
        <v>10</v>
      </c>
      <c r="D60" t="s">
        <v>11216</v>
      </c>
    </row>
    <row r="61" spans="1:4" x14ac:dyDescent="0.2">
      <c r="A61" t="s">
        <v>3879</v>
      </c>
      <c r="B61" t="s">
        <v>50</v>
      </c>
      <c r="C61">
        <v>7</v>
      </c>
      <c r="D61" t="s">
        <v>11217</v>
      </c>
    </row>
    <row r="62" spans="1:4" x14ac:dyDescent="0.2">
      <c r="A62" t="s">
        <v>465</v>
      </c>
      <c r="B62" t="s">
        <v>50</v>
      </c>
      <c r="C62">
        <v>2</v>
      </c>
      <c r="D62" t="s">
        <v>11218</v>
      </c>
    </row>
    <row r="63" spans="1:4" x14ac:dyDescent="0.2">
      <c r="A63" t="s">
        <v>685</v>
      </c>
      <c r="B63" t="s">
        <v>50</v>
      </c>
      <c r="C63">
        <v>2</v>
      </c>
      <c r="D63" t="s">
        <v>11219</v>
      </c>
    </row>
    <row r="64" spans="1:4" x14ac:dyDescent="0.2">
      <c r="A64" t="s">
        <v>4523</v>
      </c>
      <c r="B64" t="s">
        <v>50</v>
      </c>
      <c r="C64">
        <v>1</v>
      </c>
      <c r="D64" t="s">
        <v>91</v>
      </c>
    </row>
    <row r="65" spans="1:4" x14ac:dyDescent="0.2">
      <c r="A65" t="s">
        <v>704</v>
      </c>
      <c r="B65" t="s">
        <v>50</v>
      </c>
      <c r="C65">
        <v>2</v>
      </c>
      <c r="D65" t="s">
        <v>11220</v>
      </c>
    </row>
    <row r="66" spans="1:4" x14ac:dyDescent="0.2">
      <c r="A66" t="s">
        <v>942</v>
      </c>
      <c r="B66" t="s">
        <v>50</v>
      </c>
      <c r="C66">
        <v>3</v>
      </c>
      <c r="D66" t="s">
        <v>11221</v>
      </c>
    </row>
    <row r="67" spans="1:4" x14ac:dyDescent="0.2">
      <c r="A67" t="s">
        <v>967</v>
      </c>
      <c r="B67" t="s">
        <v>50</v>
      </c>
      <c r="C67">
        <v>3</v>
      </c>
      <c r="D67" t="s">
        <v>11222</v>
      </c>
    </row>
    <row r="68" spans="1:4" x14ac:dyDescent="0.2">
      <c r="A68" t="s">
        <v>6023</v>
      </c>
      <c r="B68" t="s">
        <v>50</v>
      </c>
      <c r="C68">
        <v>2</v>
      </c>
      <c r="D68" t="s">
        <v>11223</v>
      </c>
    </row>
    <row r="69" spans="1:4" x14ac:dyDescent="0.2">
      <c r="A69" t="s">
        <v>390</v>
      </c>
      <c r="B69" t="s">
        <v>50</v>
      </c>
      <c r="C69">
        <v>1</v>
      </c>
      <c r="D69" t="s">
        <v>91</v>
      </c>
    </row>
    <row r="70" spans="1:4" x14ac:dyDescent="0.2">
      <c r="A70" t="s">
        <v>732</v>
      </c>
      <c r="B70" t="s">
        <v>50</v>
      </c>
      <c r="C70">
        <v>9</v>
      </c>
      <c r="D70" t="s">
        <v>11224</v>
      </c>
    </row>
    <row r="71" spans="1:4" x14ac:dyDescent="0.2">
      <c r="A71" t="s">
        <v>1495</v>
      </c>
      <c r="B71" t="s">
        <v>50</v>
      </c>
      <c r="C71">
        <v>2</v>
      </c>
      <c r="D71" t="s">
        <v>11225</v>
      </c>
    </row>
    <row r="72" spans="1:4" x14ac:dyDescent="0.2">
      <c r="A72" t="s">
        <v>373</v>
      </c>
      <c r="B72" t="s">
        <v>50</v>
      </c>
      <c r="C72">
        <v>3</v>
      </c>
      <c r="D72" t="s">
        <v>11226</v>
      </c>
    </row>
    <row r="73" spans="1:4" x14ac:dyDescent="0.2">
      <c r="A73" t="s">
        <v>5920</v>
      </c>
      <c r="B73" t="s">
        <v>50</v>
      </c>
      <c r="C73">
        <v>2</v>
      </c>
      <c r="D73" t="s">
        <v>11191</v>
      </c>
    </row>
    <row r="74" spans="1:4" x14ac:dyDescent="0.2">
      <c r="A74" t="s">
        <v>686</v>
      </c>
      <c r="B74" t="s">
        <v>50</v>
      </c>
      <c r="C74">
        <v>2</v>
      </c>
      <c r="D74" t="s">
        <v>11227</v>
      </c>
    </row>
    <row r="75" spans="1:4" x14ac:dyDescent="0.2">
      <c r="A75" t="s">
        <v>688</v>
      </c>
      <c r="B75" t="s">
        <v>50</v>
      </c>
      <c r="C75">
        <v>3</v>
      </c>
      <c r="D75" t="s">
        <v>11228</v>
      </c>
    </row>
    <row r="76" spans="1:4" x14ac:dyDescent="0.2">
      <c r="A76" t="s">
        <v>5209</v>
      </c>
      <c r="B76" t="s">
        <v>50</v>
      </c>
      <c r="C76">
        <v>1</v>
      </c>
      <c r="D76" t="s">
        <v>91</v>
      </c>
    </row>
    <row r="77" spans="1:4" x14ac:dyDescent="0.2">
      <c r="A77" t="s">
        <v>2816</v>
      </c>
      <c r="B77" t="s">
        <v>50</v>
      </c>
      <c r="C77">
        <v>1</v>
      </c>
      <c r="D77" t="s">
        <v>105</v>
      </c>
    </row>
    <row r="78" spans="1:4" x14ac:dyDescent="0.2">
      <c r="A78" t="s">
        <v>713</v>
      </c>
      <c r="B78" t="s">
        <v>50</v>
      </c>
      <c r="C78">
        <v>2</v>
      </c>
      <c r="D78" t="s">
        <v>11229</v>
      </c>
    </row>
    <row r="79" spans="1:4" x14ac:dyDescent="0.2">
      <c r="A79" t="s">
        <v>767</v>
      </c>
      <c r="B79" t="s">
        <v>50</v>
      </c>
      <c r="C79">
        <v>1</v>
      </c>
      <c r="D79" t="s">
        <v>91</v>
      </c>
    </row>
    <row r="80" spans="1:4" x14ac:dyDescent="0.2">
      <c r="A80" t="s">
        <v>439</v>
      </c>
      <c r="B80" t="s">
        <v>50</v>
      </c>
      <c r="C80">
        <v>3</v>
      </c>
      <c r="D80" t="s">
        <v>11230</v>
      </c>
    </row>
    <row r="81" spans="1:4" x14ac:dyDescent="0.2">
      <c r="A81" t="s">
        <v>714</v>
      </c>
      <c r="B81" t="s">
        <v>50</v>
      </c>
      <c r="C81">
        <v>9</v>
      </c>
      <c r="D81" t="s">
        <v>11231</v>
      </c>
    </row>
    <row r="82" spans="1:4" x14ac:dyDescent="0.2">
      <c r="A82" t="s">
        <v>1023</v>
      </c>
      <c r="B82" t="s">
        <v>50</v>
      </c>
      <c r="C82">
        <v>9</v>
      </c>
      <c r="D82" t="s">
        <v>11232</v>
      </c>
    </row>
    <row r="83" spans="1:4" x14ac:dyDescent="0.2">
      <c r="A83" t="s">
        <v>707</v>
      </c>
      <c r="B83" t="s">
        <v>50</v>
      </c>
      <c r="C83">
        <v>9</v>
      </c>
      <c r="D83" t="s">
        <v>11233</v>
      </c>
    </row>
    <row r="84" spans="1:4" x14ac:dyDescent="0.2">
      <c r="A84" t="s">
        <v>693</v>
      </c>
      <c r="B84" t="s">
        <v>50</v>
      </c>
      <c r="C84">
        <v>8</v>
      </c>
      <c r="D84" t="s">
        <v>11234</v>
      </c>
    </row>
    <row r="85" spans="1:4" x14ac:dyDescent="0.2">
      <c r="A85" t="s">
        <v>970</v>
      </c>
      <c r="B85" t="s">
        <v>50</v>
      </c>
      <c r="C85">
        <v>8</v>
      </c>
      <c r="D85" t="s">
        <v>11235</v>
      </c>
    </row>
    <row r="86" spans="1:4" x14ac:dyDescent="0.2">
      <c r="A86" t="s">
        <v>694</v>
      </c>
      <c r="B86" t="s">
        <v>50</v>
      </c>
      <c r="C86">
        <v>8</v>
      </c>
      <c r="D86" t="s">
        <v>11236</v>
      </c>
    </row>
    <row r="87" spans="1:4" x14ac:dyDescent="0.2">
      <c r="A87" t="s">
        <v>754</v>
      </c>
      <c r="B87" t="s">
        <v>50</v>
      </c>
      <c r="C87">
        <v>2</v>
      </c>
      <c r="D87" t="s">
        <v>11237</v>
      </c>
    </row>
    <row r="88" spans="1:4" x14ac:dyDescent="0.2">
      <c r="A88" t="s">
        <v>735</v>
      </c>
      <c r="B88" t="s">
        <v>50</v>
      </c>
      <c r="C88">
        <v>1</v>
      </c>
      <c r="D88" t="s">
        <v>100</v>
      </c>
    </row>
    <row r="89" spans="1:4" x14ac:dyDescent="0.2">
      <c r="A89" t="s">
        <v>2283</v>
      </c>
      <c r="B89" t="s">
        <v>50</v>
      </c>
      <c r="C89">
        <v>2</v>
      </c>
      <c r="D89" t="s">
        <v>11238</v>
      </c>
    </row>
    <row r="90" spans="1:4" x14ac:dyDescent="0.2">
      <c r="A90" t="s">
        <v>947</v>
      </c>
      <c r="B90" t="s">
        <v>50</v>
      </c>
      <c r="C90">
        <v>1</v>
      </c>
      <c r="D90" t="s">
        <v>89</v>
      </c>
    </row>
    <row r="91" spans="1:4" x14ac:dyDescent="0.2">
      <c r="A91" t="s">
        <v>959</v>
      </c>
      <c r="B91" t="s">
        <v>50</v>
      </c>
      <c r="C91">
        <v>2</v>
      </c>
      <c r="D91" t="s">
        <v>11239</v>
      </c>
    </row>
    <row r="92" spans="1:4" x14ac:dyDescent="0.2">
      <c r="A92" t="s">
        <v>725</v>
      </c>
      <c r="B92" t="s">
        <v>50</v>
      </c>
      <c r="C92">
        <v>1</v>
      </c>
      <c r="D92" t="s">
        <v>97</v>
      </c>
    </row>
    <row r="93" spans="1:4" x14ac:dyDescent="0.2">
      <c r="A93" t="s">
        <v>5828</v>
      </c>
      <c r="B93" t="s">
        <v>50</v>
      </c>
      <c r="C93">
        <v>9</v>
      </c>
      <c r="D93" t="s">
        <v>11240</v>
      </c>
    </row>
    <row r="94" spans="1:4" x14ac:dyDescent="0.2">
      <c r="A94" t="s">
        <v>5830</v>
      </c>
      <c r="B94" t="s">
        <v>50</v>
      </c>
      <c r="C94">
        <v>7</v>
      </c>
      <c r="D94" t="s">
        <v>11241</v>
      </c>
    </row>
    <row r="95" spans="1:4" x14ac:dyDescent="0.2">
      <c r="A95" t="s">
        <v>775</v>
      </c>
      <c r="B95" t="s">
        <v>5654</v>
      </c>
      <c r="C95">
        <v>1</v>
      </c>
      <c r="D95" t="s">
        <v>98</v>
      </c>
    </row>
    <row r="96" spans="1:4" x14ac:dyDescent="0.2">
      <c r="A96" t="s">
        <v>3966</v>
      </c>
      <c r="B96" t="s">
        <v>5654</v>
      </c>
      <c r="C96">
        <v>2</v>
      </c>
      <c r="D96" t="s">
        <v>11242</v>
      </c>
    </row>
    <row r="97" spans="1:4" x14ac:dyDescent="0.2">
      <c r="A97" t="s">
        <v>437</v>
      </c>
      <c r="B97" t="s">
        <v>50</v>
      </c>
      <c r="C97">
        <v>2</v>
      </c>
      <c r="D97" t="s">
        <v>11188</v>
      </c>
    </row>
    <row r="98" spans="1:4" x14ac:dyDescent="0.2">
      <c r="A98" t="s">
        <v>313</v>
      </c>
      <c r="B98" t="s">
        <v>50</v>
      </c>
      <c r="C98">
        <v>2</v>
      </c>
      <c r="D98" t="s">
        <v>5944</v>
      </c>
    </row>
    <row r="99" spans="1:4" x14ac:dyDescent="0.2">
      <c r="A99" t="s">
        <v>508</v>
      </c>
      <c r="B99" t="s">
        <v>50</v>
      </c>
      <c r="C99">
        <v>3</v>
      </c>
      <c r="D99" t="s">
        <v>11243</v>
      </c>
    </row>
    <row r="100" spans="1:4" x14ac:dyDescent="0.2">
      <c r="A100" t="s">
        <v>954</v>
      </c>
      <c r="B100" t="s">
        <v>50</v>
      </c>
      <c r="C100">
        <v>1</v>
      </c>
      <c r="D100" t="s">
        <v>96</v>
      </c>
    </row>
    <row r="101" spans="1:4" x14ac:dyDescent="0.2">
      <c r="A101" t="s">
        <v>3627</v>
      </c>
      <c r="B101" t="s">
        <v>50</v>
      </c>
      <c r="C101">
        <v>3</v>
      </c>
      <c r="D101" t="s">
        <v>11244</v>
      </c>
    </row>
    <row r="102" spans="1:4" x14ac:dyDescent="0.2">
      <c r="A102" t="s">
        <v>379</v>
      </c>
      <c r="B102" t="s">
        <v>50</v>
      </c>
      <c r="C102">
        <v>1</v>
      </c>
      <c r="D102" t="s">
        <v>84</v>
      </c>
    </row>
    <row r="103" spans="1:4" x14ac:dyDescent="0.2">
      <c r="A103" t="s">
        <v>4667</v>
      </c>
      <c r="B103" t="s">
        <v>50</v>
      </c>
      <c r="C103">
        <v>1</v>
      </c>
      <c r="D103" t="s">
        <v>96</v>
      </c>
    </row>
    <row r="104" spans="1:4" x14ac:dyDescent="0.2">
      <c r="A104" t="s">
        <v>4998</v>
      </c>
      <c r="B104" t="s">
        <v>50</v>
      </c>
      <c r="C104">
        <v>1</v>
      </c>
      <c r="D104" t="s">
        <v>104</v>
      </c>
    </row>
    <row r="105" spans="1:4" x14ac:dyDescent="0.2">
      <c r="A105" t="s">
        <v>4381</v>
      </c>
      <c r="B105" t="s">
        <v>50</v>
      </c>
      <c r="C105">
        <v>4</v>
      </c>
      <c r="D105" t="s">
        <v>11245</v>
      </c>
    </row>
    <row r="106" spans="1:4" x14ac:dyDescent="0.2">
      <c r="A106" t="s">
        <v>5166</v>
      </c>
      <c r="B106" t="s">
        <v>50</v>
      </c>
      <c r="C106">
        <v>1</v>
      </c>
      <c r="D106" t="s">
        <v>99</v>
      </c>
    </row>
    <row r="107" spans="1:4" x14ac:dyDescent="0.2">
      <c r="A107" t="s">
        <v>270</v>
      </c>
      <c r="B107" t="s">
        <v>50</v>
      </c>
      <c r="C107">
        <v>1</v>
      </c>
      <c r="D107" t="s">
        <v>100</v>
      </c>
    </row>
    <row r="108" spans="1:4" x14ac:dyDescent="0.2">
      <c r="A108" t="s">
        <v>240</v>
      </c>
      <c r="B108" t="s">
        <v>50</v>
      </c>
      <c r="C108">
        <v>3</v>
      </c>
      <c r="D108" t="s">
        <v>11246</v>
      </c>
    </row>
    <row r="109" spans="1:4" x14ac:dyDescent="0.2">
      <c r="A109" t="s">
        <v>1003</v>
      </c>
      <c r="B109" t="s">
        <v>50</v>
      </c>
      <c r="C109">
        <v>2</v>
      </c>
      <c r="D109" t="s">
        <v>5943</v>
      </c>
    </row>
    <row r="110" spans="1:4" x14ac:dyDescent="0.2">
      <c r="A110" t="s">
        <v>5010</v>
      </c>
      <c r="B110" t="s">
        <v>50</v>
      </c>
      <c r="C110">
        <v>1</v>
      </c>
      <c r="D110" t="s">
        <v>97</v>
      </c>
    </row>
    <row r="111" spans="1:4" x14ac:dyDescent="0.2">
      <c r="A111" t="s">
        <v>5834</v>
      </c>
      <c r="B111" t="s">
        <v>50</v>
      </c>
      <c r="C111">
        <v>3</v>
      </c>
      <c r="D111" t="s">
        <v>11247</v>
      </c>
    </row>
    <row r="112" spans="1:4" x14ac:dyDescent="0.2">
      <c r="A112" t="s">
        <v>1001</v>
      </c>
      <c r="B112" t="s">
        <v>50</v>
      </c>
      <c r="C112">
        <v>1</v>
      </c>
      <c r="D112" t="s">
        <v>100</v>
      </c>
    </row>
    <row r="113" spans="1:4" x14ac:dyDescent="0.2">
      <c r="A113" t="s">
        <v>2500</v>
      </c>
      <c r="B113" t="s">
        <v>50</v>
      </c>
      <c r="C113">
        <v>1</v>
      </c>
      <c r="D113" t="s">
        <v>87</v>
      </c>
    </row>
    <row r="114" spans="1:4" x14ac:dyDescent="0.2">
      <c r="A114" t="s">
        <v>695</v>
      </c>
      <c r="B114" t="s">
        <v>50</v>
      </c>
      <c r="C114">
        <v>1</v>
      </c>
      <c r="D114" t="s">
        <v>93</v>
      </c>
    </row>
    <row r="115" spans="1:4" x14ac:dyDescent="0.2">
      <c r="A115" t="s">
        <v>4443</v>
      </c>
      <c r="B115" t="s">
        <v>50</v>
      </c>
      <c r="C115">
        <v>1</v>
      </c>
      <c r="D115" t="s">
        <v>105</v>
      </c>
    </row>
    <row r="116" spans="1:4" x14ac:dyDescent="0.2">
      <c r="A116" t="s">
        <v>5923</v>
      </c>
      <c r="B116" t="s">
        <v>50</v>
      </c>
      <c r="C116">
        <v>1</v>
      </c>
      <c r="D116" t="s">
        <v>100</v>
      </c>
    </row>
    <row r="117" spans="1:4" x14ac:dyDescent="0.2">
      <c r="A117" t="s">
        <v>5191</v>
      </c>
      <c r="B117" t="s">
        <v>50</v>
      </c>
      <c r="C117">
        <v>2</v>
      </c>
      <c r="D117" t="s">
        <v>11248</v>
      </c>
    </row>
    <row r="118" spans="1:4" x14ac:dyDescent="0.2">
      <c r="A118" t="s">
        <v>5197</v>
      </c>
      <c r="B118" t="s">
        <v>50</v>
      </c>
      <c r="C118">
        <v>2</v>
      </c>
      <c r="D118" t="s">
        <v>11249</v>
      </c>
    </row>
    <row r="119" spans="1:4" x14ac:dyDescent="0.2">
      <c r="A119" t="s">
        <v>5199</v>
      </c>
      <c r="B119" t="s">
        <v>50</v>
      </c>
      <c r="C119">
        <v>1</v>
      </c>
      <c r="D119" t="s">
        <v>90</v>
      </c>
    </row>
    <row r="120" spans="1:4" x14ac:dyDescent="0.2">
      <c r="A120" t="s">
        <v>449</v>
      </c>
      <c r="B120" t="s">
        <v>50</v>
      </c>
      <c r="C120">
        <v>1</v>
      </c>
      <c r="D120" t="s">
        <v>93</v>
      </c>
    </row>
    <row r="121" spans="1:4" x14ac:dyDescent="0.2">
      <c r="A121" t="s">
        <v>333</v>
      </c>
      <c r="B121" t="s">
        <v>50</v>
      </c>
      <c r="C121">
        <v>1</v>
      </c>
      <c r="D121" t="s">
        <v>84</v>
      </c>
    </row>
    <row r="122" spans="1:4" x14ac:dyDescent="0.2">
      <c r="A122" t="s">
        <v>332</v>
      </c>
      <c r="B122" t="s">
        <v>50</v>
      </c>
      <c r="C122">
        <v>1</v>
      </c>
      <c r="D122" t="s">
        <v>97</v>
      </c>
    </row>
    <row r="123" spans="1:4" x14ac:dyDescent="0.2">
      <c r="A123" t="s">
        <v>451</v>
      </c>
      <c r="B123" t="s">
        <v>50</v>
      </c>
      <c r="C123">
        <v>1</v>
      </c>
      <c r="D123" t="s">
        <v>91</v>
      </c>
    </row>
    <row r="124" spans="1:4" x14ac:dyDescent="0.2">
      <c r="A124" t="s">
        <v>463</v>
      </c>
      <c r="B124" t="s">
        <v>50</v>
      </c>
      <c r="C124">
        <v>2</v>
      </c>
      <c r="D124" t="s">
        <v>11250</v>
      </c>
    </row>
    <row r="125" spans="1:4" x14ac:dyDescent="0.2">
      <c r="A125" t="s">
        <v>4054</v>
      </c>
      <c r="B125" t="s">
        <v>50</v>
      </c>
      <c r="C125">
        <v>3</v>
      </c>
      <c r="D125" t="s">
        <v>11251</v>
      </c>
    </row>
    <row r="126" spans="1:4" x14ac:dyDescent="0.2">
      <c r="A126" t="s">
        <v>939</v>
      </c>
      <c r="B126" t="s">
        <v>50</v>
      </c>
      <c r="C126">
        <v>4</v>
      </c>
      <c r="D126" t="s">
        <v>11252</v>
      </c>
    </row>
    <row r="127" spans="1:4" x14ac:dyDescent="0.2">
      <c r="A127" t="s">
        <v>965</v>
      </c>
      <c r="B127" t="s">
        <v>50</v>
      </c>
      <c r="C127">
        <v>6</v>
      </c>
      <c r="D127" t="s">
        <v>11253</v>
      </c>
    </row>
    <row r="128" spans="1:4" x14ac:dyDescent="0.2">
      <c r="A128" t="s">
        <v>4619</v>
      </c>
      <c r="B128" t="s">
        <v>50</v>
      </c>
      <c r="C128">
        <v>1</v>
      </c>
      <c r="D128" t="s">
        <v>90</v>
      </c>
    </row>
    <row r="129" spans="1:4" x14ac:dyDescent="0.2">
      <c r="A129" t="s">
        <v>5090</v>
      </c>
      <c r="B129" t="s">
        <v>50</v>
      </c>
      <c r="C129">
        <v>1</v>
      </c>
      <c r="D129" t="s">
        <v>91</v>
      </c>
    </row>
    <row r="130" spans="1:4" x14ac:dyDescent="0.2">
      <c r="A130" t="s">
        <v>6029</v>
      </c>
      <c r="B130" t="s">
        <v>50</v>
      </c>
      <c r="C130">
        <v>3</v>
      </c>
      <c r="D130" t="s">
        <v>11254</v>
      </c>
    </row>
    <row r="131" spans="1:4" x14ac:dyDescent="0.2">
      <c r="A131" t="s">
        <v>6018</v>
      </c>
      <c r="B131" t="s">
        <v>50</v>
      </c>
      <c r="C131">
        <v>3</v>
      </c>
      <c r="D131" t="s">
        <v>11255</v>
      </c>
    </row>
    <row r="132" spans="1:4" x14ac:dyDescent="0.2">
      <c r="A132" t="s">
        <v>287</v>
      </c>
      <c r="B132" t="s">
        <v>50</v>
      </c>
      <c r="C132">
        <v>2</v>
      </c>
      <c r="D132" t="s">
        <v>11256</v>
      </c>
    </row>
    <row r="133" spans="1:4" x14ac:dyDescent="0.2">
      <c r="A133" t="s">
        <v>414</v>
      </c>
      <c r="B133" t="s">
        <v>50</v>
      </c>
      <c r="C133">
        <v>2</v>
      </c>
      <c r="D133" t="s">
        <v>11257</v>
      </c>
    </row>
    <row r="134" spans="1:4" x14ac:dyDescent="0.2">
      <c r="A134" t="s">
        <v>218</v>
      </c>
      <c r="B134" t="s">
        <v>50</v>
      </c>
      <c r="C134">
        <v>2</v>
      </c>
      <c r="D134" t="s">
        <v>11258</v>
      </c>
    </row>
    <row r="135" spans="1:4" x14ac:dyDescent="0.2">
      <c r="A135" t="s">
        <v>303</v>
      </c>
      <c r="B135" t="s">
        <v>50</v>
      </c>
      <c r="C135">
        <v>1</v>
      </c>
      <c r="D135" t="s">
        <v>91</v>
      </c>
    </row>
    <row r="136" spans="1:4" x14ac:dyDescent="0.2">
      <c r="A136" t="s">
        <v>522</v>
      </c>
      <c r="B136" t="s">
        <v>50</v>
      </c>
      <c r="C136">
        <v>3</v>
      </c>
      <c r="D136" t="s">
        <v>11259</v>
      </c>
    </row>
    <row r="137" spans="1:4" x14ac:dyDescent="0.2">
      <c r="A137" t="s">
        <v>520</v>
      </c>
      <c r="B137" t="s">
        <v>50</v>
      </c>
      <c r="C137">
        <v>4</v>
      </c>
      <c r="D137" t="s">
        <v>11260</v>
      </c>
    </row>
    <row r="138" spans="1:4" x14ac:dyDescent="0.2">
      <c r="A138" t="s">
        <v>5170</v>
      </c>
      <c r="B138" t="s">
        <v>50</v>
      </c>
      <c r="C138">
        <v>1</v>
      </c>
      <c r="D138" t="s">
        <v>97</v>
      </c>
    </row>
    <row r="139" spans="1:4" x14ac:dyDescent="0.2">
      <c r="A139" t="s">
        <v>5172</v>
      </c>
      <c r="B139" t="s">
        <v>50</v>
      </c>
      <c r="C139">
        <v>1</v>
      </c>
      <c r="D139" t="s">
        <v>96</v>
      </c>
    </row>
    <row r="140" spans="1:4" x14ac:dyDescent="0.2">
      <c r="A140" t="s">
        <v>2501</v>
      </c>
      <c r="B140" t="s">
        <v>50</v>
      </c>
      <c r="C140">
        <v>1</v>
      </c>
      <c r="D140" t="s">
        <v>95</v>
      </c>
    </row>
    <row r="141" spans="1:4" x14ac:dyDescent="0.2">
      <c r="A141" t="s">
        <v>238</v>
      </c>
      <c r="B141" t="s">
        <v>50</v>
      </c>
      <c r="C141">
        <v>1</v>
      </c>
      <c r="D141" t="s">
        <v>97</v>
      </c>
    </row>
    <row r="142" spans="1:4" x14ac:dyDescent="0.2">
      <c r="A142" t="s">
        <v>243</v>
      </c>
      <c r="B142" t="s">
        <v>50</v>
      </c>
      <c r="C142">
        <v>2</v>
      </c>
      <c r="D142" t="s">
        <v>11261</v>
      </c>
    </row>
    <row r="143" spans="1:4" x14ac:dyDescent="0.2">
      <c r="A143" t="s">
        <v>253</v>
      </c>
      <c r="B143" t="s">
        <v>50</v>
      </c>
      <c r="C143">
        <v>2</v>
      </c>
      <c r="D143" t="s">
        <v>11262</v>
      </c>
    </row>
    <row r="144" spans="1:4" x14ac:dyDescent="0.2">
      <c r="A144" t="s">
        <v>523</v>
      </c>
      <c r="B144" t="s">
        <v>50</v>
      </c>
      <c r="C144">
        <v>2</v>
      </c>
      <c r="D144" t="s">
        <v>11263</v>
      </c>
    </row>
    <row r="145" spans="1:4" x14ac:dyDescent="0.2">
      <c r="A145" t="s">
        <v>5054</v>
      </c>
      <c r="B145" t="s">
        <v>50</v>
      </c>
      <c r="C145">
        <v>1</v>
      </c>
      <c r="D145" t="s">
        <v>99</v>
      </c>
    </row>
    <row r="146" spans="1:4" x14ac:dyDescent="0.2">
      <c r="A146" t="s">
        <v>5195</v>
      </c>
      <c r="B146" t="s">
        <v>50</v>
      </c>
      <c r="C146">
        <v>1</v>
      </c>
      <c r="D146" t="s">
        <v>96</v>
      </c>
    </row>
    <row r="147" spans="1:4" x14ac:dyDescent="0.2">
      <c r="A147" t="s">
        <v>296</v>
      </c>
      <c r="B147" t="s">
        <v>50</v>
      </c>
      <c r="C147">
        <v>1</v>
      </c>
      <c r="D147" t="s">
        <v>99</v>
      </c>
    </row>
    <row r="148" spans="1:4" x14ac:dyDescent="0.2">
      <c r="A148" t="s">
        <v>5127</v>
      </c>
      <c r="B148" t="s">
        <v>50</v>
      </c>
      <c r="C148">
        <v>1</v>
      </c>
      <c r="D148" t="s">
        <v>104</v>
      </c>
    </row>
    <row r="149" spans="1:4" x14ac:dyDescent="0.2">
      <c r="A149" t="s">
        <v>6013</v>
      </c>
      <c r="B149" t="s">
        <v>50</v>
      </c>
      <c r="C149">
        <v>2</v>
      </c>
      <c r="D149" t="s">
        <v>11264</v>
      </c>
    </row>
    <row r="150" spans="1:4" x14ac:dyDescent="0.2">
      <c r="A150" t="s">
        <v>269</v>
      </c>
      <c r="B150" t="s">
        <v>50</v>
      </c>
      <c r="C150">
        <v>2</v>
      </c>
      <c r="D150" t="s">
        <v>11265</v>
      </c>
    </row>
    <row r="151" spans="1:4" x14ac:dyDescent="0.2">
      <c r="A151" t="s">
        <v>500</v>
      </c>
      <c r="B151" t="s">
        <v>50</v>
      </c>
      <c r="C151">
        <v>1</v>
      </c>
      <c r="D151" t="s">
        <v>99</v>
      </c>
    </row>
    <row r="152" spans="1:4" x14ac:dyDescent="0.2">
      <c r="A152" t="s">
        <v>746</v>
      </c>
      <c r="B152" t="s">
        <v>50</v>
      </c>
      <c r="C152">
        <v>1</v>
      </c>
      <c r="D152" t="s">
        <v>90</v>
      </c>
    </row>
    <row r="153" spans="1:4" x14ac:dyDescent="0.2">
      <c r="A153" t="s">
        <v>502</v>
      </c>
      <c r="B153" t="s">
        <v>50</v>
      </c>
      <c r="C153">
        <v>1</v>
      </c>
      <c r="D153" t="s">
        <v>104</v>
      </c>
    </row>
    <row r="154" spans="1:4" x14ac:dyDescent="0.2">
      <c r="A154" t="s">
        <v>3762</v>
      </c>
      <c r="B154" t="s">
        <v>5654</v>
      </c>
      <c r="C154">
        <v>1</v>
      </c>
      <c r="D154" t="s">
        <v>99</v>
      </c>
    </row>
    <row r="155" spans="1:4" x14ac:dyDescent="0.2">
      <c r="A155" t="s">
        <v>461</v>
      </c>
      <c r="B155" t="s">
        <v>50</v>
      </c>
      <c r="C155">
        <v>1</v>
      </c>
      <c r="D155" t="s">
        <v>90</v>
      </c>
    </row>
    <row r="156" spans="1:4" x14ac:dyDescent="0.2">
      <c r="A156" t="s">
        <v>5995</v>
      </c>
      <c r="B156" t="s">
        <v>50</v>
      </c>
      <c r="C156">
        <v>1</v>
      </c>
      <c r="D156" t="s">
        <v>104</v>
      </c>
    </row>
    <row r="157" spans="1:4" x14ac:dyDescent="0.2">
      <c r="A157" t="s">
        <v>6004</v>
      </c>
      <c r="B157" t="s">
        <v>50</v>
      </c>
      <c r="C157">
        <v>6</v>
      </c>
      <c r="D157" t="s">
        <v>11266</v>
      </c>
    </row>
    <row r="158" spans="1:4" x14ac:dyDescent="0.2">
      <c r="A158" t="s">
        <v>246</v>
      </c>
      <c r="B158" t="s">
        <v>50</v>
      </c>
      <c r="C158">
        <v>3</v>
      </c>
      <c r="D158" t="s">
        <v>11267</v>
      </c>
    </row>
    <row r="159" spans="1:4" x14ac:dyDescent="0.2">
      <c r="A159" t="s">
        <v>511</v>
      </c>
      <c r="B159" t="s">
        <v>50</v>
      </c>
      <c r="C159">
        <v>2</v>
      </c>
      <c r="D159" t="s">
        <v>11268</v>
      </c>
    </row>
    <row r="160" spans="1:4" x14ac:dyDescent="0.2">
      <c r="A160" t="s">
        <v>6000</v>
      </c>
      <c r="B160" t="s">
        <v>50</v>
      </c>
      <c r="C160">
        <v>7</v>
      </c>
      <c r="D160" t="s">
        <v>11269</v>
      </c>
    </row>
    <row r="161" spans="1:4" x14ac:dyDescent="0.2">
      <c r="A161" t="s">
        <v>224</v>
      </c>
      <c r="B161" t="s">
        <v>50</v>
      </c>
      <c r="C161">
        <v>2</v>
      </c>
      <c r="D161" t="s">
        <v>11270</v>
      </c>
    </row>
    <row r="162" spans="1:4" x14ac:dyDescent="0.2">
      <c r="A162" t="s">
        <v>4929</v>
      </c>
      <c r="B162" t="s">
        <v>50</v>
      </c>
      <c r="C162">
        <v>1</v>
      </c>
      <c r="D162" t="s">
        <v>96</v>
      </c>
    </row>
    <row r="163" spans="1:4" x14ac:dyDescent="0.2">
      <c r="A163" t="s">
        <v>1893</v>
      </c>
      <c r="B163" t="s">
        <v>50</v>
      </c>
      <c r="C163">
        <v>3</v>
      </c>
      <c r="D163" t="s">
        <v>11271</v>
      </c>
    </row>
    <row r="164" spans="1:4" x14ac:dyDescent="0.2">
      <c r="A164" t="s">
        <v>1894</v>
      </c>
      <c r="B164" t="s">
        <v>50</v>
      </c>
      <c r="C164">
        <v>8</v>
      </c>
      <c r="D164" t="s">
        <v>11272</v>
      </c>
    </row>
    <row r="165" spans="1:4" x14ac:dyDescent="0.2">
      <c r="A165" t="s">
        <v>482</v>
      </c>
      <c r="B165" t="s">
        <v>50</v>
      </c>
      <c r="C165">
        <v>6</v>
      </c>
      <c r="D165" t="s">
        <v>11273</v>
      </c>
    </row>
    <row r="166" spans="1:4" x14ac:dyDescent="0.2">
      <c r="A166" t="s">
        <v>752</v>
      </c>
      <c r="B166" t="s">
        <v>50</v>
      </c>
      <c r="C166">
        <v>2</v>
      </c>
      <c r="D166" t="s">
        <v>11262</v>
      </c>
    </row>
    <row r="167" spans="1:4" x14ac:dyDescent="0.2">
      <c r="A167" t="s">
        <v>697</v>
      </c>
      <c r="B167" t="s">
        <v>50</v>
      </c>
      <c r="C167">
        <v>2</v>
      </c>
      <c r="D167" t="s">
        <v>11274</v>
      </c>
    </row>
    <row r="168" spans="1:4" x14ac:dyDescent="0.2">
      <c r="A168" t="s">
        <v>5014</v>
      </c>
      <c r="B168" t="s">
        <v>50</v>
      </c>
      <c r="C168">
        <v>1</v>
      </c>
      <c r="D168" t="s">
        <v>98</v>
      </c>
    </row>
    <row r="169" spans="1:4" x14ac:dyDescent="0.2">
      <c r="A169" t="s">
        <v>5020</v>
      </c>
      <c r="B169" t="s">
        <v>50</v>
      </c>
      <c r="C169">
        <v>1</v>
      </c>
      <c r="D169" t="s">
        <v>104</v>
      </c>
    </row>
    <row r="170" spans="1:4" x14ac:dyDescent="0.2">
      <c r="A170" t="s">
        <v>4923</v>
      </c>
      <c r="B170" t="s">
        <v>50</v>
      </c>
      <c r="C170">
        <v>1</v>
      </c>
      <c r="D170" t="s">
        <v>99</v>
      </c>
    </row>
    <row r="171" spans="1:4" x14ac:dyDescent="0.2">
      <c r="A171" t="s">
        <v>5658</v>
      </c>
      <c r="B171" t="s">
        <v>50</v>
      </c>
      <c r="C171">
        <v>7</v>
      </c>
      <c r="D171" t="s">
        <v>11275</v>
      </c>
    </row>
    <row r="172" spans="1:4" x14ac:dyDescent="0.2">
      <c r="A172" t="s">
        <v>6025</v>
      </c>
      <c r="B172" t="s">
        <v>50</v>
      </c>
      <c r="C172">
        <v>4</v>
      </c>
      <c r="D172" t="s">
        <v>11276</v>
      </c>
    </row>
    <row r="173" spans="1:4" x14ac:dyDescent="0.2">
      <c r="A173" t="s">
        <v>972</v>
      </c>
      <c r="B173" t="s">
        <v>50</v>
      </c>
      <c r="C173">
        <v>1</v>
      </c>
      <c r="D173" t="s">
        <v>97</v>
      </c>
    </row>
    <row r="174" spans="1:4" x14ac:dyDescent="0.2">
      <c r="A174" t="s">
        <v>4513</v>
      </c>
      <c r="B174" t="s">
        <v>50</v>
      </c>
      <c r="C174">
        <v>1</v>
      </c>
      <c r="D174" t="s">
        <v>95</v>
      </c>
    </row>
    <row r="175" spans="1:4" x14ac:dyDescent="0.2">
      <c r="A175" t="s">
        <v>5193</v>
      </c>
      <c r="B175" t="s">
        <v>50</v>
      </c>
      <c r="C175">
        <v>1</v>
      </c>
      <c r="D175" t="s">
        <v>84</v>
      </c>
    </row>
    <row r="176" spans="1:4" x14ac:dyDescent="0.2">
      <c r="A176" t="s">
        <v>3803</v>
      </c>
      <c r="B176" t="s">
        <v>50</v>
      </c>
      <c r="C176">
        <v>1</v>
      </c>
      <c r="D176" t="s">
        <v>98</v>
      </c>
    </row>
    <row r="177" spans="1:4" x14ac:dyDescent="0.2">
      <c r="A177" t="s">
        <v>4579</v>
      </c>
      <c r="B177" t="s">
        <v>50</v>
      </c>
      <c r="C177">
        <v>1</v>
      </c>
      <c r="D177" t="s">
        <v>104</v>
      </c>
    </row>
    <row r="178" spans="1:4" x14ac:dyDescent="0.2">
      <c r="A178" t="s">
        <v>5715</v>
      </c>
      <c r="B178" t="s">
        <v>50</v>
      </c>
      <c r="C178">
        <v>1</v>
      </c>
      <c r="D178" t="s">
        <v>101</v>
      </c>
    </row>
    <row r="179" spans="1:4" x14ac:dyDescent="0.2">
      <c r="A179" t="s">
        <v>5721</v>
      </c>
      <c r="B179" t="s">
        <v>50</v>
      </c>
      <c r="C179">
        <v>1</v>
      </c>
      <c r="D179" t="s">
        <v>93</v>
      </c>
    </row>
    <row r="180" spans="1:4" x14ac:dyDescent="0.2">
      <c r="A180" t="s">
        <v>6009</v>
      </c>
      <c r="B180" t="s">
        <v>50</v>
      </c>
      <c r="C180">
        <v>8</v>
      </c>
      <c r="D180" t="s">
        <v>11277</v>
      </c>
    </row>
    <row r="181" spans="1:4" x14ac:dyDescent="0.2">
      <c r="A181" t="s">
        <v>945</v>
      </c>
      <c r="B181" t="s">
        <v>50</v>
      </c>
      <c r="C181">
        <v>1</v>
      </c>
      <c r="D181" t="s">
        <v>92</v>
      </c>
    </row>
    <row r="182" spans="1:4" x14ac:dyDescent="0.2">
      <c r="A182" t="s">
        <v>679</v>
      </c>
      <c r="B182" t="s">
        <v>50</v>
      </c>
      <c r="C182">
        <v>3</v>
      </c>
      <c r="D182" t="s">
        <v>11278</v>
      </c>
    </row>
    <row r="183" spans="1:4" x14ac:dyDescent="0.2">
      <c r="A183" t="s">
        <v>957</v>
      </c>
      <c r="B183" t="s">
        <v>50</v>
      </c>
      <c r="C183">
        <v>2</v>
      </c>
      <c r="D183" t="s">
        <v>11279</v>
      </c>
    </row>
    <row r="184" spans="1:4" x14ac:dyDescent="0.2">
      <c r="A184" t="s">
        <v>963</v>
      </c>
      <c r="B184" t="s">
        <v>50</v>
      </c>
      <c r="C184">
        <v>2</v>
      </c>
      <c r="D184" t="s">
        <v>11188</v>
      </c>
    </row>
    <row r="185" spans="1:4" x14ac:dyDescent="0.2">
      <c r="A185" t="s">
        <v>1015</v>
      </c>
      <c r="B185" t="s">
        <v>50</v>
      </c>
      <c r="C185">
        <v>3</v>
      </c>
      <c r="D185" t="s">
        <v>11280</v>
      </c>
    </row>
    <row r="186" spans="1:4" x14ac:dyDescent="0.2">
      <c r="A186" t="s">
        <v>388</v>
      </c>
      <c r="B186" t="s">
        <v>50</v>
      </c>
      <c r="C186">
        <v>2</v>
      </c>
      <c r="D186" t="s">
        <v>11281</v>
      </c>
    </row>
    <row r="187" spans="1:4" x14ac:dyDescent="0.2">
      <c r="A187" t="s">
        <v>386</v>
      </c>
      <c r="B187" t="s">
        <v>50</v>
      </c>
      <c r="C187">
        <v>2</v>
      </c>
      <c r="D187" t="s">
        <v>11229</v>
      </c>
    </row>
    <row r="188" spans="1:4" x14ac:dyDescent="0.2">
      <c r="A188" t="s">
        <v>285</v>
      </c>
      <c r="B188" t="s">
        <v>50</v>
      </c>
      <c r="C188">
        <v>4</v>
      </c>
      <c r="D188" t="s">
        <v>11282</v>
      </c>
    </row>
    <row r="189" spans="1:4" x14ac:dyDescent="0.2">
      <c r="A189" t="s">
        <v>4166</v>
      </c>
      <c r="B189" t="s">
        <v>50</v>
      </c>
      <c r="C189">
        <v>10</v>
      </c>
      <c r="D189" t="s">
        <v>11283</v>
      </c>
    </row>
    <row r="190" spans="1:4" x14ac:dyDescent="0.2">
      <c r="A190" t="s">
        <v>723</v>
      </c>
      <c r="B190" t="s">
        <v>50</v>
      </c>
      <c r="C190">
        <v>2</v>
      </c>
      <c r="D190" t="s">
        <v>11284</v>
      </c>
    </row>
    <row r="191" spans="1:4" x14ac:dyDescent="0.2">
      <c r="A191" t="s">
        <v>338</v>
      </c>
      <c r="B191" t="s">
        <v>50</v>
      </c>
      <c r="C191">
        <v>4</v>
      </c>
      <c r="D191" t="s">
        <v>11285</v>
      </c>
    </row>
    <row r="192" spans="1:4" x14ac:dyDescent="0.2">
      <c r="A192" t="s">
        <v>683</v>
      </c>
      <c r="B192" t="s">
        <v>50</v>
      </c>
      <c r="C192">
        <v>2</v>
      </c>
      <c r="D192" t="s">
        <v>11286</v>
      </c>
    </row>
    <row r="193" spans="1:4" x14ac:dyDescent="0.2">
      <c r="A193" t="s">
        <v>682</v>
      </c>
      <c r="B193" t="s">
        <v>50</v>
      </c>
      <c r="C193">
        <v>3</v>
      </c>
      <c r="D193" t="s">
        <v>11287</v>
      </c>
    </row>
    <row r="194" spans="1:4" x14ac:dyDescent="0.2">
      <c r="A194" t="s">
        <v>337</v>
      </c>
      <c r="B194" t="s">
        <v>50</v>
      </c>
      <c r="C194">
        <v>4</v>
      </c>
      <c r="D194" t="s">
        <v>11288</v>
      </c>
    </row>
    <row r="195" spans="1:4" x14ac:dyDescent="0.2">
      <c r="A195" t="s">
        <v>479</v>
      </c>
      <c r="B195" t="s">
        <v>50</v>
      </c>
      <c r="C195">
        <v>4</v>
      </c>
      <c r="D195" t="s">
        <v>11289</v>
      </c>
    </row>
    <row r="196" spans="1:4" x14ac:dyDescent="0.2">
      <c r="A196" t="s">
        <v>5838</v>
      </c>
      <c r="B196" t="s">
        <v>50</v>
      </c>
      <c r="C196">
        <v>3</v>
      </c>
      <c r="D196" t="s">
        <v>11290</v>
      </c>
    </row>
    <row r="197" spans="1:4" x14ac:dyDescent="0.2">
      <c r="A197" t="s">
        <v>986</v>
      </c>
      <c r="B197" t="s">
        <v>50</v>
      </c>
      <c r="C197">
        <v>1</v>
      </c>
      <c r="D197" t="s">
        <v>89</v>
      </c>
    </row>
    <row r="198" spans="1:4" x14ac:dyDescent="0.2">
      <c r="A198" t="s">
        <v>3802</v>
      </c>
      <c r="B198" t="s">
        <v>50</v>
      </c>
      <c r="C198">
        <v>1</v>
      </c>
      <c r="D198" t="s">
        <v>91</v>
      </c>
    </row>
    <row r="199" spans="1:4" x14ac:dyDescent="0.2">
      <c r="A199" t="s">
        <v>315</v>
      </c>
      <c r="B199" t="s">
        <v>50</v>
      </c>
      <c r="C199">
        <v>1</v>
      </c>
      <c r="D199" t="s">
        <v>89</v>
      </c>
    </row>
    <row r="200" spans="1:4" x14ac:dyDescent="0.2">
      <c r="A200" t="s">
        <v>3804</v>
      </c>
      <c r="B200" t="s">
        <v>50</v>
      </c>
      <c r="C200">
        <v>1</v>
      </c>
      <c r="D200" t="s">
        <v>105</v>
      </c>
    </row>
    <row r="201" spans="1:4" x14ac:dyDescent="0.2">
      <c r="A201" t="s">
        <v>3806</v>
      </c>
      <c r="B201" t="s">
        <v>50</v>
      </c>
      <c r="C201">
        <v>1</v>
      </c>
      <c r="D201" t="s">
        <v>84</v>
      </c>
    </row>
    <row r="202" spans="1:4" x14ac:dyDescent="0.2">
      <c r="A202" t="s">
        <v>995</v>
      </c>
      <c r="B202" t="s">
        <v>50</v>
      </c>
      <c r="C202">
        <v>1</v>
      </c>
      <c r="D202" t="s">
        <v>98</v>
      </c>
    </row>
    <row r="203" spans="1:4" x14ac:dyDescent="0.2">
      <c r="A203" t="s">
        <v>991</v>
      </c>
      <c r="B203" t="s">
        <v>50</v>
      </c>
      <c r="C203">
        <v>1</v>
      </c>
      <c r="D203" t="s">
        <v>87</v>
      </c>
    </row>
    <row r="204" spans="1:4" x14ac:dyDescent="0.2">
      <c r="A204" t="s">
        <v>5717</v>
      </c>
      <c r="B204" t="s">
        <v>50</v>
      </c>
      <c r="C204">
        <v>2</v>
      </c>
      <c r="D204" t="s">
        <v>11291</v>
      </c>
    </row>
    <row r="205" spans="1:4" x14ac:dyDescent="0.2">
      <c r="A205" t="s">
        <v>5723</v>
      </c>
      <c r="B205" t="s">
        <v>50</v>
      </c>
      <c r="C205">
        <v>2</v>
      </c>
      <c r="D205" t="s">
        <v>11292</v>
      </c>
    </row>
    <row r="206" spans="1:4" x14ac:dyDescent="0.2">
      <c r="A206" t="s">
        <v>5719</v>
      </c>
      <c r="B206" t="s">
        <v>50</v>
      </c>
      <c r="C206">
        <v>1</v>
      </c>
      <c r="D206" t="s">
        <v>92</v>
      </c>
    </row>
    <row r="207" spans="1:4" x14ac:dyDescent="0.2">
      <c r="A207" t="s">
        <v>678</v>
      </c>
      <c r="B207" t="s">
        <v>50</v>
      </c>
      <c r="C207">
        <v>5</v>
      </c>
      <c r="D207" t="s">
        <v>11293</v>
      </c>
    </row>
    <row r="208" spans="1:4" x14ac:dyDescent="0.2">
      <c r="A208" t="s">
        <v>5858</v>
      </c>
      <c r="B208" t="s">
        <v>50</v>
      </c>
      <c r="C208">
        <v>1</v>
      </c>
      <c r="D208" t="s">
        <v>99</v>
      </c>
    </row>
    <row r="209" spans="1:4" x14ac:dyDescent="0.2">
      <c r="A209" t="s">
        <v>4826</v>
      </c>
      <c r="B209" t="s">
        <v>50</v>
      </c>
      <c r="C209">
        <v>4</v>
      </c>
      <c r="D209" t="s">
        <v>11294</v>
      </c>
    </row>
    <row r="210" spans="1:4" x14ac:dyDescent="0.2">
      <c r="A210" t="s">
        <v>710</v>
      </c>
      <c r="B210" t="s">
        <v>50</v>
      </c>
      <c r="C210">
        <v>6</v>
      </c>
      <c r="D210" t="s">
        <v>11295</v>
      </c>
    </row>
    <row r="211" spans="1:4" x14ac:dyDescent="0.2">
      <c r="A211" t="s">
        <v>931</v>
      </c>
      <c r="B211" t="s">
        <v>50</v>
      </c>
      <c r="C211">
        <v>3</v>
      </c>
      <c r="D211" t="s">
        <v>11296</v>
      </c>
    </row>
    <row r="212" spans="1:4" x14ac:dyDescent="0.2">
      <c r="A212" t="s">
        <v>302</v>
      </c>
      <c r="B212" t="s">
        <v>50</v>
      </c>
      <c r="C212">
        <v>2</v>
      </c>
      <c r="D212" t="s">
        <v>11201</v>
      </c>
    </row>
    <row r="213" spans="1:4" x14ac:dyDescent="0.2">
      <c r="A213" t="s">
        <v>4577</v>
      </c>
      <c r="B213" t="s">
        <v>50</v>
      </c>
      <c r="C213">
        <v>1</v>
      </c>
      <c r="D213" t="s">
        <v>91</v>
      </c>
    </row>
    <row r="214" spans="1:4" x14ac:dyDescent="0.2">
      <c r="A214" t="s">
        <v>528</v>
      </c>
      <c r="B214" t="s">
        <v>50</v>
      </c>
      <c r="C214">
        <v>1</v>
      </c>
      <c r="D214" t="s">
        <v>89</v>
      </c>
    </row>
    <row r="215" spans="1:4" x14ac:dyDescent="0.2">
      <c r="A215" t="s">
        <v>5092</v>
      </c>
      <c r="B215" t="s">
        <v>50</v>
      </c>
      <c r="C215">
        <v>1</v>
      </c>
      <c r="D215" t="s">
        <v>101</v>
      </c>
    </row>
    <row r="216" spans="1:4" x14ac:dyDescent="0.2">
      <c r="A216" t="s">
        <v>6020</v>
      </c>
      <c r="B216" t="s">
        <v>50</v>
      </c>
      <c r="C216">
        <v>1</v>
      </c>
      <c r="D216" t="s">
        <v>87</v>
      </c>
    </row>
    <row r="217" spans="1:4" x14ac:dyDescent="0.2">
      <c r="A217" t="s">
        <v>1091</v>
      </c>
      <c r="B217" t="s">
        <v>49</v>
      </c>
      <c r="C217">
        <v>1</v>
      </c>
      <c r="D217" t="s">
        <v>94</v>
      </c>
    </row>
    <row r="218" spans="1:4" x14ac:dyDescent="0.2">
      <c r="A218" t="s">
        <v>1092</v>
      </c>
      <c r="B218" t="s">
        <v>49</v>
      </c>
      <c r="C218">
        <v>1</v>
      </c>
      <c r="D218" t="s">
        <v>94</v>
      </c>
    </row>
    <row r="219" spans="1:4" x14ac:dyDescent="0.2">
      <c r="A219" t="s">
        <v>425</v>
      </c>
      <c r="B219" t="s">
        <v>49</v>
      </c>
      <c r="C219">
        <v>1</v>
      </c>
      <c r="D219" t="s">
        <v>94</v>
      </c>
    </row>
    <row r="220" spans="1:4" x14ac:dyDescent="0.2">
      <c r="A220" t="s">
        <v>430</v>
      </c>
      <c r="B220" t="s">
        <v>49</v>
      </c>
      <c r="C220">
        <v>1</v>
      </c>
      <c r="D220" t="s">
        <v>94</v>
      </c>
    </row>
    <row r="221" spans="1:4" x14ac:dyDescent="0.2">
      <c r="A221" t="s">
        <v>426</v>
      </c>
      <c r="B221" t="s">
        <v>49</v>
      </c>
      <c r="C221">
        <v>2</v>
      </c>
      <c r="D221" t="s">
        <v>11297</v>
      </c>
    </row>
    <row r="222" spans="1:4" x14ac:dyDescent="0.2">
      <c r="A222" t="s">
        <v>431</v>
      </c>
      <c r="B222" t="s">
        <v>49</v>
      </c>
      <c r="C222">
        <v>2</v>
      </c>
      <c r="D222" t="s">
        <v>11298</v>
      </c>
    </row>
    <row r="223" spans="1:4" x14ac:dyDescent="0.2">
      <c r="A223" t="s">
        <v>599</v>
      </c>
      <c r="B223" t="s">
        <v>49</v>
      </c>
      <c r="C223">
        <v>5</v>
      </c>
      <c r="D223" t="s">
        <v>11299</v>
      </c>
    </row>
    <row r="224" spans="1:4" x14ac:dyDescent="0.2">
      <c r="A224" t="s">
        <v>603</v>
      </c>
      <c r="B224" t="s">
        <v>49</v>
      </c>
      <c r="C224">
        <v>5</v>
      </c>
      <c r="D224" t="s">
        <v>11300</v>
      </c>
    </row>
    <row r="225" spans="1:4" x14ac:dyDescent="0.2">
      <c r="A225" t="s">
        <v>1228</v>
      </c>
      <c r="B225" t="s">
        <v>49</v>
      </c>
      <c r="C225">
        <v>2</v>
      </c>
      <c r="D225" t="s">
        <v>11301</v>
      </c>
    </row>
    <row r="226" spans="1:4" x14ac:dyDescent="0.2">
      <c r="A226" t="s">
        <v>1229</v>
      </c>
      <c r="B226" t="s">
        <v>49</v>
      </c>
      <c r="C226">
        <v>3</v>
      </c>
      <c r="D226" t="s">
        <v>11302</v>
      </c>
    </row>
    <row r="227" spans="1:4" x14ac:dyDescent="0.2">
      <c r="A227" t="s">
        <v>602</v>
      </c>
      <c r="B227" t="s">
        <v>49</v>
      </c>
      <c r="C227">
        <v>5</v>
      </c>
      <c r="D227" t="s">
        <v>11303</v>
      </c>
    </row>
    <row r="228" spans="1:4" x14ac:dyDescent="0.2">
      <c r="A228" t="s">
        <v>591</v>
      </c>
      <c r="B228" t="s">
        <v>49</v>
      </c>
      <c r="C228">
        <v>5</v>
      </c>
      <c r="D228" t="s">
        <v>11304</v>
      </c>
    </row>
    <row r="229" spans="1:4" x14ac:dyDescent="0.2">
      <c r="A229" t="s">
        <v>838</v>
      </c>
      <c r="B229" t="s">
        <v>49</v>
      </c>
      <c r="C229">
        <v>2</v>
      </c>
      <c r="D229" t="s">
        <v>11305</v>
      </c>
    </row>
    <row r="230" spans="1:4" x14ac:dyDescent="0.2">
      <c r="A230" t="s">
        <v>917</v>
      </c>
      <c r="B230" t="s">
        <v>49</v>
      </c>
      <c r="C230">
        <v>1</v>
      </c>
      <c r="D230" t="s">
        <v>84</v>
      </c>
    </row>
    <row r="231" spans="1:4" x14ac:dyDescent="0.2">
      <c r="A231" t="s">
        <v>308</v>
      </c>
      <c r="B231" t="s">
        <v>49</v>
      </c>
      <c r="C231">
        <v>3</v>
      </c>
      <c r="D231" t="s">
        <v>11306</v>
      </c>
    </row>
    <row r="232" spans="1:4" x14ac:dyDescent="0.2">
      <c r="A232" t="s">
        <v>457</v>
      </c>
      <c r="B232" t="s">
        <v>49</v>
      </c>
      <c r="C232">
        <v>4</v>
      </c>
      <c r="D232" t="s">
        <v>11307</v>
      </c>
    </row>
    <row r="233" spans="1:4" x14ac:dyDescent="0.2">
      <c r="A233" t="s">
        <v>405</v>
      </c>
      <c r="B233" t="s">
        <v>49</v>
      </c>
      <c r="C233">
        <v>4</v>
      </c>
      <c r="D233" t="s">
        <v>11308</v>
      </c>
    </row>
    <row r="234" spans="1:4" x14ac:dyDescent="0.2">
      <c r="A234" t="s">
        <v>268</v>
      </c>
      <c r="B234" t="s">
        <v>49</v>
      </c>
      <c r="C234">
        <v>3</v>
      </c>
      <c r="D234" t="s">
        <v>11309</v>
      </c>
    </row>
    <row r="235" spans="1:4" x14ac:dyDescent="0.2">
      <c r="A235" t="s">
        <v>596</v>
      </c>
      <c r="B235" t="s">
        <v>49</v>
      </c>
      <c r="C235">
        <v>5</v>
      </c>
      <c r="D235" t="s">
        <v>11310</v>
      </c>
    </row>
    <row r="236" spans="1:4" x14ac:dyDescent="0.2">
      <c r="A236" t="s">
        <v>641</v>
      </c>
      <c r="B236" t="s">
        <v>49</v>
      </c>
      <c r="C236">
        <v>3</v>
      </c>
      <c r="D236" t="s">
        <v>11311</v>
      </c>
    </row>
    <row r="237" spans="1:4" x14ac:dyDescent="0.2">
      <c r="A237" t="s">
        <v>1494</v>
      </c>
      <c r="B237" t="s">
        <v>49</v>
      </c>
      <c r="C237">
        <v>4</v>
      </c>
      <c r="D237" t="s">
        <v>11312</v>
      </c>
    </row>
    <row r="238" spans="1:4" x14ac:dyDescent="0.2">
      <c r="A238" t="s">
        <v>1600</v>
      </c>
      <c r="B238" t="s">
        <v>49</v>
      </c>
      <c r="C238">
        <v>5</v>
      </c>
      <c r="D238" t="s">
        <v>11313</v>
      </c>
    </row>
    <row r="239" spans="1:4" x14ac:dyDescent="0.2">
      <c r="A239" t="s">
        <v>408</v>
      </c>
      <c r="B239" t="s">
        <v>49</v>
      </c>
      <c r="C239">
        <v>2</v>
      </c>
      <c r="D239" t="s">
        <v>11180</v>
      </c>
    </row>
    <row r="240" spans="1:4" x14ac:dyDescent="0.2">
      <c r="A240" t="s">
        <v>630</v>
      </c>
      <c r="B240" t="s">
        <v>49</v>
      </c>
      <c r="C240">
        <v>2</v>
      </c>
      <c r="D240" t="s">
        <v>11314</v>
      </c>
    </row>
    <row r="241" spans="1:4" x14ac:dyDescent="0.2">
      <c r="A241" t="s">
        <v>801</v>
      </c>
      <c r="B241" t="s">
        <v>49</v>
      </c>
      <c r="C241">
        <v>5</v>
      </c>
      <c r="D241" t="s">
        <v>11315</v>
      </c>
    </row>
    <row r="242" spans="1:4" x14ac:dyDescent="0.2">
      <c r="A242" t="s">
        <v>900</v>
      </c>
      <c r="B242" t="s">
        <v>49</v>
      </c>
      <c r="C242">
        <v>5</v>
      </c>
      <c r="D242" t="s">
        <v>11316</v>
      </c>
    </row>
    <row r="243" spans="1:4" x14ac:dyDescent="0.2">
      <c r="A243" t="s">
        <v>1695</v>
      </c>
      <c r="B243" t="s">
        <v>49</v>
      </c>
      <c r="C243">
        <v>1</v>
      </c>
      <c r="D243" t="s">
        <v>87</v>
      </c>
    </row>
    <row r="244" spans="1:4" x14ac:dyDescent="0.2">
      <c r="A244" t="s">
        <v>844</v>
      </c>
      <c r="B244" t="s">
        <v>49</v>
      </c>
      <c r="C244">
        <v>2</v>
      </c>
      <c r="D244" t="s">
        <v>11317</v>
      </c>
    </row>
    <row r="245" spans="1:4" x14ac:dyDescent="0.2">
      <c r="A245" t="s">
        <v>824</v>
      </c>
      <c r="B245" t="s">
        <v>49</v>
      </c>
      <c r="C245">
        <v>5</v>
      </c>
      <c r="D245" t="s">
        <v>11318</v>
      </c>
    </row>
    <row r="246" spans="1:4" x14ac:dyDescent="0.2">
      <c r="A246" t="s">
        <v>1723</v>
      </c>
      <c r="B246" t="s">
        <v>49</v>
      </c>
      <c r="C246">
        <v>1</v>
      </c>
      <c r="D246" t="s">
        <v>98</v>
      </c>
    </row>
    <row r="247" spans="1:4" x14ac:dyDescent="0.2">
      <c r="A247" t="s">
        <v>821</v>
      </c>
      <c r="B247" t="s">
        <v>49</v>
      </c>
      <c r="C247">
        <v>3</v>
      </c>
      <c r="D247" t="s">
        <v>11319</v>
      </c>
    </row>
    <row r="248" spans="1:4" x14ac:dyDescent="0.2">
      <c r="A248" t="s">
        <v>904</v>
      </c>
      <c r="B248" t="s">
        <v>49</v>
      </c>
      <c r="C248">
        <v>4</v>
      </c>
      <c r="D248" t="s">
        <v>11320</v>
      </c>
    </row>
    <row r="249" spans="1:4" x14ac:dyDescent="0.2">
      <c r="A249" t="s">
        <v>906</v>
      </c>
      <c r="B249" t="s">
        <v>49</v>
      </c>
      <c r="C249">
        <v>5</v>
      </c>
      <c r="D249" t="s">
        <v>11321</v>
      </c>
    </row>
    <row r="250" spans="1:4" x14ac:dyDescent="0.2">
      <c r="A250" t="s">
        <v>663</v>
      </c>
      <c r="B250" t="s">
        <v>49</v>
      </c>
      <c r="C250">
        <v>1</v>
      </c>
      <c r="D250" t="s">
        <v>95</v>
      </c>
    </row>
    <row r="251" spans="1:4" x14ac:dyDescent="0.2">
      <c r="A251" t="s">
        <v>267</v>
      </c>
      <c r="B251" t="s">
        <v>49</v>
      </c>
      <c r="C251">
        <v>5</v>
      </c>
      <c r="D251" t="s">
        <v>11322</v>
      </c>
    </row>
    <row r="252" spans="1:4" x14ac:dyDescent="0.2">
      <c r="A252" t="s">
        <v>893</v>
      </c>
      <c r="B252" t="s">
        <v>49</v>
      </c>
      <c r="C252">
        <v>3</v>
      </c>
      <c r="D252" t="s">
        <v>11323</v>
      </c>
    </row>
    <row r="253" spans="1:4" x14ac:dyDescent="0.2">
      <c r="A253" t="s">
        <v>2026</v>
      </c>
      <c r="B253" t="s">
        <v>49</v>
      </c>
      <c r="C253">
        <v>3</v>
      </c>
      <c r="D253" t="s">
        <v>11324</v>
      </c>
    </row>
    <row r="254" spans="1:4" x14ac:dyDescent="0.2">
      <c r="A254" t="s">
        <v>919</v>
      </c>
      <c r="B254" t="s">
        <v>49</v>
      </c>
      <c r="C254">
        <v>3</v>
      </c>
      <c r="D254" t="s">
        <v>11325</v>
      </c>
    </row>
    <row r="255" spans="1:4" x14ac:dyDescent="0.2">
      <c r="A255" t="s">
        <v>862</v>
      </c>
      <c r="B255" t="s">
        <v>49</v>
      </c>
      <c r="C255">
        <v>3</v>
      </c>
      <c r="D255" t="s">
        <v>11326</v>
      </c>
    </row>
    <row r="256" spans="1:4" x14ac:dyDescent="0.2">
      <c r="A256" t="s">
        <v>841</v>
      </c>
      <c r="B256" t="s">
        <v>49</v>
      </c>
      <c r="C256">
        <v>2</v>
      </c>
      <c r="D256" t="s">
        <v>11327</v>
      </c>
    </row>
    <row r="257" spans="1:4" x14ac:dyDescent="0.2">
      <c r="A257" t="s">
        <v>2028</v>
      </c>
      <c r="B257" t="s">
        <v>49</v>
      </c>
      <c r="C257">
        <v>2</v>
      </c>
      <c r="D257" t="s">
        <v>11328</v>
      </c>
    </row>
    <row r="258" spans="1:4" x14ac:dyDescent="0.2">
      <c r="A258" t="s">
        <v>921</v>
      </c>
      <c r="B258" t="s">
        <v>49</v>
      </c>
      <c r="C258">
        <v>2</v>
      </c>
      <c r="D258" t="s">
        <v>11329</v>
      </c>
    </row>
    <row r="259" spans="1:4" x14ac:dyDescent="0.2">
      <c r="A259" t="s">
        <v>626</v>
      </c>
      <c r="B259" t="s">
        <v>49</v>
      </c>
      <c r="C259">
        <v>1</v>
      </c>
      <c r="D259" t="s">
        <v>90</v>
      </c>
    </row>
    <row r="260" spans="1:4" x14ac:dyDescent="0.2">
      <c r="A260" t="s">
        <v>657</v>
      </c>
      <c r="B260" t="s">
        <v>49</v>
      </c>
      <c r="C260">
        <v>2</v>
      </c>
      <c r="D260" t="s">
        <v>11330</v>
      </c>
    </row>
    <row r="261" spans="1:4" x14ac:dyDescent="0.2">
      <c r="A261" t="s">
        <v>2030</v>
      </c>
      <c r="B261" t="s">
        <v>49</v>
      </c>
      <c r="C261">
        <v>3</v>
      </c>
      <c r="D261" t="s">
        <v>11331</v>
      </c>
    </row>
    <row r="262" spans="1:4" x14ac:dyDescent="0.2">
      <c r="A262" t="s">
        <v>2032</v>
      </c>
      <c r="B262" t="s">
        <v>49</v>
      </c>
      <c r="C262">
        <v>4</v>
      </c>
      <c r="D262" t="s">
        <v>11332</v>
      </c>
    </row>
    <row r="263" spans="1:4" x14ac:dyDescent="0.2">
      <c r="A263" t="s">
        <v>861</v>
      </c>
      <c r="B263" t="s">
        <v>49</v>
      </c>
      <c r="C263">
        <v>1</v>
      </c>
      <c r="D263" t="s">
        <v>88</v>
      </c>
    </row>
    <row r="264" spans="1:4" x14ac:dyDescent="0.2">
      <c r="A264" t="s">
        <v>2035</v>
      </c>
      <c r="B264" t="s">
        <v>49</v>
      </c>
      <c r="C264">
        <v>3</v>
      </c>
      <c r="D264" t="s">
        <v>11333</v>
      </c>
    </row>
    <row r="265" spans="1:4" x14ac:dyDescent="0.2">
      <c r="A265" t="s">
        <v>2036</v>
      </c>
      <c r="B265" t="s">
        <v>49</v>
      </c>
      <c r="C265">
        <v>2</v>
      </c>
      <c r="D265" t="s">
        <v>11334</v>
      </c>
    </row>
    <row r="266" spans="1:4" x14ac:dyDescent="0.2">
      <c r="A266" t="s">
        <v>840</v>
      </c>
      <c r="B266" t="s">
        <v>49</v>
      </c>
      <c r="C266">
        <v>1</v>
      </c>
      <c r="D266" t="s">
        <v>92</v>
      </c>
    </row>
    <row r="267" spans="1:4" x14ac:dyDescent="0.2">
      <c r="A267" t="s">
        <v>221</v>
      </c>
      <c r="B267" t="s">
        <v>49</v>
      </c>
      <c r="C267">
        <v>2</v>
      </c>
      <c r="D267" t="s">
        <v>11335</v>
      </c>
    </row>
    <row r="268" spans="1:4" x14ac:dyDescent="0.2">
      <c r="A268" t="s">
        <v>2038</v>
      </c>
      <c r="B268" t="s">
        <v>49</v>
      </c>
      <c r="C268">
        <v>3</v>
      </c>
      <c r="D268" t="s">
        <v>11336</v>
      </c>
    </row>
    <row r="269" spans="1:4" x14ac:dyDescent="0.2">
      <c r="A269" t="s">
        <v>867</v>
      </c>
      <c r="B269" t="s">
        <v>49</v>
      </c>
      <c r="C269">
        <v>3</v>
      </c>
      <c r="D269" t="s">
        <v>11337</v>
      </c>
    </row>
    <row r="270" spans="1:4" x14ac:dyDescent="0.2">
      <c r="A270" t="s">
        <v>908</v>
      </c>
      <c r="B270" t="s">
        <v>49</v>
      </c>
      <c r="C270">
        <v>1</v>
      </c>
      <c r="D270" t="s">
        <v>92</v>
      </c>
    </row>
    <row r="271" spans="1:4" x14ac:dyDescent="0.2">
      <c r="A271" t="s">
        <v>843</v>
      </c>
      <c r="B271" t="s">
        <v>49</v>
      </c>
      <c r="C271">
        <v>1</v>
      </c>
      <c r="D271" t="s">
        <v>103</v>
      </c>
    </row>
    <row r="272" spans="1:4" x14ac:dyDescent="0.2">
      <c r="A272" t="s">
        <v>470</v>
      </c>
      <c r="B272" t="s">
        <v>49</v>
      </c>
      <c r="C272">
        <v>5</v>
      </c>
      <c r="D272" t="s">
        <v>11338</v>
      </c>
    </row>
    <row r="273" spans="1:4" x14ac:dyDescent="0.2">
      <c r="A273" t="s">
        <v>2069</v>
      </c>
      <c r="B273" t="s">
        <v>49</v>
      </c>
      <c r="C273">
        <v>3</v>
      </c>
      <c r="D273" t="s">
        <v>11339</v>
      </c>
    </row>
    <row r="274" spans="1:4" x14ac:dyDescent="0.2">
      <c r="A274" t="s">
        <v>2071</v>
      </c>
      <c r="B274" t="s">
        <v>49</v>
      </c>
      <c r="C274">
        <v>2</v>
      </c>
      <c r="D274" t="s">
        <v>11340</v>
      </c>
    </row>
    <row r="275" spans="1:4" x14ac:dyDescent="0.2">
      <c r="A275" t="s">
        <v>2073</v>
      </c>
      <c r="B275" t="s">
        <v>49</v>
      </c>
      <c r="C275">
        <v>3</v>
      </c>
      <c r="D275" t="s">
        <v>11341</v>
      </c>
    </row>
    <row r="276" spans="1:4" x14ac:dyDescent="0.2">
      <c r="A276" t="s">
        <v>615</v>
      </c>
      <c r="B276" t="s">
        <v>49</v>
      </c>
      <c r="C276">
        <v>4</v>
      </c>
      <c r="D276" t="s">
        <v>11342</v>
      </c>
    </row>
    <row r="277" spans="1:4" x14ac:dyDescent="0.2">
      <c r="A277" t="s">
        <v>664</v>
      </c>
      <c r="B277" t="s">
        <v>49</v>
      </c>
      <c r="C277">
        <v>2</v>
      </c>
      <c r="D277" t="s">
        <v>11343</v>
      </c>
    </row>
    <row r="278" spans="1:4" x14ac:dyDescent="0.2">
      <c r="A278" t="s">
        <v>659</v>
      </c>
      <c r="B278" t="s">
        <v>49</v>
      </c>
      <c r="C278">
        <v>3</v>
      </c>
      <c r="D278" t="s">
        <v>11344</v>
      </c>
    </row>
    <row r="279" spans="1:4" x14ac:dyDescent="0.2">
      <c r="A279" t="s">
        <v>668</v>
      </c>
      <c r="B279" t="s">
        <v>49</v>
      </c>
      <c r="C279">
        <v>2</v>
      </c>
      <c r="D279" t="s">
        <v>11345</v>
      </c>
    </row>
    <row r="280" spans="1:4" x14ac:dyDescent="0.2">
      <c r="A280" t="s">
        <v>2473</v>
      </c>
      <c r="B280" t="s">
        <v>49</v>
      </c>
      <c r="C280">
        <v>8</v>
      </c>
      <c r="D280" t="s">
        <v>11346</v>
      </c>
    </row>
    <row r="281" spans="1:4" x14ac:dyDescent="0.2">
      <c r="A281" t="s">
        <v>2502</v>
      </c>
      <c r="B281" t="s">
        <v>49</v>
      </c>
      <c r="C281">
        <v>1</v>
      </c>
      <c r="D281" t="s">
        <v>104</v>
      </c>
    </row>
    <row r="282" spans="1:4" x14ac:dyDescent="0.2">
      <c r="A282" t="s">
        <v>2537</v>
      </c>
      <c r="B282" t="s">
        <v>49</v>
      </c>
      <c r="C282">
        <v>1</v>
      </c>
      <c r="D282" t="s">
        <v>105</v>
      </c>
    </row>
    <row r="283" spans="1:4" x14ac:dyDescent="0.2">
      <c r="A283" t="s">
        <v>2571</v>
      </c>
      <c r="B283" t="s">
        <v>49</v>
      </c>
      <c r="C283">
        <v>1</v>
      </c>
      <c r="D283" t="s">
        <v>104</v>
      </c>
    </row>
    <row r="284" spans="1:4" x14ac:dyDescent="0.2">
      <c r="A284" t="s">
        <v>2623</v>
      </c>
      <c r="B284" t="s">
        <v>49</v>
      </c>
      <c r="C284">
        <v>5</v>
      </c>
      <c r="D284" t="s">
        <v>11347</v>
      </c>
    </row>
    <row r="285" spans="1:4" x14ac:dyDescent="0.2">
      <c r="A285" t="s">
        <v>2726</v>
      </c>
      <c r="B285" t="s">
        <v>49</v>
      </c>
      <c r="C285">
        <v>3</v>
      </c>
      <c r="D285" t="s">
        <v>11348</v>
      </c>
    </row>
    <row r="286" spans="1:4" x14ac:dyDescent="0.2">
      <c r="A286" t="s">
        <v>2727</v>
      </c>
      <c r="B286" t="s">
        <v>49</v>
      </c>
      <c r="C286">
        <v>3</v>
      </c>
      <c r="D286" t="s">
        <v>11349</v>
      </c>
    </row>
    <row r="287" spans="1:4" x14ac:dyDescent="0.2">
      <c r="A287" t="s">
        <v>889</v>
      </c>
      <c r="B287" t="s">
        <v>49</v>
      </c>
      <c r="C287">
        <v>1</v>
      </c>
      <c r="D287" t="s">
        <v>89</v>
      </c>
    </row>
    <row r="288" spans="1:4" x14ac:dyDescent="0.2">
      <c r="A288" t="s">
        <v>890</v>
      </c>
      <c r="B288" t="s">
        <v>49</v>
      </c>
      <c r="C288">
        <v>1</v>
      </c>
      <c r="D288" t="s">
        <v>94</v>
      </c>
    </row>
    <row r="289" spans="1:4" x14ac:dyDescent="0.2">
      <c r="A289" t="s">
        <v>666</v>
      </c>
      <c r="B289" t="s">
        <v>49</v>
      </c>
      <c r="C289">
        <v>5</v>
      </c>
      <c r="D289" t="s">
        <v>11350</v>
      </c>
    </row>
    <row r="290" spans="1:4" x14ac:dyDescent="0.2">
      <c r="A290" t="s">
        <v>779</v>
      </c>
      <c r="B290" t="s">
        <v>49</v>
      </c>
      <c r="C290">
        <v>17</v>
      </c>
      <c r="D290" t="s">
        <v>11351</v>
      </c>
    </row>
    <row r="291" spans="1:4" x14ac:dyDescent="0.2">
      <c r="A291" t="s">
        <v>797</v>
      </c>
      <c r="B291" t="s">
        <v>49</v>
      </c>
      <c r="C291">
        <v>5</v>
      </c>
      <c r="D291" t="s">
        <v>11352</v>
      </c>
    </row>
    <row r="292" spans="1:4" x14ac:dyDescent="0.2">
      <c r="A292" t="s">
        <v>830</v>
      </c>
      <c r="B292" t="s">
        <v>49</v>
      </c>
      <c r="C292">
        <v>3</v>
      </c>
      <c r="D292" t="s">
        <v>11353</v>
      </c>
    </row>
    <row r="293" spans="1:4" x14ac:dyDescent="0.2">
      <c r="A293" t="s">
        <v>868</v>
      </c>
      <c r="B293" t="s">
        <v>49</v>
      </c>
      <c r="C293">
        <v>1</v>
      </c>
      <c r="D293" t="s">
        <v>88</v>
      </c>
    </row>
    <row r="294" spans="1:4" x14ac:dyDescent="0.2">
      <c r="A294" t="s">
        <v>818</v>
      </c>
      <c r="B294" t="s">
        <v>49</v>
      </c>
      <c r="C294">
        <v>5</v>
      </c>
      <c r="D294" t="s">
        <v>11354</v>
      </c>
    </row>
    <row r="295" spans="1:4" x14ac:dyDescent="0.2">
      <c r="A295" t="s">
        <v>644</v>
      </c>
      <c r="B295" t="s">
        <v>49</v>
      </c>
      <c r="C295">
        <v>3</v>
      </c>
      <c r="D295" t="s">
        <v>11355</v>
      </c>
    </row>
    <row r="296" spans="1:4" x14ac:dyDescent="0.2">
      <c r="A296" t="s">
        <v>853</v>
      </c>
      <c r="B296" t="s">
        <v>49</v>
      </c>
      <c r="C296">
        <v>3</v>
      </c>
      <c r="D296" t="s">
        <v>11356</v>
      </c>
    </row>
    <row r="297" spans="1:4" x14ac:dyDescent="0.2">
      <c r="A297" t="s">
        <v>2905</v>
      </c>
      <c r="B297" t="s">
        <v>49</v>
      </c>
      <c r="C297">
        <v>2</v>
      </c>
      <c r="D297" t="s">
        <v>11343</v>
      </c>
    </row>
    <row r="298" spans="1:4" x14ac:dyDescent="0.2">
      <c r="A298" t="s">
        <v>2907</v>
      </c>
      <c r="B298" t="s">
        <v>49</v>
      </c>
      <c r="C298">
        <v>3</v>
      </c>
      <c r="D298" t="s">
        <v>11357</v>
      </c>
    </row>
    <row r="299" spans="1:4" x14ac:dyDescent="0.2">
      <c r="A299" t="s">
        <v>2909</v>
      </c>
      <c r="B299" t="s">
        <v>49</v>
      </c>
      <c r="C299">
        <v>2</v>
      </c>
      <c r="D299" t="s">
        <v>11358</v>
      </c>
    </row>
    <row r="300" spans="1:4" x14ac:dyDescent="0.2">
      <c r="A300" t="s">
        <v>3281</v>
      </c>
      <c r="B300" t="s">
        <v>49</v>
      </c>
      <c r="C300">
        <v>4</v>
      </c>
      <c r="D300" t="s">
        <v>11359</v>
      </c>
    </row>
    <row r="301" spans="1:4" x14ac:dyDescent="0.2">
      <c r="A301" t="s">
        <v>3361</v>
      </c>
      <c r="B301" t="s">
        <v>49</v>
      </c>
      <c r="C301">
        <v>1</v>
      </c>
      <c r="D301" t="s">
        <v>99</v>
      </c>
    </row>
    <row r="302" spans="1:4" x14ac:dyDescent="0.2">
      <c r="A302" t="s">
        <v>3417</v>
      </c>
      <c r="B302" t="s">
        <v>49</v>
      </c>
      <c r="C302">
        <v>8</v>
      </c>
      <c r="D302" t="s">
        <v>11360</v>
      </c>
    </row>
    <row r="303" spans="1:4" x14ac:dyDescent="0.2">
      <c r="A303" t="s">
        <v>3423</v>
      </c>
      <c r="B303" t="s">
        <v>49</v>
      </c>
      <c r="C303">
        <v>3</v>
      </c>
      <c r="D303" t="s">
        <v>11361</v>
      </c>
    </row>
    <row r="304" spans="1:4" x14ac:dyDescent="0.2">
      <c r="A304" t="s">
        <v>3424</v>
      </c>
      <c r="B304" t="s">
        <v>49</v>
      </c>
      <c r="C304">
        <v>4</v>
      </c>
      <c r="D304" t="s">
        <v>11362</v>
      </c>
    </row>
    <row r="305" spans="1:4" x14ac:dyDescent="0.2">
      <c r="A305" t="s">
        <v>858</v>
      </c>
      <c r="B305" t="s">
        <v>49</v>
      </c>
      <c r="C305">
        <v>3</v>
      </c>
      <c r="D305" t="s">
        <v>11363</v>
      </c>
    </row>
    <row r="306" spans="1:4" x14ac:dyDescent="0.2">
      <c r="A306" t="s">
        <v>3429</v>
      </c>
      <c r="B306" t="s">
        <v>49</v>
      </c>
      <c r="C306">
        <v>3</v>
      </c>
      <c r="D306" t="s">
        <v>11364</v>
      </c>
    </row>
    <row r="307" spans="1:4" x14ac:dyDescent="0.2">
      <c r="A307" t="s">
        <v>812</v>
      </c>
      <c r="B307" t="s">
        <v>49</v>
      </c>
      <c r="C307">
        <v>5</v>
      </c>
      <c r="D307" t="s">
        <v>11365</v>
      </c>
    </row>
    <row r="308" spans="1:4" x14ac:dyDescent="0.2">
      <c r="A308" t="s">
        <v>800</v>
      </c>
      <c r="B308" t="s">
        <v>49</v>
      </c>
      <c r="C308">
        <v>2</v>
      </c>
      <c r="D308" t="s">
        <v>11292</v>
      </c>
    </row>
    <row r="309" spans="1:4" x14ac:dyDescent="0.2">
      <c r="A309" t="s">
        <v>3506</v>
      </c>
      <c r="B309" t="s">
        <v>49</v>
      </c>
      <c r="C309">
        <v>5</v>
      </c>
      <c r="D309" t="s">
        <v>11366</v>
      </c>
    </row>
    <row r="310" spans="1:4" x14ac:dyDescent="0.2">
      <c r="A310" t="s">
        <v>3508</v>
      </c>
      <c r="B310" t="s">
        <v>49</v>
      </c>
      <c r="C310">
        <v>4</v>
      </c>
      <c r="D310" t="s">
        <v>11367</v>
      </c>
    </row>
    <row r="311" spans="1:4" x14ac:dyDescent="0.2">
      <c r="A311" t="s">
        <v>3514</v>
      </c>
      <c r="B311" t="s">
        <v>49</v>
      </c>
      <c r="C311">
        <v>7</v>
      </c>
      <c r="D311" t="s">
        <v>11368</v>
      </c>
    </row>
    <row r="312" spans="1:4" x14ac:dyDescent="0.2">
      <c r="A312" t="s">
        <v>458</v>
      </c>
      <c r="B312" t="s">
        <v>49</v>
      </c>
      <c r="C312">
        <v>3</v>
      </c>
      <c r="D312" t="s">
        <v>11369</v>
      </c>
    </row>
    <row r="313" spans="1:4" x14ac:dyDescent="0.2">
      <c r="A313" t="s">
        <v>888</v>
      </c>
      <c r="B313" t="s">
        <v>49</v>
      </c>
      <c r="C313">
        <v>1</v>
      </c>
      <c r="D313" t="s">
        <v>105</v>
      </c>
    </row>
    <row r="314" spans="1:4" x14ac:dyDescent="0.2">
      <c r="A314" t="s">
        <v>882</v>
      </c>
      <c r="B314" t="s">
        <v>49</v>
      </c>
      <c r="C314">
        <v>2</v>
      </c>
      <c r="D314" t="s">
        <v>11032</v>
      </c>
    </row>
    <row r="315" spans="1:4" x14ac:dyDescent="0.2">
      <c r="A315" t="s">
        <v>811</v>
      </c>
      <c r="B315" t="s">
        <v>49</v>
      </c>
      <c r="C315">
        <v>2</v>
      </c>
      <c r="D315" t="s">
        <v>11370</v>
      </c>
    </row>
    <row r="316" spans="1:4" x14ac:dyDescent="0.2">
      <c r="A316" t="s">
        <v>3667</v>
      </c>
      <c r="B316" t="s">
        <v>49</v>
      </c>
      <c r="C316">
        <v>4</v>
      </c>
      <c r="D316" t="s">
        <v>11371</v>
      </c>
    </row>
    <row r="317" spans="1:4" x14ac:dyDescent="0.2">
      <c r="A317" t="s">
        <v>3881</v>
      </c>
      <c r="B317" t="s">
        <v>49</v>
      </c>
      <c r="C317">
        <v>5</v>
      </c>
      <c r="D317" t="s">
        <v>11372</v>
      </c>
    </row>
    <row r="318" spans="1:4" x14ac:dyDescent="0.2">
      <c r="A318" t="s">
        <v>877</v>
      </c>
      <c r="B318" t="s">
        <v>49</v>
      </c>
      <c r="C318">
        <v>8</v>
      </c>
      <c r="D318" t="s">
        <v>11373</v>
      </c>
    </row>
    <row r="319" spans="1:4" x14ac:dyDescent="0.2">
      <c r="A319" t="s">
        <v>477</v>
      </c>
      <c r="B319" t="s">
        <v>49</v>
      </c>
      <c r="C319">
        <v>8</v>
      </c>
      <c r="D319" t="s">
        <v>11374</v>
      </c>
    </row>
    <row r="320" spans="1:4" x14ac:dyDescent="0.2">
      <c r="A320" t="s">
        <v>790</v>
      </c>
      <c r="B320" t="s">
        <v>49</v>
      </c>
      <c r="C320">
        <v>13</v>
      </c>
      <c r="D320" t="s">
        <v>11375</v>
      </c>
    </row>
    <row r="321" spans="1:4" x14ac:dyDescent="0.2">
      <c r="A321" t="s">
        <v>4842</v>
      </c>
      <c r="B321" t="s">
        <v>49</v>
      </c>
      <c r="C321">
        <v>7</v>
      </c>
      <c r="D321" t="s">
        <v>11376</v>
      </c>
    </row>
    <row r="322" spans="1:4" x14ac:dyDescent="0.2">
      <c r="A322" t="s">
        <v>4070</v>
      </c>
      <c r="B322" t="s">
        <v>49</v>
      </c>
      <c r="C322">
        <v>5</v>
      </c>
      <c r="D322" t="s">
        <v>11377</v>
      </c>
    </row>
    <row r="323" spans="1:4" x14ac:dyDescent="0.2">
      <c r="A323" t="s">
        <v>784</v>
      </c>
      <c r="B323" t="s">
        <v>49</v>
      </c>
      <c r="C323">
        <v>4</v>
      </c>
      <c r="D323" t="s">
        <v>11378</v>
      </c>
    </row>
    <row r="324" spans="1:4" x14ac:dyDescent="0.2">
      <c r="A324" t="s">
        <v>577</v>
      </c>
      <c r="B324" t="s">
        <v>49</v>
      </c>
      <c r="C324">
        <v>5</v>
      </c>
      <c r="D324" t="s">
        <v>11379</v>
      </c>
    </row>
    <row r="325" spans="1:4" x14ac:dyDescent="0.2">
      <c r="A325" t="s">
        <v>782</v>
      </c>
      <c r="B325" t="s">
        <v>49</v>
      </c>
      <c r="C325">
        <v>7</v>
      </c>
      <c r="D325" t="s">
        <v>11380</v>
      </c>
    </row>
    <row r="326" spans="1:4" x14ac:dyDescent="0.2">
      <c r="A326" t="s">
        <v>780</v>
      </c>
      <c r="B326" t="s">
        <v>49</v>
      </c>
      <c r="C326">
        <v>7</v>
      </c>
      <c r="D326" t="s">
        <v>11381</v>
      </c>
    </row>
    <row r="327" spans="1:4" x14ac:dyDescent="0.2">
      <c r="A327" t="s">
        <v>592</v>
      </c>
      <c r="B327" t="s">
        <v>49</v>
      </c>
      <c r="C327">
        <v>3</v>
      </c>
      <c r="D327" t="s">
        <v>11382</v>
      </c>
    </row>
    <row r="328" spans="1:4" x14ac:dyDescent="0.2">
      <c r="A328" t="s">
        <v>594</v>
      </c>
      <c r="B328" t="s">
        <v>49</v>
      </c>
      <c r="C328">
        <v>4</v>
      </c>
      <c r="D328" t="s">
        <v>11383</v>
      </c>
    </row>
    <row r="329" spans="1:4" x14ac:dyDescent="0.2">
      <c r="A329" t="s">
        <v>635</v>
      </c>
      <c r="B329" t="s">
        <v>49</v>
      </c>
      <c r="C329">
        <v>3</v>
      </c>
      <c r="D329" t="s">
        <v>11384</v>
      </c>
    </row>
    <row r="330" spans="1:4" x14ac:dyDescent="0.2">
      <c r="A330" t="s">
        <v>276</v>
      </c>
      <c r="B330" t="s">
        <v>49</v>
      </c>
      <c r="C330">
        <v>2</v>
      </c>
      <c r="D330" t="s">
        <v>11329</v>
      </c>
    </row>
    <row r="331" spans="1:4" x14ac:dyDescent="0.2">
      <c r="A331" t="s">
        <v>583</v>
      </c>
      <c r="B331" t="s">
        <v>49</v>
      </c>
      <c r="C331">
        <v>6</v>
      </c>
      <c r="D331" t="s">
        <v>11385</v>
      </c>
    </row>
    <row r="332" spans="1:4" x14ac:dyDescent="0.2">
      <c r="A332" t="s">
        <v>4259</v>
      </c>
      <c r="B332" t="s">
        <v>49</v>
      </c>
      <c r="C332">
        <v>1</v>
      </c>
      <c r="D332" t="s">
        <v>103</v>
      </c>
    </row>
    <row r="333" spans="1:4" x14ac:dyDescent="0.2">
      <c r="A333" t="s">
        <v>357</v>
      </c>
      <c r="B333" t="s">
        <v>49</v>
      </c>
      <c r="C333">
        <v>5</v>
      </c>
      <c r="D333" t="s">
        <v>11386</v>
      </c>
    </row>
    <row r="334" spans="1:4" x14ac:dyDescent="0.2">
      <c r="A334" t="s">
        <v>362</v>
      </c>
      <c r="B334" t="s">
        <v>49</v>
      </c>
      <c r="C334">
        <v>4</v>
      </c>
      <c r="D334" t="s">
        <v>11387</v>
      </c>
    </row>
    <row r="335" spans="1:4" x14ac:dyDescent="0.2">
      <c r="A335" t="s">
        <v>216</v>
      </c>
      <c r="B335" t="s">
        <v>49</v>
      </c>
      <c r="C335">
        <v>2</v>
      </c>
      <c r="D335" t="s">
        <v>11370</v>
      </c>
    </row>
    <row r="336" spans="1:4" x14ac:dyDescent="0.2">
      <c r="A336" t="s">
        <v>212</v>
      </c>
      <c r="B336" t="s">
        <v>49</v>
      </c>
      <c r="C336">
        <v>2</v>
      </c>
      <c r="D336" t="s">
        <v>11388</v>
      </c>
    </row>
    <row r="337" spans="1:4" x14ac:dyDescent="0.2">
      <c r="A337" t="s">
        <v>214</v>
      </c>
      <c r="B337" t="s">
        <v>49</v>
      </c>
      <c r="C337">
        <v>3</v>
      </c>
      <c r="D337" t="s">
        <v>11389</v>
      </c>
    </row>
    <row r="338" spans="1:4" x14ac:dyDescent="0.2">
      <c r="A338" t="s">
        <v>4312</v>
      </c>
      <c r="B338" t="s">
        <v>49</v>
      </c>
      <c r="C338">
        <v>3</v>
      </c>
      <c r="D338" t="s">
        <v>11390</v>
      </c>
    </row>
    <row r="339" spans="1:4" x14ac:dyDescent="0.2">
      <c r="A339" t="s">
        <v>4318</v>
      </c>
      <c r="B339" t="s">
        <v>49</v>
      </c>
      <c r="C339">
        <v>1</v>
      </c>
      <c r="D339" t="s">
        <v>94</v>
      </c>
    </row>
    <row r="340" spans="1:4" x14ac:dyDescent="0.2">
      <c r="A340" t="s">
        <v>4319</v>
      </c>
      <c r="B340" t="s">
        <v>49</v>
      </c>
      <c r="C340">
        <v>1</v>
      </c>
      <c r="D340" t="s">
        <v>94</v>
      </c>
    </row>
    <row r="341" spans="1:4" x14ac:dyDescent="0.2">
      <c r="A341" t="s">
        <v>872</v>
      </c>
      <c r="B341" t="s">
        <v>49</v>
      </c>
      <c r="C341">
        <v>3</v>
      </c>
      <c r="D341" t="s">
        <v>11391</v>
      </c>
    </row>
    <row r="342" spans="1:4" x14ac:dyDescent="0.2">
      <c r="A342" t="s">
        <v>4335</v>
      </c>
      <c r="B342" t="s">
        <v>49</v>
      </c>
      <c r="C342">
        <v>6</v>
      </c>
      <c r="D342" t="s">
        <v>11392</v>
      </c>
    </row>
    <row r="343" spans="1:4" x14ac:dyDescent="0.2">
      <c r="A343" t="s">
        <v>360</v>
      </c>
      <c r="B343" t="s">
        <v>49</v>
      </c>
      <c r="C343">
        <v>2</v>
      </c>
      <c r="D343" t="s">
        <v>11393</v>
      </c>
    </row>
    <row r="344" spans="1:4" x14ac:dyDescent="0.2">
      <c r="A344" t="s">
        <v>633</v>
      </c>
      <c r="B344" t="s">
        <v>49</v>
      </c>
      <c r="C344">
        <v>1</v>
      </c>
      <c r="D344" t="s">
        <v>93</v>
      </c>
    </row>
    <row r="345" spans="1:4" x14ac:dyDescent="0.2">
      <c r="A345" t="s">
        <v>456</v>
      </c>
      <c r="B345" t="s">
        <v>49</v>
      </c>
      <c r="C345">
        <v>2</v>
      </c>
      <c r="D345" t="s">
        <v>11394</v>
      </c>
    </row>
    <row r="346" spans="1:4" x14ac:dyDescent="0.2">
      <c r="A346" t="s">
        <v>473</v>
      </c>
      <c r="B346" t="s">
        <v>49</v>
      </c>
      <c r="C346">
        <v>4</v>
      </c>
      <c r="D346" t="s">
        <v>11395</v>
      </c>
    </row>
    <row r="347" spans="1:4" x14ac:dyDescent="0.2">
      <c r="A347" t="s">
        <v>4379</v>
      </c>
      <c r="B347" t="s">
        <v>49</v>
      </c>
      <c r="C347">
        <v>4</v>
      </c>
      <c r="D347" t="s">
        <v>11396</v>
      </c>
    </row>
    <row r="348" spans="1:4" x14ac:dyDescent="0.2">
      <c r="A348" t="s">
        <v>876</v>
      </c>
      <c r="B348" t="s">
        <v>49</v>
      </c>
      <c r="C348">
        <v>1</v>
      </c>
      <c r="D348" t="s">
        <v>97</v>
      </c>
    </row>
    <row r="349" spans="1:4" x14ac:dyDescent="0.2">
      <c r="A349" t="s">
        <v>4391</v>
      </c>
      <c r="B349" t="s">
        <v>49</v>
      </c>
      <c r="C349">
        <v>14</v>
      </c>
      <c r="D349" t="s">
        <v>11397</v>
      </c>
    </row>
    <row r="350" spans="1:4" x14ac:dyDescent="0.2">
      <c r="A350" t="s">
        <v>4392</v>
      </c>
      <c r="B350" t="s">
        <v>49</v>
      </c>
      <c r="C350">
        <v>14</v>
      </c>
      <c r="D350" t="s">
        <v>11398</v>
      </c>
    </row>
    <row r="351" spans="1:4" x14ac:dyDescent="0.2">
      <c r="A351" t="s">
        <v>403</v>
      </c>
      <c r="B351" t="s">
        <v>49</v>
      </c>
      <c r="C351">
        <v>1</v>
      </c>
      <c r="D351" t="s">
        <v>87</v>
      </c>
    </row>
    <row r="352" spans="1:4" x14ac:dyDescent="0.2">
      <c r="A352" t="s">
        <v>913</v>
      </c>
      <c r="B352" t="s">
        <v>49</v>
      </c>
      <c r="C352">
        <v>1</v>
      </c>
      <c r="D352" t="s">
        <v>92</v>
      </c>
    </row>
    <row r="353" spans="1:4" x14ac:dyDescent="0.2">
      <c r="A353" t="s">
        <v>358</v>
      </c>
      <c r="B353" t="s">
        <v>49</v>
      </c>
      <c r="C353">
        <v>2</v>
      </c>
      <c r="D353" t="s">
        <v>11399</v>
      </c>
    </row>
    <row r="354" spans="1:4" x14ac:dyDescent="0.2">
      <c r="A354" t="s">
        <v>614</v>
      </c>
      <c r="B354" t="s">
        <v>49</v>
      </c>
      <c r="C354">
        <v>1</v>
      </c>
      <c r="D354" t="s">
        <v>99</v>
      </c>
    </row>
    <row r="355" spans="1:4" x14ac:dyDescent="0.2">
      <c r="A355" t="s">
        <v>4947</v>
      </c>
      <c r="B355" t="s">
        <v>49</v>
      </c>
      <c r="C355">
        <v>1</v>
      </c>
      <c r="D355" t="s">
        <v>89</v>
      </c>
    </row>
    <row r="356" spans="1:4" x14ac:dyDescent="0.2">
      <c r="A356" t="s">
        <v>4431</v>
      </c>
      <c r="B356" t="s">
        <v>49</v>
      </c>
      <c r="C356">
        <v>1</v>
      </c>
      <c r="D356" t="s">
        <v>88</v>
      </c>
    </row>
    <row r="357" spans="1:4" x14ac:dyDescent="0.2">
      <c r="A357" t="s">
        <v>4433</v>
      </c>
      <c r="B357" t="s">
        <v>49</v>
      </c>
      <c r="C357">
        <v>1</v>
      </c>
      <c r="D357" t="s">
        <v>104</v>
      </c>
    </row>
    <row r="358" spans="1:4" x14ac:dyDescent="0.2">
      <c r="A358" t="s">
        <v>810</v>
      </c>
      <c r="B358" t="s">
        <v>49</v>
      </c>
      <c r="C358">
        <v>3</v>
      </c>
      <c r="D358" t="s">
        <v>11400</v>
      </c>
    </row>
    <row r="359" spans="1:4" x14ac:dyDescent="0.2">
      <c r="A359" t="s">
        <v>795</v>
      </c>
      <c r="B359" t="s">
        <v>49</v>
      </c>
      <c r="C359">
        <v>4</v>
      </c>
      <c r="D359" t="s">
        <v>11401</v>
      </c>
    </row>
    <row r="360" spans="1:4" x14ac:dyDescent="0.2">
      <c r="A360" t="s">
        <v>796</v>
      </c>
      <c r="B360" t="s">
        <v>49</v>
      </c>
      <c r="C360">
        <v>2</v>
      </c>
      <c r="D360" t="s">
        <v>11402</v>
      </c>
    </row>
    <row r="361" spans="1:4" x14ac:dyDescent="0.2">
      <c r="A361" t="s">
        <v>4435</v>
      </c>
      <c r="B361" t="s">
        <v>49</v>
      </c>
      <c r="C361">
        <v>2</v>
      </c>
      <c r="D361" t="s">
        <v>11403</v>
      </c>
    </row>
    <row r="362" spans="1:4" x14ac:dyDescent="0.2">
      <c r="A362" t="s">
        <v>4436</v>
      </c>
      <c r="B362" t="s">
        <v>49</v>
      </c>
      <c r="C362">
        <v>4</v>
      </c>
      <c r="D362" t="s">
        <v>11404</v>
      </c>
    </row>
    <row r="363" spans="1:4" x14ac:dyDescent="0.2">
      <c r="A363" t="s">
        <v>280</v>
      </c>
      <c r="B363" t="s">
        <v>49</v>
      </c>
      <c r="C363">
        <v>3</v>
      </c>
      <c r="D363" t="s">
        <v>11405</v>
      </c>
    </row>
    <row r="364" spans="1:4" x14ac:dyDescent="0.2">
      <c r="A364" t="s">
        <v>234</v>
      </c>
      <c r="B364" t="s">
        <v>49</v>
      </c>
      <c r="C364">
        <v>2</v>
      </c>
      <c r="D364" t="s">
        <v>11406</v>
      </c>
    </row>
    <row r="365" spans="1:4" x14ac:dyDescent="0.2">
      <c r="A365" t="s">
        <v>273</v>
      </c>
      <c r="B365" t="s">
        <v>49</v>
      </c>
      <c r="C365">
        <v>3</v>
      </c>
      <c r="D365" t="s">
        <v>11407</v>
      </c>
    </row>
    <row r="366" spans="1:4" x14ac:dyDescent="0.2">
      <c r="A366" t="s">
        <v>4485</v>
      </c>
      <c r="B366" t="s">
        <v>49</v>
      </c>
      <c r="C366">
        <v>4</v>
      </c>
      <c r="D366" t="s">
        <v>11408</v>
      </c>
    </row>
    <row r="367" spans="1:4" x14ac:dyDescent="0.2">
      <c r="A367" t="s">
        <v>4486</v>
      </c>
      <c r="B367" t="s">
        <v>49</v>
      </c>
      <c r="C367">
        <v>5</v>
      </c>
      <c r="D367" t="s">
        <v>11409</v>
      </c>
    </row>
    <row r="368" spans="1:4" x14ac:dyDescent="0.2">
      <c r="A368" t="s">
        <v>4531</v>
      </c>
      <c r="B368" t="s">
        <v>49</v>
      </c>
      <c r="C368">
        <v>1</v>
      </c>
      <c r="D368" t="s">
        <v>84</v>
      </c>
    </row>
    <row r="369" spans="1:4" x14ac:dyDescent="0.2">
      <c r="A369" t="s">
        <v>655</v>
      </c>
      <c r="B369" t="s">
        <v>49</v>
      </c>
      <c r="C369">
        <v>1</v>
      </c>
      <c r="D369" t="s">
        <v>97</v>
      </c>
    </row>
    <row r="370" spans="1:4" x14ac:dyDescent="0.2">
      <c r="A370" t="s">
        <v>4563</v>
      </c>
      <c r="B370" t="s">
        <v>49</v>
      </c>
      <c r="C370">
        <v>1</v>
      </c>
      <c r="D370" t="s">
        <v>97</v>
      </c>
    </row>
    <row r="371" spans="1:4" x14ac:dyDescent="0.2">
      <c r="A371" t="s">
        <v>660</v>
      </c>
      <c r="B371" t="s">
        <v>49</v>
      </c>
      <c r="C371">
        <v>1</v>
      </c>
      <c r="D371" t="s">
        <v>84</v>
      </c>
    </row>
    <row r="372" spans="1:4" x14ac:dyDescent="0.2">
      <c r="A372" t="s">
        <v>604</v>
      </c>
      <c r="B372" t="s">
        <v>49</v>
      </c>
      <c r="C372">
        <v>1</v>
      </c>
      <c r="D372" t="s">
        <v>88</v>
      </c>
    </row>
    <row r="373" spans="1:4" x14ac:dyDescent="0.2">
      <c r="A373" t="s">
        <v>4565</v>
      </c>
      <c r="B373" t="s">
        <v>49</v>
      </c>
      <c r="C373">
        <v>1</v>
      </c>
      <c r="D373" t="s">
        <v>98</v>
      </c>
    </row>
    <row r="374" spans="1:4" x14ac:dyDescent="0.2">
      <c r="A374" t="s">
        <v>617</v>
      </c>
      <c r="B374" t="s">
        <v>49</v>
      </c>
      <c r="C374">
        <v>1</v>
      </c>
      <c r="D374" t="s">
        <v>99</v>
      </c>
    </row>
    <row r="375" spans="1:4" x14ac:dyDescent="0.2">
      <c r="A375" t="s">
        <v>4583</v>
      </c>
      <c r="B375" t="s">
        <v>49</v>
      </c>
      <c r="C375">
        <v>1</v>
      </c>
      <c r="D375" t="s">
        <v>97</v>
      </c>
    </row>
    <row r="376" spans="1:4" x14ac:dyDescent="0.2">
      <c r="A376" t="s">
        <v>4589</v>
      </c>
      <c r="B376" t="s">
        <v>49</v>
      </c>
      <c r="C376">
        <v>1</v>
      </c>
      <c r="D376" t="s">
        <v>84</v>
      </c>
    </row>
    <row r="377" spans="1:4" x14ac:dyDescent="0.2">
      <c r="A377" t="s">
        <v>225</v>
      </c>
      <c r="B377" t="s">
        <v>49</v>
      </c>
      <c r="C377">
        <v>5</v>
      </c>
      <c r="D377" t="s">
        <v>11410</v>
      </c>
    </row>
    <row r="378" spans="1:4" x14ac:dyDescent="0.2">
      <c r="A378" t="s">
        <v>226</v>
      </c>
      <c r="B378" t="s">
        <v>49</v>
      </c>
      <c r="C378">
        <v>3</v>
      </c>
      <c r="D378" t="s">
        <v>11411</v>
      </c>
    </row>
    <row r="379" spans="1:4" x14ac:dyDescent="0.2">
      <c r="A379" t="s">
        <v>4607</v>
      </c>
      <c r="B379" t="s">
        <v>49</v>
      </c>
      <c r="C379">
        <v>1</v>
      </c>
      <c r="D379" t="s">
        <v>92</v>
      </c>
    </row>
    <row r="380" spans="1:4" x14ac:dyDescent="0.2">
      <c r="A380" t="s">
        <v>326</v>
      </c>
      <c r="B380" t="s">
        <v>49</v>
      </c>
      <c r="C380">
        <v>8</v>
      </c>
      <c r="D380" t="s">
        <v>11412</v>
      </c>
    </row>
    <row r="381" spans="1:4" x14ac:dyDescent="0.2">
      <c r="A381" t="s">
        <v>365</v>
      </c>
      <c r="B381" t="s">
        <v>49</v>
      </c>
      <c r="C381">
        <v>2</v>
      </c>
      <c r="D381" t="s">
        <v>5944</v>
      </c>
    </row>
    <row r="382" spans="1:4" x14ac:dyDescent="0.2">
      <c r="A382" t="s">
        <v>299</v>
      </c>
      <c r="B382" t="s">
        <v>49</v>
      </c>
      <c r="C382">
        <v>2</v>
      </c>
      <c r="D382" t="s">
        <v>11413</v>
      </c>
    </row>
    <row r="383" spans="1:4" x14ac:dyDescent="0.2">
      <c r="A383" t="s">
        <v>304</v>
      </c>
      <c r="B383" t="s">
        <v>49</v>
      </c>
      <c r="C383">
        <v>8</v>
      </c>
      <c r="D383" t="s">
        <v>11414</v>
      </c>
    </row>
    <row r="384" spans="1:4" x14ac:dyDescent="0.2">
      <c r="A384" t="s">
        <v>819</v>
      </c>
      <c r="B384" t="s">
        <v>49</v>
      </c>
      <c r="C384">
        <v>2</v>
      </c>
      <c r="D384" t="s">
        <v>11262</v>
      </c>
    </row>
    <row r="385" spans="1:4" x14ac:dyDescent="0.2">
      <c r="A385" t="s">
        <v>820</v>
      </c>
      <c r="B385" t="s">
        <v>49</v>
      </c>
      <c r="C385">
        <v>2</v>
      </c>
      <c r="D385" t="s">
        <v>11415</v>
      </c>
    </row>
    <row r="386" spans="1:4" x14ac:dyDescent="0.2">
      <c r="A386" t="s">
        <v>4652</v>
      </c>
      <c r="B386" t="s">
        <v>49</v>
      </c>
      <c r="C386">
        <v>1</v>
      </c>
      <c r="D386" t="s">
        <v>103</v>
      </c>
    </row>
    <row r="387" spans="1:4" x14ac:dyDescent="0.2">
      <c r="A387" t="s">
        <v>231</v>
      </c>
      <c r="B387" t="s">
        <v>49</v>
      </c>
      <c r="C387">
        <v>1</v>
      </c>
      <c r="D387" t="s">
        <v>104</v>
      </c>
    </row>
    <row r="388" spans="1:4" x14ac:dyDescent="0.2">
      <c r="A388" t="s">
        <v>466</v>
      </c>
      <c r="B388" t="s">
        <v>49</v>
      </c>
      <c r="C388">
        <v>3</v>
      </c>
      <c r="D388" t="s">
        <v>11416</v>
      </c>
    </row>
    <row r="389" spans="1:4" x14ac:dyDescent="0.2">
      <c r="A389" t="s">
        <v>468</v>
      </c>
      <c r="B389" t="s">
        <v>49</v>
      </c>
      <c r="C389">
        <v>2</v>
      </c>
      <c r="D389" t="s">
        <v>11417</v>
      </c>
    </row>
    <row r="390" spans="1:4" x14ac:dyDescent="0.2">
      <c r="A390" t="s">
        <v>232</v>
      </c>
      <c r="B390" t="s">
        <v>49</v>
      </c>
      <c r="C390">
        <v>3</v>
      </c>
      <c r="D390" t="s">
        <v>11418</v>
      </c>
    </row>
    <row r="391" spans="1:4" x14ac:dyDescent="0.2">
      <c r="A391" t="s">
        <v>236</v>
      </c>
      <c r="B391" t="s">
        <v>49</v>
      </c>
      <c r="C391">
        <v>3</v>
      </c>
      <c r="D391" t="s">
        <v>11419</v>
      </c>
    </row>
    <row r="392" spans="1:4" x14ac:dyDescent="0.2">
      <c r="A392" t="s">
        <v>4684</v>
      </c>
      <c r="B392" t="s">
        <v>49</v>
      </c>
      <c r="C392">
        <v>6</v>
      </c>
      <c r="D392" t="s">
        <v>11420</v>
      </c>
    </row>
    <row r="393" spans="1:4" x14ac:dyDescent="0.2">
      <c r="A393" t="s">
        <v>787</v>
      </c>
      <c r="B393" t="s">
        <v>49</v>
      </c>
      <c r="C393">
        <v>3</v>
      </c>
      <c r="D393" t="s">
        <v>11421</v>
      </c>
    </row>
    <row r="394" spans="1:4" x14ac:dyDescent="0.2">
      <c r="A394" t="s">
        <v>364</v>
      </c>
      <c r="B394" t="s">
        <v>49</v>
      </c>
      <c r="C394">
        <v>5</v>
      </c>
      <c r="D394" t="s">
        <v>11422</v>
      </c>
    </row>
    <row r="395" spans="1:4" x14ac:dyDescent="0.2">
      <c r="A395" t="s">
        <v>542</v>
      </c>
      <c r="B395" t="s">
        <v>49</v>
      </c>
      <c r="C395">
        <v>13</v>
      </c>
      <c r="D395" t="s">
        <v>11423</v>
      </c>
    </row>
    <row r="396" spans="1:4" x14ac:dyDescent="0.2">
      <c r="A396" t="s">
        <v>544</v>
      </c>
      <c r="B396" t="s">
        <v>49</v>
      </c>
      <c r="C396">
        <v>1</v>
      </c>
      <c r="D396" t="s">
        <v>95</v>
      </c>
    </row>
    <row r="397" spans="1:4" x14ac:dyDescent="0.2">
      <c r="A397" t="s">
        <v>554</v>
      </c>
      <c r="B397" t="s">
        <v>49</v>
      </c>
      <c r="C397">
        <v>2</v>
      </c>
      <c r="D397" t="s">
        <v>11424</v>
      </c>
    </row>
    <row r="398" spans="1:4" x14ac:dyDescent="0.2">
      <c r="A398" t="s">
        <v>4675</v>
      </c>
      <c r="B398" t="s">
        <v>49</v>
      </c>
      <c r="C398">
        <v>2</v>
      </c>
      <c r="D398" t="s">
        <v>11425</v>
      </c>
    </row>
    <row r="399" spans="1:4" x14ac:dyDescent="0.2">
      <c r="A399" t="s">
        <v>540</v>
      </c>
      <c r="B399" t="s">
        <v>49</v>
      </c>
      <c r="C399">
        <v>9</v>
      </c>
      <c r="D399" t="s">
        <v>11426</v>
      </c>
    </row>
    <row r="400" spans="1:4" x14ac:dyDescent="0.2">
      <c r="A400" t="s">
        <v>589</v>
      </c>
      <c r="B400" t="s">
        <v>49</v>
      </c>
      <c r="C400">
        <v>5</v>
      </c>
      <c r="D400" t="s">
        <v>11427</v>
      </c>
    </row>
    <row r="401" spans="1:4" x14ac:dyDescent="0.2">
      <c r="A401" t="s">
        <v>587</v>
      </c>
      <c r="B401" t="s">
        <v>49</v>
      </c>
      <c r="C401">
        <v>9</v>
      </c>
      <c r="D401" t="s">
        <v>11428</v>
      </c>
    </row>
    <row r="402" spans="1:4" x14ac:dyDescent="0.2">
      <c r="A402" t="s">
        <v>639</v>
      </c>
      <c r="B402" t="s">
        <v>49</v>
      </c>
      <c r="C402">
        <v>4</v>
      </c>
      <c r="D402" t="s">
        <v>11429</v>
      </c>
    </row>
    <row r="403" spans="1:4" x14ac:dyDescent="0.2">
      <c r="A403" t="s">
        <v>624</v>
      </c>
      <c r="B403" t="s">
        <v>49</v>
      </c>
      <c r="C403">
        <v>2</v>
      </c>
      <c r="D403" t="s">
        <v>11430</v>
      </c>
    </row>
    <row r="404" spans="1:4" x14ac:dyDescent="0.2">
      <c r="A404" t="s">
        <v>4950</v>
      </c>
      <c r="B404" t="s">
        <v>49</v>
      </c>
      <c r="C404">
        <v>1</v>
      </c>
      <c r="D404" t="s">
        <v>97</v>
      </c>
    </row>
    <row r="405" spans="1:4" x14ac:dyDescent="0.2">
      <c r="A405" t="s">
        <v>832</v>
      </c>
      <c r="B405" t="s">
        <v>49</v>
      </c>
      <c r="C405">
        <v>1</v>
      </c>
      <c r="D405" t="s">
        <v>105</v>
      </c>
    </row>
    <row r="406" spans="1:4" x14ac:dyDescent="0.2">
      <c r="A406" t="s">
        <v>628</v>
      </c>
      <c r="B406" t="s">
        <v>49</v>
      </c>
      <c r="C406">
        <v>3</v>
      </c>
      <c r="D406" t="s">
        <v>11431</v>
      </c>
    </row>
    <row r="407" spans="1:4" x14ac:dyDescent="0.2">
      <c r="A407" t="s">
        <v>609</v>
      </c>
      <c r="B407" t="s">
        <v>49</v>
      </c>
      <c r="C407">
        <v>2</v>
      </c>
      <c r="D407" t="s">
        <v>11432</v>
      </c>
    </row>
    <row r="408" spans="1:4" x14ac:dyDescent="0.2">
      <c r="A408" t="s">
        <v>814</v>
      </c>
      <c r="B408" t="s">
        <v>49</v>
      </c>
      <c r="C408">
        <v>2</v>
      </c>
      <c r="D408" t="s">
        <v>11433</v>
      </c>
    </row>
    <row r="409" spans="1:4" x14ac:dyDescent="0.2">
      <c r="A409" t="s">
        <v>808</v>
      </c>
      <c r="B409" t="s">
        <v>49</v>
      </c>
      <c r="C409">
        <v>2</v>
      </c>
      <c r="D409" t="s">
        <v>11434</v>
      </c>
    </row>
    <row r="410" spans="1:4" x14ac:dyDescent="0.2">
      <c r="A410" t="s">
        <v>621</v>
      </c>
      <c r="B410" t="s">
        <v>49</v>
      </c>
      <c r="C410">
        <v>2</v>
      </c>
      <c r="D410" t="s">
        <v>11435</v>
      </c>
    </row>
    <row r="411" spans="1:4" x14ac:dyDescent="0.2">
      <c r="A411" t="s">
        <v>600</v>
      </c>
      <c r="B411" t="s">
        <v>49</v>
      </c>
      <c r="C411">
        <v>1</v>
      </c>
      <c r="D411" t="s">
        <v>100</v>
      </c>
    </row>
    <row r="412" spans="1:4" x14ac:dyDescent="0.2">
      <c r="A412" t="s">
        <v>864</v>
      </c>
      <c r="B412" t="s">
        <v>49</v>
      </c>
      <c r="C412">
        <v>1</v>
      </c>
      <c r="D412" t="s">
        <v>88</v>
      </c>
    </row>
    <row r="413" spans="1:4" x14ac:dyDescent="0.2">
      <c r="A413" t="s">
        <v>886</v>
      </c>
      <c r="B413" t="s">
        <v>49</v>
      </c>
      <c r="C413">
        <v>1</v>
      </c>
      <c r="D413" t="s">
        <v>98</v>
      </c>
    </row>
    <row r="414" spans="1:4" x14ac:dyDescent="0.2">
      <c r="A414" t="s">
        <v>816</v>
      </c>
      <c r="B414" t="s">
        <v>49</v>
      </c>
      <c r="C414">
        <v>1</v>
      </c>
      <c r="D414" t="s">
        <v>105</v>
      </c>
    </row>
    <row r="415" spans="1:4" x14ac:dyDescent="0.2">
      <c r="A415" t="s">
        <v>371</v>
      </c>
      <c r="B415" t="s">
        <v>49</v>
      </c>
      <c r="C415">
        <v>2</v>
      </c>
      <c r="D415" t="s">
        <v>11432</v>
      </c>
    </row>
    <row r="416" spans="1:4" x14ac:dyDescent="0.2">
      <c r="A416" t="s">
        <v>645</v>
      </c>
      <c r="B416" t="s">
        <v>49</v>
      </c>
      <c r="C416">
        <v>1</v>
      </c>
      <c r="D416" t="s">
        <v>94</v>
      </c>
    </row>
    <row r="417" spans="1:4" x14ac:dyDescent="0.2">
      <c r="A417" t="s">
        <v>529</v>
      </c>
      <c r="B417" t="s">
        <v>49</v>
      </c>
      <c r="C417">
        <v>6</v>
      </c>
      <c r="D417" t="s">
        <v>11436</v>
      </c>
    </row>
    <row r="418" spans="1:4" x14ac:dyDescent="0.2">
      <c r="A418" t="s">
        <v>516</v>
      </c>
      <c r="B418" t="s">
        <v>49</v>
      </c>
      <c r="C418">
        <v>2</v>
      </c>
      <c r="D418" t="s">
        <v>11437</v>
      </c>
    </row>
    <row r="419" spans="1:4" x14ac:dyDescent="0.2">
      <c r="A419" t="s">
        <v>850</v>
      </c>
      <c r="B419" t="s">
        <v>49</v>
      </c>
      <c r="C419">
        <v>5</v>
      </c>
      <c r="D419" t="s">
        <v>11438</v>
      </c>
    </row>
    <row r="420" spans="1:4" x14ac:dyDescent="0.2">
      <c r="A420" t="s">
        <v>898</v>
      </c>
      <c r="B420" t="s">
        <v>49</v>
      </c>
      <c r="C420">
        <v>6</v>
      </c>
      <c r="D420" t="s">
        <v>11439</v>
      </c>
    </row>
    <row r="421" spans="1:4" x14ac:dyDescent="0.2">
      <c r="A421" t="s">
        <v>401</v>
      </c>
      <c r="B421" t="s">
        <v>49</v>
      </c>
      <c r="C421">
        <v>4</v>
      </c>
      <c r="D421" t="s">
        <v>11440</v>
      </c>
    </row>
    <row r="422" spans="1:4" x14ac:dyDescent="0.2">
      <c r="A422" t="s">
        <v>399</v>
      </c>
      <c r="B422" t="s">
        <v>49</v>
      </c>
      <c r="C422">
        <v>2</v>
      </c>
      <c r="D422" t="s">
        <v>11335</v>
      </c>
    </row>
    <row r="423" spans="1:4" x14ac:dyDescent="0.2">
      <c r="A423" t="s">
        <v>524</v>
      </c>
      <c r="B423" t="s">
        <v>49</v>
      </c>
      <c r="C423">
        <v>3</v>
      </c>
      <c r="D423" t="s">
        <v>11441</v>
      </c>
    </row>
    <row r="424" spans="1:4" x14ac:dyDescent="0.2">
      <c r="A424" t="s">
        <v>519</v>
      </c>
      <c r="B424" t="s">
        <v>49</v>
      </c>
      <c r="C424">
        <v>2</v>
      </c>
      <c r="D424" t="s">
        <v>11442</v>
      </c>
    </row>
    <row r="425" spans="1:4" x14ac:dyDescent="0.2">
      <c r="A425" t="s">
        <v>515</v>
      </c>
      <c r="B425" t="s">
        <v>49</v>
      </c>
      <c r="C425">
        <v>3</v>
      </c>
      <c r="D425" t="s">
        <v>11443</v>
      </c>
    </row>
    <row r="426" spans="1:4" x14ac:dyDescent="0.2">
      <c r="A426" t="s">
        <v>826</v>
      </c>
      <c r="B426" t="s">
        <v>49</v>
      </c>
      <c r="C426">
        <v>1</v>
      </c>
      <c r="D426" t="s">
        <v>89</v>
      </c>
    </row>
    <row r="427" spans="1:4" x14ac:dyDescent="0.2">
      <c r="A427" t="s">
        <v>576</v>
      </c>
      <c r="B427" t="s">
        <v>49</v>
      </c>
      <c r="C427">
        <v>1</v>
      </c>
      <c r="D427" t="s">
        <v>90</v>
      </c>
    </row>
    <row r="428" spans="1:4" x14ac:dyDescent="0.2">
      <c r="A428" t="s">
        <v>5008</v>
      </c>
      <c r="B428" t="s">
        <v>49</v>
      </c>
      <c r="C428">
        <v>3</v>
      </c>
      <c r="D428" t="s">
        <v>11444</v>
      </c>
    </row>
    <row r="429" spans="1:4" x14ac:dyDescent="0.2">
      <c r="A429" t="s">
        <v>5028</v>
      </c>
      <c r="B429" t="s">
        <v>49</v>
      </c>
      <c r="C429">
        <v>1</v>
      </c>
      <c r="D429" t="s">
        <v>89</v>
      </c>
    </row>
    <row r="430" spans="1:4" x14ac:dyDescent="0.2">
      <c r="A430" t="s">
        <v>5040</v>
      </c>
      <c r="B430" t="s">
        <v>49</v>
      </c>
      <c r="C430">
        <v>5</v>
      </c>
      <c r="D430" t="s">
        <v>11445</v>
      </c>
    </row>
    <row r="431" spans="1:4" x14ac:dyDescent="0.2">
      <c r="A431" t="s">
        <v>5042</v>
      </c>
      <c r="B431" t="s">
        <v>49</v>
      </c>
      <c r="C431">
        <v>3</v>
      </c>
      <c r="D431" t="s">
        <v>11446</v>
      </c>
    </row>
    <row r="432" spans="1:4" x14ac:dyDescent="0.2">
      <c r="A432" t="s">
        <v>5117</v>
      </c>
      <c r="B432" t="s">
        <v>49</v>
      </c>
      <c r="C432">
        <v>10</v>
      </c>
      <c r="D432" t="s">
        <v>11447</v>
      </c>
    </row>
    <row r="433" spans="1:4" x14ac:dyDescent="0.2">
      <c r="A433" t="s">
        <v>5119</v>
      </c>
      <c r="B433" t="s">
        <v>49</v>
      </c>
      <c r="C433">
        <v>6</v>
      </c>
      <c r="D433" t="s">
        <v>11448</v>
      </c>
    </row>
    <row r="434" spans="1:4" x14ac:dyDescent="0.2">
      <c r="A434" t="s">
        <v>5129</v>
      </c>
      <c r="B434" t="s">
        <v>49</v>
      </c>
      <c r="C434">
        <v>2</v>
      </c>
      <c r="D434" t="s">
        <v>11449</v>
      </c>
    </row>
    <row r="435" spans="1:4" x14ac:dyDescent="0.2">
      <c r="A435" t="s">
        <v>5131</v>
      </c>
      <c r="B435" t="s">
        <v>49</v>
      </c>
      <c r="C435">
        <v>10</v>
      </c>
      <c r="D435" t="s">
        <v>11450</v>
      </c>
    </row>
    <row r="436" spans="1:4" x14ac:dyDescent="0.2">
      <c r="A436" t="s">
        <v>5160</v>
      </c>
      <c r="B436" t="s">
        <v>49</v>
      </c>
      <c r="C436">
        <v>4</v>
      </c>
      <c r="D436" t="s">
        <v>11451</v>
      </c>
    </row>
    <row r="437" spans="1:4" x14ac:dyDescent="0.2">
      <c r="A437" t="s">
        <v>5176</v>
      </c>
      <c r="B437" t="s">
        <v>49</v>
      </c>
      <c r="C437">
        <v>1</v>
      </c>
      <c r="D437" t="s">
        <v>93</v>
      </c>
    </row>
    <row r="438" spans="1:4" x14ac:dyDescent="0.2">
      <c r="A438" t="s">
        <v>5178</v>
      </c>
      <c r="B438" t="s">
        <v>49</v>
      </c>
      <c r="C438">
        <v>1</v>
      </c>
      <c r="D438" t="s">
        <v>88</v>
      </c>
    </row>
    <row r="439" spans="1:4" x14ac:dyDescent="0.2">
      <c r="A439" t="s">
        <v>5181</v>
      </c>
      <c r="B439" t="s">
        <v>49</v>
      </c>
      <c r="C439">
        <v>10</v>
      </c>
      <c r="D439" t="s">
        <v>11452</v>
      </c>
    </row>
    <row r="440" spans="1:4" x14ac:dyDescent="0.2">
      <c r="A440" t="s">
        <v>5962</v>
      </c>
      <c r="B440" t="s">
        <v>49</v>
      </c>
      <c r="C440">
        <v>3</v>
      </c>
      <c r="D440" t="s">
        <v>11453</v>
      </c>
    </row>
    <row r="441" spans="1:4" x14ac:dyDescent="0.2">
      <c r="A441" t="s">
        <v>5981</v>
      </c>
      <c r="B441" t="s">
        <v>49</v>
      </c>
      <c r="C441">
        <v>3</v>
      </c>
      <c r="D441" t="s">
        <v>11454</v>
      </c>
    </row>
    <row r="442" spans="1:4" x14ac:dyDescent="0.2">
      <c r="A442" t="s">
        <v>5680</v>
      </c>
      <c r="B442" t="s">
        <v>49</v>
      </c>
      <c r="C442">
        <v>2</v>
      </c>
      <c r="D442" t="s">
        <v>11455</v>
      </c>
    </row>
    <row r="443" spans="1:4" x14ac:dyDescent="0.2">
      <c r="A443" t="s">
        <v>5909</v>
      </c>
      <c r="B443" t="s">
        <v>49</v>
      </c>
      <c r="C443">
        <v>4</v>
      </c>
      <c r="D443" t="s">
        <v>11456</v>
      </c>
    </row>
    <row r="444" spans="1:4" x14ac:dyDescent="0.2">
      <c r="A444" t="s">
        <v>5895</v>
      </c>
      <c r="B444" t="s">
        <v>49</v>
      </c>
      <c r="C444">
        <v>6</v>
      </c>
      <c r="D444" t="s">
        <v>11457</v>
      </c>
    </row>
    <row r="445" spans="1:4" x14ac:dyDescent="0.2">
      <c r="A445" t="s">
        <v>5849</v>
      </c>
      <c r="B445" t="s">
        <v>49</v>
      </c>
      <c r="C445">
        <v>4</v>
      </c>
      <c r="D445" t="s">
        <v>11458</v>
      </c>
    </row>
    <row r="446" spans="1:4" x14ac:dyDescent="0.2">
      <c r="A446" t="s">
        <v>5815</v>
      </c>
      <c r="B446" t="s">
        <v>49</v>
      </c>
      <c r="C446">
        <v>1</v>
      </c>
      <c r="D446" t="s">
        <v>96</v>
      </c>
    </row>
    <row r="447" spans="1:4" x14ac:dyDescent="0.2">
      <c r="A447" t="s">
        <v>5812</v>
      </c>
      <c r="B447" t="s">
        <v>49</v>
      </c>
      <c r="C447">
        <v>2</v>
      </c>
      <c r="D447" t="s">
        <v>11257</v>
      </c>
    </row>
    <row r="448" spans="1:4" x14ac:dyDescent="0.2">
      <c r="A448" t="s">
        <v>5779</v>
      </c>
      <c r="B448" t="s">
        <v>49</v>
      </c>
      <c r="C448">
        <v>2</v>
      </c>
      <c r="D448" t="s">
        <v>11459</v>
      </c>
    </row>
    <row r="449" spans="1:4" x14ac:dyDescent="0.2">
      <c r="A449" t="s">
        <v>5898</v>
      </c>
      <c r="B449" t="s">
        <v>49</v>
      </c>
      <c r="C449">
        <v>5</v>
      </c>
      <c r="D449" t="s">
        <v>11460</v>
      </c>
    </row>
    <row r="450" spans="1:4" x14ac:dyDescent="0.2">
      <c r="A450" t="s">
        <v>5890</v>
      </c>
      <c r="B450" t="s">
        <v>49</v>
      </c>
      <c r="C450">
        <v>1</v>
      </c>
      <c r="D450" t="s">
        <v>84</v>
      </c>
    </row>
    <row r="451" spans="1:4" x14ac:dyDescent="0.2">
      <c r="A451" t="s">
        <v>5795</v>
      </c>
      <c r="B451" t="s">
        <v>49</v>
      </c>
      <c r="C451">
        <v>1</v>
      </c>
      <c r="D451" t="s">
        <v>90</v>
      </c>
    </row>
    <row r="452" spans="1:4" x14ac:dyDescent="0.2">
      <c r="A452" t="s">
        <v>5965</v>
      </c>
      <c r="B452" t="s">
        <v>49</v>
      </c>
      <c r="C452">
        <v>4</v>
      </c>
      <c r="D452" t="s">
        <v>11461</v>
      </c>
    </row>
    <row r="453" spans="1:4" x14ac:dyDescent="0.2">
      <c r="A453" t="s">
        <v>5958</v>
      </c>
      <c r="B453" t="s">
        <v>49</v>
      </c>
      <c r="C453">
        <v>5</v>
      </c>
      <c r="D453" t="s">
        <v>11462</v>
      </c>
    </row>
    <row r="454" spans="1:4" x14ac:dyDescent="0.2">
      <c r="A454" t="s">
        <v>5839</v>
      </c>
      <c r="B454" t="s">
        <v>49</v>
      </c>
      <c r="C454">
        <v>4</v>
      </c>
      <c r="D454" t="s">
        <v>11463</v>
      </c>
    </row>
    <row r="455" spans="1:4" x14ac:dyDescent="0.2">
      <c r="A455" t="s">
        <v>5840</v>
      </c>
      <c r="B455" t="s">
        <v>49</v>
      </c>
      <c r="C455">
        <v>4</v>
      </c>
      <c r="D455" t="s">
        <v>11464</v>
      </c>
    </row>
    <row r="456" spans="1:4" x14ac:dyDescent="0.2">
      <c r="A456" t="s">
        <v>5772</v>
      </c>
      <c r="B456" t="s">
        <v>49</v>
      </c>
      <c r="C456">
        <v>5</v>
      </c>
      <c r="D456" t="s">
        <v>11465</v>
      </c>
    </row>
    <row r="457" spans="1:4" x14ac:dyDescent="0.2">
      <c r="A457" t="s">
        <v>5771</v>
      </c>
      <c r="B457" t="s">
        <v>49</v>
      </c>
      <c r="C457">
        <v>5</v>
      </c>
      <c r="D457" t="s">
        <v>11466</v>
      </c>
    </row>
    <row r="458" spans="1:4" x14ac:dyDescent="0.2">
      <c r="A458" t="s">
        <v>2351</v>
      </c>
      <c r="B458" t="s">
        <v>51</v>
      </c>
      <c r="C458">
        <v>1</v>
      </c>
      <c r="D458" t="s">
        <v>105</v>
      </c>
    </row>
    <row r="459" spans="1:4" x14ac:dyDescent="0.2">
      <c r="A459" t="s">
        <v>2352</v>
      </c>
      <c r="B459" t="s">
        <v>51</v>
      </c>
      <c r="C459">
        <v>1</v>
      </c>
      <c r="D459" t="s">
        <v>92</v>
      </c>
    </row>
    <row r="460" spans="1:4" x14ac:dyDescent="0.2">
      <c r="A460" t="s">
        <v>676</v>
      </c>
      <c r="B460" t="s">
        <v>51</v>
      </c>
      <c r="C460">
        <v>2</v>
      </c>
      <c r="D460" t="s">
        <v>11467</v>
      </c>
    </row>
    <row r="461" spans="1:4" x14ac:dyDescent="0.2">
      <c r="A461" t="s">
        <v>929</v>
      </c>
      <c r="B461" t="s">
        <v>51</v>
      </c>
      <c r="C461">
        <v>1</v>
      </c>
      <c r="D461" t="s">
        <v>105</v>
      </c>
    </row>
  </sheetData>
  <pageMargins left="0.7" right="0.7" top="0.75" bottom="0.75" header="0.3" footer="0.3"/>
  <pageSetup paperSize="9" orientation="portrait" horizontalDpi="1200" verticalDpi="1200" r:id="rId1"/>
  <headerFooter>
    <oddFooter>&amp;C&amp;1#&amp;"Calibri"&amp;12&amp;K000000Classification: Pandora Internal</oddFooter>
  </headerFooter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D1332F-C270-4CDE-8BD5-1F64C1F080B2}">
  <sheetPr codeName="Sheet13"/>
  <dimension ref="A1:D461"/>
  <sheetViews>
    <sheetView showGridLines="0" workbookViewId="0">
      <selection sqref="A1:D458"/>
    </sheetView>
  </sheetViews>
  <sheetFormatPr defaultRowHeight="14.25" x14ac:dyDescent="0.2"/>
  <cols>
    <col min="1" max="1" width="16.625" bestFit="1" customWidth="1"/>
    <col min="2" max="2" width="22.625" customWidth="1"/>
    <col min="3" max="3" width="19.625" customWidth="1"/>
    <col min="4" max="4" width="81.125" customWidth="1"/>
  </cols>
  <sheetData>
    <row r="1" spans="1:4" x14ac:dyDescent="0.2">
      <c r="A1" t="s">
        <v>28</v>
      </c>
      <c r="B1" t="s">
        <v>47</v>
      </c>
      <c r="C1" t="s">
        <v>187</v>
      </c>
      <c r="D1" t="s">
        <v>72</v>
      </c>
    </row>
    <row r="2" spans="1:4" x14ac:dyDescent="0.2">
      <c r="A2" t="s">
        <v>774</v>
      </c>
      <c r="B2" t="s">
        <v>773</v>
      </c>
      <c r="C2">
        <v>6</v>
      </c>
      <c r="D2" t="s">
        <v>11033</v>
      </c>
    </row>
    <row r="3" spans="1:4" x14ac:dyDescent="0.2">
      <c r="A3" t="s">
        <v>772</v>
      </c>
      <c r="B3" t="s">
        <v>773</v>
      </c>
      <c r="C3">
        <v>1</v>
      </c>
      <c r="D3" t="s">
        <v>92</v>
      </c>
    </row>
    <row r="4" spans="1:4" x14ac:dyDescent="0.2">
      <c r="A4" t="s">
        <v>671</v>
      </c>
      <c r="B4" t="s">
        <v>166</v>
      </c>
      <c r="C4">
        <v>5</v>
      </c>
      <c r="D4" t="s">
        <v>11170</v>
      </c>
    </row>
    <row r="5" spans="1:4" x14ac:dyDescent="0.2">
      <c r="A5" t="s">
        <v>347</v>
      </c>
      <c r="B5" t="s">
        <v>166</v>
      </c>
      <c r="C5">
        <v>7</v>
      </c>
      <c r="D5" t="s">
        <v>11171</v>
      </c>
    </row>
    <row r="6" spans="1:4" x14ac:dyDescent="0.2">
      <c r="A6" t="s">
        <v>355</v>
      </c>
      <c r="B6" t="s">
        <v>166</v>
      </c>
      <c r="C6">
        <v>9</v>
      </c>
      <c r="D6" t="s">
        <v>11172</v>
      </c>
    </row>
    <row r="7" spans="1:4" x14ac:dyDescent="0.2">
      <c r="A7" t="s">
        <v>2730</v>
      </c>
      <c r="B7" t="s">
        <v>166</v>
      </c>
      <c r="C7">
        <v>4</v>
      </c>
      <c r="D7" t="s">
        <v>11173</v>
      </c>
    </row>
    <row r="8" spans="1:4" x14ac:dyDescent="0.2">
      <c r="A8" t="s">
        <v>255</v>
      </c>
      <c r="B8" t="s">
        <v>166</v>
      </c>
      <c r="C8">
        <v>13</v>
      </c>
      <c r="D8" t="s">
        <v>11174</v>
      </c>
    </row>
    <row r="9" spans="1:4" x14ac:dyDescent="0.2">
      <c r="A9" t="s">
        <v>256</v>
      </c>
      <c r="B9" t="s">
        <v>166</v>
      </c>
      <c r="C9">
        <v>14</v>
      </c>
      <c r="D9" t="s">
        <v>11175</v>
      </c>
    </row>
    <row r="10" spans="1:4" x14ac:dyDescent="0.2">
      <c r="A10" t="s">
        <v>670</v>
      </c>
      <c r="B10" t="s">
        <v>166</v>
      </c>
      <c r="C10">
        <v>2</v>
      </c>
      <c r="D10" t="s">
        <v>5880</v>
      </c>
    </row>
    <row r="11" spans="1:4" x14ac:dyDescent="0.2">
      <c r="A11" t="s">
        <v>928</v>
      </c>
      <c r="B11" t="s">
        <v>166</v>
      </c>
      <c r="C11">
        <v>3</v>
      </c>
      <c r="D11" t="s">
        <v>11176</v>
      </c>
    </row>
    <row r="12" spans="1:4" x14ac:dyDescent="0.2">
      <c r="A12" t="s">
        <v>927</v>
      </c>
      <c r="B12" t="s">
        <v>166</v>
      </c>
      <c r="C12">
        <v>1</v>
      </c>
      <c r="D12" t="s">
        <v>104</v>
      </c>
    </row>
    <row r="13" spans="1:4" x14ac:dyDescent="0.2">
      <c r="A13" t="s">
        <v>410</v>
      </c>
      <c r="B13" t="s">
        <v>166</v>
      </c>
      <c r="C13">
        <v>15</v>
      </c>
      <c r="D13" t="s">
        <v>11177</v>
      </c>
    </row>
    <row r="14" spans="1:4" x14ac:dyDescent="0.2">
      <c r="A14" t="s">
        <v>411</v>
      </c>
      <c r="B14" t="s">
        <v>166</v>
      </c>
      <c r="C14">
        <v>7</v>
      </c>
      <c r="D14" t="s">
        <v>11178</v>
      </c>
    </row>
    <row r="15" spans="1:4" x14ac:dyDescent="0.2">
      <c r="A15" t="s">
        <v>259</v>
      </c>
      <c r="B15" t="s">
        <v>166</v>
      </c>
      <c r="C15">
        <v>4</v>
      </c>
      <c r="D15" t="s">
        <v>11179</v>
      </c>
    </row>
    <row r="16" spans="1:4" x14ac:dyDescent="0.2">
      <c r="A16" t="s">
        <v>674</v>
      </c>
      <c r="B16" t="s">
        <v>166</v>
      </c>
      <c r="C16">
        <v>2</v>
      </c>
      <c r="D16" t="s">
        <v>11180</v>
      </c>
    </row>
    <row r="17" spans="1:4" x14ac:dyDescent="0.2">
      <c r="A17" t="s">
        <v>672</v>
      </c>
      <c r="B17" t="s">
        <v>166</v>
      </c>
      <c r="C17">
        <v>2</v>
      </c>
      <c r="D17" t="s">
        <v>11181</v>
      </c>
    </row>
    <row r="18" spans="1:4" x14ac:dyDescent="0.2">
      <c r="A18" t="s">
        <v>5990</v>
      </c>
      <c r="B18" t="s">
        <v>166</v>
      </c>
      <c r="C18">
        <v>1</v>
      </c>
      <c r="D18" t="s">
        <v>104</v>
      </c>
    </row>
    <row r="19" spans="1:4" x14ac:dyDescent="0.2">
      <c r="A19" t="s">
        <v>5615</v>
      </c>
      <c r="B19" t="s">
        <v>49</v>
      </c>
      <c r="C19">
        <v>19</v>
      </c>
      <c r="D19" t="s">
        <v>11182</v>
      </c>
    </row>
    <row r="20" spans="1:4" x14ac:dyDescent="0.2">
      <c r="A20" t="s">
        <v>416</v>
      </c>
      <c r="B20" t="s">
        <v>50</v>
      </c>
      <c r="C20">
        <v>3</v>
      </c>
      <c r="D20" t="s">
        <v>11183</v>
      </c>
    </row>
    <row r="21" spans="1:4" x14ac:dyDescent="0.2">
      <c r="A21" t="s">
        <v>300</v>
      </c>
      <c r="B21" t="s">
        <v>50</v>
      </c>
      <c r="C21">
        <v>8</v>
      </c>
      <c r="D21" t="s">
        <v>11184</v>
      </c>
    </row>
    <row r="22" spans="1:4" x14ac:dyDescent="0.2">
      <c r="A22" t="s">
        <v>1729</v>
      </c>
      <c r="B22" t="s">
        <v>50</v>
      </c>
      <c r="C22">
        <v>7</v>
      </c>
      <c r="D22" t="s">
        <v>11185</v>
      </c>
    </row>
    <row r="23" spans="1:4" x14ac:dyDescent="0.2">
      <c r="A23" t="s">
        <v>2622</v>
      </c>
      <c r="B23" t="s">
        <v>50</v>
      </c>
      <c r="C23">
        <v>7</v>
      </c>
      <c r="D23" t="s">
        <v>11186</v>
      </c>
    </row>
    <row r="24" spans="1:4" x14ac:dyDescent="0.2">
      <c r="A24" t="s">
        <v>2836</v>
      </c>
      <c r="B24" t="s">
        <v>50</v>
      </c>
      <c r="C24">
        <v>2</v>
      </c>
      <c r="D24" t="s">
        <v>5881</v>
      </c>
    </row>
    <row r="25" spans="1:4" x14ac:dyDescent="0.2">
      <c r="A25" t="s">
        <v>770</v>
      </c>
      <c r="B25" t="s">
        <v>50</v>
      </c>
      <c r="C25">
        <v>2</v>
      </c>
      <c r="D25" t="s">
        <v>5942</v>
      </c>
    </row>
    <row r="26" spans="1:4" x14ac:dyDescent="0.2">
      <c r="A26" t="s">
        <v>757</v>
      </c>
      <c r="B26" t="s">
        <v>50</v>
      </c>
      <c r="C26">
        <v>1</v>
      </c>
      <c r="D26" t="s">
        <v>89</v>
      </c>
    </row>
    <row r="27" spans="1:4" x14ac:dyDescent="0.2">
      <c r="A27" t="s">
        <v>294</v>
      </c>
      <c r="B27" t="s">
        <v>50</v>
      </c>
      <c r="C27">
        <v>2</v>
      </c>
      <c r="D27" t="s">
        <v>11187</v>
      </c>
    </row>
    <row r="28" spans="1:4" x14ac:dyDescent="0.2">
      <c r="A28" t="s">
        <v>368</v>
      </c>
      <c r="B28" t="s">
        <v>50</v>
      </c>
      <c r="C28">
        <v>2</v>
      </c>
      <c r="D28" t="s">
        <v>11188</v>
      </c>
    </row>
    <row r="29" spans="1:4" x14ac:dyDescent="0.2">
      <c r="A29" t="s">
        <v>3948</v>
      </c>
      <c r="B29" t="s">
        <v>50</v>
      </c>
      <c r="C29">
        <v>4</v>
      </c>
      <c r="D29" t="s">
        <v>11189</v>
      </c>
    </row>
    <row r="30" spans="1:4" x14ac:dyDescent="0.2">
      <c r="A30" t="s">
        <v>1479</v>
      </c>
      <c r="B30" t="s">
        <v>50</v>
      </c>
      <c r="C30">
        <v>3</v>
      </c>
      <c r="D30" t="s">
        <v>11190</v>
      </c>
    </row>
    <row r="31" spans="1:4" x14ac:dyDescent="0.2">
      <c r="A31" t="s">
        <v>1480</v>
      </c>
      <c r="B31" t="s">
        <v>50</v>
      </c>
      <c r="C31">
        <v>2</v>
      </c>
      <c r="D31" t="s">
        <v>11191</v>
      </c>
    </row>
    <row r="32" spans="1:4" x14ac:dyDescent="0.2">
      <c r="A32" t="s">
        <v>5807</v>
      </c>
      <c r="B32" t="s">
        <v>50</v>
      </c>
      <c r="C32">
        <v>3</v>
      </c>
      <c r="D32" t="s">
        <v>11192</v>
      </c>
    </row>
    <row r="33" spans="1:4" x14ac:dyDescent="0.2">
      <c r="A33" t="s">
        <v>5743</v>
      </c>
      <c r="B33" t="s">
        <v>50</v>
      </c>
      <c r="C33">
        <v>5</v>
      </c>
      <c r="D33" t="s">
        <v>11193</v>
      </c>
    </row>
    <row r="34" spans="1:4" x14ac:dyDescent="0.2">
      <c r="A34" t="s">
        <v>1021</v>
      </c>
      <c r="B34" t="s">
        <v>50</v>
      </c>
      <c r="C34">
        <v>4</v>
      </c>
      <c r="D34" t="s">
        <v>11194</v>
      </c>
    </row>
    <row r="35" spans="1:4" x14ac:dyDescent="0.2">
      <c r="A35" t="s">
        <v>292</v>
      </c>
      <c r="B35" t="s">
        <v>50</v>
      </c>
      <c r="C35">
        <v>1</v>
      </c>
      <c r="D35" t="s">
        <v>87</v>
      </c>
    </row>
    <row r="36" spans="1:4" x14ac:dyDescent="0.2">
      <c r="A36" t="s">
        <v>4524</v>
      </c>
      <c r="B36" t="s">
        <v>50</v>
      </c>
      <c r="C36">
        <v>1</v>
      </c>
      <c r="D36" t="s">
        <v>94</v>
      </c>
    </row>
    <row r="37" spans="1:4" x14ac:dyDescent="0.2">
      <c r="A37" t="s">
        <v>969</v>
      </c>
      <c r="B37" t="s">
        <v>50</v>
      </c>
      <c r="C37">
        <v>4</v>
      </c>
      <c r="D37" t="s">
        <v>11195</v>
      </c>
    </row>
    <row r="38" spans="1:4" x14ac:dyDescent="0.2">
      <c r="A38" t="s">
        <v>4515</v>
      </c>
      <c r="B38" t="s">
        <v>50</v>
      </c>
      <c r="C38">
        <v>2</v>
      </c>
      <c r="D38" t="s">
        <v>11196</v>
      </c>
    </row>
    <row r="39" spans="1:4" x14ac:dyDescent="0.2">
      <c r="A39" t="s">
        <v>4517</v>
      </c>
      <c r="B39" t="s">
        <v>50</v>
      </c>
      <c r="C39">
        <v>1</v>
      </c>
      <c r="D39" t="s">
        <v>87</v>
      </c>
    </row>
    <row r="40" spans="1:4" x14ac:dyDescent="0.2">
      <c r="A40" t="s">
        <v>498</v>
      </c>
      <c r="B40" t="s">
        <v>50</v>
      </c>
      <c r="C40">
        <v>3</v>
      </c>
      <c r="D40" t="s">
        <v>11197</v>
      </c>
    </row>
    <row r="41" spans="1:4" x14ac:dyDescent="0.2">
      <c r="A41" t="s">
        <v>271</v>
      </c>
      <c r="B41" t="s">
        <v>50</v>
      </c>
      <c r="C41">
        <v>2</v>
      </c>
      <c r="D41" t="s">
        <v>11198</v>
      </c>
    </row>
    <row r="42" spans="1:4" x14ac:dyDescent="0.2">
      <c r="A42" t="s">
        <v>771</v>
      </c>
      <c r="B42" t="s">
        <v>50</v>
      </c>
      <c r="C42">
        <v>2</v>
      </c>
      <c r="D42" t="s">
        <v>11191</v>
      </c>
    </row>
    <row r="43" spans="1:4" x14ac:dyDescent="0.2">
      <c r="A43" t="s">
        <v>937</v>
      </c>
      <c r="B43" t="s">
        <v>50</v>
      </c>
      <c r="C43">
        <v>3</v>
      </c>
      <c r="D43" t="s">
        <v>11199</v>
      </c>
    </row>
    <row r="44" spans="1:4" x14ac:dyDescent="0.2">
      <c r="A44" t="s">
        <v>1024</v>
      </c>
      <c r="B44" t="s">
        <v>50</v>
      </c>
      <c r="C44">
        <v>5</v>
      </c>
      <c r="D44" t="s">
        <v>11200</v>
      </c>
    </row>
    <row r="45" spans="1:4" x14ac:dyDescent="0.2">
      <c r="A45" t="s">
        <v>762</v>
      </c>
      <c r="B45" t="s">
        <v>50</v>
      </c>
      <c r="C45">
        <v>2</v>
      </c>
      <c r="D45" t="s">
        <v>11201</v>
      </c>
    </row>
    <row r="46" spans="1:4" x14ac:dyDescent="0.2">
      <c r="A46" t="s">
        <v>382</v>
      </c>
      <c r="B46" t="s">
        <v>50</v>
      </c>
      <c r="C46">
        <v>2</v>
      </c>
      <c r="D46" t="s">
        <v>11202</v>
      </c>
    </row>
    <row r="47" spans="1:4" x14ac:dyDescent="0.2">
      <c r="A47" t="s">
        <v>320</v>
      </c>
      <c r="B47" t="s">
        <v>50</v>
      </c>
      <c r="C47">
        <v>5</v>
      </c>
      <c r="D47" t="s">
        <v>11203</v>
      </c>
    </row>
    <row r="48" spans="1:4" x14ac:dyDescent="0.2">
      <c r="A48" t="s">
        <v>933</v>
      </c>
      <c r="B48" t="s">
        <v>50</v>
      </c>
      <c r="C48">
        <v>8</v>
      </c>
      <c r="D48" t="s">
        <v>11204</v>
      </c>
    </row>
    <row r="49" spans="1:4" x14ac:dyDescent="0.2">
      <c r="A49" t="s">
        <v>1493</v>
      </c>
      <c r="B49" t="s">
        <v>50</v>
      </c>
      <c r="C49">
        <v>8</v>
      </c>
      <c r="D49" t="s">
        <v>11205</v>
      </c>
    </row>
    <row r="50" spans="1:4" x14ac:dyDescent="0.2">
      <c r="A50" t="s">
        <v>4701</v>
      </c>
      <c r="B50" t="s">
        <v>50</v>
      </c>
      <c r="C50">
        <v>3</v>
      </c>
      <c r="D50" t="s">
        <v>11206</v>
      </c>
    </row>
    <row r="51" spans="1:4" x14ac:dyDescent="0.2">
      <c r="A51" t="s">
        <v>5138</v>
      </c>
      <c r="B51" t="s">
        <v>50</v>
      </c>
      <c r="C51">
        <v>3</v>
      </c>
      <c r="D51" t="s">
        <v>11207</v>
      </c>
    </row>
    <row r="52" spans="1:4" x14ac:dyDescent="0.2">
      <c r="A52" t="s">
        <v>680</v>
      </c>
      <c r="B52" t="s">
        <v>50</v>
      </c>
      <c r="C52">
        <v>4</v>
      </c>
      <c r="D52" t="s">
        <v>11208</v>
      </c>
    </row>
    <row r="53" spans="1:4" x14ac:dyDescent="0.2">
      <c r="A53" t="s">
        <v>976</v>
      </c>
      <c r="B53" t="s">
        <v>50</v>
      </c>
      <c r="C53">
        <v>2</v>
      </c>
      <c r="D53" t="s">
        <v>11209</v>
      </c>
    </row>
    <row r="54" spans="1:4" x14ac:dyDescent="0.2">
      <c r="A54" t="s">
        <v>3814</v>
      </c>
      <c r="B54" t="s">
        <v>50</v>
      </c>
      <c r="C54">
        <v>6</v>
      </c>
      <c r="D54" t="s">
        <v>11210</v>
      </c>
    </row>
    <row r="55" spans="1:4" x14ac:dyDescent="0.2">
      <c r="A55" t="s">
        <v>5837</v>
      </c>
      <c r="B55" t="s">
        <v>50</v>
      </c>
      <c r="C55">
        <v>4</v>
      </c>
      <c r="D55" t="s">
        <v>11211</v>
      </c>
    </row>
    <row r="56" spans="1:4" x14ac:dyDescent="0.2">
      <c r="A56" t="s">
        <v>350</v>
      </c>
      <c r="B56" t="s">
        <v>50</v>
      </c>
      <c r="C56">
        <v>3</v>
      </c>
      <c r="D56" t="s">
        <v>11212</v>
      </c>
    </row>
    <row r="57" spans="1:4" x14ac:dyDescent="0.2">
      <c r="A57" t="s">
        <v>2615</v>
      </c>
      <c r="B57" t="s">
        <v>50</v>
      </c>
      <c r="C57">
        <v>6</v>
      </c>
      <c r="D57" t="s">
        <v>11213</v>
      </c>
    </row>
    <row r="58" spans="1:4" x14ac:dyDescent="0.2">
      <c r="A58" t="s">
        <v>4419</v>
      </c>
      <c r="B58" t="s">
        <v>50</v>
      </c>
      <c r="C58">
        <v>3</v>
      </c>
      <c r="D58" t="s">
        <v>11214</v>
      </c>
    </row>
    <row r="59" spans="1:4" x14ac:dyDescent="0.2">
      <c r="A59" t="s">
        <v>979</v>
      </c>
      <c r="B59" t="s">
        <v>50</v>
      </c>
      <c r="C59">
        <v>2</v>
      </c>
      <c r="D59" t="s">
        <v>11215</v>
      </c>
    </row>
    <row r="60" spans="1:4" x14ac:dyDescent="0.2">
      <c r="A60" t="s">
        <v>3504</v>
      </c>
      <c r="B60" t="s">
        <v>50</v>
      </c>
      <c r="C60">
        <v>10</v>
      </c>
      <c r="D60" t="s">
        <v>11216</v>
      </c>
    </row>
    <row r="61" spans="1:4" x14ac:dyDescent="0.2">
      <c r="A61" t="s">
        <v>3879</v>
      </c>
      <c r="B61" t="s">
        <v>50</v>
      </c>
      <c r="C61">
        <v>7</v>
      </c>
      <c r="D61" t="s">
        <v>11217</v>
      </c>
    </row>
    <row r="62" spans="1:4" x14ac:dyDescent="0.2">
      <c r="A62" t="s">
        <v>465</v>
      </c>
      <c r="B62" t="s">
        <v>50</v>
      </c>
      <c r="C62">
        <v>2</v>
      </c>
      <c r="D62" t="s">
        <v>11218</v>
      </c>
    </row>
    <row r="63" spans="1:4" x14ac:dyDescent="0.2">
      <c r="A63" t="s">
        <v>685</v>
      </c>
      <c r="B63" t="s">
        <v>50</v>
      </c>
      <c r="C63">
        <v>2</v>
      </c>
      <c r="D63" t="s">
        <v>11219</v>
      </c>
    </row>
    <row r="64" spans="1:4" x14ac:dyDescent="0.2">
      <c r="A64" t="s">
        <v>4523</v>
      </c>
      <c r="B64" t="s">
        <v>50</v>
      </c>
      <c r="C64">
        <v>1</v>
      </c>
      <c r="D64" t="s">
        <v>91</v>
      </c>
    </row>
    <row r="65" spans="1:4" x14ac:dyDescent="0.2">
      <c r="A65" t="s">
        <v>704</v>
      </c>
      <c r="B65" t="s">
        <v>50</v>
      </c>
      <c r="C65">
        <v>2</v>
      </c>
      <c r="D65" t="s">
        <v>11220</v>
      </c>
    </row>
    <row r="66" spans="1:4" x14ac:dyDescent="0.2">
      <c r="A66" t="s">
        <v>942</v>
      </c>
      <c r="B66" t="s">
        <v>50</v>
      </c>
      <c r="C66">
        <v>3</v>
      </c>
      <c r="D66" t="s">
        <v>11221</v>
      </c>
    </row>
    <row r="67" spans="1:4" x14ac:dyDescent="0.2">
      <c r="A67" t="s">
        <v>967</v>
      </c>
      <c r="B67" t="s">
        <v>50</v>
      </c>
      <c r="C67">
        <v>3</v>
      </c>
      <c r="D67" t="s">
        <v>11222</v>
      </c>
    </row>
    <row r="68" spans="1:4" x14ac:dyDescent="0.2">
      <c r="A68" t="s">
        <v>6023</v>
      </c>
      <c r="B68" t="s">
        <v>50</v>
      </c>
      <c r="C68">
        <v>2</v>
      </c>
      <c r="D68" t="s">
        <v>11223</v>
      </c>
    </row>
    <row r="69" spans="1:4" x14ac:dyDescent="0.2">
      <c r="A69" t="s">
        <v>390</v>
      </c>
      <c r="B69" t="s">
        <v>50</v>
      </c>
      <c r="C69">
        <v>1</v>
      </c>
      <c r="D69" t="s">
        <v>91</v>
      </c>
    </row>
    <row r="70" spans="1:4" x14ac:dyDescent="0.2">
      <c r="A70" t="s">
        <v>732</v>
      </c>
      <c r="B70" t="s">
        <v>50</v>
      </c>
      <c r="C70">
        <v>9</v>
      </c>
      <c r="D70" t="s">
        <v>11224</v>
      </c>
    </row>
    <row r="71" spans="1:4" x14ac:dyDescent="0.2">
      <c r="A71" t="s">
        <v>1495</v>
      </c>
      <c r="B71" t="s">
        <v>50</v>
      </c>
      <c r="C71">
        <v>2</v>
      </c>
      <c r="D71" t="s">
        <v>11225</v>
      </c>
    </row>
    <row r="72" spans="1:4" x14ac:dyDescent="0.2">
      <c r="A72" t="s">
        <v>373</v>
      </c>
      <c r="B72" t="s">
        <v>50</v>
      </c>
      <c r="C72">
        <v>3</v>
      </c>
      <c r="D72" t="s">
        <v>11226</v>
      </c>
    </row>
    <row r="73" spans="1:4" x14ac:dyDescent="0.2">
      <c r="A73" t="s">
        <v>5920</v>
      </c>
      <c r="B73" t="s">
        <v>50</v>
      </c>
      <c r="C73">
        <v>2</v>
      </c>
      <c r="D73" t="s">
        <v>11191</v>
      </c>
    </row>
    <row r="74" spans="1:4" x14ac:dyDescent="0.2">
      <c r="A74" t="s">
        <v>686</v>
      </c>
      <c r="B74" t="s">
        <v>50</v>
      </c>
      <c r="C74">
        <v>2</v>
      </c>
      <c r="D74" t="s">
        <v>11227</v>
      </c>
    </row>
    <row r="75" spans="1:4" x14ac:dyDescent="0.2">
      <c r="A75" t="s">
        <v>688</v>
      </c>
      <c r="B75" t="s">
        <v>50</v>
      </c>
      <c r="C75">
        <v>3</v>
      </c>
      <c r="D75" t="s">
        <v>11228</v>
      </c>
    </row>
    <row r="76" spans="1:4" x14ac:dyDescent="0.2">
      <c r="A76" t="s">
        <v>5209</v>
      </c>
      <c r="B76" t="s">
        <v>50</v>
      </c>
      <c r="C76">
        <v>1</v>
      </c>
      <c r="D76" t="s">
        <v>91</v>
      </c>
    </row>
    <row r="77" spans="1:4" x14ac:dyDescent="0.2">
      <c r="A77" t="s">
        <v>2816</v>
      </c>
      <c r="B77" t="s">
        <v>50</v>
      </c>
      <c r="C77">
        <v>1</v>
      </c>
      <c r="D77" t="s">
        <v>105</v>
      </c>
    </row>
    <row r="78" spans="1:4" x14ac:dyDescent="0.2">
      <c r="A78" t="s">
        <v>713</v>
      </c>
      <c r="B78" t="s">
        <v>50</v>
      </c>
      <c r="C78">
        <v>2</v>
      </c>
      <c r="D78" t="s">
        <v>11229</v>
      </c>
    </row>
    <row r="79" spans="1:4" x14ac:dyDescent="0.2">
      <c r="A79" t="s">
        <v>767</v>
      </c>
      <c r="B79" t="s">
        <v>50</v>
      </c>
      <c r="C79">
        <v>1</v>
      </c>
      <c r="D79" t="s">
        <v>91</v>
      </c>
    </row>
    <row r="80" spans="1:4" x14ac:dyDescent="0.2">
      <c r="A80" t="s">
        <v>439</v>
      </c>
      <c r="B80" t="s">
        <v>50</v>
      </c>
      <c r="C80">
        <v>3</v>
      </c>
      <c r="D80" t="s">
        <v>11230</v>
      </c>
    </row>
    <row r="81" spans="1:4" x14ac:dyDescent="0.2">
      <c r="A81" t="s">
        <v>714</v>
      </c>
      <c r="B81" t="s">
        <v>50</v>
      </c>
      <c r="C81">
        <v>9</v>
      </c>
      <c r="D81" t="s">
        <v>11231</v>
      </c>
    </row>
    <row r="82" spans="1:4" x14ac:dyDescent="0.2">
      <c r="A82" t="s">
        <v>1023</v>
      </c>
      <c r="B82" t="s">
        <v>50</v>
      </c>
      <c r="C82">
        <v>9</v>
      </c>
      <c r="D82" t="s">
        <v>11232</v>
      </c>
    </row>
    <row r="83" spans="1:4" x14ac:dyDescent="0.2">
      <c r="A83" t="s">
        <v>707</v>
      </c>
      <c r="B83" t="s">
        <v>50</v>
      </c>
      <c r="C83">
        <v>9</v>
      </c>
      <c r="D83" t="s">
        <v>11233</v>
      </c>
    </row>
    <row r="84" spans="1:4" x14ac:dyDescent="0.2">
      <c r="A84" t="s">
        <v>693</v>
      </c>
      <c r="B84" t="s">
        <v>50</v>
      </c>
      <c r="C84">
        <v>8</v>
      </c>
      <c r="D84" t="s">
        <v>11234</v>
      </c>
    </row>
    <row r="85" spans="1:4" x14ac:dyDescent="0.2">
      <c r="A85" t="s">
        <v>970</v>
      </c>
      <c r="B85" t="s">
        <v>50</v>
      </c>
      <c r="C85">
        <v>8</v>
      </c>
      <c r="D85" t="s">
        <v>11235</v>
      </c>
    </row>
    <row r="86" spans="1:4" x14ac:dyDescent="0.2">
      <c r="A86" t="s">
        <v>694</v>
      </c>
      <c r="B86" t="s">
        <v>50</v>
      </c>
      <c r="C86">
        <v>8</v>
      </c>
      <c r="D86" t="s">
        <v>11236</v>
      </c>
    </row>
    <row r="87" spans="1:4" x14ac:dyDescent="0.2">
      <c r="A87" t="s">
        <v>754</v>
      </c>
      <c r="B87" t="s">
        <v>50</v>
      </c>
      <c r="C87">
        <v>2</v>
      </c>
      <c r="D87" t="s">
        <v>11237</v>
      </c>
    </row>
    <row r="88" spans="1:4" x14ac:dyDescent="0.2">
      <c r="A88" t="s">
        <v>735</v>
      </c>
      <c r="B88" t="s">
        <v>50</v>
      </c>
      <c r="C88">
        <v>1</v>
      </c>
      <c r="D88" t="s">
        <v>100</v>
      </c>
    </row>
    <row r="89" spans="1:4" x14ac:dyDescent="0.2">
      <c r="A89" t="s">
        <v>2283</v>
      </c>
      <c r="B89" t="s">
        <v>50</v>
      </c>
      <c r="C89">
        <v>2</v>
      </c>
      <c r="D89" t="s">
        <v>11238</v>
      </c>
    </row>
    <row r="90" spans="1:4" x14ac:dyDescent="0.2">
      <c r="A90" t="s">
        <v>947</v>
      </c>
      <c r="B90" t="s">
        <v>50</v>
      </c>
      <c r="C90">
        <v>1</v>
      </c>
      <c r="D90" t="s">
        <v>89</v>
      </c>
    </row>
    <row r="91" spans="1:4" x14ac:dyDescent="0.2">
      <c r="A91" t="s">
        <v>959</v>
      </c>
      <c r="B91" t="s">
        <v>50</v>
      </c>
      <c r="C91">
        <v>2</v>
      </c>
      <c r="D91" t="s">
        <v>11239</v>
      </c>
    </row>
    <row r="92" spans="1:4" x14ac:dyDescent="0.2">
      <c r="A92" t="s">
        <v>725</v>
      </c>
      <c r="B92" t="s">
        <v>50</v>
      </c>
      <c r="C92">
        <v>1</v>
      </c>
      <c r="D92" t="s">
        <v>97</v>
      </c>
    </row>
    <row r="93" spans="1:4" x14ac:dyDescent="0.2">
      <c r="A93" t="s">
        <v>5828</v>
      </c>
      <c r="B93" t="s">
        <v>50</v>
      </c>
      <c r="C93">
        <v>9</v>
      </c>
      <c r="D93" t="s">
        <v>11240</v>
      </c>
    </row>
    <row r="94" spans="1:4" x14ac:dyDescent="0.2">
      <c r="A94" t="s">
        <v>5830</v>
      </c>
      <c r="B94" t="s">
        <v>50</v>
      </c>
      <c r="C94">
        <v>7</v>
      </c>
      <c r="D94" t="s">
        <v>11241</v>
      </c>
    </row>
    <row r="95" spans="1:4" x14ac:dyDescent="0.2">
      <c r="A95" t="s">
        <v>775</v>
      </c>
      <c r="B95" t="s">
        <v>5654</v>
      </c>
      <c r="C95">
        <v>1</v>
      </c>
      <c r="D95" t="s">
        <v>98</v>
      </c>
    </row>
    <row r="96" spans="1:4" x14ac:dyDescent="0.2">
      <c r="A96" t="s">
        <v>3966</v>
      </c>
      <c r="B96" t="s">
        <v>5654</v>
      </c>
      <c r="C96">
        <v>2</v>
      </c>
      <c r="D96" t="s">
        <v>11242</v>
      </c>
    </row>
    <row r="97" spans="1:4" x14ac:dyDescent="0.2">
      <c r="A97" t="s">
        <v>437</v>
      </c>
      <c r="B97" t="s">
        <v>50</v>
      </c>
      <c r="C97">
        <v>2</v>
      </c>
      <c r="D97" t="s">
        <v>11188</v>
      </c>
    </row>
    <row r="98" spans="1:4" x14ac:dyDescent="0.2">
      <c r="A98" t="s">
        <v>313</v>
      </c>
      <c r="B98" t="s">
        <v>50</v>
      </c>
      <c r="C98">
        <v>2</v>
      </c>
      <c r="D98" t="s">
        <v>5944</v>
      </c>
    </row>
    <row r="99" spans="1:4" x14ac:dyDescent="0.2">
      <c r="A99" t="s">
        <v>508</v>
      </c>
      <c r="B99" t="s">
        <v>50</v>
      </c>
      <c r="C99">
        <v>3</v>
      </c>
      <c r="D99" t="s">
        <v>11243</v>
      </c>
    </row>
    <row r="100" spans="1:4" x14ac:dyDescent="0.2">
      <c r="A100" t="s">
        <v>954</v>
      </c>
      <c r="B100" t="s">
        <v>50</v>
      </c>
      <c r="C100">
        <v>1</v>
      </c>
      <c r="D100" t="s">
        <v>96</v>
      </c>
    </row>
    <row r="101" spans="1:4" x14ac:dyDescent="0.2">
      <c r="A101" t="s">
        <v>3627</v>
      </c>
      <c r="B101" t="s">
        <v>50</v>
      </c>
      <c r="C101">
        <v>3</v>
      </c>
      <c r="D101" t="s">
        <v>11244</v>
      </c>
    </row>
    <row r="102" spans="1:4" x14ac:dyDescent="0.2">
      <c r="A102" t="s">
        <v>379</v>
      </c>
      <c r="B102" t="s">
        <v>50</v>
      </c>
      <c r="C102">
        <v>1</v>
      </c>
      <c r="D102" t="s">
        <v>84</v>
      </c>
    </row>
    <row r="103" spans="1:4" x14ac:dyDescent="0.2">
      <c r="A103" t="s">
        <v>4667</v>
      </c>
      <c r="B103" t="s">
        <v>50</v>
      </c>
      <c r="C103">
        <v>1</v>
      </c>
      <c r="D103" t="s">
        <v>96</v>
      </c>
    </row>
    <row r="104" spans="1:4" x14ac:dyDescent="0.2">
      <c r="A104" t="s">
        <v>4998</v>
      </c>
      <c r="B104" t="s">
        <v>50</v>
      </c>
      <c r="C104">
        <v>1</v>
      </c>
      <c r="D104" t="s">
        <v>104</v>
      </c>
    </row>
    <row r="105" spans="1:4" x14ac:dyDescent="0.2">
      <c r="A105" t="s">
        <v>4381</v>
      </c>
      <c r="B105" t="s">
        <v>50</v>
      </c>
      <c r="C105">
        <v>4</v>
      </c>
      <c r="D105" t="s">
        <v>11245</v>
      </c>
    </row>
    <row r="106" spans="1:4" x14ac:dyDescent="0.2">
      <c r="A106" t="s">
        <v>5166</v>
      </c>
      <c r="B106" t="s">
        <v>50</v>
      </c>
      <c r="C106">
        <v>1</v>
      </c>
      <c r="D106" t="s">
        <v>99</v>
      </c>
    </row>
    <row r="107" spans="1:4" x14ac:dyDescent="0.2">
      <c r="A107" t="s">
        <v>270</v>
      </c>
      <c r="B107" t="s">
        <v>50</v>
      </c>
      <c r="C107">
        <v>1</v>
      </c>
      <c r="D107" t="s">
        <v>100</v>
      </c>
    </row>
    <row r="108" spans="1:4" x14ac:dyDescent="0.2">
      <c r="A108" t="s">
        <v>240</v>
      </c>
      <c r="B108" t="s">
        <v>50</v>
      </c>
      <c r="C108">
        <v>3</v>
      </c>
      <c r="D108" t="s">
        <v>11246</v>
      </c>
    </row>
    <row r="109" spans="1:4" x14ac:dyDescent="0.2">
      <c r="A109" t="s">
        <v>1003</v>
      </c>
      <c r="B109" t="s">
        <v>50</v>
      </c>
      <c r="C109">
        <v>2</v>
      </c>
      <c r="D109" t="s">
        <v>5943</v>
      </c>
    </row>
    <row r="110" spans="1:4" x14ac:dyDescent="0.2">
      <c r="A110" t="s">
        <v>5010</v>
      </c>
      <c r="B110" t="s">
        <v>50</v>
      </c>
      <c r="C110">
        <v>1</v>
      </c>
      <c r="D110" t="s">
        <v>97</v>
      </c>
    </row>
    <row r="111" spans="1:4" x14ac:dyDescent="0.2">
      <c r="A111" t="s">
        <v>5834</v>
      </c>
      <c r="B111" t="s">
        <v>50</v>
      </c>
      <c r="C111">
        <v>3</v>
      </c>
      <c r="D111" t="s">
        <v>11247</v>
      </c>
    </row>
    <row r="112" spans="1:4" x14ac:dyDescent="0.2">
      <c r="A112" t="s">
        <v>1001</v>
      </c>
      <c r="B112" t="s">
        <v>50</v>
      </c>
      <c r="C112">
        <v>1</v>
      </c>
      <c r="D112" t="s">
        <v>100</v>
      </c>
    </row>
    <row r="113" spans="1:4" x14ac:dyDescent="0.2">
      <c r="A113" t="s">
        <v>2500</v>
      </c>
      <c r="B113" t="s">
        <v>50</v>
      </c>
      <c r="C113">
        <v>1</v>
      </c>
      <c r="D113" t="s">
        <v>87</v>
      </c>
    </row>
    <row r="114" spans="1:4" x14ac:dyDescent="0.2">
      <c r="A114" t="s">
        <v>695</v>
      </c>
      <c r="B114" t="s">
        <v>50</v>
      </c>
      <c r="C114">
        <v>1</v>
      </c>
      <c r="D114" t="s">
        <v>93</v>
      </c>
    </row>
    <row r="115" spans="1:4" x14ac:dyDescent="0.2">
      <c r="A115" t="s">
        <v>4443</v>
      </c>
      <c r="B115" t="s">
        <v>50</v>
      </c>
      <c r="C115">
        <v>1</v>
      </c>
      <c r="D115" t="s">
        <v>105</v>
      </c>
    </row>
    <row r="116" spans="1:4" x14ac:dyDescent="0.2">
      <c r="A116" t="s">
        <v>5923</v>
      </c>
      <c r="B116" t="s">
        <v>50</v>
      </c>
      <c r="C116">
        <v>1</v>
      </c>
      <c r="D116" t="s">
        <v>100</v>
      </c>
    </row>
    <row r="117" spans="1:4" x14ac:dyDescent="0.2">
      <c r="A117" t="s">
        <v>5191</v>
      </c>
      <c r="B117" t="s">
        <v>50</v>
      </c>
      <c r="C117">
        <v>2</v>
      </c>
      <c r="D117" t="s">
        <v>11248</v>
      </c>
    </row>
    <row r="118" spans="1:4" x14ac:dyDescent="0.2">
      <c r="A118" t="s">
        <v>5197</v>
      </c>
      <c r="B118" t="s">
        <v>50</v>
      </c>
      <c r="C118">
        <v>2</v>
      </c>
      <c r="D118" t="s">
        <v>11249</v>
      </c>
    </row>
    <row r="119" spans="1:4" x14ac:dyDescent="0.2">
      <c r="A119" t="s">
        <v>5199</v>
      </c>
      <c r="B119" t="s">
        <v>50</v>
      </c>
      <c r="C119">
        <v>1</v>
      </c>
      <c r="D119" t="s">
        <v>90</v>
      </c>
    </row>
    <row r="120" spans="1:4" x14ac:dyDescent="0.2">
      <c r="A120" t="s">
        <v>449</v>
      </c>
      <c r="B120" t="s">
        <v>50</v>
      </c>
      <c r="C120">
        <v>1</v>
      </c>
      <c r="D120" t="s">
        <v>93</v>
      </c>
    </row>
    <row r="121" spans="1:4" x14ac:dyDescent="0.2">
      <c r="A121" t="s">
        <v>333</v>
      </c>
      <c r="B121" t="s">
        <v>50</v>
      </c>
      <c r="C121">
        <v>1</v>
      </c>
      <c r="D121" t="s">
        <v>84</v>
      </c>
    </row>
    <row r="122" spans="1:4" x14ac:dyDescent="0.2">
      <c r="A122" t="s">
        <v>332</v>
      </c>
      <c r="B122" t="s">
        <v>50</v>
      </c>
      <c r="C122">
        <v>1</v>
      </c>
      <c r="D122" t="s">
        <v>97</v>
      </c>
    </row>
    <row r="123" spans="1:4" x14ac:dyDescent="0.2">
      <c r="A123" t="s">
        <v>451</v>
      </c>
      <c r="B123" t="s">
        <v>50</v>
      </c>
      <c r="C123">
        <v>1</v>
      </c>
      <c r="D123" t="s">
        <v>91</v>
      </c>
    </row>
    <row r="124" spans="1:4" x14ac:dyDescent="0.2">
      <c r="A124" t="s">
        <v>463</v>
      </c>
      <c r="B124" t="s">
        <v>50</v>
      </c>
      <c r="C124">
        <v>2</v>
      </c>
      <c r="D124" t="s">
        <v>11250</v>
      </c>
    </row>
    <row r="125" spans="1:4" x14ac:dyDescent="0.2">
      <c r="A125" t="s">
        <v>4054</v>
      </c>
      <c r="B125" t="s">
        <v>50</v>
      </c>
      <c r="C125">
        <v>3</v>
      </c>
      <c r="D125" t="s">
        <v>11251</v>
      </c>
    </row>
    <row r="126" spans="1:4" x14ac:dyDescent="0.2">
      <c r="A126" t="s">
        <v>939</v>
      </c>
      <c r="B126" t="s">
        <v>50</v>
      </c>
      <c r="C126">
        <v>4</v>
      </c>
      <c r="D126" t="s">
        <v>11252</v>
      </c>
    </row>
    <row r="127" spans="1:4" x14ac:dyDescent="0.2">
      <c r="A127" t="s">
        <v>965</v>
      </c>
      <c r="B127" t="s">
        <v>50</v>
      </c>
      <c r="C127">
        <v>6</v>
      </c>
      <c r="D127" t="s">
        <v>11253</v>
      </c>
    </row>
    <row r="128" spans="1:4" x14ac:dyDescent="0.2">
      <c r="A128" t="s">
        <v>4619</v>
      </c>
      <c r="B128" t="s">
        <v>50</v>
      </c>
      <c r="C128">
        <v>1</v>
      </c>
      <c r="D128" t="s">
        <v>90</v>
      </c>
    </row>
    <row r="129" spans="1:4" x14ac:dyDescent="0.2">
      <c r="A129" t="s">
        <v>5090</v>
      </c>
      <c r="B129" t="s">
        <v>50</v>
      </c>
      <c r="C129">
        <v>1</v>
      </c>
      <c r="D129" t="s">
        <v>91</v>
      </c>
    </row>
    <row r="130" spans="1:4" x14ac:dyDescent="0.2">
      <c r="A130" t="s">
        <v>6029</v>
      </c>
      <c r="B130" t="s">
        <v>50</v>
      </c>
      <c r="C130">
        <v>3</v>
      </c>
      <c r="D130" t="s">
        <v>11254</v>
      </c>
    </row>
    <row r="131" spans="1:4" x14ac:dyDescent="0.2">
      <c r="A131" t="s">
        <v>6018</v>
      </c>
      <c r="B131" t="s">
        <v>50</v>
      </c>
      <c r="C131">
        <v>3</v>
      </c>
      <c r="D131" t="s">
        <v>11255</v>
      </c>
    </row>
    <row r="132" spans="1:4" x14ac:dyDescent="0.2">
      <c r="A132" t="s">
        <v>287</v>
      </c>
      <c r="B132" t="s">
        <v>50</v>
      </c>
      <c r="C132">
        <v>2</v>
      </c>
      <c r="D132" t="s">
        <v>11256</v>
      </c>
    </row>
    <row r="133" spans="1:4" x14ac:dyDescent="0.2">
      <c r="A133" t="s">
        <v>414</v>
      </c>
      <c r="B133" t="s">
        <v>50</v>
      </c>
      <c r="C133">
        <v>2</v>
      </c>
      <c r="D133" t="s">
        <v>11257</v>
      </c>
    </row>
    <row r="134" spans="1:4" x14ac:dyDescent="0.2">
      <c r="A134" t="s">
        <v>218</v>
      </c>
      <c r="B134" t="s">
        <v>50</v>
      </c>
      <c r="C134">
        <v>2</v>
      </c>
      <c r="D134" t="s">
        <v>11258</v>
      </c>
    </row>
    <row r="135" spans="1:4" x14ac:dyDescent="0.2">
      <c r="A135" t="s">
        <v>303</v>
      </c>
      <c r="B135" t="s">
        <v>50</v>
      </c>
      <c r="C135">
        <v>1</v>
      </c>
      <c r="D135" t="s">
        <v>91</v>
      </c>
    </row>
    <row r="136" spans="1:4" x14ac:dyDescent="0.2">
      <c r="A136" t="s">
        <v>522</v>
      </c>
      <c r="B136" t="s">
        <v>50</v>
      </c>
      <c r="C136">
        <v>3</v>
      </c>
      <c r="D136" t="s">
        <v>11259</v>
      </c>
    </row>
    <row r="137" spans="1:4" x14ac:dyDescent="0.2">
      <c r="A137" t="s">
        <v>520</v>
      </c>
      <c r="B137" t="s">
        <v>50</v>
      </c>
      <c r="C137">
        <v>4</v>
      </c>
      <c r="D137" t="s">
        <v>11260</v>
      </c>
    </row>
    <row r="138" spans="1:4" x14ac:dyDescent="0.2">
      <c r="A138" t="s">
        <v>5170</v>
      </c>
      <c r="B138" t="s">
        <v>50</v>
      </c>
      <c r="C138">
        <v>1</v>
      </c>
      <c r="D138" t="s">
        <v>97</v>
      </c>
    </row>
    <row r="139" spans="1:4" x14ac:dyDescent="0.2">
      <c r="A139" t="s">
        <v>5172</v>
      </c>
      <c r="B139" t="s">
        <v>50</v>
      </c>
      <c r="C139">
        <v>1</v>
      </c>
      <c r="D139" t="s">
        <v>96</v>
      </c>
    </row>
    <row r="140" spans="1:4" x14ac:dyDescent="0.2">
      <c r="A140" t="s">
        <v>2501</v>
      </c>
      <c r="B140" t="s">
        <v>50</v>
      </c>
      <c r="C140">
        <v>1</v>
      </c>
      <c r="D140" t="s">
        <v>95</v>
      </c>
    </row>
    <row r="141" spans="1:4" x14ac:dyDescent="0.2">
      <c r="A141" t="s">
        <v>238</v>
      </c>
      <c r="B141" t="s">
        <v>50</v>
      </c>
      <c r="C141">
        <v>1</v>
      </c>
      <c r="D141" t="s">
        <v>97</v>
      </c>
    </row>
    <row r="142" spans="1:4" x14ac:dyDescent="0.2">
      <c r="A142" t="s">
        <v>243</v>
      </c>
      <c r="B142" t="s">
        <v>50</v>
      </c>
      <c r="C142">
        <v>2</v>
      </c>
      <c r="D142" t="s">
        <v>11261</v>
      </c>
    </row>
    <row r="143" spans="1:4" x14ac:dyDescent="0.2">
      <c r="A143" t="s">
        <v>253</v>
      </c>
      <c r="B143" t="s">
        <v>50</v>
      </c>
      <c r="C143">
        <v>2</v>
      </c>
      <c r="D143" t="s">
        <v>11262</v>
      </c>
    </row>
    <row r="144" spans="1:4" x14ac:dyDescent="0.2">
      <c r="A144" t="s">
        <v>523</v>
      </c>
      <c r="B144" t="s">
        <v>50</v>
      </c>
      <c r="C144">
        <v>2</v>
      </c>
      <c r="D144" t="s">
        <v>11263</v>
      </c>
    </row>
    <row r="145" spans="1:4" x14ac:dyDescent="0.2">
      <c r="A145" t="s">
        <v>5054</v>
      </c>
      <c r="B145" t="s">
        <v>50</v>
      </c>
      <c r="C145">
        <v>1</v>
      </c>
      <c r="D145" t="s">
        <v>99</v>
      </c>
    </row>
    <row r="146" spans="1:4" x14ac:dyDescent="0.2">
      <c r="A146" t="s">
        <v>5195</v>
      </c>
      <c r="B146" t="s">
        <v>50</v>
      </c>
      <c r="C146">
        <v>1</v>
      </c>
      <c r="D146" t="s">
        <v>96</v>
      </c>
    </row>
    <row r="147" spans="1:4" x14ac:dyDescent="0.2">
      <c r="A147" t="s">
        <v>296</v>
      </c>
      <c r="B147" t="s">
        <v>50</v>
      </c>
      <c r="C147">
        <v>1</v>
      </c>
      <c r="D147" t="s">
        <v>99</v>
      </c>
    </row>
    <row r="148" spans="1:4" x14ac:dyDescent="0.2">
      <c r="A148" t="s">
        <v>5127</v>
      </c>
      <c r="B148" t="s">
        <v>50</v>
      </c>
      <c r="C148">
        <v>1</v>
      </c>
      <c r="D148" t="s">
        <v>104</v>
      </c>
    </row>
    <row r="149" spans="1:4" x14ac:dyDescent="0.2">
      <c r="A149" t="s">
        <v>6013</v>
      </c>
      <c r="B149" t="s">
        <v>50</v>
      </c>
      <c r="C149">
        <v>2</v>
      </c>
      <c r="D149" t="s">
        <v>11264</v>
      </c>
    </row>
    <row r="150" spans="1:4" x14ac:dyDescent="0.2">
      <c r="A150" t="s">
        <v>269</v>
      </c>
      <c r="B150" t="s">
        <v>50</v>
      </c>
      <c r="C150">
        <v>2</v>
      </c>
      <c r="D150" t="s">
        <v>11265</v>
      </c>
    </row>
    <row r="151" spans="1:4" x14ac:dyDescent="0.2">
      <c r="A151" t="s">
        <v>500</v>
      </c>
      <c r="B151" t="s">
        <v>50</v>
      </c>
      <c r="C151">
        <v>1</v>
      </c>
      <c r="D151" t="s">
        <v>99</v>
      </c>
    </row>
    <row r="152" spans="1:4" x14ac:dyDescent="0.2">
      <c r="A152" t="s">
        <v>746</v>
      </c>
      <c r="B152" t="s">
        <v>50</v>
      </c>
      <c r="C152">
        <v>1</v>
      </c>
      <c r="D152" t="s">
        <v>90</v>
      </c>
    </row>
    <row r="153" spans="1:4" x14ac:dyDescent="0.2">
      <c r="A153" t="s">
        <v>502</v>
      </c>
      <c r="B153" t="s">
        <v>50</v>
      </c>
      <c r="C153">
        <v>1</v>
      </c>
      <c r="D153" t="s">
        <v>104</v>
      </c>
    </row>
    <row r="154" spans="1:4" x14ac:dyDescent="0.2">
      <c r="A154" t="s">
        <v>3762</v>
      </c>
      <c r="B154" t="s">
        <v>5654</v>
      </c>
      <c r="C154">
        <v>1</v>
      </c>
      <c r="D154" t="s">
        <v>99</v>
      </c>
    </row>
    <row r="155" spans="1:4" x14ac:dyDescent="0.2">
      <c r="A155" t="s">
        <v>461</v>
      </c>
      <c r="B155" t="s">
        <v>50</v>
      </c>
      <c r="C155">
        <v>1</v>
      </c>
      <c r="D155" t="s">
        <v>90</v>
      </c>
    </row>
    <row r="156" spans="1:4" x14ac:dyDescent="0.2">
      <c r="A156" t="s">
        <v>5995</v>
      </c>
      <c r="B156" t="s">
        <v>50</v>
      </c>
      <c r="C156">
        <v>1</v>
      </c>
      <c r="D156" t="s">
        <v>104</v>
      </c>
    </row>
    <row r="157" spans="1:4" x14ac:dyDescent="0.2">
      <c r="A157" t="s">
        <v>6004</v>
      </c>
      <c r="B157" t="s">
        <v>50</v>
      </c>
      <c r="C157">
        <v>6</v>
      </c>
      <c r="D157" t="s">
        <v>11266</v>
      </c>
    </row>
    <row r="158" spans="1:4" x14ac:dyDescent="0.2">
      <c r="A158" t="s">
        <v>246</v>
      </c>
      <c r="B158" t="s">
        <v>50</v>
      </c>
      <c r="C158">
        <v>3</v>
      </c>
      <c r="D158" t="s">
        <v>11267</v>
      </c>
    </row>
    <row r="159" spans="1:4" x14ac:dyDescent="0.2">
      <c r="A159" t="s">
        <v>511</v>
      </c>
      <c r="B159" t="s">
        <v>50</v>
      </c>
      <c r="C159">
        <v>2</v>
      </c>
      <c r="D159" t="s">
        <v>11268</v>
      </c>
    </row>
    <row r="160" spans="1:4" x14ac:dyDescent="0.2">
      <c r="A160" t="s">
        <v>6000</v>
      </c>
      <c r="B160" t="s">
        <v>50</v>
      </c>
      <c r="C160">
        <v>7</v>
      </c>
      <c r="D160" t="s">
        <v>11269</v>
      </c>
    </row>
    <row r="161" spans="1:4" x14ac:dyDescent="0.2">
      <c r="A161" t="s">
        <v>224</v>
      </c>
      <c r="B161" t="s">
        <v>50</v>
      </c>
      <c r="C161">
        <v>2</v>
      </c>
      <c r="D161" t="s">
        <v>11270</v>
      </c>
    </row>
    <row r="162" spans="1:4" x14ac:dyDescent="0.2">
      <c r="A162" t="s">
        <v>4929</v>
      </c>
      <c r="B162" t="s">
        <v>50</v>
      </c>
      <c r="C162">
        <v>1</v>
      </c>
      <c r="D162" t="s">
        <v>96</v>
      </c>
    </row>
    <row r="163" spans="1:4" x14ac:dyDescent="0.2">
      <c r="A163" t="s">
        <v>1893</v>
      </c>
      <c r="B163" t="s">
        <v>50</v>
      </c>
      <c r="C163">
        <v>3</v>
      </c>
      <c r="D163" t="s">
        <v>11271</v>
      </c>
    </row>
    <row r="164" spans="1:4" x14ac:dyDescent="0.2">
      <c r="A164" t="s">
        <v>1894</v>
      </c>
      <c r="B164" t="s">
        <v>50</v>
      </c>
      <c r="C164">
        <v>8</v>
      </c>
      <c r="D164" t="s">
        <v>11272</v>
      </c>
    </row>
    <row r="165" spans="1:4" x14ac:dyDescent="0.2">
      <c r="A165" t="s">
        <v>482</v>
      </c>
      <c r="B165" t="s">
        <v>50</v>
      </c>
      <c r="C165">
        <v>6</v>
      </c>
      <c r="D165" t="s">
        <v>11273</v>
      </c>
    </row>
    <row r="166" spans="1:4" x14ac:dyDescent="0.2">
      <c r="A166" t="s">
        <v>752</v>
      </c>
      <c r="B166" t="s">
        <v>50</v>
      </c>
      <c r="C166">
        <v>2</v>
      </c>
      <c r="D166" t="s">
        <v>11262</v>
      </c>
    </row>
    <row r="167" spans="1:4" x14ac:dyDescent="0.2">
      <c r="A167" t="s">
        <v>697</v>
      </c>
      <c r="B167" t="s">
        <v>50</v>
      </c>
      <c r="C167">
        <v>2</v>
      </c>
      <c r="D167" t="s">
        <v>11274</v>
      </c>
    </row>
    <row r="168" spans="1:4" x14ac:dyDescent="0.2">
      <c r="A168" t="s">
        <v>5014</v>
      </c>
      <c r="B168" t="s">
        <v>50</v>
      </c>
      <c r="C168">
        <v>1</v>
      </c>
      <c r="D168" t="s">
        <v>98</v>
      </c>
    </row>
    <row r="169" spans="1:4" x14ac:dyDescent="0.2">
      <c r="A169" t="s">
        <v>5020</v>
      </c>
      <c r="B169" t="s">
        <v>50</v>
      </c>
      <c r="C169">
        <v>1</v>
      </c>
      <c r="D169" t="s">
        <v>104</v>
      </c>
    </row>
    <row r="170" spans="1:4" x14ac:dyDescent="0.2">
      <c r="A170" t="s">
        <v>4923</v>
      </c>
      <c r="B170" t="s">
        <v>50</v>
      </c>
      <c r="C170">
        <v>1</v>
      </c>
      <c r="D170" t="s">
        <v>99</v>
      </c>
    </row>
    <row r="171" spans="1:4" x14ac:dyDescent="0.2">
      <c r="A171" t="s">
        <v>5658</v>
      </c>
      <c r="B171" t="s">
        <v>50</v>
      </c>
      <c r="C171">
        <v>7</v>
      </c>
      <c r="D171" t="s">
        <v>11275</v>
      </c>
    </row>
    <row r="172" spans="1:4" x14ac:dyDescent="0.2">
      <c r="A172" t="s">
        <v>6025</v>
      </c>
      <c r="B172" t="s">
        <v>50</v>
      </c>
      <c r="C172">
        <v>4</v>
      </c>
      <c r="D172" t="s">
        <v>11276</v>
      </c>
    </row>
    <row r="173" spans="1:4" x14ac:dyDescent="0.2">
      <c r="A173" t="s">
        <v>972</v>
      </c>
      <c r="B173" t="s">
        <v>50</v>
      </c>
      <c r="C173">
        <v>1</v>
      </c>
      <c r="D173" t="s">
        <v>97</v>
      </c>
    </row>
    <row r="174" spans="1:4" x14ac:dyDescent="0.2">
      <c r="A174" t="s">
        <v>4513</v>
      </c>
      <c r="B174" t="s">
        <v>50</v>
      </c>
      <c r="C174">
        <v>1</v>
      </c>
      <c r="D174" t="s">
        <v>95</v>
      </c>
    </row>
    <row r="175" spans="1:4" x14ac:dyDescent="0.2">
      <c r="A175" t="s">
        <v>5193</v>
      </c>
      <c r="B175" t="s">
        <v>50</v>
      </c>
      <c r="C175">
        <v>1</v>
      </c>
      <c r="D175" t="s">
        <v>84</v>
      </c>
    </row>
    <row r="176" spans="1:4" x14ac:dyDescent="0.2">
      <c r="A176" t="s">
        <v>3803</v>
      </c>
      <c r="B176" t="s">
        <v>50</v>
      </c>
      <c r="C176">
        <v>1</v>
      </c>
      <c r="D176" t="s">
        <v>98</v>
      </c>
    </row>
    <row r="177" spans="1:4" x14ac:dyDescent="0.2">
      <c r="A177" t="s">
        <v>4579</v>
      </c>
      <c r="B177" t="s">
        <v>50</v>
      </c>
      <c r="C177">
        <v>1</v>
      </c>
      <c r="D177" t="s">
        <v>104</v>
      </c>
    </row>
    <row r="178" spans="1:4" x14ac:dyDescent="0.2">
      <c r="A178" t="s">
        <v>5715</v>
      </c>
      <c r="B178" t="s">
        <v>50</v>
      </c>
      <c r="C178">
        <v>1</v>
      </c>
      <c r="D178" t="s">
        <v>101</v>
      </c>
    </row>
    <row r="179" spans="1:4" x14ac:dyDescent="0.2">
      <c r="A179" t="s">
        <v>5721</v>
      </c>
      <c r="B179" t="s">
        <v>50</v>
      </c>
      <c r="C179">
        <v>1</v>
      </c>
      <c r="D179" t="s">
        <v>93</v>
      </c>
    </row>
    <row r="180" spans="1:4" x14ac:dyDescent="0.2">
      <c r="A180" t="s">
        <v>6009</v>
      </c>
      <c r="B180" t="s">
        <v>50</v>
      </c>
      <c r="C180">
        <v>8</v>
      </c>
      <c r="D180" t="s">
        <v>11277</v>
      </c>
    </row>
    <row r="181" spans="1:4" x14ac:dyDescent="0.2">
      <c r="A181" t="s">
        <v>945</v>
      </c>
      <c r="B181" t="s">
        <v>50</v>
      </c>
      <c r="C181">
        <v>1</v>
      </c>
      <c r="D181" t="s">
        <v>92</v>
      </c>
    </row>
    <row r="182" spans="1:4" x14ac:dyDescent="0.2">
      <c r="A182" t="s">
        <v>679</v>
      </c>
      <c r="B182" t="s">
        <v>50</v>
      </c>
      <c r="C182">
        <v>3</v>
      </c>
      <c r="D182" t="s">
        <v>11278</v>
      </c>
    </row>
    <row r="183" spans="1:4" x14ac:dyDescent="0.2">
      <c r="A183" t="s">
        <v>957</v>
      </c>
      <c r="B183" t="s">
        <v>50</v>
      </c>
      <c r="C183">
        <v>2</v>
      </c>
      <c r="D183" t="s">
        <v>11279</v>
      </c>
    </row>
    <row r="184" spans="1:4" x14ac:dyDescent="0.2">
      <c r="A184" t="s">
        <v>963</v>
      </c>
      <c r="B184" t="s">
        <v>50</v>
      </c>
      <c r="C184">
        <v>2</v>
      </c>
      <c r="D184" t="s">
        <v>11188</v>
      </c>
    </row>
    <row r="185" spans="1:4" x14ac:dyDescent="0.2">
      <c r="A185" t="s">
        <v>1015</v>
      </c>
      <c r="B185" t="s">
        <v>50</v>
      </c>
      <c r="C185">
        <v>3</v>
      </c>
      <c r="D185" t="s">
        <v>11280</v>
      </c>
    </row>
    <row r="186" spans="1:4" x14ac:dyDescent="0.2">
      <c r="A186" t="s">
        <v>388</v>
      </c>
      <c r="B186" t="s">
        <v>50</v>
      </c>
      <c r="C186">
        <v>2</v>
      </c>
      <c r="D186" t="s">
        <v>11281</v>
      </c>
    </row>
    <row r="187" spans="1:4" x14ac:dyDescent="0.2">
      <c r="A187" t="s">
        <v>386</v>
      </c>
      <c r="B187" t="s">
        <v>50</v>
      </c>
      <c r="C187">
        <v>2</v>
      </c>
      <c r="D187" t="s">
        <v>11229</v>
      </c>
    </row>
    <row r="188" spans="1:4" x14ac:dyDescent="0.2">
      <c r="A188" t="s">
        <v>285</v>
      </c>
      <c r="B188" t="s">
        <v>50</v>
      </c>
      <c r="C188">
        <v>4</v>
      </c>
      <c r="D188" t="s">
        <v>11282</v>
      </c>
    </row>
    <row r="189" spans="1:4" x14ac:dyDescent="0.2">
      <c r="A189" t="s">
        <v>4166</v>
      </c>
      <c r="B189" t="s">
        <v>50</v>
      </c>
      <c r="C189">
        <v>10</v>
      </c>
      <c r="D189" t="s">
        <v>11283</v>
      </c>
    </row>
    <row r="190" spans="1:4" x14ac:dyDescent="0.2">
      <c r="A190" t="s">
        <v>723</v>
      </c>
      <c r="B190" t="s">
        <v>50</v>
      </c>
      <c r="C190">
        <v>2</v>
      </c>
      <c r="D190" t="s">
        <v>11284</v>
      </c>
    </row>
    <row r="191" spans="1:4" x14ac:dyDescent="0.2">
      <c r="A191" t="s">
        <v>338</v>
      </c>
      <c r="B191" t="s">
        <v>50</v>
      </c>
      <c r="C191">
        <v>4</v>
      </c>
      <c r="D191" t="s">
        <v>11285</v>
      </c>
    </row>
    <row r="192" spans="1:4" x14ac:dyDescent="0.2">
      <c r="A192" t="s">
        <v>683</v>
      </c>
      <c r="B192" t="s">
        <v>50</v>
      </c>
      <c r="C192">
        <v>2</v>
      </c>
      <c r="D192" t="s">
        <v>11286</v>
      </c>
    </row>
    <row r="193" spans="1:4" x14ac:dyDescent="0.2">
      <c r="A193" t="s">
        <v>682</v>
      </c>
      <c r="B193" t="s">
        <v>50</v>
      </c>
      <c r="C193">
        <v>3</v>
      </c>
      <c r="D193" t="s">
        <v>11287</v>
      </c>
    </row>
    <row r="194" spans="1:4" x14ac:dyDescent="0.2">
      <c r="A194" t="s">
        <v>337</v>
      </c>
      <c r="B194" t="s">
        <v>50</v>
      </c>
      <c r="C194">
        <v>4</v>
      </c>
      <c r="D194" t="s">
        <v>11288</v>
      </c>
    </row>
    <row r="195" spans="1:4" x14ac:dyDescent="0.2">
      <c r="A195" t="s">
        <v>479</v>
      </c>
      <c r="B195" t="s">
        <v>50</v>
      </c>
      <c r="C195">
        <v>4</v>
      </c>
      <c r="D195" t="s">
        <v>11289</v>
      </c>
    </row>
    <row r="196" spans="1:4" x14ac:dyDescent="0.2">
      <c r="A196" t="s">
        <v>5838</v>
      </c>
      <c r="B196" t="s">
        <v>50</v>
      </c>
      <c r="C196">
        <v>3</v>
      </c>
      <c r="D196" t="s">
        <v>11290</v>
      </c>
    </row>
    <row r="197" spans="1:4" x14ac:dyDescent="0.2">
      <c r="A197" t="s">
        <v>986</v>
      </c>
      <c r="B197" t="s">
        <v>50</v>
      </c>
      <c r="C197">
        <v>1</v>
      </c>
      <c r="D197" t="s">
        <v>89</v>
      </c>
    </row>
    <row r="198" spans="1:4" x14ac:dyDescent="0.2">
      <c r="A198" t="s">
        <v>3802</v>
      </c>
      <c r="B198" t="s">
        <v>50</v>
      </c>
      <c r="C198">
        <v>1</v>
      </c>
      <c r="D198" t="s">
        <v>91</v>
      </c>
    </row>
    <row r="199" spans="1:4" x14ac:dyDescent="0.2">
      <c r="A199" t="s">
        <v>315</v>
      </c>
      <c r="B199" t="s">
        <v>50</v>
      </c>
      <c r="C199">
        <v>1</v>
      </c>
      <c r="D199" t="s">
        <v>89</v>
      </c>
    </row>
    <row r="200" spans="1:4" x14ac:dyDescent="0.2">
      <c r="A200" t="s">
        <v>3804</v>
      </c>
      <c r="B200" t="s">
        <v>50</v>
      </c>
      <c r="C200">
        <v>1</v>
      </c>
      <c r="D200" t="s">
        <v>105</v>
      </c>
    </row>
    <row r="201" spans="1:4" x14ac:dyDescent="0.2">
      <c r="A201" t="s">
        <v>3806</v>
      </c>
      <c r="B201" t="s">
        <v>50</v>
      </c>
      <c r="C201">
        <v>1</v>
      </c>
      <c r="D201" t="s">
        <v>84</v>
      </c>
    </row>
    <row r="202" spans="1:4" x14ac:dyDescent="0.2">
      <c r="A202" t="s">
        <v>995</v>
      </c>
      <c r="B202" t="s">
        <v>50</v>
      </c>
      <c r="C202">
        <v>1</v>
      </c>
      <c r="D202" t="s">
        <v>98</v>
      </c>
    </row>
    <row r="203" spans="1:4" x14ac:dyDescent="0.2">
      <c r="A203" t="s">
        <v>991</v>
      </c>
      <c r="B203" t="s">
        <v>50</v>
      </c>
      <c r="C203">
        <v>1</v>
      </c>
      <c r="D203" t="s">
        <v>87</v>
      </c>
    </row>
    <row r="204" spans="1:4" x14ac:dyDescent="0.2">
      <c r="A204" t="s">
        <v>5717</v>
      </c>
      <c r="B204" t="s">
        <v>50</v>
      </c>
      <c r="C204">
        <v>2</v>
      </c>
      <c r="D204" t="s">
        <v>11291</v>
      </c>
    </row>
    <row r="205" spans="1:4" x14ac:dyDescent="0.2">
      <c r="A205" t="s">
        <v>5723</v>
      </c>
      <c r="B205" t="s">
        <v>50</v>
      </c>
      <c r="C205">
        <v>2</v>
      </c>
      <c r="D205" t="s">
        <v>11292</v>
      </c>
    </row>
    <row r="206" spans="1:4" x14ac:dyDescent="0.2">
      <c r="A206" t="s">
        <v>5719</v>
      </c>
      <c r="B206" t="s">
        <v>50</v>
      </c>
      <c r="C206">
        <v>1</v>
      </c>
      <c r="D206" t="s">
        <v>92</v>
      </c>
    </row>
    <row r="207" spans="1:4" x14ac:dyDescent="0.2">
      <c r="A207" t="s">
        <v>678</v>
      </c>
      <c r="B207" t="s">
        <v>50</v>
      </c>
      <c r="C207">
        <v>5</v>
      </c>
      <c r="D207" t="s">
        <v>11293</v>
      </c>
    </row>
    <row r="208" spans="1:4" x14ac:dyDescent="0.2">
      <c r="A208" t="s">
        <v>5858</v>
      </c>
      <c r="B208" t="s">
        <v>50</v>
      </c>
      <c r="C208">
        <v>1</v>
      </c>
      <c r="D208" t="s">
        <v>99</v>
      </c>
    </row>
    <row r="209" spans="1:4" x14ac:dyDescent="0.2">
      <c r="A209" t="s">
        <v>4826</v>
      </c>
      <c r="B209" t="s">
        <v>50</v>
      </c>
      <c r="C209">
        <v>4</v>
      </c>
      <c r="D209" t="s">
        <v>11294</v>
      </c>
    </row>
    <row r="210" spans="1:4" x14ac:dyDescent="0.2">
      <c r="A210" t="s">
        <v>710</v>
      </c>
      <c r="B210" t="s">
        <v>50</v>
      </c>
      <c r="C210">
        <v>6</v>
      </c>
      <c r="D210" t="s">
        <v>11295</v>
      </c>
    </row>
    <row r="211" spans="1:4" x14ac:dyDescent="0.2">
      <c r="A211" t="s">
        <v>931</v>
      </c>
      <c r="B211" t="s">
        <v>50</v>
      </c>
      <c r="C211">
        <v>3</v>
      </c>
      <c r="D211" t="s">
        <v>11296</v>
      </c>
    </row>
    <row r="212" spans="1:4" x14ac:dyDescent="0.2">
      <c r="A212" t="s">
        <v>302</v>
      </c>
      <c r="B212" t="s">
        <v>50</v>
      </c>
      <c r="C212">
        <v>2</v>
      </c>
      <c r="D212" t="s">
        <v>11201</v>
      </c>
    </row>
    <row r="213" spans="1:4" x14ac:dyDescent="0.2">
      <c r="A213" t="s">
        <v>4577</v>
      </c>
      <c r="B213" t="s">
        <v>50</v>
      </c>
      <c r="C213">
        <v>1</v>
      </c>
      <c r="D213" t="s">
        <v>91</v>
      </c>
    </row>
    <row r="214" spans="1:4" x14ac:dyDescent="0.2">
      <c r="A214" t="s">
        <v>528</v>
      </c>
      <c r="B214" t="s">
        <v>50</v>
      </c>
      <c r="C214">
        <v>1</v>
      </c>
      <c r="D214" t="s">
        <v>89</v>
      </c>
    </row>
    <row r="215" spans="1:4" x14ac:dyDescent="0.2">
      <c r="A215" t="s">
        <v>5092</v>
      </c>
      <c r="B215" t="s">
        <v>50</v>
      </c>
      <c r="C215">
        <v>1</v>
      </c>
      <c r="D215" t="s">
        <v>101</v>
      </c>
    </row>
    <row r="216" spans="1:4" x14ac:dyDescent="0.2">
      <c r="A216" t="s">
        <v>6020</v>
      </c>
      <c r="B216" t="s">
        <v>50</v>
      </c>
      <c r="C216">
        <v>1</v>
      </c>
      <c r="D216" t="s">
        <v>87</v>
      </c>
    </row>
    <row r="217" spans="1:4" x14ac:dyDescent="0.2">
      <c r="A217" t="s">
        <v>1091</v>
      </c>
      <c r="B217" t="s">
        <v>49</v>
      </c>
      <c r="C217">
        <v>1</v>
      </c>
      <c r="D217" t="s">
        <v>94</v>
      </c>
    </row>
    <row r="218" spans="1:4" x14ac:dyDescent="0.2">
      <c r="A218" t="s">
        <v>1092</v>
      </c>
      <c r="B218" t="s">
        <v>49</v>
      </c>
      <c r="C218">
        <v>1</v>
      </c>
      <c r="D218" t="s">
        <v>94</v>
      </c>
    </row>
    <row r="219" spans="1:4" x14ac:dyDescent="0.2">
      <c r="A219" t="s">
        <v>425</v>
      </c>
      <c r="B219" t="s">
        <v>49</v>
      </c>
      <c r="C219">
        <v>1</v>
      </c>
      <c r="D219" t="s">
        <v>94</v>
      </c>
    </row>
    <row r="220" spans="1:4" x14ac:dyDescent="0.2">
      <c r="A220" t="s">
        <v>430</v>
      </c>
      <c r="B220" t="s">
        <v>49</v>
      </c>
      <c r="C220">
        <v>1</v>
      </c>
      <c r="D220" t="s">
        <v>94</v>
      </c>
    </row>
    <row r="221" spans="1:4" x14ac:dyDescent="0.2">
      <c r="A221" t="s">
        <v>426</v>
      </c>
      <c r="B221" t="s">
        <v>49</v>
      </c>
      <c r="C221">
        <v>2</v>
      </c>
      <c r="D221" t="s">
        <v>11297</v>
      </c>
    </row>
    <row r="222" spans="1:4" x14ac:dyDescent="0.2">
      <c r="A222" t="s">
        <v>431</v>
      </c>
      <c r="B222" t="s">
        <v>49</v>
      </c>
      <c r="C222">
        <v>2</v>
      </c>
      <c r="D222" t="s">
        <v>11298</v>
      </c>
    </row>
    <row r="223" spans="1:4" x14ac:dyDescent="0.2">
      <c r="A223" t="s">
        <v>599</v>
      </c>
      <c r="B223" t="s">
        <v>49</v>
      </c>
      <c r="C223">
        <v>5</v>
      </c>
      <c r="D223" t="s">
        <v>11299</v>
      </c>
    </row>
    <row r="224" spans="1:4" x14ac:dyDescent="0.2">
      <c r="A224" t="s">
        <v>603</v>
      </c>
      <c r="B224" t="s">
        <v>49</v>
      </c>
      <c r="C224">
        <v>5</v>
      </c>
      <c r="D224" t="s">
        <v>11300</v>
      </c>
    </row>
    <row r="225" spans="1:4" x14ac:dyDescent="0.2">
      <c r="A225" t="s">
        <v>1228</v>
      </c>
      <c r="B225" t="s">
        <v>49</v>
      </c>
      <c r="C225">
        <v>2</v>
      </c>
      <c r="D225" t="s">
        <v>11301</v>
      </c>
    </row>
    <row r="226" spans="1:4" x14ac:dyDescent="0.2">
      <c r="A226" t="s">
        <v>1229</v>
      </c>
      <c r="B226" t="s">
        <v>49</v>
      </c>
      <c r="C226">
        <v>3</v>
      </c>
      <c r="D226" t="s">
        <v>11302</v>
      </c>
    </row>
    <row r="227" spans="1:4" x14ac:dyDescent="0.2">
      <c r="A227" t="s">
        <v>602</v>
      </c>
      <c r="B227" t="s">
        <v>49</v>
      </c>
      <c r="C227">
        <v>5</v>
      </c>
      <c r="D227" t="s">
        <v>11303</v>
      </c>
    </row>
    <row r="228" spans="1:4" x14ac:dyDescent="0.2">
      <c r="A228" t="s">
        <v>591</v>
      </c>
      <c r="B228" t="s">
        <v>49</v>
      </c>
      <c r="C228">
        <v>5</v>
      </c>
      <c r="D228" t="s">
        <v>11304</v>
      </c>
    </row>
    <row r="229" spans="1:4" x14ac:dyDescent="0.2">
      <c r="A229" t="s">
        <v>838</v>
      </c>
      <c r="B229" t="s">
        <v>49</v>
      </c>
      <c r="C229">
        <v>2</v>
      </c>
      <c r="D229" t="s">
        <v>11305</v>
      </c>
    </row>
    <row r="230" spans="1:4" x14ac:dyDescent="0.2">
      <c r="A230" t="s">
        <v>917</v>
      </c>
      <c r="B230" t="s">
        <v>49</v>
      </c>
      <c r="C230">
        <v>1</v>
      </c>
      <c r="D230" t="s">
        <v>84</v>
      </c>
    </row>
    <row r="231" spans="1:4" x14ac:dyDescent="0.2">
      <c r="A231" t="s">
        <v>308</v>
      </c>
      <c r="B231" t="s">
        <v>49</v>
      </c>
      <c r="C231">
        <v>3</v>
      </c>
      <c r="D231" t="s">
        <v>11306</v>
      </c>
    </row>
    <row r="232" spans="1:4" x14ac:dyDescent="0.2">
      <c r="A232" t="s">
        <v>457</v>
      </c>
      <c r="B232" t="s">
        <v>49</v>
      </c>
      <c r="C232">
        <v>4</v>
      </c>
      <c r="D232" t="s">
        <v>11307</v>
      </c>
    </row>
    <row r="233" spans="1:4" x14ac:dyDescent="0.2">
      <c r="A233" t="s">
        <v>405</v>
      </c>
      <c r="B233" t="s">
        <v>49</v>
      </c>
      <c r="C233">
        <v>4</v>
      </c>
      <c r="D233" t="s">
        <v>11308</v>
      </c>
    </row>
    <row r="234" spans="1:4" x14ac:dyDescent="0.2">
      <c r="A234" t="s">
        <v>268</v>
      </c>
      <c r="B234" t="s">
        <v>49</v>
      </c>
      <c r="C234">
        <v>3</v>
      </c>
      <c r="D234" t="s">
        <v>11309</v>
      </c>
    </row>
    <row r="235" spans="1:4" x14ac:dyDescent="0.2">
      <c r="A235" t="s">
        <v>596</v>
      </c>
      <c r="B235" t="s">
        <v>49</v>
      </c>
      <c r="C235">
        <v>5</v>
      </c>
      <c r="D235" t="s">
        <v>11310</v>
      </c>
    </row>
    <row r="236" spans="1:4" x14ac:dyDescent="0.2">
      <c r="A236" t="s">
        <v>641</v>
      </c>
      <c r="B236" t="s">
        <v>49</v>
      </c>
      <c r="C236">
        <v>3</v>
      </c>
      <c r="D236" t="s">
        <v>11311</v>
      </c>
    </row>
    <row r="237" spans="1:4" x14ac:dyDescent="0.2">
      <c r="A237" t="s">
        <v>1494</v>
      </c>
      <c r="B237" t="s">
        <v>49</v>
      </c>
      <c r="C237">
        <v>4</v>
      </c>
      <c r="D237" t="s">
        <v>11312</v>
      </c>
    </row>
    <row r="238" spans="1:4" x14ac:dyDescent="0.2">
      <c r="A238" t="s">
        <v>1600</v>
      </c>
      <c r="B238" t="s">
        <v>49</v>
      </c>
      <c r="C238">
        <v>5</v>
      </c>
      <c r="D238" t="s">
        <v>11313</v>
      </c>
    </row>
    <row r="239" spans="1:4" x14ac:dyDescent="0.2">
      <c r="A239" t="s">
        <v>408</v>
      </c>
      <c r="B239" t="s">
        <v>49</v>
      </c>
      <c r="C239">
        <v>2</v>
      </c>
      <c r="D239" t="s">
        <v>11180</v>
      </c>
    </row>
    <row r="240" spans="1:4" x14ac:dyDescent="0.2">
      <c r="A240" t="s">
        <v>630</v>
      </c>
      <c r="B240" t="s">
        <v>49</v>
      </c>
      <c r="C240">
        <v>2</v>
      </c>
      <c r="D240" t="s">
        <v>11314</v>
      </c>
    </row>
    <row r="241" spans="1:4" x14ac:dyDescent="0.2">
      <c r="A241" t="s">
        <v>801</v>
      </c>
      <c r="B241" t="s">
        <v>49</v>
      </c>
      <c r="C241">
        <v>5</v>
      </c>
      <c r="D241" t="s">
        <v>11315</v>
      </c>
    </row>
    <row r="242" spans="1:4" x14ac:dyDescent="0.2">
      <c r="A242" t="s">
        <v>900</v>
      </c>
      <c r="B242" t="s">
        <v>49</v>
      </c>
      <c r="C242">
        <v>5</v>
      </c>
      <c r="D242" t="s">
        <v>11316</v>
      </c>
    </row>
    <row r="243" spans="1:4" x14ac:dyDescent="0.2">
      <c r="A243" t="s">
        <v>1695</v>
      </c>
      <c r="B243" t="s">
        <v>49</v>
      </c>
      <c r="C243">
        <v>1</v>
      </c>
      <c r="D243" t="s">
        <v>87</v>
      </c>
    </row>
    <row r="244" spans="1:4" x14ac:dyDescent="0.2">
      <c r="A244" t="s">
        <v>844</v>
      </c>
      <c r="B244" t="s">
        <v>49</v>
      </c>
      <c r="C244">
        <v>2</v>
      </c>
      <c r="D244" t="s">
        <v>11317</v>
      </c>
    </row>
    <row r="245" spans="1:4" x14ac:dyDescent="0.2">
      <c r="A245" t="s">
        <v>824</v>
      </c>
      <c r="B245" t="s">
        <v>49</v>
      </c>
      <c r="C245">
        <v>5</v>
      </c>
      <c r="D245" t="s">
        <v>11318</v>
      </c>
    </row>
    <row r="246" spans="1:4" x14ac:dyDescent="0.2">
      <c r="A246" t="s">
        <v>1723</v>
      </c>
      <c r="B246" t="s">
        <v>49</v>
      </c>
      <c r="C246">
        <v>1</v>
      </c>
      <c r="D246" t="s">
        <v>98</v>
      </c>
    </row>
    <row r="247" spans="1:4" x14ac:dyDescent="0.2">
      <c r="A247" t="s">
        <v>821</v>
      </c>
      <c r="B247" t="s">
        <v>49</v>
      </c>
      <c r="C247">
        <v>3</v>
      </c>
      <c r="D247" t="s">
        <v>11319</v>
      </c>
    </row>
    <row r="248" spans="1:4" x14ac:dyDescent="0.2">
      <c r="A248" t="s">
        <v>904</v>
      </c>
      <c r="B248" t="s">
        <v>49</v>
      </c>
      <c r="C248">
        <v>4</v>
      </c>
      <c r="D248" t="s">
        <v>11320</v>
      </c>
    </row>
    <row r="249" spans="1:4" x14ac:dyDescent="0.2">
      <c r="A249" t="s">
        <v>906</v>
      </c>
      <c r="B249" t="s">
        <v>49</v>
      </c>
      <c r="C249">
        <v>5</v>
      </c>
      <c r="D249" t="s">
        <v>11321</v>
      </c>
    </row>
    <row r="250" spans="1:4" x14ac:dyDescent="0.2">
      <c r="A250" t="s">
        <v>663</v>
      </c>
      <c r="B250" t="s">
        <v>49</v>
      </c>
      <c r="C250">
        <v>1</v>
      </c>
      <c r="D250" t="s">
        <v>95</v>
      </c>
    </row>
    <row r="251" spans="1:4" x14ac:dyDescent="0.2">
      <c r="A251" t="s">
        <v>267</v>
      </c>
      <c r="B251" t="s">
        <v>49</v>
      </c>
      <c r="C251">
        <v>5</v>
      </c>
      <c r="D251" t="s">
        <v>11322</v>
      </c>
    </row>
    <row r="252" spans="1:4" x14ac:dyDescent="0.2">
      <c r="A252" t="s">
        <v>893</v>
      </c>
      <c r="B252" t="s">
        <v>49</v>
      </c>
      <c r="C252">
        <v>3</v>
      </c>
      <c r="D252" t="s">
        <v>11323</v>
      </c>
    </row>
    <row r="253" spans="1:4" x14ac:dyDescent="0.2">
      <c r="A253" t="s">
        <v>2026</v>
      </c>
      <c r="B253" t="s">
        <v>49</v>
      </c>
      <c r="C253">
        <v>3</v>
      </c>
      <c r="D253" t="s">
        <v>11324</v>
      </c>
    </row>
    <row r="254" spans="1:4" x14ac:dyDescent="0.2">
      <c r="A254" t="s">
        <v>919</v>
      </c>
      <c r="B254" t="s">
        <v>49</v>
      </c>
      <c r="C254">
        <v>3</v>
      </c>
      <c r="D254" t="s">
        <v>11325</v>
      </c>
    </row>
    <row r="255" spans="1:4" x14ac:dyDescent="0.2">
      <c r="A255" t="s">
        <v>862</v>
      </c>
      <c r="B255" t="s">
        <v>49</v>
      </c>
      <c r="C255">
        <v>3</v>
      </c>
      <c r="D255" t="s">
        <v>11326</v>
      </c>
    </row>
    <row r="256" spans="1:4" x14ac:dyDescent="0.2">
      <c r="A256" t="s">
        <v>841</v>
      </c>
      <c r="B256" t="s">
        <v>49</v>
      </c>
      <c r="C256">
        <v>2</v>
      </c>
      <c r="D256" t="s">
        <v>11327</v>
      </c>
    </row>
    <row r="257" spans="1:4" x14ac:dyDescent="0.2">
      <c r="A257" t="s">
        <v>2028</v>
      </c>
      <c r="B257" t="s">
        <v>49</v>
      </c>
      <c r="C257">
        <v>2</v>
      </c>
      <c r="D257" t="s">
        <v>11328</v>
      </c>
    </row>
    <row r="258" spans="1:4" x14ac:dyDescent="0.2">
      <c r="A258" t="s">
        <v>921</v>
      </c>
      <c r="B258" t="s">
        <v>49</v>
      </c>
      <c r="C258">
        <v>2</v>
      </c>
      <c r="D258" t="s">
        <v>11329</v>
      </c>
    </row>
    <row r="259" spans="1:4" x14ac:dyDescent="0.2">
      <c r="A259" t="s">
        <v>626</v>
      </c>
      <c r="B259" t="s">
        <v>49</v>
      </c>
      <c r="C259">
        <v>1</v>
      </c>
      <c r="D259" t="s">
        <v>90</v>
      </c>
    </row>
    <row r="260" spans="1:4" x14ac:dyDescent="0.2">
      <c r="A260" t="s">
        <v>657</v>
      </c>
      <c r="B260" t="s">
        <v>49</v>
      </c>
      <c r="C260">
        <v>2</v>
      </c>
      <c r="D260" t="s">
        <v>11330</v>
      </c>
    </row>
    <row r="261" spans="1:4" x14ac:dyDescent="0.2">
      <c r="A261" t="s">
        <v>2030</v>
      </c>
      <c r="B261" t="s">
        <v>49</v>
      </c>
      <c r="C261">
        <v>3</v>
      </c>
      <c r="D261" t="s">
        <v>11331</v>
      </c>
    </row>
    <row r="262" spans="1:4" x14ac:dyDescent="0.2">
      <c r="A262" t="s">
        <v>2032</v>
      </c>
      <c r="B262" t="s">
        <v>49</v>
      </c>
      <c r="C262">
        <v>4</v>
      </c>
      <c r="D262" t="s">
        <v>11332</v>
      </c>
    </row>
    <row r="263" spans="1:4" x14ac:dyDescent="0.2">
      <c r="A263" t="s">
        <v>861</v>
      </c>
      <c r="B263" t="s">
        <v>49</v>
      </c>
      <c r="C263">
        <v>1</v>
      </c>
      <c r="D263" t="s">
        <v>88</v>
      </c>
    </row>
    <row r="264" spans="1:4" x14ac:dyDescent="0.2">
      <c r="A264" t="s">
        <v>2035</v>
      </c>
      <c r="B264" t="s">
        <v>49</v>
      </c>
      <c r="C264">
        <v>3</v>
      </c>
      <c r="D264" t="s">
        <v>11333</v>
      </c>
    </row>
    <row r="265" spans="1:4" x14ac:dyDescent="0.2">
      <c r="A265" t="s">
        <v>2036</v>
      </c>
      <c r="B265" t="s">
        <v>49</v>
      </c>
      <c r="C265">
        <v>2</v>
      </c>
      <c r="D265" t="s">
        <v>11334</v>
      </c>
    </row>
    <row r="266" spans="1:4" x14ac:dyDescent="0.2">
      <c r="A266" t="s">
        <v>840</v>
      </c>
      <c r="B266" t="s">
        <v>49</v>
      </c>
      <c r="C266">
        <v>1</v>
      </c>
      <c r="D266" t="s">
        <v>92</v>
      </c>
    </row>
    <row r="267" spans="1:4" x14ac:dyDescent="0.2">
      <c r="A267" t="s">
        <v>221</v>
      </c>
      <c r="B267" t="s">
        <v>49</v>
      </c>
      <c r="C267">
        <v>2</v>
      </c>
      <c r="D267" t="s">
        <v>11335</v>
      </c>
    </row>
    <row r="268" spans="1:4" x14ac:dyDescent="0.2">
      <c r="A268" t="s">
        <v>2038</v>
      </c>
      <c r="B268" t="s">
        <v>49</v>
      </c>
      <c r="C268">
        <v>3</v>
      </c>
      <c r="D268" t="s">
        <v>11336</v>
      </c>
    </row>
    <row r="269" spans="1:4" x14ac:dyDescent="0.2">
      <c r="A269" t="s">
        <v>867</v>
      </c>
      <c r="B269" t="s">
        <v>49</v>
      </c>
      <c r="C269">
        <v>3</v>
      </c>
      <c r="D269" t="s">
        <v>11337</v>
      </c>
    </row>
    <row r="270" spans="1:4" x14ac:dyDescent="0.2">
      <c r="A270" t="s">
        <v>908</v>
      </c>
      <c r="B270" t="s">
        <v>49</v>
      </c>
      <c r="C270">
        <v>1</v>
      </c>
      <c r="D270" t="s">
        <v>92</v>
      </c>
    </row>
    <row r="271" spans="1:4" x14ac:dyDescent="0.2">
      <c r="A271" t="s">
        <v>843</v>
      </c>
      <c r="B271" t="s">
        <v>49</v>
      </c>
      <c r="C271">
        <v>1</v>
      </c>
      <c r="D271" t="s">
        <v>103</v>
      </c>
    </row>
    <row r="272" spans="1:4" x14ac:dyDescent="0.2">
      <c r="A272" t="s">
        <v>470</v>
      </c>
      <c r="B272" t="s">
        <v>49</v>
      </c>
      <c r="C272">
        <v>5</v>
      </c>
      <c r="D272" t="s">
        <v>11338</v>
      </c>
    </row>
    <row r="273" spans="1:4" x14ac:dyDescent="0.2">
      <c r="A273" t="s">
        <v>2069</v>
      </c>
      <c r="B273" t="s">
        <v>49</v>
      </c>
      <c r="C273">
        <v>3</v>
      </c>
      <c r="D273" t="s">
        <v>11339</v>
      </c>
    </row>
    <row r="274" spans="1:4" x14ac:dyDescent="0.2">
      <c r="A274" t="s">
        <v>2071</v>
      </c>
      <c r="B274" t="s">
        <v>49</v>
      </c>
      <c r="C274">
        <v>2</v>
      </c>
      <c r="D274" t="s">
        <v>11340</v>
      </c>
    </row>
    <row r="275" spans="1:4" x14ac:dyDescent="0.2">
      <c r="A275" t="s">
        <v>2073</v>
      </c>
      <c r="B275" t="s">
        <v>49</v>
      </c>
      <c r="C275">
        <v>3</v>
      </c>
      <c r="D275" t="s">
        <v>11341</v>
      </c>
    </row>
    <row r="276" spans="1:4" x14ac:dyDescent="0.2">
      <c r="A276" t="s">
        <v>615</v>
      </c>
      <c r="B276" t="s">
        <v>49</v>
      </c>
      <c r="C276">
        <v>4</v>
      </c>
      <c r="D276" t="s">
        <v>11342</v>
      </c>
    </row>
    <row r="277" spans="1:4" x14ac:dyDescent="0.2">
      <c r="A277" t="s">
        <v>664</v>
      </c>
      <c r="B277" t="s">
        <v>49</v>
      </c>
      <c r="C277">
        <v>2</v>
      </c>
      <c r="D277" t="s">
        <v>11343</v>
      </c>
    </row>
    <row r="278" spans="1:4" x14ac:dyDescent="0.2">
      <c r="A278" t="s">
        <v>659</v>
      </c>
      <c r="B278" t="s">
        <v>49</v>
      </c>
      <c r="C278">
        <v>3</v>
      </c>
      <c r="D278" t="s">
        <v>11344</v>
      </c>
    </row>
    <row r="279" spans="1:4" x14ac:dyDescent="0.2">
      <c r="A279" t="s">
        <v>668</v>
      </c>
      <c r="B279" t="s">
        <v>49</v>
      </c>
      <c r="C279">
        <v>2</v>
      </c>
      <c r="D279" t="s">
        <v>11345</v>
      </c>
    </row>
    <row r="280" spans="1:4" x14ac:dyDescent="0.2">
      <c r="A280" t="s">
        <v>2473</v>
      </c>
      <c r="B280" t="s">
        <v>49</v>
      </c>
      <c r="C280">
        <v>8</v>
      </c>
      <c r="D280" t="s">
        <v>11346</v>
      </c>
    </row>
    <row r="281" spans="1:4" x14ac:dyDescent="0.2">
      <c r="A281" t="s">
        <v>2502</v>
      </c>
      <c r="B281" t="s">
        <v>49</v>
      </c>
      <c r="C281">
        <v>1</v>
      </c>
      <c r="D281" t="s">
        <v>104</v>
      </c>
    </row>
    <row r="282" spans="1:4" x14ac:dyDescent="0.2">
      <c r="A282" t="s">
        <v>2537</v>
      </c>
      <c r="B282" t="s">
        <v>49</v>
      </c>
      <c r="C282">
        <v>1</v>
      </c>
      <c r="D282" t="s">
        <v>105</v>
      </c>
    </row>
    <row r="283" spans="1:4" x14ac:dyDescent="0.2">
      <c r="A283" t="s">
        <v>2571</v>
      </c>
      <c r="B283" t="s">
        <v>49</v>
      </c>
      <c r="C283">
        <v>1</v>
      </c>
      <c r="D283" t="s">
        <v>104</v>
      </c>
    </row>
    <row r="284" spans="1:4" x14ac:dyDescent="0.2">
      <c r="A284" t="s">
        <v>2623</v>
      </c>
      <c r="B284" t="s">
        <v>49</v>
      </c>
      <c r="C284">
        <v>5</v>
      </c>
      <c r="D284" t="s">
        <v>11347</v>
      </c>
    </row>
    <row r="285" spans="1:4" x14ac:dyDescent="0.2">
      <c r="A285" t="s">
        <v>2726</v>
      </c>
      <c r="B285" t="s">
        <v>49</v>
      </c>
      <c r="C285">
        <v>3</v>
      </c>
      <c r="D285" t="s">
        <v>11348</v>
      </c>
    </row>
    <row r="286" spans="1:4" x14ac:dyDescent="0.2">
      <c r="A286" t="s">
        <v>2727</v>
      </c>
      <c r="B286" t="s">
        <v>49</v>
      </c>
      <c r="C286">
        <v>3</v>
      </c>
      <c r="D286" t="s">
        <v>11349</v>
      </c>
    </row>
    <row r="287" spans="1:4" x14ac:dyDescent="0.2">
      <c r="A287" t="s">
        <v>889</v>
      </c>
      <c r="B287" t="s">
        <v>49</v>
      </c>
      <c r="C287">
        <v>1</v>
      </c>
      <c r="D287" t="s">
        <v>89</v>
      </c>
    </row>
    <row r="288" spans="1:4" x14ac:dyDescent="0.2">
      <c r="A288" t="s">
        <v>890</v>
      </c>
      <c r="B288" t="s">
        <v>49</v>
      </c>
      <c r="C288">
        <v>1</v>
      </c>
      <c r="D288" t="s">
        <v>94</v>
      </c>
    </row>
    <row r="289" spans="1:4" x14ac:dyDescent="0.2">
      <c r="A289" t="s">
        <v>666</v>
      </c>
      <c r="B289" t="s">
        <v>49</v>
      </c>
      <c r="C289">
        <v>5</v>
      </c>
      <c r="D289" t="s">
        <v>11350</v>
      </c>
    </row>
    <row r="290" spans="1:4" x14ac:dyDescent="0.2">
      <c r="A290" t="s">
        <v>779</v>
      </c>
      <c r="B290" t="s">
        <v>49</v>
      </c>
      <c r="C290">
        <v>17</v>
      </c>
      <c r="D290" t="s">
        <v>11351</v>
      </c>
    </row>
    <row r="291" spans="1:4" x14ac:dyDescent="0.2">
      <c r="A291" t="s">
        <v>797</v>
      </c>
      <c r="B291" t="s">
        <v>49</v>
      </c>
      <c r="C291">
        <v>5</v>
      </c>
      <c r="D291" t="s">
        <v>11352</v>
      </c>
    </row>
    <row r="292" spans="1:4" x14ac:dyDescent="0.2">
      <c r="A292" t="s">
        <v>830</v>
      </c>
      <c r="B292" t="s">
        <v>49</v>
      </c>
      <c r="C292">
        <v>3</v>
      </c>
      <c r="D292" t="s">
        <v>11353</v>
      </c>
    </row>
    <row r="293" spans="1:4" x14ac:dyDescent="0.2">
      <c r="A293" t="s">
        <v>868</v>
      </c>
      <c r="B293" t="s">
        <v>49</v>
      </c>
      <c r="C293">
        <v>1</v>
      </c>
      <c r="D293" t="s">
        <v>88</v>
      </c>
    </row>
    <row r="294" spans="1:4" x14ac:dyDescent="0.2">
      <c r="A294" t="s">
        <v>818</v>
      </c>
      <c r="B294" t="s">
        <v>49</v>
      </c>
      <c r="C294">
        <v>5</v>
      </c>
      <c r="D294" t="s">
        <v>11354</v>
      </c>
    </row>
    <row r="295" spans="1:4" x14ac:dyDescent="0.2">
      <c r="A295" t="s">
        <v>644</v>
      </c>
      <c r="B295" t="s">
        <v>49</v>
      </c>
      <c r="C295">
        <v>3</v>
      </c>
      <c r="D295" t="s">
        <v>11355</v>
      </c>
    </row>
    <row r="296" spans="1:4" x14ac:dyDescent="0.2">
      <c r="A296" t="s">
        <v>853</v>
      </c>
      <c r="B296" t="s">
        <v>49</v>
      </c>
      <c r="C296">
        <v>3</v>
      </c>
      <c r="D296" t="s">
        <v>11356</v>
      </c>
    </row>
    <row r="297" spans="1:4" x14ac:dyDescent="0.2">
      <c r="A297" t="s">
        <v>2905</v>
      </c>
      <c r="B297" t="s">
        <v>49</v>
      </c>
      <c r="C297">
        <v>2</v>
      </c>
      <c r="D297" t="s">
        <v>11343</v>
      </c>
    </row>
    <row r="298" spans="1:4" x14ac:dyDescent="0.2">
      <c r="A298" t="s">
        <v>2907</v>
      </c>
      <c r="B298" t="s">
        <v>49</v>
      </c>
      <c r="C298">
        <v>3</v>
      </c>
      <c r="D298" t="s">
        <v>11357</v>
      </c>
    </row>
    <row r="299" spans="1:4" x14ac:dyDescent="0.2">
      <c r="A299" t="s">
        <v>2909</v>
      </c>
      <c r="B299" t="s">
        <v>49</v>
      </c>
      <c r="C299">
        <v>2</v>
      </c>
      <c r="D299" t="s">
        <v>11358</v>
      </c>
    </row>
    <row r="300" spans="1:4" x14ac:dyDescent="0.2">
      <c r="A300" t="s">
        <v>3281</v>
      </c>
      <c r="B300" t="s">
        <v>49</v>
      </c>
      <c r="C300">
        <v>4</v>
      </c>
      <c r="D300" t="s">
        <v>11359</v>
      </c>
    </row>
    <row r="301" spans="1:4" x14ac:dyDescent="0.2">
      <c r="A301" t="s">
        <v>3361</v>
      </c>
      <c r="B301" t="s">
        <v>49</v>
      </c>
      <c r="C301">
        <v>1</v>
      </c>
      <c r="D301" t="s">
        <v>99</v>
      </c>
    </row>
    <row r="302" spans="1:4" x14ac:dyDescent="0.2">
      <c r="A302" t="s">
        <v>3417</v>
      </c>
      <c r="B302" t="s">
        <v>49</v>
      </c>
      <c r="C302">
        <v>8</v>
      </c>
      <c r="D302" t="s">
        <v>11360</v>
      </c>
    </row>
    <row r="303" spans="1:4" x14ac:dyDescent="0.2">
      <c r="A303" t="s">
        <v>3423</v>
      </c>
      <c r="B303" t="s">
        <v>49</v>
      </c>
      <c r="C303">
        <v>3</v>
      </c>
      <c r="D303" t="s">
        <v>11361</v>
      </c>
    </row>
    <row r="304" spans="1:4" x14ac:dyDescent="0.2">
      <c r="A304" t="s">
        <v>3424</v>
      </c>
      <c r="B304" t="s">
        <v>49</v>
      </c>
      <c r="C304">
        <v>4</v>
      </c>
      <c r="D304" t="s">
        <v>11362</v>
      </c>
    </row>
    <row r="305" spans="1:4" x14ac:dyDescent="0.2">
      <c r="A305" t="s">
        <v>858</v>
      </c>
      <c r="B305" t="s">
        <v>49</v>
      </c>
      <c r="C305">
        <v>3</v>
      </c>
      <c r="D305" t="s">
        <v>11363</v>
      </c>
    </row>
    <row r="306" spans="1:4" x14ac:dyDescent="0.2">
      <c r="A306" t="s">
        <v>3429</v>
      </c>
      <c r="B306" t="s">
        <v>49</v>
      </c>
      <c r="C306">
        <v>3</v>
      </c>
      <c r="D306" t="s">
        <v>11364</v>
      </c>
    </row>
    <row r="307" spans="1:4" x14ac:dyDescent="0.2">
      <c r="A307" t="s">
        <v>812</v>
      </c>
      <c r="B307" t="s">
        <v>49</v>
      </c>
      <c r="C307">
        <v>5</v>
      </c>
      <c r="D307" t="s">
        <v>11365</v>
      </c>
    </row>
    <row r="308" spans="1:4" x14ac:dyDescent="0.2">
      <c r="A308" t="s">
        <v>800</v>
      </c>
      <c r="B308" t="s">
        <v>49</v>
      </c>
      <c r="C308">
        <v>2</v>
      </c>
      <c r="D308" t="s">
        <v>11292</v>
      </c>
    </row>
    <row r="309" spans="1:4" x14ac:dyDescent="0.2">
      <c r="A309" t="s">
        <v>3506</v>
      </c>
      <c r="B309" t="s">
        <v>49</v>
      </c>
      <c r="C309">
        <v>5</v>
      </c>
      <c r="D309" t="s">
        <v>11366</v>
      </c>
    </row>
    <row r="310" spans="1:4" x14ac:dyDescent="0.2">
      <c r="A310" t="s">
        <v>3508</v>
      </c>
      <c r="B310" t="s">
        <v>49</v>
      </c>
      <c r="C310">
        <v>4</v>
      </c>
      <c r="D310" t="s">
        <v>11367</v>
      </c>
    </row>
    <row r="311" spans="1:4" x14ac:dyDescent="0.2">
      <c r="A311" t="s">
        <v>3514</v>
      </c>
      <c r="B311" t="s">
        <v>49</v>
      </c>
      <c r="C311">
        <v>7</v>
      </c>
      <c r="D311" t="s">
        <v>11368</v>
      </c>
    </row>
    <row r="312" spans="1:4" x14ac:dyDescent="0.2">
      <c r="A312" t="s">
        <v>458</v>
      </c>
      <c r="B312" t="s">
        <v>49</v>
      </c>
      <c r="C312">
        <v>3</v>
      </c>
      <c r="D312" t="s">
        <v>11369</v>
      </c>
    </row>
    <row r="313" spans="1:4" x14ac:dyDescent="0.2">
      <c r="A313" t="s">
        <v>888</v>
      </c>
      <c r="B313" t="s">
        <v>49</v>
      </c>
      <c r="C313">
        <v>1</v>
      </c>
      <c r="D313" t="s">
        <v>105</v>
      </c>
    </row>
    <row r="314" spans="1:4" x14ac:dyDescent="0.2">
      <c r="A314" t="s">
        <v>882</v>
      </c>
      <c r="B314" t="s">
        <v>49</v>
      </c>
      <c r="C314">
        <v>2</v>
      </c>
      <c r="D314" t="s">
        <v>11032</v>
      </c>
    </row>
    <row r="315" spans="1:4" x14ac:dyDescent="0.2">
      <c r="A315" t="s">
        <v>811</v>
      </c>
      <c r="B315" t="s">
        <v>49</v>
      </c>
      <c r="C315">
        <v>2</v>
      </c>
      <c r="D315" t="s">
        <v>11370</v>
      </c>
    </row>
    <row r="316" spans="1:4" x14ac:dyDescent="0.2">
      <c r="A316" t="s">
        <v>3667</v>
      </c>
      <c r="B316" t="s">
        <v>49</v>
      </c>
      <c r="C316">
        <v>4</v>
      </c>
      <c r="D316" t="s">
        <v>11371</v>
      </c>
    </row>
    <row r="317" spans="1:4" x14ac:dyDescent="0.2">
      <c r="A317" t="s">
        <v>3881</v>
      </c>
      <c r="B317" t="s">
        <v>49</v>
      </c>
      <c r="C317">
        <v>5</v>
      </c>
      <c r="D317" t="s">
        <v>11372</v>
      </c>
    </row>
    <row r="318" spans="1:4" x14ac:dyDescent="0.2">
      <c r="A318" t="s">
        <v>877</v>
      </c>
      <c r="B318" t="s">
        <v>49</v>
      </c>
      <c r="C318">
        <v>8</v>
      </c>
      <c r="D318" t="s">
        <v>11373</v>
      </c>
    </row>
    <row r="319" spans="1:4" x14ac:dyDescent="0.2">
      <c r="A319" t="s">
        <v>477</v>
      </c>
      <c r="B319" t="s">
        <v>49</v>
      </c>
      <c r="C319">
        <v>8</v>
      </c>
      <c r="D319" t="s">
        <v>11374</v>
      </c>
    </row>
    <row r="320" spans="1:4" x14ac:dyDescent="0.2">
      <c r="A320" t="s">
        <v>790</v>
      </c>
      <c r="B320" t="s">
        <v>49</v>
      </c>
      <c r="C320">
        <v>13</v>
      </c>
      <c r="D320" t="s">
        <v>11375</v>
      </c>
    </row>
    <row r="321" spans="1:4" x14ac:dyDescent="0.2">
      <c r="A321" t="s">
        <v>4842</v>
      </c>
      <c r="B321" t="s">
        <v>49</v>
      </c>
      <c r="C321">
        <v>7</v>
      </c>
      <c r="D321" t="s">
        <v>11376</v>
      </c>
    </row>
    <row r="322" spans="1:4" x14ac:dyDescent="0.2">
      <c r="A322" t="s">
        <v>4070</v>
      </c>
      <c r="B322" t="s">
        <v>49</v>
      </c>
      <c r="C322">
        <v>5</v>
      </c>
      <c r="D322" t="s">
        <v>11377</v>
      </c>
    </row>
    <row r="323" spans="1:4" x14ac:dyDescent="0.2">
      <c r="A323" t="s">
        <v>784</v>
      </c>
      <c r="B323" t="s">
        <v>49</v>
      </c>
      <c r="C323">
        <v>4</v>
      </c>
      <c r="D323" t="s">
        <v>11378</v>
      </c>
    </row>
    <row r="324" spans="1:4" x14ac:dyDescent="0.2">
      <c r="A324" t="s">
        <v>577</v>
      </c>
      <c r="B324" t="s">
        <v>49</v>
      </c>
      <c r="C324">
        <v>5</v>
      </c>
      <c r="D324" t="s">
        <v>11379</v>
      </c>
    </row>
    <row r="325" spans="1:4" x14ac:dyDescent="0.2">
      <c r="A325" t="s">
        <v>782</v>
      </c>
      <c r="B325" t="s">
        <v>49</v>
      </c>
      <c r="C325">
        <v>7</v>
      </c>
      <c r="D325" t="s">
        <v>11380</v>
      </c>
    </row>
    <row r="326" spans="1:4" x14ac:dyDescent="0.2">
      <c r="A326" t="s">
        <v>780</v>
      </c>
      <c r="B326" t="s">
        <v>49</v>
      </c>
      <c r="C326">
        <v>7</v>
      </c>
      <c r="D326" t="s">
        <v>11381</v>
      </c>
    </row>
    <row r="327" spans="1:4" x14ac:dyDescent="0.2">
      <c r="A327" t="s">
        <v>592</v>
      </c>
      <c r="B327" t="s">
        <v>49</v>
      </c>
      <c r="C327">
        <v>3</v>
      </c>
      <c r="D327" t="s">
        <v>11382</v>
      </c>
    </row>
    <row r="328" spans="1:4" x14ac:dyDescent="0.2">
      <c r="A328" t="s">
        <v>594</v>
      </c>
      <c r="B328" t="s">
        <v>49</v>
      </c>
      <c r="C328">
        <v>4</v>
      </c>
      <c r="D328" t="s">
        <v>11383</v>
      </c>
    </row>
    <row r="329" spans="1:4" x14ac:dyDescent="0.2">
      <c r="A329" t="s">
        <v>635</v>
      </c>
      <c r="B329" t="s">
        <v>49</v>
      </c>
      <c r="C329">
        <v>3</v>
      </c>
      <c r="D329" t="s">
        <v>11384</v>
      </c>
    </row>
    <row r="330" spans="1:4" x14ac:dyDescent="0.2">
      <c r="A330" t="s">
        <v>276</v>
      </c>
      <c r="B330" t="s">
        <v>49</v>
      </c>
      <c r="C330">
        <v>2</v>
      </c>
      <c r="D330" t="s">
        <v>11329</v>
      </c>
    </row>
    <row r="331" spans="1:4" x14ac:dyDescent="0.2">
      <c r="A331" t="s">
        <v>583</v>
      </c>
      <c r="B331" t="s">
        <v>49</v>
      </c>
      <c r="C331">
        <v>6</v>
      </c>
      <c r="D331" t="s">
        <v>11385</v>
      </c>
    </row>
    <row r="332" spans="1:4" x14ac:dyDescent="0.2">
      <c r="A332" t="s">
        <v>4259</v>
      </c>
      <c r="B332" t="s">
        <v>49</v>
      </c>
      <c r="C332">
        <v>1</v>
      </c>
      <c r="D332" t="s">
        <v>103</v>
      </c>
    </row>
    <row r="333" spans="1:4" x14ac:dyDescent="0.2">
      <c r="A333" t="s">
        <v>357</v>
      </c>
      <c r="B333" t="s">
        <v>49</v>
      </c>
      <c r="C333">
        <v>5</v>
      </c>
      <c r="D333" t="s">
        <v>11386</v>
      </c>
    </row>
    <row r="334" spans="1:4" x14ac:dyDescent="0.2">
      <c r="A334" t="s">
        <v>362</v>
      </c>
      <c r="B334" t="s">
        <v>49</v>
      </c>
      <c r="C334">
        <v>4</v>
      </c>
      <c r="D334" t="s">
        <v>11387</v>
      </c>
    </row>
    <row r="335" spans="1:4" x14ac:dyDescent="0.2">
      <c r="A335" t="s">
        <v>216</v>
      </c>
      <c r="B335" t="s">
        <v>49</v>
      </c>
      <c r="C335">
        <v>2</v>
      </c>
      <c r="D335" t="s">
        <v>11370</v>
      </c>
    </row>
    <row r="336" spans="1:4" x14ac:dyDescent="0.2">
      <c r="A336" t="s">
        <v>212</v>
      </c>
      <c r="B336" t="s">
        <v>49</v>
      </c>
      <c r="C336">
        <v>2</v>
      </c>
      <c r="D336" t="s">
        <v>11388</v>
      </c>
    </row>
    <row r="337" spans="1:4" x14ac:dyDescent="0.2">
      <c r="A337" t="s">
        <v>214</v>
      </c>
      <c r="B337" t="s">
        <v>49</v>
      </c>
      <c r="C337">
        <v>3</v>
      </c>
      <c r="D337" t="s">
        <v>11389</v>
      </c>
    </row>
    <row r="338" spans="1:4" x14ac:dyDescent="0.2">
      <c r="A338" t="s">
        <v>4312</v>
      </c>
      <c r="B338" t="s">
        <v>49</v>
      </c>
      <c r="C338">
        <v>3</v>
      </c>
      <c r="D338" t="s">
        <v>11390</v>
      </c>
    </row>
    <row r="339" spans="1:4" x14ac:dyDescent="0.2">
      <c r="A339" t="s">
        <v>4318</v>
      </c>
      <c r="B339" t="s">
        <v>49</v>
      </c>
      <c r="C339">
        <v>1</v>
      </c>
      <c r="D339" t="s">
        <v>94</v>
      </c>
    </row>
    <row r="340" spans="1:4" x14ac:dyDescent="0.2">
      <c r="A340" t="s">
        <v>4319</v>
      </c>
      <c r="B340" t="s">
        <v>49</v>
      </c>
      <c r="C340">
        <v>1</v>
      </c>
      <c r="D340" t="s">
        <v>94</v>
      </c>
    </row>
    <row r="341" spans="1:4" x14ac:dyDescent="0.2">
      <c r="A341" t="s">
        <v>872</v>
      </c>
      <c r="B341" t="s">
        <v>49</v>
      </c>
      <c r="C341">
        <v>3</v>
      </c>
      <c r="D341" t="s">
        <v>11391</v>
      </c>
    </row>
    <row r="342" spans="1:4" x14ac:dyDescent="0.2">
      <c r="A342" t="s">
        <v>4335</v>
      </c>
      <c r="B342" t="s">
        <v>49</v>
      </c>
      <c r="C342">
        <v>6</v>
      </c>
      <c r="D342" t="s">
        <v>11392</v>
      </c>
    </row>
    <row r="343" spans="1:4" x14ac:dyDescent="0.2">
      <c r="A343" t="s">
        <v>360</v>
      </c>
      <c r="B343" t="s">
        <v>49</v>
      </c>
      <c r="C343">
        <v>2</v>
      </c>
      <c r="D343" t="s">
        <v>11393</v>
      </c>
    </row>
    <row r="344" spans="1:4" x14ac:dyDescent="0.2">
      <c r="A344" t="s">
        <v>633</v>
      </c>
      <c r="B344" t="s">
        <v>49</v>
      </c>
      <c r="C344">
        <v>1</v>
      </c>
      <c r="D344" t="s">
        <v>93</v>
      </c>
    </row>
    <row r="345" spans="1:4" x14ac:dyDescent="0.2">
      <c r="A345" t="s">
        <v>456</v>
      </c>
      <c r="B345" t="s">
        <v>49</v>
      </c>
      <c r="C345">
        <v>2</v>
      </c>
      <c r="D345" t="s">
        <v>11394</v>
      </c>
    </row>
    <row r="346" spans="1:4" x14ac:dyDescent="0.2">
      <c r="A346" t="s">
        <v>473</v>
      </c>
      <c r="B346" t="s">
        <v>49</v>
      </c>
      <c r="C346">
        <v>4</v>
      </c>
      <c r="D346" t="s">
        <v>11395</v>
      </c>
    </row>
    <row r="347" spans="1:4" x14ac:dyDescent="0.2">
      <c r="A347" t="s">
        <v>4379</v>
      </c>
      <c r="B347" t="s">
        <v>49</v>
      </c>
      <c r="C347">
        <v>4</v>
      </c>
      <c r="D347" t="s">
        <v>11396</v>
      </c>
    </row>
    <row r="348" spans="1:4" x14ac:dyDescent="0.2">
      <c r="A348" t="s">
        <v>876</v>
      </c>
      <c r="B348" t="s">
        <v>49</v>
      </c>
      <c r="C348">
        <v>1</v>
      </c>
      <c r="D348" t="s">
        <v>97</v>
      </c>
    </row>
    <row r="349" spans="1:4" x14ac:dyDescent="0.2">
      <c r="A349" t="s">
        <v>4391</v>
      </c>
      <c r="B349" t="s">
        <v>49</v>
      </c>
      <c r="C349">
        <v>14</v>
      </c>
      <c r="D349" t="s">
        <v>11397</v>
      </c>
    </row>
    <row r="350" spans="1:4" x14ac:dyDescent="0.2">
      <c r="A350" t="s">
        <v>4392</v>
      </c>
      <c r="B350" t="s">
        <v>49</v>
      </c>
      <c r="C350">
        <v>14</v>
      </c>
      <c r="D350" t="s">
        <v>11398</v>
      </c>
    </row>
    <row r="351" spans="1:4" x14ac:dyDescent="0.2">
      <c r="A351" t="s">
        <v>403</v>
      </c>
      <c r="B351" t="s">
        <v>49</v>
      </c>
      <c r="C351">
        <v>1</v>
      </c>
      <c r="D351" t="s">
        <v>87</v>
      </c>
    </row>
    <row r="352" spans="1:4" x14ac:dyDescent="0.2">
      <c r="A352" t="s">
        <v>913</v>
      </c>
      <c r="B352" t="s">
        <v>49</v>
      </c>
      <c r="C352">
        <v>1</v>
      </c>
      <c r="D352" t="s">
        <v>92</v>
      </c>
    </row>
    <row r="353" spans="1:4" x14ac:dyDescent="0.2">
      <c r="A353" t="s">
        <v>358</v>
      </c>
      <c r="B353" t="s">
        <v>49</v>
      </c>
      <c r="C353">
        <v>2</v>
      </c>
      <c r="D353" t="s">
        <v>11399</v>
      </c>
    </row>
    <row r="354" spans="1:4" x14ac:dyDescent="0.2">
      <c r="A354" t="s">
        <v>614</v>
      </c>
      <c r="B354" t="s">
        <v>49</v>
      </c>
      <c r="C354">
        <v>1</v>
      </c>
      <c r="D354" t="s">
        <v>99</v>
      </c>
    </row>
    <row r="355" spans="1:4" x14ac:dyDescent="0.2">
      <c r="A355" t="s">
        <v>4947</v>
      </c>
      <c r="B355" t="s">
        <v>49</v>
      </c>
      <c r="C355">
        <v>1</v>
      </c>
      <c r="D355" t="s">
        <v>89</v>
      </c>
    </row>
    <row r="356" spans="1:4" x14ac:dyDescent="0.2">
      <c r="A356" t="s">
        <v>4431</v>
      </c>
      <c r="B356" t="s">
        <v>49</v>
      </c>
      <c r="C356">
        <v>1</v>
      </c>
      <c r="D356" t="s">
        <v>88</v>
      </c>
    </row>
    <row r="357" spans="1:4" x14ac:dyDescent="0.2">
      <c r="A357" t="s">
        <v>4433</v>
      </c>
      <c r="B357" t="s">
        <v>49</v>
      </c>
      <c r="C357">
        <v>1</v>
      </c>
      <c r="D357" t="s">
        <v>104</v>
      </c>
    </row>
    <row r="358" spans="1:4" x14ac:dyDescent="0.2">
      <c r="A358" t="s">
        <v>810</v>
      </c>
      <c r="B358" t="s">
        <v>49</v>
      </c>
      <c r="C358">
        <v>3</v>
      </c>
      <c r="D358" t="s">
        <v>11400</v>
      </c>
    </row>
    <row r="359" spans="1:4" x14ac:dyDescent="0.2">
      <c r="A359" t="s">
        <v>795</v>
      </c>
      <c r="B359" t="s">
        <v>49</v>
      </c>
      <c r="C359">
        <v>4</v>
      </c>
      <c r="D359" t="s">
        <v>11401</v>
      </c>
    </row>
    <row r="360" spans="1:4" x14ac:dyDescent="0.2">
      <c r="A360" t="s">
        <v>796</v>
      </c>
      <c r="B360" t="s">
        <v>49</v>
      </c>
      <c r="C360">
        <v>2</v>
      </c>
      <c r="D360" t="s">
        <v>11402</v>
      </c>
    </row>
    <row r="361" spans="1:4" x14ac:dyDescent="0.2">
      <c r="A361" t="s">
        <v>4435</v>
      </c>
      <c r="B361" t="s">
        <v>49</v>
      </c>
      <c r="C361">
        <v>2</v>
      </c>
      <c r="D361" t="s">
        <v>11403</v>
      </c>
    </row>
    <row r="362" spans="1:4" x14ac:dyDescent="0.2">
      <c r="A362" t="s">
        <v>4436</v>
      </c>
      <c r="B362" t="s">
        <v>49</v>
      </c>
      <c r="C362">
        <v>4</v>
      </c>
      <c r="D362" t="s">
        <v>11404</v>
      </c>
    </row>
    <row r="363" spans="1:4" x14ac:dyDescent="0.2">
      <c r="A363" t="s">
        <v>280</v>
      </c>
      <c r="B363" t="s">
        <v>49</v>
      </c>
      <c r="C363">
        <v>3</v>
      </c>
      <c r="D363" t="s">
        <v>11405</v>
      </c>
    </row>
    <row r="364" spans="1:4" x14ac:dyDescent="0.2">
      <c r="A364" t="s">
        <v>234</v>
      </c>
      <c r="B364" t="s">
        <v>49</v>
      </c>
      <c r="C364">
        <v>2</v>
      </c>
      <c r="D364" t="s">
        <v>11406</v>
      </c>
    </row>
    <row r="365" spans="1:4" x14ac:dyDescent="0.2">
      <c r="A365" t="s">
        <v>273</v>
      </c>
      <c r="B365" t="s">
        <v>49</v>
      </c>
      <c r="C365">
        <v>3</v>
      </c>
      <c r="D365" t="s">
        <v>11407</v>
      </c>
    </row>
    <row r="366" spans="1:4" x14ac:dyDescent="0.2">
      <c r="A366" t="s">
        <v>4485</v>
      </c>
      <c r="B366" t="s">
        <v>49</v>
      </c>
      <c r="C366">
        <v>4</v>
      </c>
      <c r="D366" t="s">
        <v>11408</v>
      </c>
    </row>
    <row r="367" spans="1:4" x14ac:dyDescent="0.2">
      <c r="A367" t="s">
        <v>4486</v>
      </c>
      <c r="B367" t="s">
        <v>49</v>
      </c>
      <c r="C367">
        <v>5</v>
      </c>
      <c r="D367" t="s">
        <v>11409</v>
      </c>
    </row>
    <row r="368" spans="1:4" x14ac:dyDescent="0.2">
      <c r="A368" t="s">
        <v>4531</v>
      </c>
      <c r="B368" t="s">
        <v>49</v>
      </c>
      <c r="C368">
        <v>1</v>
      </c>
      <c r="D368" t="s">
        <v>84</v>
      </c>
    </row>
    <row r="369" spans="1:4" x14ac:dyDescent="0.2">
      <c r="A369" t="s">
        <v>655</v>
      </c>
      <c r="B369" t="s">
        <v>49</v>
      </c>
      <c r="C369">
        <v>1</v>
      </c>
      <c r="D369" t="s">
        <v>97</v>
      </c>
    </row>
    <row r="370" spans="1:4" x14ac:dyDescent="0.2">
      <c r="A370" t="s">
        <v>4563</v>
      </c>
      <c r="B370" t="s">
        <v>49</v>
      </c>
      <c r="C370">
        <v>1</v>
      </c>
      <c r="D370" t="s">
        <v>97</v>
      </c>
    </row>
    <row r="371" spans="1:4" x14ac:dyDescent="0.2">
      <c r="A371" t="s">
        <v>660</v>
      </c>
      <c r="B371" t="s">
        <v>49</v>
      </c>
      <c r="C371">
        <v>1</v>
      </c>
      <c r="D371" t="s">
        <v>84</v>
      </c>
    </row>
    <row r="372" spans="1:4" x14ac:dyDescent="0.2">
      <c r="A372" t="s">
        <v>604</v>
      </c>
      <c r="B372" t="s">
        <v>49</v>
      </c>
      <c r="C372">
        <v>1</v>
      </c>
      <c r="D372" t="s">
        <v>88</v>
      </c>
    </row>
    <row r="373" spans="1:4" x14ac:dyDescent="0.2">
      <c r="A373" t="s">
        <v>4565</v>
      </c>
      <c r="B373" t="s">
        <v>49</v>
      </c>
      <c r="C373">
        <v>1</v>
      </c>
      <c r="D373" t="s">
        <v>98</v>
      </c>
    </row>
    <row r="374" spans="1:4" x14ac:dyDescent="0.2">
      <c r="A374" t="s">
        <v>617</v>
      </c>
      <c r="B374" t="s">
        <v>49</v>
      </c>
      <c r="C374">
        <v>1</v>
      </c>
      <c r="D374" t="s">
        <v>99</v>
      </c>
    </row>
    <row r="375" spans="1:4" x14ac:dyDescent="0.2">
      <c r="A375" t="s">
        <v>4583</v>
      </c>
      <c r="B375" t="s">
        <v>49</v>
      </c>
      <c r="C375">
        <v>1</v>
      </c>
      <c r="D375" t="s">
        <v>97</v>
      </c>
    </row>
    <row r="376" spans="1:4" x14ac:dyDescent="0.2">
      <c r="A376" t="s">
        <v>4589</v>
      </c>
      <c r="B376" t="s">
        <v>49</v>
      </c>
      <c r="C376">
        <v>1</v>
      </c>
      <c r="D376" t="s">
        <v>84</v>
      </c>
    </row>
    <row r="377" spans="1:4" x14ac:dyDescent="0.2">
      <c r="A377" t="s">
        <v>225</v>
      </c>
      <c r="B377" t="s">
        <v>49</v>
      </c>
      <c r="C377">
        <v>5</v>
      </c>
      <c r="D377" t="s">
        <v>11410</v>
      </c>
    </row>
    <row r="378" spans="1:4" x14ac:dyDescent="0.2">
      <c r="A378" t="s">
        <v>226</v>
      </c>
      <c r="B378" t="s">
        <v>49</v>
      </c>
      <c r="C378">
        <v>3</v>
      </c>
      <c r="D378" t="s">
        <v>11411</v>
      </c>
    </row>
    <row r="379" spans="1:4" x14ac:dyDescent="0.2">
      <c r="A379" t="s">
        <v>4607</v>
      </c>
      <c r="B379" t="s">
        <v>49</v>
      </c>
      <c r="C379">
        <v>1</v>
      </c>
      <c r="D379" t="s">
        <v>92</v>
      </c>
    </row>
    <row r="380" spans="1:4" x14ac:dyDescent="0.2">
      <c r="A380" t="s">
        <v>326</v>
      </c>
      <c r="B380" t="s">
        <v>49</v>
      </c>
      <c r="C380">
        <v>8</v>
      </c>
      <c r="D380" t="s">
        <v>11412</v>
      </c>
    </row>
    <row r="381" spans="1:4" x14ac:dyDescent="0.2">
      <c r="A381" t="s">
        <v>365</v>
      </c>
      <c r="B381" t="s">
        <v>49</v>
      </c>
      <c r="C381">
        <v>2</v>
      </c>
      <c r="D381" t="s">
        <v>5944</v>
      </c>
    </row>
    <row r="382" spans="1:4" x14ac:dyDescent="0.2">
      <c r="A382" t="s">
        <v>299</v>
      </c>
      <c r="B382" t="s">
        <v>49</v>
      </c>
      <c r="C382">
        <v>2</v>
      </c>
      <c r="D382" t="s">
        <v>11413</v>
      </c>
    </row>
    <row r="383" spans="1:4" x14ac:dyDescent="0.2">
      <c r="A383" t="s">
        <v>304</v>
      </c>
      <c r="B383" t="s">
        <v>49</v>
      </c>
      <c r="C383">
        <v>8</v>
      </c>
      <c r="D383" t="s">
        <v>11414</v>
      </c>
    </row>
    <row r="384" spans="1:4" x14ac:dyDescent="0.2">
      <c r="A384" t="s">
        <v>819</v>
      </c>
      <c r="B384" t="s">
        <v>49</v>
      </c>
      <c r="C384">
        <v>2</v>
      </c>
      <c r="D384" t="s">
        <v>11262</v>
      </c>
    </row>
    <row r="385" spans="1:4" x14ac:dyDescent="0.2">
      <c r="A385" t="s">
        <v>820</v>
      </c>
      <c r="B385" t="s">
        <v>49</v>
      </c>
      <c r="C385">
        <v>2</v>
      </c>
      <c r="D385" t="s">
        <v>11415</v>
      </c>
    </row>
    <row r="386" spans="1:4" x14ac:dyDescent="0.2">
      <c r="A386" t="s">
        <v>4652</v>
      </c>
      <c r="B386" t="s">
        <v>49</v>
      </c>
      <c r="C386">
        <v>1</v>
      </c>
      <c r="D386" t="s">
        <v>103</v>
      </c>
    </row>
    <row r="387" spans="1:4" x14ac:dyDescent="0.2">
      <c r="A387" t="s">
        <v>231</v>
      </c>
      <c r="B387" t="s">
        <v>49</v>
      </c>
      <c r="C387">
        <v>1</v>
      </c>
      <c r="D387" t="s">
        <v>104</v>
      </c>
    </row>
    <row r="388" spans="1:4" x14ac:dyDescent="0.2">
      <c r="A388" t="s">
        <v>466</v>
      </c>
      <c r="B388" t="s">
        <v>49</v>
      </c>
      <c r="C388">
        <v>3</v>
      </c>
      <c r="D388" t="s">
        <v>11416</v>
      </c>
    </row>
    <row r="389" spans="1:4" x14ac:dyDescent="0.2">
      <c r="A389" t="s">
        <v>468</v>
      </c>
      <c r="B389" t="s">
        <v>49</v>
      </c>
      <c r="C389">
        <v>2</v>
      </c>
      <c r="D389" t="s">
        <v>11417</v>
      </c>
    </row>
    <row r="390" spans="1:4" x14ac:dyDescent="0.2">
      <c r="A390" t="s">
        <v>232</v>
      </c>
      <c r="B390" t="s">
        <v>49</v>
      </c>
      <c r="C390">
        <v>3</v>
      </c>
      <c r="D390" t="s">
        <v>11418</v>
      </c>
    </row>
    <row r="391" spans="1:4" x14ac:dyDescent="0.2">
      <c r="A391" t="s">
        <v>236</v>
      </c>
      <c r="B391" t="s">
        <v>49</v>
      </c>
      <c r="C391">
        <v>3</v>
      </c>
      <c r="D391" t="s">
        <v>11419</v>
      </c>
    </row>
    <row r="392" spans="1:4" x14ac:dyDescent="0.2">
      <c r="A392" t="s">
        <v>4684</v>
      </c>
      <c r="B392" t="s">
        <v>49</v>
      </c>
      <c r="C392">
        <v>6</v>
      </c>
      <c r="D392" t="s">
        <v>11420</v>
      </c>
    </row>
    <row r="393" spans="1:4" x14ac:dyDescent="0.2">
      <c r="A393" t="s">
        <v>787</v>
      </c>
      <c r="B393" t="s">
        <v>49</v>
      </c>
      <c r="C393">
        <v>3</v>
      </c>
      <c r="D393" t="s">
        <v>11421</v>
      </c>
    </row>
    <row r="394" spans="1:4" x14ac:dyDescent="0.2">
      <c r="A394" t="s">
        <v>364</v>
      </c>
      <c r="B394" t="s">
        <v>49</v>
      </c>
      <c r="C394">
        <v>5</v>
      </c>
      <c r="D394" t="s">
        <v>11422</v>
      </c>
    </row>
    <row r="395" spans="1:4" x14ac:dyDescent="0.2">
      <c r="A395" t="s">
        <v>542</v>
      </c>
      <c r="B395" t="s">
        <v>49</v>
      </c>
      <c r="C395">
        <v>13</v>
      </c>
      <c r="D395" t="s">
        <v>11423</v>
      </c>
    </row>
    <row r="396" spans="1:4" x14ac:dyDescent="0.2">
      <c r="A396" t="s">
        <v>544</v>
      </c>
      <c r="B396" t="s">
        <v>49</v>
      </c>
      <c r="C396">
        <v>1</v>
      </c>
      <c r="D396" t="s">
        <v>95</v>
      </c>
    </row>
    <row r="397" spans="1:4" x14ac:dyDescent="0.2">
      <c r="A397" t="s">
        <v>554</v>
      </c>
      <c r="B397" t="s">
        <v>49</v>
      </c>
      <c r="C397">
        <v>2</v>
      </c>
      <c r="D397" t="s">
        <v>11424</v>
      </c>
    </row>
    <row r="398" spans="1:4" x14ac:dyDescent="0.2">
      <c r="A398" t="s">
        <v>4675</v>
      </c>
      <c r="B398" t="s">
        <v>49</v>
      </c>
      <c r="C398">
        <v>2</v>
      </c>
      <c r="D398" t="s">
        <v>11425</v>
      </c>
    </row>
    <row r="399" spans="1:4" x14ac:dyDescent="0.2">
      <c r="A399" t="s">
        <v>540</v>
      </c>
      <c r="B399" t="s">
        <v>49</v>
      </c>
      <c r="C399">
        <v>9</v>
      </c>
      <c r="D399" t="s">
        <v>11426</v>
      </c>
    </row>
    <row r="400" spans="1:4" x14ac:dyDescent="0.2">
      <c r="A400" t="s">
        <v>589</v>
      </c>
      <c r="B400" t="s">
        <v>49</v>
      </c>
      <c r="C400">
        <v>5</v>
      </c>
      <c r="D400" t="s">
        <v>11427</v>
      </c>
    </row>
    <row r="401" spans="1:4" x14ac:dyDescent="0.2">
      <c r="A401" t="s">
        <v>587</v>
      </c>
      <c r="B401" t="s">
        <v>49</v>
      </c>
      <c r="C401">
        <v>9</v>
      </c>
      <c r="D401" t="s">
        <v>11428</v>
      </c>
    </row>
    <row r="402" spans="1:4" x14ac:dyDescent="0.2">
      <c r="A402" t="s">
        <v>639</v>
      </c>
      <c r="B402" t="s">
        <v>49</v>
      </c>
      <c r="C402">
        <v>4</v>
      </c>
      <c r="D402" t="s">
        <v>11429</v>
      </c>
    </row>
    <row r="403" spans="1:4" x14ac:dyDescent="0.2">
      <c r="A403" t="s">
        <v>624</v>
      </c>
      <c r="B403" t="s">
        <v>49</v>
      </c>
      <c r="C403">
        <v>2</v>
      </c>
      <c r="D403" t="s">
        <v>11430</v>
      </c>
    </row>
    <row r="404" spans="1:4" x14ac:dyDescent="0.2">
      <c r="A404" t="s">
        <v>4950</v>
      </c>
      <c r="B404" t="s">
        <v>49</v>
      </c>
      <c r="C404">
        <v>1</v>
      </c>
      <c r="D404" t="s">
        <v>97</v>
      </c>
    </row>
    <row r="405" spans="1:4" x14ac:dyDescent="0.2">
      <c r="A405" t="s">
        <v>832</v>
      </c>
      <c r="B405" t="s">
        <v>49</v>
      </c>
      <c r="C405">
        <v>1</v>
      </c>
      <c r="D405" t="s">
        <v>105</v>
      </c>
    </row>
    <row r="406" spans="1:4" x14ac:dyDescent="0.2">
      <c r="A406" t="s">
        <v>628</v>
      </c>
      <c r="B406" t="s">
        <v>49</v>
      </c>
      <c r="C406">
        <v>3</v>
      </c>
      <c r="D406" t="s">
        <v>11431</v>
      </c>
    </row>
    <row r="407" spans="1:4" x14ac:dyDescent="0.2">
      <c r="A407" t="s">
        <v>609</v>
      </c>
      <c r="B407" t="s">
        <v>49</v>
      </c>
      <c r="C407">
        <v>2</v>
      </c>
      <c r="D407" t="s">
        <v>11432</v>
      </c>
    </row>
    <row r="408" spans="1:4" x14ac:dyDescent="0.2">
      <c r="A408" t="s">
        <v>814</v>
      </c>
      <c r="B408" t="s">
        <v>49</v>
      </c>
      <c r="C408">
        <v>2</v>
      </c>
      <c r="D408" t="s">
        <v>11433</v>
      </c>
    </row>
    <row r="409" spans="1:4" x14ac:dyDescent="0.2">
      <c r="A409" t="s">
        <v>808</v>
      </c>
      <c r="B409" t="s">
        <v>49</v>
      </c>
      <c r="C409">
        <v>2</v>
      </c>
      <c r="D409" t="s">
        <v>11434</v>
      </c>
    </row>
    <row r="410" spans="1:4" x14ac:dyDescent="0.2">
      <c r="A410" t="s">
        <v>621</v>
      </c>
      <c r="B410" t="s">
        <v>49</v>
      </c>
      <c r="C410">
        <v>2</v>
      </c>
      <c r="D410" t="s">
        <v>11435</v>
      </c>
    </row>
    <row r="411" spans="1:4" x14ac:dyDescent="0.2">
      <c r="A411" t="s">
        <v>600</v>
      </c>
      <c r="B411" t="s">
        <v>49</v>
      </c>
      <c r="C411">
        <v>1</v>
      </c>
      <c r="D411" t="s">
        <v>100</v>
      </c>
    </row>
    <row r="412" spans="1:4" x14ac:dyDescent="0.2">
      <c r="A412" t="s">
        <v>864</v>
      </c>
      <c r="B412" t="s">
        <v>49</v>
      </c>
      <c r="C412">
        <v>1</v>
      </c>
      <c r="D412" t="s">
        <v>88</v>
      </c>
    </row>
    <row r="413" spans="1:4" x14ac:dyDescent="0.2">
      <c r="A413" t="s">
        <v>886</v>
      </c>
      <c r="B413" t="s">
        <v>49</v>
      </c>
      <c r="C413">
        <v>1</v>
      </c>
      <c r="D413" t="s">
        <v>98</v>
      </c>
    </row>
    <row r="414" spans="1:4" x14ac:dyDescent="0.2">
      <c r="A414" t="s">
        <v>816</v>
      </c>
      <c r="B414" t="s">
        <v>49</v>
      </c>
      <c r="C414">
        <v>1</v>
      </c>
      <c r="D414" t="s">
        <v>105</v>
      </c>
    </row>
    <row r="415" spans="1:4" x14ac:dyDescent="0.2">
      <c r="A415" t="s">
        <v>371</v>
      </c>
      <c r="B415" t="s">
        <v>49</v>
      </c>
      <c r="C415">
        <v>2</v>
      </c>
      <c r="D415" t="s">
        <v>11432</v>
      </c>
    </row>
    <row r="416" spans="1:4" x14ac:dyDescent="0.2">
      <c r="A416" t="s">
        <v>645</v>
      </c>
      <c r="B416" t="s">
        <v>49</v>
      </c>
      <c r="C416">
        <v>1</v>
      </c>
      <c r="D416" t="s">
        <v>94</v>
      </c>
    </row>
    <row r="417" spans="1:4" x14ac:dyDescent="0.2">
      <c r="A417" t="s">
        <v>529</v>
      </c>
      <c r="B417" t="s">
        <v>49</v>
      </c>
      <c r="C417">
        <v>6</v>
      </c>
      <c r="D417" t="s">
        <v>11436</v>
      </c>
    </row>
    <row r="418" spans="1:4" x14ac:dyDescent="0.2">
      <c r="A418" t="s">
        <v>516</v>
      </c>
      <c r="B418" t="s">
        <v>49</v>
      </c>
      <c r="C418">
        <v>2</v>
      </c>
      <c r="D418" t="s">
        <v>11437</v>
      </c>
    </row>
    <row r="419" spans="1:4" x14ac:dyDescent="0.2">
      <c r="A419" t="s">
        <v>850</v>
      </c>
      <c r="B419" t="s">
        <v>49</v>
      </c>
      <c r="C419">
        <v>5</v>
      </c>
      <c r="D419" t="s">
        <v>11438</v>
      </c>
    </row>
    <row r="420" spans="1:4" x14ac:dyDescent="0.2">
      <c r="A420" t="s">
        <v>898</v>
      </c>
      <c r="B420" t="s">
        <v>49</v>
      </c>
      <c r="C420">
        <v>6</v>
      </c>
      <c r="D420" t="s">
        <v>11439</v>
      </c>
    </row>
    <row r="421" spans="1:4" x14ac:dyDescent="0.2">
      <c r="A421" t="s">
        <v>401</v>
      </c>
      <c r="B421" t="s">
        <v>49</v>
      </c>
      <c r="C421">
        <v>4</v>
      </c>
      <c r="D421" t="s">
        <v>11440</v>
      </c>
    </row>
    <row r="422" spans="1:4" x14ac:dyDescent="0.2">
      <c r="A422" t="s">
        <v>399</v>
      </c>
      <c r="B422" t="s">
        <v>49</v>
      </c>
      <c r="C422">
        <v>2</v>
      </c>
      <c r="D422" t="s">
        <v>11335</v>
      </c>
    </row>
    <row r="423" spans="1:4" x14ac:dyDescent="0.2">
      <c r="A423" t="s">
        <v>524</v>
      </c>
      <c r="B423" t="s">
        <v>49</v>
      </c>
      <c r="C423">
        <v>3</v>
      </c>
      <c r="D423" t="s">
        <v>11441</v>
      </c>
    </row>
    <row r="424" spans="1:4" x14ac:dyDescent="0.2">
      <c r="A424" t="s">
        <v>519</v>
      </c>
      <c r="B424" t="s">
        <v>49</v>
      </c>
      <c r="C424">
        <v>2</v>
      </c>
      <c r="D424" t="s">
        <v>11442</v>
      </c>
    </row>
    <row r="425" spans="1:4" x14ac:dyDescent="0.2">
      <c r="A425" t="s">
        <v>515</v>
      </c>
      <c r="B425" t="s">
        <v>49</v>
      </c>
      <c r="C425">
        <v>3</v>
      </c>
      <c r="D425" t="s">
        <v>11443</v>
      </c>
    </row>
    <row r="426" spans="1:4" x14ac:dyDescent="0.2">
      <c r="A426" t="s">
        <v>826</v>
      </c>
      <c r="B426" t="s">
        <v>49</v>
      </c>
      <c r="C426">
        <v>1</v>
      </c>
      <c r="D426" t="s">
        <v>89</v>
      </c>
    </row>
    <row r="427" spans="1:4" x14ac:dyDescent="0.2">
      <c r="A427" t="s">
        <v>576</v>
      </c>
      <c r="B427" t="s">
        <v>49</v>
      </c>
      <c r="C427">
        <v>1</v>
      </c>
      <c r="D427" t="s">
        <v>90</v>
      </c>
    </row>
    <row r="428" spans="1:4" x14ac:dyDescent="0.2">
      <c r="A428" t="s">
        <v>5008</v>
      </c>
      <c r="B428" t="s">
        <v>49</v>
      </c>
      <c r="C428">
        <v>3</v>
      </c>
      <c r="D428" t="s">
        <v>11444</v>
      </c>
    </row>
    <row r="429" spans="1:4" x14ac:dyDescent="0.2">
      <c r="A429" t="s">
        <v>5028</v>
      </c>
      <c r="B429" t="s">
        <v>49</v>
      </c>
      <c r="C429">
        <v>1</v>
      </c>
      <c r="D429" t="s">
        <v>89</v>
      </c>
    </row>
    <row r="430" spans="1:4" x14ac:dyDescent="0.2">
      <c r="A430" t="s">
        <v>5040</v>
      </c>
      <c r="B430" t="s">
        <v>49</v>
      </c>
      <c r="C430">
        <v>5</v>
      </c>
      <c r="D430" t="s">
        <v>11445</v>
      </c>
    </row>
    <row r="431" spans="1:4" x14ac:dyDescent="0.2">
      <c r="A431" t="s">
        <v>5042</v>
      </c>
      <c r="B431" t="s">
        <v>49</v>
      </c>
      <c r="C431">
        <v>3</v>
      </c>
      <c r="D431" t="s">
        <v>11446</v>
      </c>
    </row>
    <row r="432" spans="1:4" x14ac:dyDescent="0.2">
      <c r="A432" t="s">
        <v>5117</v>
      </c>
      <c r="B432" t="s">
        <v>49</v>
      </c>
      <c r="C432">
        <v>10</v>
      </c>
      <c r="D432" t="s">
        <v>11447</v>
      </c>
    </row>
    <row r="433" spans="1:4" x14ac:dyDescent="0.2">
      <c r="A433" t="s">
        <v>5119</v>
      </c>
      <c r="B433" t="s">
        <v>49</v>
      </c>
      <c r="C433">
        <v>6</v>
      </c>
      <c r="D433" t="s">
        <v>11448</v>
      </c>
    </row>
    <row r="434" spans="1:4" x14ac:dyDescent="0.2">
      <c r="A434" t="s">
        <v>5129</v>
      </c>
      <c r="B434" t="s">
        <v>49</v>
      </c>
      <c r="C434">
        <v>2</v>
      </c>
      <c r="D434" t="s">
        <v>11449</v>
      </c>
    </row>
    <row r="435" spans="1:4" x14ac:dyDescent="0.2">
      <c r="A435" t="s">
        <v>5131</v>
      </c>
      <c r="B435" t="s">
        <v>49</v>
      </c>
      <c r="C435">
        <v>10</v>
      </c>
      <c r="D435" t="s">
        <v>11450</v>
      </c>
    </row>
    <row r="436" spans="1:4" x14ac:dyDescent="0.2">
      <c r="A436" t="s">
        <v>5160</v>
      </c>
      <c r="B436" t="s">
        <v>49</v>
      </c>
      <c r="C436">
        <v>4</v>
      </c>
      <c r="D436" t="s">
        <v>11451</v>
      </c>
    </row>
    <row r="437" spans="1:4" x14ac:dyDescent="0.2">
      <c r="A437" t="s">
        <v>5176</v>
      </c>
      <c r="B437" t="s">
        <v>49</v>
      </c>
      <c r="C437">
        <v>1</v>
      </c>
      <c r="D437" t="s">
        <v>93</v>
      </c>
    </row>
    <row r="438" spans="1:4" x14ac:dyDescent="0.2">
      <c r="A438" t="s">
        <v>5178</v>
      </c>
      <c r="B438" t="s">
        <v>49</v>
      </c>
      <c r="C438">
        <v>1</v>
      </c>
      <c r="D438" t="s">
        <v>88</v>
      </c>
    </row>
    <row r="439" spans="1:4" x14ac:dyDescent="0.2">
      <c r="A439" t="s">
        <v>5181</v>
      </c>
      <c r="B439" t="s">
        <v>49</v>
      </c>
      <c r="C439">
        <v>10</v>
      </c>
      <c r="D439" t="s">
        <v>11452</v>
      </c>
    </row>
    <row r="440" spans="1:4" x14ac:dyDescent="0.2">
      <c r="A440" t="s">
        <v>5962</v>
      </c>
      <c r="B440" t="s">
        <v>49</v>
      </c>
      <c r="C440">
        <v>3</v>
      </c>
      <c r="D440" t="s">
        <v>11453</v>
      </c>
    </row>
    <row r="441" spans="1:4" x14ac:dyDescent="0.2">
      <c r="A441" t="s">
        <v>5981</v>
      </c>
      <c r="B441" t="s">
        <v>49</v>
      </c>
      <c r="C441">
        <v>3</v>
      </c>
      <c r="D441" t="s">
        <v>11454</v>
      </c>
    </row>
    <row r="442" spans="1:4" x14ac:dyDescent="0.2">
      <c r="A442" t="s">
        <v>5680</v>
      </c>
      <c r="B442" t="s">
        <v>49</v>
      </c>
      <c r="C442">
        <v>2</v>
      </c>
      <c r="D442" t="s">
        <v>11455</v>
      </c>
    </row>
    <row r="443" spans="1:4" x14ac:dyDescent="0.2">
      <c r="A443" t="s">
        <v>5909</v>
      </c>
      <c r="B443" t="s">
        <v>49</v>
      </c>
      <c r="C443">
        <v>4</v>
      </c>
      <c r="D443" t="s">
        <v>11456</v>
      </c>
    </row>
    <row r="444" spans="1:4" x14ac:dyDescent="0.2">
      <c r="A444" t="s">
        <v>5895</v>
      </c>
      <c r="B444" t="s">
        <v>49</v>
      </c>
      <c r="C444">
        <v>6</v>
      </c>
      <c r="D444" t="s">
        <v>11457</v>
      </c>
    </row>
    <row r="445" spans="1:4" x14ac:dyDescent="0.2">
      <c r="A445" t="s">
        <v>5849</v>
      </c>
      <c r="B445" t="s">
        <v>49</v>
      </c>
      <c r="C445">
        <v>4</v>
      </c>
      <c r="D445" t="s">
        <v>11458</v>
      </c>
    </row>
    <row r="446" spans="1:4" x14ac:dyDescent="0.2">
      <c r="A446" t="s">
        <v>5815</v>
      </c>
      <c r="B446" t="s">
        <v>49</v>
      </c>
      <c r="C446">
        <v>1</v>
      </c>
      <c r="D446" t="s">
        <v>96</v>
      </c>
    </row>
    <row r="447" spans="1:4" x14ac:dyDescent="0.2">
      <c r="A447" t="s">
        <v>5812</v>
      </c>
      <c r="B447" t="s">
        <v>49</v>
      </c>
      <c r="C447">
        <v>2</v>
      </c>
      <c r="D447" t="s">
        <v>11257</v>
      </c>
    </row>
    <row r="448" spans="1:4" x14ac:dyDescent="0.2">
      <c r="A448" t="s">
        <v>5779</v>
      </c>
      <c r="B448" t="s">
        <v>49</v>
      </c>
      <c r="C448">
        <v>2</v>
      </c>
      <c r="D448" t="s">
        <v>11459</v>
      </c>
    </row>
    <row r="449" spans="1:4" x14ac:dyDescent="0.2">
      <c r="A449" t="s">
        <v>5898</v>
      </c>
      <c r="B449" t="s">
        <v>49</v>
      </c>
      <c r="C449">
        <v>5</v>
      </c>
      <c r="D449" t="s">
        <v>11460</v>
      </c>
    </row>
    <row r="450" spans="1:4" x14ac:dyDescent="0.2">
      <c r="A450" t="s">
        <v>5890</v>
      </c>
      <c r="B450" t="s">
        <v>49</v>
      </c>
      <c r="C450">
        <v>1</v>
      </c>
      <c r="D450" t="s">
        <v>84</v>
      </c>
    </row>
    <row r="451" spans="1:4" x14ac:dyDescent="0.2">
      <c r="A451" t="s">
        <v>5795</v>
      </c>
      <c r="B451" t="s">
        <v>49</v>
      </c>
      <c r="C451">
        <v>1</v>
      </c>
      <c r="D451" t="s">
        <v>90</v>
      </c>
    </row>
    <row r="452" spans="1:4" x14ac:dyDescent="0.2">
      <c r="A452" t="s">
        <v>5965</v>
      </c>
      <c r="B452" t="s">
        <v>49</v>
      </c>
      <c r="C452">
        <v>4</v>
      </c>
      <c r="D452" t="s">
        <v>11461</v>
      </c>
    </row>
    <row r="453" spans="1:4" x14ac:dyDescent="0.2">
      <c r="A453" t="s">
        <v>5958</v>
      </c>
      <c r="B453" t="s">
        <v>49</v>
      </c>
      <c r="C453">
        <v>5</v>
      </c>
      <c r="D453" t="s">
        <v>11462</v>
      </c>
    </row>
    <row r="454" spans="1:4" x14ac:dyDescent="0.2">
      <c r="A454" t="s">
        <v>5839</v>
      </c>
      <c r="B454" t="s">
        <v>49</v>
      </c>
      <c r="C454">
        <v>4</v>
      </c>
      <c r="D454" t="s">
        <v>11463</v>
      </c>
    </row>
    <row r="455" spans="1:4" x14ac:dyDescent="0.2">
      <c r="A455" t="s">
        <v>5840</v>
      </c>
      <c r="B455" t="s">
        <v>49</v>
      </c>
      <c r="C455">
        <v>4</v>
      </c>
      <c r="D455" t="s">
        <v>11464</v>
      </c>
    </row>
    <row r="456" spans="1:4" x14ac:dyDescent="0.2">
      <c r="A456" t="s">
        <v>5772</v>
      </c>
      <c r="B456" t="s">
        <v>49</v>
      </c>
      <c r="C456">
        <v>5</v>
      </c>
      <c r="D456" t="s">
        <v>11465</v>
      </c>
    </row>
    <row r="457" spans="1:4" x14ac:dyDescent="0.2">
      <c r="A457" t="s">
        <v>5771</v>
      </c>
      <c r="B457" t="s">
        <v>49</v>
      </c>
      <c r="C457">
        <v>5</v>
      </c>
      <c r="D457" t="s">
        <v>11466</v>
      </c>
    </row>
    <row r="458" spans="1:4" x14ac:dyDescent="0.2">
      <c r="A458" t="s">
        <v>2351</v>
      </c>
      <c r="B458" t="s">
        <v>51</v>
      </c>
      <c r="C458">
        <v>1</v>
      </c>
      <c r="D458" t="s">
        <v>105</v>
      </c>
    </row>
    <row r="459" spans="1:4" x14ac:dyDescent="0.2">
      <c r="A459" t="s">
        <v>2352</v>
      </c>
      <c r="B459" t="s">
        <v>51</v>
      </c>
      <c r="C459">
        <v>1</v>
      </c>
      <c r="D459" t="s">
        <v>92</v>
      </c>
    </row>
    <row r="460" spans="1:4" x14ac:dyDescent="0.2">
      <c r="A460" t="s">
        <v>676</v>
      </c>
      <c r="B460" t="s">
        <v>51</v>
      </c>
      <c r="C460">
        <v>2</v>
      </c>
      <c r="D460" t="s">
        <v>11467</v>
      </c>
    </row>
    <row r="461" spans="1:4" x14ac:dyDescent="0.2">
      <c r="A461" t="s">
        <v>929</v>
      </c>
      <c r="B461" t="s">
        <v>51</v>
      </c>
      <c r="C461">
        <v>1</v>
      </c>
      <c r="D461" t="s">
        <v>105</v>
      </c>
    </row>
  </sheetData>
  <pageMargins left="0.7" right="0.7" top="0.75" bottom="0.75" header="0.3" footer="0.3"/>
  <pageSetup paperSize="9" orientation="portrait" horizontalDpi="1200" verticalDpi="1200" r:id="rId1"/>
  <headerFooter>
    <oddFooter>&amp;C&amp;1#&amp;"Calibri"&amp;12&amp;K000000Classification: Pandora Internal</oddFooter>
  </headerFooter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578A86C-15A5-4BE7-8A98-D59EEBDAE04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12</vt:i4>
      </vt:variant>
    </vt:vector>
  </HeadingPairs>
  <TitlesOfParts>
    <vt:vector size="30" baseType="lpstr">
      <vt:lpstr>Guide</vt:lpstr>
      <vt:lpstr>Configuration</vt:lpstr>
      <vt:lpstr>FixedLine&amp;Scatter</vt:lpstr>
      <vt:lpstr>ItemSP</vt:lpstr>
      <vt:lpstr>RMPerMachine</vt:lpstr>
      <vt:lpstr>Calendar</vt:lpstr>
      <vt:lpstr>WaxCellUtilization</vt:lpstr>
      <vt:lpstr>PreAllocation</vt:lpstr>
      <vt:lpstr>Sheet5</vt:lpstr>
      <vt:lpstr>PIVOT_AllocationMix</vt:lpstr>
      <vt:lpstr>ProductionOrders</vt:lpstr>
      <vt:lpstr>Preview Assigned Line</vt:lpstr>
      <vt:lpstr>Validation</vt:lpstr>
      <vt:lpstr>Plastic</vt:lpstr>
      <vt:lpstr>Background</vt:lpstr>
      <vt:lpstr>Calendar Details</vt:lpstr>
      <vt:lpstr>PriorWk</vt:lpstr>
      <vt:lpstr>PriorWk_Pre</vt:lpstr>
      <vt:lpstr>r_background_100UtilLine</vt:lpstr>
      <vt:lpstr>r_Consumption</vt:lpstr>
      <vt:lpstr>r_MaxUtilByItem</vt:lpstr>
      <vt:lpstr>r_RemainingCapacity</vt:lpstr>
      <vt:lpstr>r_TargetUtilization</vt:lpstr>
      <vt:lpstr>r_TotalCapacity</vt:lpstr>
      <vt:lpstr>r_TotalFEQuantity</vt:lpstr>
      <vt:lpstr>r_TotalPlasticQuantity</vt:lpstr>
      <vt:lpstr>r_TotalProductionHour</vt:lpstr>
      <vt:lpstr>r_WaxCellSelection</vt:lpstr>
      <vt:lpstr>rngDEVMode</vt:lpstr>
      <vt:lpstr>rngVersion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Nattapon Srisukhadej</dc:creator>
  <cp:lastModifiedBy>Nattapon Srisukhadej</cp:lastModifiedBy>
  <dcterms:created xsi:type="dcterms:W3CDTF">2020-02-24T09:15:53Z</dcterms:created>
  <dcterms:modified xsi:type="dcterms:W3CDTF">2023-04-04T10:05:31Z</dcterms:modified>
  <cp:version>3.00.00 build 101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8967fca-063e-4224-91eb-8a9cfeaeb319_Enabled">
    <vt:lpwstr>true</vt:lpwstr>
  </property>
  <property fmtid="{D5CDD505-2E9C-101B-9397-08002B2CF9AE}" pid="3" name="MSIP_Label_b8967fca-063e-4224-91eb-8a9cfeaeb319_SetDate">
    <vt:lpwstr>2022-06-01T08:54:43Z</vt:lpwstr>
  </property>
  <property fmtid="{D5CDD505-2E9C-101B-9397-08002B2CF9AE}" pid="4" name="MSIP_Label_b8967fca-063e-4224-91eb-8a9cfeaeb319_Method">
    <vt:lpwstr>Standard</vt:lpwstr>
  </property>
  <property fmtid="{D5CDD505-2E9C-101B-9397-08002B2CF9AE}" pid="5" name="MSIP_Label_b8967fca-063e-4224-91eb-8a9cfeaeb319_Name">
    <vt:lpwstr>b8967fca-063e-4224-91eb-8a9cfeaeb319</vt:lpwstr>
  </property>
  <property fmtid="{D5CDD505-2E9C-101B-9397-08002B2CF9AE}" pid="6" name="MSIP_Label_b8967fca-063e-4224-91eb-8a9cfeaeb319_SiteId">
    <vt:lpwstr>656793e6-d51d-4bb2-b5fa-c66ddd181a40</vt:lpwstr>
  </property>
  <property fmtid="{D5CDD505-2E9C-101B-9397-08002B2CF9AE}" pid="7" name="MSIP_Label_b8967fca-063e-4224-91eb-8a9cfeaeb319_ActionId">
    <vt:lpwstr>fe459d91-4b6a-4d51-ac20-81a1170be614</vt:lpwstr>
  </property>
  <property fmtid="{D5CDD505-2E9C-101B-9397-08002B2CF9AE}" pid="8" name="MSIP_Label_b8967fca-063e-4224-91eb-8a9cfeaeb319_ContentBits">
    <vt:lpwstr>2</vt:lpwstr>
  </property>
</Properties>
</file>